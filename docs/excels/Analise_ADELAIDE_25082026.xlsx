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24AD3A2-FC62-4807-8A4A-ACB62FB0B3D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<sst xmlns="http://schemas.openxmlformats.org/spreadsheetml/2006/main" count="870" uniqueCount="596">
  <si>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</si>
  <si>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</si>
  <si>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</si>
  <si>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</si>
  <si>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</si>
  <si>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</si>
  <si>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</si>
  <si>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</si>
  <si>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</si>
  <si>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</si>
  <si>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</si>
  <si>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</si>
  <si>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</si>
  <si>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</si>
  <si>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</si>
  <si>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</si>
  <si>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</si>
  <si>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</si>
  <si>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</si>
  <si>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</si>
  <si>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</si>
  <si>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</si>
  <si>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</si>
  <si>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</si>
  <si>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</si>
  <si>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</si>
  <si>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</si>
  <si>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</si>
  <si>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</si>
  <si>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</si>
  <si>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</si>
  <si>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</si>
  <si>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</si>
  <si>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</si>
  <si>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</si>
  <si>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</si>
  <si>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</si>
  <si>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</si>
  <si>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</si>
  <si>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</si>
  <si>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</si>
  <si>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</si>
  <si>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</si>
  <si>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</si>
  <si>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</si>
  <si>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</si>
  <si>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</si>
  <si>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</si>
  <si>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</si>
  <si>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</si>
  <si>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</si>
  <si>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</si>
  <si>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</si>
  <si>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</si>
  <si>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</si>
  <si>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</si>
  <si>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</si>
  <si>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</si>
  <si>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</si>
  <si>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</si>
  <si>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</si>
  <si>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</si>
  <si>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</si>
  <si>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</si>
  <si>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</si>
  <si>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</si>
  <si>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</si>
  <si>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</si>
  <si>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</si>
  <si>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</si>
  <si>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</si>
  <si>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</si>
  <si>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</si>
  <si>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</si>
  <si>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</si>
  <si>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</si>
  <si>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</si>
  <si>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</si>
  <si>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</si>
  <si>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</si>
  <si>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</si>
  <si>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</si>
  <si>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</si>
  <si>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</si>
  <si>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</si>
  <si>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</si>
  <si>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</si>
  <si>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</si>
  <si>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</si>
  <si>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</si>
  <si>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</si>
  <si>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</si>
  <si>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</si>
  <si>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</si>
  <si>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</si>
  <si>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</si>
  <si>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</si>
  <si>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</si>
  <si>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</si>
  <si>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</si>
  <si>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</si>
  <si>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</si>
  <si>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</si>
  <si>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</si>
  <si>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</si>
  <si>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</si>
  <si>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</si>
  <si>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</si>
  <si>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</si>
  <si>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</si>
  <si>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</si>
  <si>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</si>
  <si>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</si>
  <si>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</si>
  <si>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</si>
  <si>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</si>
  <si>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</si>
  <si>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</si>
  <si>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</si>
  <si>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</si>
  <si>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</si>
  <si>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</si>
  <si>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</si>
  <si>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</si>
  <si>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</si>
  <si>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</si>
  <si>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</si>
  <si>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</si>
  <si>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</si>
  <si>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</si>
  <si>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</si>
  <si>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</si>
  <si>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</si>
  <si>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</si>
  <si>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</si>
  <si>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</si>
  <si>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</si>
  <si>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</si>
  <si>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</si>
  <si>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</si>
  <si>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</si>
  <si>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</si>
  <si>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</si>
  <si>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</si>
  <si>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</si>
  <si>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</si>
  <si>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</si>
  <si>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</si>
  <si>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</si>
  <si>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</si>
  <si>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</si>
  <si>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</si>
  <si>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</si>
  <si>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</si>
  <si>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</si>
  <si>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</si>
  <si>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</si>
  <si>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</si>
  <si>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</si>
  <si>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</si>
  <si>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</si>
  <si>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</si>
  <si>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</si>
  <si>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</si>
  <si>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</si>
  <si>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</si>
  <si>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</si>
  <si>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</si>
  <si>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</si>
  <si>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</si>
  <si>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</si>
  <si>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</si>
  <si>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</si>
  <si>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</si>
  <si>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</si>
  <si>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</si>
  <si>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</si>
  <si>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</si>
  <si>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</si>
  <si>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</si>
  <si>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</si>
  <si>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</si>
  <si>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</si>
  <si>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</si>
  <si>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</si>
  <si>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</si>
  <si>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</si>
  <si>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</si>
  <si>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</si>
  <si>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</si>
  <si>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</si>
  <si>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</si>
  <si>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</si>
  <si>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</si>
  <si>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</si>
  <si>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</si>
  <si>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</si>
  <si>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</si>
  <si>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</si>
  <si>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</si>
  <si>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</si>
  <si>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</si>
  <si>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</si>
  <si>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</si>
  <si>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</si>
  <si>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</si>
  <si>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</si>
  <si>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</si>
  <si>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</si>
  <si>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</si>
  <si>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</si>
  <si>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</si>
  <si>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</si>
  <si>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</si>
  <si>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</si>
  <si>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</si>
  <si>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</si>
  <si>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</si>
  <si>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</si>
  <si>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</si>
  <si>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</si>
  <si>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</si>
  <si>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</si>
  <si>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</si>
  <si>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</si>
  <si>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</si>
  <si>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</si>
  <si>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</si>
  <si>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</si>
  <si>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</si>
  <si>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</si>
  <si>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</si>
  <si>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</si>
  <si>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</si>
  <si>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</si>
  <si>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</si>
  <si>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</si>
  <si>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</si>
  <si>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</si>
  <si>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</si>
  <si>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</si>
  <si>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</si>
  <si>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</si>
  <si>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</si>
  <si>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</si>
  <si>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</si>
  <si>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</si>
  <si>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</si>
  <si>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</si>
  <si>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</si>
  <si>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</si>
  <si>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</si>
  <si>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</si>
  <si>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</si>
  <si>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</si>
  <si>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</si>
  <si>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</si>
  <si>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</si>
  <si>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</si>
  <si>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</si>
  <si>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</si>
  <si>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</si>
  <si>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</si>
  <si>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</si>
  <si>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</si>
  <si>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</si>
  <si>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</si>
  <si>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</si>
  <si>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</si>
  <si>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</si>
  <si>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</si>
  <si>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</si>
  <si>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</si>
  <si>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</si>
  <si>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</si>
  <si>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</si>
  <si>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</si>
  <si>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</si>
  <si>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</si>
  <si>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</si>
  <si>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</si>
  <si>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</si>
  <si>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</si>
  <si>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</si>
  <si>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</si>
  <si>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</si>
  <si>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</si>
  <si>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</si>
  <si>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</si>
  <si>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</si>
  <si>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</si>
  <si>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</si>
  <si>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</si>
  <si>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</si>
  <si>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</si>
  <si>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</si>
  <si>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</si>
  <si>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</si>
  <si>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</si>
  <si>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</si>
  <si>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</si>
  <si>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</si>
  <si>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</si>
  <si>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</si>
  <si>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</si>
  <si>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</si>
  <si>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</si>
  <si>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</si>
  <si>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</si>
  <si>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</si>
  <si>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</si>
  <si>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</si>
  <si>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</si>
  <si>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</si>
  <si>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</si>
  <si>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</si>
  <si>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</si>
  <si>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</si>
  <si>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</si>
  <si>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</si>
  <si>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</si>
  <si>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</si>
  <si>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</si>
  <si>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</si>
  <si>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</si>
  <si>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</si>
  <si>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</si>
  <si>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</si>
  <si>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</si>
  <si>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</si>
  <si>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</si>
  <si>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</si>
  <si>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</si>
  <si>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</si>
  <si>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</si>
  <si>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</si>
  <si>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</si>
  <si>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</si>
  <si>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</si>
  <si>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</si>
  <si>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</si>
  <si>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</si>
  <si>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</si>
  <si>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</si>
  <si>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</si>
  <si>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</si>
  <si>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</si>
  <si>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</si>
  <si>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</si>
  <si>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</si>
  <si>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</si>
  <si>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</si>
  <si>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</si>
  <si>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</si>
  <si>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</si>
  <si>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</si>
  <si>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</si>
  <si>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</si>
  <si>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</si>
  <si>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</si>
  <si>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</si>
  <si>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</si>
  <si>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</si>
  <si>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</si>
  <si>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</si>
  <si>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</si>
  <si>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</si>
  <si>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</si>
  <si>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</si>
  <si>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</si>
  <si>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</si>
  <si>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</si>
  <si>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</si>
  <si>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</si>
  <si>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</si>
  <si>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</si>
  <si>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</si>
  <si>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</si>
  <si>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</si>
  <si>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</si>
  <si>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</si>
  <si>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</si>
  <si>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</si>
  <si>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</si>
  <si>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</si>
  <si>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</si>
  <si>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</si>
  <si>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</si>
  <si>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</si>
  <si>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</si>
  <si>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</si>
  <si>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</si>
  <si>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</si>
  <si>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</si>
  <si>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</si>
  <si>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</si>
  <si>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</si>
  <si>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</si>
  <si>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</si>
  <si>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</si>
  <si>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</si>
  <si>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</si>
  <si>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</si>
  <si>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</si>
  <si>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</si>
  <si>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</si>
  <si>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</si>
  <si>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</si>
  <si>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</si>
  <si>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</si>
  <si>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</si>
  <si>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</si>
  <si>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</si>
  <si>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</si>
  <si>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</si>
  <si>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</si>
  <si>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</si>
  <si>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</si>
  <si>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</si>
  <si>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</si>
  <si>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</si>
  <si>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</si>
  <si>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</si>
  <si>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</si>
  <si>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</si>
  <si>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</si>
  <si>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</si>
  <si>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</si>
  <si>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</si>
  <si>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</si>
  <si>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</si>
  <si>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</si>
  <si>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</si>
  <si>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</si>
  <si>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</si>
  <si>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</si>
  <si>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</si>
  <si>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</si>
  <si>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</si>
  <si>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</si>
  <si>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</si>
  <si>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</si>
  <si>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</si>
  <si>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</si>
  <si>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</si>
  <si>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</si>
  <si>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</si>
  <si>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</si>
  <si>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</si>
  <si>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</si>
  <si>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</si>
  <si>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</si>
  <si>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</si>
  <si>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</si>
  <si>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</si>
  <si>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</si>
  <si>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</si>
  <si>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</si>
  <si>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</si>
  <si>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</si>
  <si>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</si>
  <si>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</si>
  <si>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</si>
  <si>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</si>
  <si>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</si>
  <si>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</si>
  <si>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</si>
  <si>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</si>
  <si>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</si>
  <si>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</si>
  <si>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</si>
  <si>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</si>
  <si>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</si>
  <si>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</si>
  <si>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</si>
  <si>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</si>
  <si>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</si>
  <si>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</si>
  <si>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</si>
  <si>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</si>
  <si>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</si>
  <si>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</si>
  <si>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</si>
  <si>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</si>
  <si>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</si>
  <si>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</si>
  <si>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</si>
  <si>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</si>
  <si>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</si>
  <si>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</si>
  <si>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</si>
  <si>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</si>
  <si>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</si>
  <si>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</si>
  <si>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</si>
  <si>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</si>
  <si>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</si>
  <si>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</si>
  <si>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</si>
  <si>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</si>
  <si>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</si>
  <si>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</si>
  <si>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</si>
  <si>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</si>
  <si>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</si>
  <si>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</si>
  <si>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</si>
  <si>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</si>
  <si>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</si>
  <si>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</si>
  <si>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</si>
  <si>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</si>
  <si>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</si>
  <si>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</si>
  <si>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</si>
  <si>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</si>
  <si>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</si>
  <si>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</si>
  <si>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</si>
  <si>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</si>
  <si>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</si>
  <si>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</si>
  <si>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</si>
  <si>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</si>
  <si>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</si>
  <si>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</si>
  <si>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</si>
  <si>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</si>
  <si>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</si>
  <si>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</si>
  <si>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</si>
  <si>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</si>
  <si>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</si>
  <si>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</si>
  <si>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</si>
  <si>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</si>
  <si>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</si>
  <si>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</si>
  <si>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</si>
  <si>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</si>
  <si>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</si>
  <si>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</si>
  <si>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</si>
  <si>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</si>
  <si>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</si>
  <si>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</si>
  <si>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</si>
  <si>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</si>
  <si>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</si>
  <si>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</si>
  <si>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</si>
  <si>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</si>
  <si>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</si>
  <si>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</si>
  <si>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</si>
  <si>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</si>
  <si>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</si>
  <si>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</si>
  <si>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</si>
  <si>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</si>
  <si>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</si>
  <si>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</si>
  <si>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</si>
  <si>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</si>
  <si>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</si>
  <si>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</si>
  <si>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</si>
  <si>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</si>
  <si>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</si>
  <si>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</si>
  <si>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</si>
  <si>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</si>
  <si>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</si>
  <si>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</si>
  <si>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</si>
  <si>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</si>
  <si>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</si>
  <si>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</si>
  <si>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</si>
  <si>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</si>
  <si>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201380-1</t>
  </si>
  <si>
    <t>CICLO EVO IMPOR</t>
  </si>
  <si>
    <t>SABRINA SANTOS</t>
  </si>
  <si>
    <t>ECONOMICO_250</t>
  </si>
  <si>
    <t>CTE NORMAL</t>
  </si>
  <si>
    <t>FRANCA - SP</t>
  </si>
  <si>
    <t>ADELAIDE DE FATIMA DA COS</t>
  </si>
  <si>
    <t>G.S CITRUS COMERCIO ATACA</t>
  </si>
  <si>
    <t>201939-1</t>
  </si>
  <si>
    <t>ANDRITZ HYDRO L</t>
  </si>
  <si>
    <t>TIAGO SANTANA</t>
  </si>
  <si>
    <t>ARARAQUARA - SP</t>
  </si>
  <si>
    <t>JOSENIR DE SOUZA CUNHA</t>
  </si>
  <si>
    <t>Fiorino</t>
  </si>
  <si>
    <t>São Paulo-Sp X Franca-Spfiorino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</si>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</sst>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[Analise_ADELAIDE_25082026.xlsx]Resumo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ANDRITZ HYDRO L</c:v>
                </c:pt>
                <c:pt idx="1">
                  <c:v>CICLO EVO IMPOR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360.59</c:v>
                </c:pt>
                <c:pt idx="1">
                  <c:v>674.15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ANDRITZ HYDRO L</c:v>
                </c:pt>
                <c:pt idx="1">
                  <c:v>CICLO EVO IMPOR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199.54560000000001</c:v>
                </c:pt>
                <c:pt idx="1">
                  <c:v>-746.09400000000016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[Analise_ADELAIDE_25082026.xlsx]Resumo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ANDRITZ HYDRO L</c:v>
                </c:pt>
                <c:pt idx="1">
                  <c:v>CICLO EVO IMPOR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360.59</c:v>
                </c:pt>
                <c:pt idx="1">
                  <c:v>674.15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ANDRITZ HYDRO L</c:v>
                </c:pt>
                <c:pt idx="1">
                  <c:v>CICLO EVO IMPOR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199.54560000000001</c:v>
                </c:pt>
                <c:pt idx="1">
                  <c:v>-746.09400000000016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2.45814976852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8012" count="8000">
        <n v="296844"/>
        <n v="29801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7T00:00:00" maxDate="2026-08-22T00:00:00"/>
    </cacheField>
    <cacheField name="DATA" numFmtId="14">
      <sharedItems containsNonDate="0" containsDate="1" containsString="0" containsBlank="1" minDate="2026-08-17T00:00:00" maxDate="2026-08-25T00:00:00"/>
    </cacheField>
    <cacheField name="FAT" numFmtId="0">
      <sharedItems containsString="0" containsBlank="1" containsNumber="1" containsInteger="1" minValue="64842" maxValue="64842"/>
    </cacheField>
    <cacheField name="CT-E" numFmtId="0">
      <sharedItems containsBlank="1"/>
    </cacheField>
    <cacheField name="CLIENTE TOMADOR" numFmtId="0">
      <sharedItems containsBlank="1" count="855">
        <s v="CICLO EVO IMPOR"/>
        <s v="ANDRITZ HYDRO 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53.44" maxValue="73134"/>
    </cacheField>
    <cacheField name="SERVICO" numFmtId="0">
      <sharedItems containsBlank="1" count="27"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60.59" maxValue="674.15"/>
    </cacheField>
    <cacheField name="VOLUMES" numFmtId="0">
      <sharedItems containsString="0" containsBlank="1" containsNumber="1" containsInteger="1" minValue="1" maxValue="2"/>
    </cacheField>
    <cacheField name="PESO" numFmtId="0">
      <sharedItems containsString="0" containsBlank="1" containsNumber="1" minValue="1.5" maxValue="228.3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42"/>
    </cacheField>
    <cacheField name="RESP. ENTREGA" numFmtId="0">
      <sharedItems containsBlank="1"/>
    </cacheField>
    <cacheField name="CUSTO ENTREGA" numFmtId="0">
      <sharedItems containsString="0" containsBlank="1" containsNumber="1" minValue="7.83" maxValue="1192.17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43.27" maxValue="80.90000000000000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73" maxValue="36.57"/>
    </cacheField>
    <cacheField name="OUTROS" numFmtId="0">
      <sharedItems containsString="0" containsBlank="1" containsNumber="1" minValue="0" maxValue="2.74"/>
    </cacheField>
    <cacheField name="C.TOTAL" numFmtId="0">
      <sharedItems containsString="0" containsBlank="1" containsNumber="1" minValue="94.21" maxValue="1370.24"/>
    </cacheField>
    <cacheField name="RECEITA" numFmtId="0">
      <sharedItems containsString="0" containsBlank="1" containsNumber="1" minValue="-696.09" maxValue="266.38"/>
    </cacheField>
    <cacheField name="IMPOSTO" numFmtId="0">
      <sharedItems containsString="0" containsBlank="1" containsNumber="1" minValue="93.75" maxValue="175.28"/>
    </cacheField>
    <cacheField name="RESULTADO" numFmtId="0">
      <sharedItems containsString="0" containsBlank="1" containsNumber="1" minValue="-871.37" maxValue="172.63000000000002"/>
    </cacheField>
    <cacheField name="COMIS" numFmtId="0">
      <sharedItems containsString="0" containsBlank="1" containsNumber="1" minValue="0" maxValue="9.52"/>
    </cacheField>
    <cacheField name="LUCRO LIQ" numFmtId="0">
      <sharedItems containsString="0" containsBlank="1" containsNumber="1" minValue="-871.37" maxValue="163.11000000000001"/>
    </cacheField>
    <cacheField name="MARGEM" numFmtId="10">
      <sharedItems containsString="0" containsBlank="1" containsNumber="1" minValue="-1.2925" maxValue="0.4522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7T00:00:00"/>
    <d v="2026-08-17T00:00:00"/>
    <n v="64842"/>
    <s v="201380-1"/>
    <x v="0"/>
    <s v="SABRINA SANTOS"/>
    <n v="73134"/>
    <x v="0"/>
    <s v="CTE NORMAL"/>
    <s v="FRANCA - SP"/>
    <n v="674.15"/>
    <n v="2"/>
    <n v="228.33"/>
    <s v="MATRIZ"/>
    <n v="0"/>
    <s v="ADELAIDE DE FATIMA DA COS"/>
    <n v="1192.17"/>
    <s v="G.S CITRUS COMERCIO ATACA"/>
    <n v="0"/>
    <n v="80.900000000000006"/>
    <n v="0"/>
    <n v="0"/>
    <n v="36.57"/>
    <n v="2.74"/>
    <n v="1370.24"/>
    <n v="-696.09"/>
    <n v="175.28"/>
    <n v="-871.37"/>
    <n v="0"/>
    <n v="-871.37"/>
    <n v="-1.2925"/>
    <m/>
  </r>
  <r>
    <x v="1"/>
    <s v="MATRIZ"/>
    <d v="2026-08-21T00:00:00"/>
    <d v="2026-08-24T00:00:00"/>
    <m/>
    <s v="201939-1"/>
    <x v="1"/>
    <s v="TIAGO SANTANA"/>
    <n v="1453.44"/>
    <x v="0"/>
    <s v="CTE NORMAL"/>
    <s v="ARARAQUARA - SP"/>
    <n v="360.59"/>
    <n v="1"/>
    <n v="1.5"/>
    <s v="JOSENIR DE SOUZA CUNHA"/>
    <n v="42"/>
    <s v="ADELAIDE DE FATIMA DA COS"/>
    <n v="7.83"/>
    <s v="G.S CITRUS COMERCIO ATACA"/>
    <n v="0"/>
    <n v="43.27"/>
    <n v="0"/>
    <n v="0"/>
    <n v="0.73"/>
    <n v="0"/>
    <n v="94.21"/>
    <n v="266.38"/>
    <n v="93.75"/>
    <n v="172.63000000000002"/>
    <n v="9.52"/>
    <n v="163.11000000000001"/>
    <n v="0.45229999999999998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x="1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6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8"/>
        <item m="1" x="437"/>
        <item m="1" x="352"/>
        <item sd="0" m="1" x="572"/>
        <item m="1" x="568"/>
        <item sd="0" m="1" x="734"/>
        <item m="1" x="756"/>
        <item m="1" x="121"/>
        <item m="1" x="390"/>
        <item sd="0" m="1" x="89"/>
        <item m="1" x="382"/>
        <item x="0"/>
        <item m="1" x="396"/>
        <item m="1" x="259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3"/>
        <item m="1" x="221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1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4"/>
        <item m="1" x="99"/>
        <item m="1" x="460"/>
        <item m="1" x="581"/>
        <item m="1" x="353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39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4"/>
        <item m="1" x="738"/>
        <item m="1" x="246"/>
        <item m="1" x="262"/>
        <item sd="0" m="1" x="275"/>
        <item sd="0" m="1" x="822"/>
        <item m="1" x="7"/>
        <item m="1" x="350"/>
        <item m="1" x="578"/>
        <item m="1" x="162"/>
        <item m="1" x="316"/>
        <item sd="0" m="1" x="699"/>
        <item m="1" x="331"/>
        <item m="1" x="626"/>
        <item m="1" x="542"/>
        <item sd="0" m="1" x="369"/>
        <item sd="0" m="1" x="335"/>
        <item sd="0" m="1" x="176"/>
        <item m="1" x="420"/>
        <item m="1" x="702"/>
        <item m="1" x="698"/>
        <item m="1" x="379"/>
        <item m="1" x="348"/>
        <item m="1" x="151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0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3"/>
        <item sd="0" m="1" x="374"/>
        <item m="1" x="243"/>
        <item m="1" x="337"/>
        <item m="1" x="528"/>
        <item m="1" x="423"/>
        <item m="1" x="789"/>
        <item m="1" x="302"/>
        <item m="1" x="310"/>
        <item m="1" x="367"/>
        <item m="1" x="491"/>
        <item m="1" x="663"/>
        <item m="1" x="189"/>
        <item m="1" x="660"/>
        <item m="1" x="222"/>
        <item m="1" x="449"/>
        <item m="1" x="148"/>
        <item m="1" x="362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8"/>
        <item m="1" x="613"/>
        <item m="1" x="673"/>
        <item m="1" x="838"/>
        <item m="1" x="51"/>
        <item m="1" x="606"/>
        <item m="1" x="85"/>
        <item m="1" x="326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9"/>
        <item m="1" x="332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3"/>
        <item m="1" x="336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7"/>
        <item m="1" x="283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59"/>
        <item m="1" x="261"/>
        <item m="1" x="364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4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7"/>
        <item m="1" x="14"/>
        <item m="1" x="226"/>
        <item m="1" x="784"/>
        <item m="1" x="725"/>
        <item m="1" x="841"/>
        <item m="1" x="444"/>
        <item m="1" x="194"/>
        <item m="1" x="307"/>
        <item m="1" x="340"/>
        <item sd="0" m="1" x="97"/>
        <item m="1" x="695"/>
        <item m="1" x="306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6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6"/>
        <item m="1" x="625"/>
        <item m="1" x="459"/>
        <item m="1" x="692"/>
        <item sd="0" m="1" x="135"/>
        <item m="1" x="410"/>
        <item m="1" x="693"/>
        <item m="1" x="442"/>
        <item m="1" x="361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0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6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58"/>
    </i>
    <i r="1">
      <x v="7999"/>
    </i>
    <i>
      <x v="155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x="1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6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8"/>
        <item m="1" x="437"/>
        <item m="1" x="352"/>
        <item sd="0" m="1" x="572"/>
        <item m="1" x="568"/>
        <item sd="0" m="1" x="734"/>
        <item m="1" x="756"/>
        <item m="1" x="121"/>
        <item m="1" x="390"/>
        <item sd="0" m="1" x="89"/>
        <item m="1" x="382"/>
        <item x="0"/>
        <item m="1" x="396"/>
        <item m="1" x="259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3"/>
        <item m="1" x="221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1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4"/>
        <item m="1" x="99"/>
        <item m="1" x="460"/>
        <item m="1" x="581"/>
        <item m="1" x="353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39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4"/>
        <item m="1" x="738"/>
        <item m="1" x="246"/>
        <item m="1" x="262"/>
        <item sd="0" m="1" x="275"/>
        <item sd="0" m="1" x="822"/>
        <item m="1" x="7"/>
        <item m="1" x="350"/>
        <item m="1" x="578"/>
        <item m="1" x="162"/>
        <item m="1" x="316"/>
        <item sd="0" m="1" x="699"/>
        <item m="1" x="331"/>
        <item m="1" x="626"/>
        <item m="1" x="542"/>
        <item sd="0" m="1" x="369"/>
        <item sd="0" m="1" x="335"/>
        <item sd="0" m="1" x="176"/>
        <item m="1" x="420"/>
        <item m="1" x="702"/>
        <item m="1" x="698"/>
        <item m="1" x="379"/>
        <item m="1" x="348"/>
        <item m="1" x="151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0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3"/>
        <item sd="0" m="1" x="374"/>
        <item m="1" x="243"/>
        <item m="1" x="337"/>
        <item m="1" x="528"/>
        <item m="1" x="423"/>
        <item m="1" x="789"/>
        <item m="1" x="302"/>
        <item m="1" x="310"/>
        <item m="1" x="367"/>
        <item m="1" x="491"/>
        <item m="1" x="663"/>
        <item m="1" x="189"/>
        <item m="1" x="660"/>
        <item m="1" x="222"/>
        <item m="1" x="449"/>
        <item m="1" x="148"/>
        <item m="1" x="362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8"/>
        <item m="1" x="613"/>
        <item m="1" x="673"/>
        <item m="1" x="838"/>
        <item m="1" x="51"/>
        <item m="1" x="606"/>
        <item m="1" x="85"/>
        <item m="1" x="326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9"/>
        <item m="1" x="332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3"/>
        <item m="1" x="336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7"/>
        <item m="1" x="283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59"/>
        <item m="1" x="261"/>
        <item m="1" x="364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4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7"/>
        <item m="1" x="14"/>
        <item m="1" x="226"/>
        <item m="1" x="784"/>
        <item m="1" x="725"/>
        <item m="1" x="841"/>
        <item m="1" x="444"/>
        <item m="1" x="194"/>
        <item m="1" x="307"/>
        <item m="1" x="340"/>
        <item sd="0" m="1" x="97"/>
        <item m="1" x="695"/>
        <item m="1" x="306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6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6"/>
        <item m="1" x="625"/>
        <item m="1" x="459"/>
        <item m="1" x="692"/>
        <item sd="0" m="1" x="135"/>
        <item m="1" x="410"/>
        <item m="1" x="693"/>
        <item m="1" x="442"/>
        <item m="1" x="361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0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6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58"/>
    </i>
    <i>
      <x v="15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15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2" s="1" nd="1"/>
        <i x="713" s="1" nd="1"/>
        <i x="297" s="1" nd="1"/>
        <i x="114" s="1" nd="1"/>
        <i x="272" s="1" nd="1"/>
        <i x="591" s="1" nd="1"/>
        <i x="324" s="1" nd="1"/>
        <i x="676" s="1" nd="1"/>
        <i x="502" s="1" nd="1"/>
        <i x="25" s="1" nd="1"/>
        <i x="582" s="1" nd="1"/>
        <i x="852" s="1" nd="1"/>
        <i x="21" s="1" nd="1"/>
        <i x="758" s="1" nd="1"/>
        <i x="113" s="1" nd="1"/>
        <i x="545" s="1" nd="1"/>
        <i x="828" s="1" nd="1"/>
        <i x="271" s="1" nd="1"/>
        <i x="479" s="1" nd="1"/>
        <i x="773" s="1" nd="1"/>
        <i x="267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461" s="1" nd="1"/>
        <i x="506" s="1" nd="1"/>
        <i x="554" s="1" nd="1"/>
        <i x="477" s="1" nd="1"/>
        <i x="245" s="1" nd="1"/>
        <i x="848" s="1" nd="1"/>
        <i x="832" s="1" nd="1"/>
        <i x="743" s="1" nd="1"/>
        <i x="241" s="1" nd="1"/>
        <i x="240" s="1" nd="1"/>
        <i x="462" s="1" nd="1"/>
        <i x="287" s="1" nd="1"/>
        <i x="550" s="1" nd="1"/>
        <i x="845" s="1" nd="1"/>
        <i x="445" s="1" nd="1"/>
        <i x="530" s="1" nd="1"/>
        <i x="666" s="1" nd="1"/>
        <i x="519" s="1" nd="1"/>
        <i x="793" s="1" nd="1"/>
        <i x="179" s="1" nd="1"/>
        <i x="59" s="1" nd="1"/>
        <i x="356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9" s="1" nd="1"/>
        <i x="592" s="1" nd="1"/>
        <i x="596" s="1" nd="1"/>
        <i x="733" s="1" nd="1"/>
        <i x="786" s="1" nd="1"/>
        <i x="184" s="1" nd="1"/>
        <i x="835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6" s="1" nd="1"/>
        <i x="249" s="1" nd="1"/>
        <i x="764" s="1" nd="1"/>
        <i x="425" s="1" nd="1"/>
        <i x="436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8" s="1" nd="1"/>
        <i x="437" s="1" nd="1"/>
        <i x="352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396" s="1" nd="1"/>
        <i x="259" s="1" nd="1"/>
        <i x="377" s="1" nd="1"/>
        <i x="849" s="1" nd="1"/>
        <i x="648" s="1" nd="1"/>
        <i x="853" s="1" nd="1"/>
        <i x="829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0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3" s="1" nd="1"/>
        <i x="221" s="1" nd="1"/>
        <i x="510" s="1" nd="1"/>
        <i x="118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1" s="1" nd="1"/>
        <i x="439" s="1" nd="1"/>
        <i x="103" s="1" nd="1"/>
        <i x="197" s="1" nd="1"/>
        <i x="831" s="1" nd="1"/>
        <i x="765" s="1" nd="1"/>
        <i x="509" s="1" nd="1"/>
        <i x="821" s="1" nd="1"/>
        <i x="341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4" s="1" nd="1"/>
        <i x="99" s="1" nd="1"/>
        <i x="460" s="1" nd="1"/>
        <i x="581" s="1" nd="1"/>
        <i x="353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4" s="1" nd="1"/>
        <i x="16" s="1" nd="1"/>
        <i x="233" s="1" nd="1"/>
        <i x="242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6" s="1" nd="1"/>
        <i x="317" s="1" nd="1"/>
        <i x="380" s="1" nd="1"/>
        <i x="540" s="1" nd="1"/>
        <i x="315" s="1" nd="1"/>
        <i x="339" s="1" nd="1"/>
        <i x="772" s="1" nd="1"/>
        <i x="144" s="1" nd="1"/>
        <i x="667" s="1" nd="1"/>
        <i x="839" s="1" nd="1"/>
        <i x="39" s="1" nd="1"/>
        <i x="383" s="1" nd="1"/>
        <i x="590" s="1" nd="1"/>
        <i x="748" s="1" nd="1"/>
        <i x="270" s="1" nd="1"/>
        <i x="18" s="1" nd="1"/>
        <i x="638" s="1" nd="1"/>
        <i x="389" s="1" nd="1"/>
        <i x="480" s="1" nd="1"/>
        <i x="344" s="1" nd="1"/>
        <i x="738" s="1" nd="1"/>
        <i x="246" s="1" nd="1"/>
        <i x="262" s="1" nd="1"/>
        <i x="275" s="1" nd="1"/>
        <i x="822" s="1" nd="1"/>
        <i x="7" s="1" nd="1"/>
        <i x="350" s="1" nd="1"/>
        <i x="578" s="1" nd="1"/>
        <i x="162" s="1" nd="1"/>
        <i x="316" s="1" nd="1"/>
        <i x="699" s="1" nd="1"/>
        <i x="331" s="1" nd="1"/>
        <i x="626" s="1" nd="1"/>
        <i x="542" s="1" nd="1"/>
        <i x="369" s="1" nd="1"/>
        <i x="335" s="1" nd="1"/>
        <i x="176" s="1" nd="1"/>
        <i x="420" s="1" nd="1"/>
        <i x="702" s="1" nd="1"/>
        <i x="698" s="1" nd="1"/>
        <i x="379" s="1" nd="1"/>
        <i x="348" s="1" nd="1"/>
        <i x="151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5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7" s="1" nd="1"/>
        <i x="125" s="1" nd="1"/>
        <i x="465" s="1" nd="1"/>
        <i x="701" s="1" nd="1"/>
        <i x="428" s="1" nd="1"/>
        <i x="363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0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3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7" s="1" nd="1"/>
        <i x="70" s="1" nd="1"/>
        <i x="119" s="1" nd="1"/>
        <i x="646" s="1" nd="1"/>
        <i x="411" s="1" nd="1"/>
        <i x="854" s="1" nd="1"/>
        <i x="432" s="1" nd="1"/>
        <i x="570" s="1" nd="1"/>
        <i x="488" s="1" nd="1"/>
        <i x="183" s="1" nd="1"/>
        <i x="374" s="1" nd="1"/>
        <i x="243" s="1" nd="1"/>
        <i x="337" s="1" nd="1"/>
        <i x="528" s="1" nd="1"/>
        <i x="423" s="1" nd="1"/>
        <i x="789" s="1" nd="1"/>
        <i x="302" s="1" nd="1"/>
        <i x="310" s="1" nd="1"/>
        <i x="367" s="1" nd="1"/>
        <i x="491" s="1" nd="1"/>
        <i x="663" s="1" nd="1"/>
        <i x="189" s="1" nd="1"/>
        <i x="660" s="1" nd="1"/>
        <i x="222" s="1" nd="1"/>
        <i x="449" s="1" nd="1"/>
        <i x="148" s="1" nd="1"/>
        <i x="362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1" s="1" nd="1"/>
        <i x="247" s="1" nd="1"/>
        <i x="398" s="1" nd="1"/>
        <i x="482" s="1" nd="1"/>
        <i x="338" s="1" nd="1"/>
        <i x="613" s="1" nd="1"/>
        <i x="673" s="1" nd="1"/>
        <i x="838" s="1" nd="1"/>
        <i x="51" s="1" nd="1"/>
        <i x="606" s="1" nd="1"/>
        <i x="85" s="1" nd="1"/>
        <i x="326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19" s="1" nd="1"/>
        <i x="170" s="1" nd="1"/>
        <i x="710" s="1" nd="1"/>
        <i x="172" s="1" nd="1"/>
        <i x="587" s="1" nd="1"/>
        <i x="228" s="1" nd="1"/>
        <i x="391" s="1" nd="1"/>
        <i x="658" s="1" nd="1"/>
        <i x="311" s="1" nd="1"/>
        <i x="75" s="1" nd="1"/>
        <i x="670" s="1" nd="1"/>
        <i x="95" s="1" nd="1"/>
        <i x="440" s="1" nd="1"/>
        <i x="351" s="1" nd="1"/>
        <i x="785" s="1" nd="1"/>
        <i x="499" s="1" nd="1"/>
        <i x="62" s="1" nd="1"/>
        <i x="456" s="1" nd="1"/>
        <i x="83" s="1" nd="1"/>
        <i x="325" s="1" nd="1"/>
        <i x="169" s="1" nd="1"/>
        <i x="332" s="1" nd="1"/>
        <i x="565" s="1" nd="1"/>
        <i x="504" s="1" nd="1"/>
        <i x="229" s="1" nd="1"/>
        <i x="282" s="1" nd="1"/>
        <i x="94" s="1" nd="1"/>
        <i x="407" s="1" nd="1"/>
        <i x="321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4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5" s="1" nd="1"/>
        <i x="823" s="1" nd="1"/>
        <i x="336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7" s="1" nd="1"/>
        <i x="283" s="1" nd="1"/>
        <i x="323" s="1" nd="1"/>
        <i x="844" s="1" nd="1"/>
        <i x="358" s="1" nd="1"/>
        <i x="387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59" s="1" nd="1"/>
        <i x="261" s="1" nd="1"/>
        <i x="364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3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4" s="1" nd="1"/>
        <i x="817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7" s="1" nd="1"/>
        <i x="14" s="1" nd="1"/>
        <i x="226" s="1" nd="1"/>
        <i x="784" s="1" nd="1"/>
        <i x="725" s="1" nd="1"/>
        <i x="841" s="1" nd="1"/>
        <i x="444" s="1" nd="1"/>
        <i x="194" s="1" nd="1"/>
        <i x="307" s="1" nd="1"/>
        <i x="340" s="1" nd="1"/>
        <i x="97" s="1" nd="1"/>
        <i x="695" s="1" nd="1"/>
        <i x="306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6" s="1" nd="1"/>
        <i x="409" s="1" nd="1"/>
        <i x="474" s="1" nd="1"/>
        <i x="837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5" s="1" nd="1"/>
        <i x="745" s="1" nd="1"/>
        <i x="80" s="1" nd="1"/>
        <i x="52" s="1" nd="1"/>
        <i x="851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9" s="1" nd="1"/>
        <i x="816" s="1" nd="1"/>
        <i x="625" s="1" nd="1"/>
        <i x="459" s="1" nd="1"/>
        <i x="692" s="1" nd="1"/>
        <i x="135" s="1" nd="1"/>
        <i x="410" s="1" nd="1"/>
        <i x="693" s="1" nd="1"/>
        <i x="442" s="1" nd="1"/>
        <i x="361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5" s="1" nd="1"/>
        <i x="577" s="1" nd="1"/>
        <i x="360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6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4" s="1" nd="1"/>
        <i x="36" s="1" nd="1"/>
        <i x="312" s="1" nd="1"/>
        <i x="825" s="1" nd="1"/>
        <i x="563" s="1" nd="1"/>
        <i x="63" s="1" nd="1"/>
        <i x="569" s="1" nd="1"/>
        <i x="431" s="1" nd="1"/>
        <i x="426" s="1" nd="1"/>
        <i x="177" s="1" nd="1"/>
        <i x="366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296844</v>
      </c>
      <c r="B2" s="12" t="s">
        <v>579</v>
      </c>
      <c r="C2" s="14">
        <v>46251</v>
      </c>
      <c r="D2" s="14">
        <v>46251</v>
      </c>
      <c r="E2" s="12">
        <v>64842</v>
      </c>
      <c r="F2" s="15" t="s">
        <v>580</v>
      </c>
      <c r="G2" s="15" t="s">
        <v>581</v>
      </c>
      <c r="H2" s="15" t="s">
        <v>582</v>
      </c>
      <c r="I2" s="16">
        <v>73134</v>
      </c>
      <c r="J2" s="15" t="s">
        <v>583</v>
      </c>
      <c r="K2" s="15" t="s">
        <v>584</v>
      </c>
      <c r="L2" s="15" t="s">
        <v>585</v>
      </c>
      <c r="M2" s="15">
        <v>674.15</v>
      </c>
      <c r="N2" s="15">
        <v>2</v>
      </c>
      <c r="O2" s="16">
        <v>228.33</v>
      </c>
      <c r="P2" s="15" t="s">
        <v>579</v>
      </c>
      <c r="Q2" s="15">
        <v>0</v>
      </c>
      <c r="R2" s="15" t="s">
        <v>586</v>
      </c>
      <c r="S2" s="15">
        <v>1192.17</v>
      </c>
      <c r="T2" s="15" t="s">
        <v>587</v>
      </c>
      <c r="U2" s="15">
        <v>0</v>
      </c>
      <c r="V2" s="15">
        <v>80.900000000000006</v>
      </c>
      <c r="W2" s="15">
        <v>0</v>
      </c>
      <c r="X2" s="15">
        <v>0</v>
      </c>
      <c r="Y2" s="15">
        <v>36.57</v>
      </c>
      <c r="Z2" s="15">
        <v>2.74</v>
      </c>
      <c r="AA2" s="15">
        <v>1370.24</v>
      </c>
      <c r="AB2" s="15">
        <v>-696.09</v>
      </c>
      <c r="AC2" s="15">
        <v>175.28</v>
      </c>
      <c r="AD2" s="15">
        <v>-871.37</v>
      </c>
      <c r="AE2" s="15">
        <v>0</v>
      </c>
      <c r="AF2" s="15">
        <v>-871.37</v>
      </c>
      <c r="AG2" s="17">
        <v>-1.2925</v>
      </c>
      <c r="AH2" s="15"/>
    </row>
    <row r="3" spans="1:34" s="1" customFormat="1" ht="12" customHeight="1" x14ac:dyDescent="0.3">
      <c r="A3" s="13">
        <v>298012</v>
      </c>
      <c r="B3" s="12" t="s">
        <v>579</v>
      </c>
      <c r="C3" s="14">
        <v>46255</v>
      </c>
      <c r="D3" s="14">
        <v>46258</v>
      </c>
      <c r="E3" s="12"/>
      <c r="F3" s="15" t="s">
        <v>588</v>
      </c>
      <c r="G3" s="15" t="s">
        <v>589</v>
      </c>
      <c r="H3" s="15" t="s">
        <v>590</v>
      </c>
      <c r="I3" s="16">
        <v>1453.44</v>
      </c>
      <c r="J3" s="15" t="s">
        <v>583</v>
      </c>
      <c r="K3" s="15" t="s">
        <v>584</v>
      </c>
      <c r="L3" s="15" t="s">
        <v>591</v>
      </c>
      <c r="M3" s="16">
        <v>360.59</v>
      </c>
      <c r="N3" s="15">
        <v>1</v>
      </c>
      <c r="O3" s="16">
        <v>1.5</v>
      </c>
      <c r="P3" s="15" t="s">
        <v>592</v>
      </c>
      <c r="Q3" s="15">
        <v>42</v>
      </c>
      <c r="R3" s="15" t="s">
        <v>586</v>
      </c>
      <c r="S3" s="15">
        <v>7.83</v>
      </c>
      <c r="T3" s="15" t="s">
        <v>587</v>
      </c>
      <c r="U3" s="15">
        <v>0</v>
      </c>
      <c r="V3" s="15">
        <v>43.27</v>
      </c>
      <c r="W3" s="15">
        <v>0</v>
      </c>
      <c r="X3" s="15">
        <v>0</v>
      </c>
      <c r="Y3" s="15">
        <v>0.73</v>
      </c>
      <c r="Z3" s="15">
        <v>0</v>
      </c>
      <c r="AA3" s="16">
        <v>94.21</v>
      </c>
      <c r="AB3" s="16">
        <v>266.38</v>
      </c>
      <c r="AC3" s="15">
        <v>93.75</v>
      </c>
      <c r="AD3" s="15">
        <v>172.63000000000002</v>
      </c>
      <c r="AE3" s="15">
        <v>9.52</v>
      </c>
      <c r="AF3" s="15">
        <v>163.11000000000001</v>
      </c>
      <c r="AG3" s="17">
        <v>0.45229999999999998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1034.74</v>
      </c>
      <c r="F3" s="89"/>
      <c r="G3" s="90"/>
      <c r="H3" s="133">
        <f>'Resumo Detalhado'!C2</f>
        <v>229.83</v>
      </c>
      <c r="I3" s="134"/>
      <c r="J3" s="135">
        <f>E3/H3</f>
        <v>4.502197276247661</v>
      </c>
      <c r="K3" s="136"/>
      <c r="L3" s="137"/>
      <c r="M3" s="138" t="s">
        <v>593</v>
      </c>
      <c r="N3" s="89"/>
      <c r="O3" s="90"/>
      <c r="P3" s="106">
        <v>1200</v>
      </c>
      <c r="Q3" s="107"/>
      <c r="R3" s="108"/>
      <c r="S3" s="103">
        <f>MIN(H3/P3,1)</f>
        <v>0.191525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1242</v>
      </c>
      <c r="F7" s="112"/>
      <c r="G7" s="112"/>
      <c r="H7" s="112"/>
      <c r="I7" s="112"/>
      <c r="J7" s="112">
        <f>E7/H3</f>
        <v>5.4039942566244612</v>
      </c>
      <c r="K7" s="112"/>
      <c r="L7" s="112"/>
      <c r="M7" s="130">
        <f>E7/E3</f>
        <v>1.2003015250207782</v>
      </c>
      <c r="N7" s="130"/>
      <c r="O7" s="130"/>
      <c r="P7" s="112">
        <f>E11+K11+Q11+E15+K15+Q15+E19+H19+K19</f>
        <v>1654.5475999999999</v>
      </c>
      <c r="Q7" s="112"/>
      <c r="R7" s="112"/>
      <c r="S7" s="112">
        <f>P7/H3</f>
        <v>7.1990062219901656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1200</v>
      </c>
      <c r="L11" s="90"/>
      <c r="M11" s="38"/>
      <c r="N11" s="88">
        <f>K11/H3</f>
        <v>5.2212504894922329</v>
      </c>
      <c r="O11" s="90"/>
      <c r="P11" s="38"/>
      <c r="Q11" s="88">
        <f>'Resumo Detalhado'!D2</f>
        <v>42</v>
      </c>
      <c r="R11" s="90"/>
      <c r="S11" s="38"/>
      <c r="T11" s="88">
        <f>Q11/H3</f>
        <v>0.18274376713222815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124.17000000000002</v>
      </c>
      <c r="F15" s="119"/>
      <c r="G15" s="119"/>
      <c r="H15" s="119"/>
      <c r="I15" s="132"/>
      <c r="J15" s="38"/>
      <c r="K15" s="113">
        <f>'Resumo Detalhado'!K2+'Resumo Detalhado'!L2</f>
        <v>165.55840000000001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37.299999999999997</v>
      </c>
      <c r="F19" s="120"/>
      <c r="G19" s="38"/>
      <c r="H19" s="122">
        <f>'Resumo Detalhado'!J2</f>
        <v>2.74</v>
      </c>
      <c r="I19" s="123"/>
      <c r="J19" s="38"/>
      <c r="K19" s="122">
        <f>'Resumo Detalhado'!L2</f>
        <v>82.779200000000003</v>
      </c>
      <c r="L19" s="123"/>
      <c r="M19" s="38"/>
      <c r="N19" s="121" t="s">
        <v>594</v>
      </c>
      <c r="O19" s="119"/>
      <c r="P19" s="119"/>
      <c r="Q19" s="119"/>
      <c r="R19" s="120"/>
      <c r="S19" s="121">
        <v>1500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-546.54840000000013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-0.52819877457139008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9.4414062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595</v>
      </c>
      <c r="F1" s="29"/>
    </row>
    <row r="2" spans="1:18" x14ac:dyDescent="0.3">
      <c r="B2" s="29">
        <f>SUM(B6:B5000)</f>
        <v>1034.74</v>
      </c>
      <c r="C2" s="29">
        <f>SUM(C6:C5000)</f>
        <v>229.83</v>
      </c>
      <c r="D2" s="29">
        <f>SUM(D6:D5000)</f>
        <v>42</v>
      </c>
      <c r="E2" s="29">
        <f>SUM(E6:E5000)</f>
        <v>1200</v>
      </c>
      <c r="F2" s="29">
        <f>SUM(F6:F5000)</f>
        <v>0</v>
      </c>
      <c r="G2" s="29"/>
      <c r="H2" s="29">
        <f t="shared" ref="H2:P2" si="0">SUM(H6:H5000)</f>
        <v>124.17000000000002</v>
      </c>
      <c r="I2" s="29">
        <f t="shared" si="0"/>
        <v>37.299999999999997</v>
      </c>
      <c r="J2" s="29">
        <f t="shared" si="0"/>
        <v>2.74</v>
      </c>
      <c r="K2" s="29">
        <f t="shared" si="0"/>
        <v>82.779200000000003</v>
      </c>
      <c r="L2" s="29">
        <f t="shared" si="0"/>
        <v>82.779200000000003</v>
      </c>
      <c r="M2" s="29">
        <f t="shared" si="0"/>
        <v>9.52</v>
      </c>
      <c r="N2" s="29">
        <f t="shared" si="0"/>
        <v>-546.54840000000013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589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298012</v>
      </c>
      <c r="B6" s="139">
        <v>360.59</v>
      </c>
      <c r="C6" s="140">
        <v>1.5</v>
      </c>
      <c r="D6" s="139">
        <v>42</v>
      </c>
      <c r="E6" s="139">
        <v>7.83</v>
      </c>
      <c r="F6" s="139">
        <v>0</v>
      </c>
      <c r="G6" s="141">
        <v>0.13819018830250424</v>
      </c>
      <c r="H6" s="139">
        <v>43.27</v>
      </c>
      <c r="I6" s="139">
        <v>0.73</v>
      </c>
      <c r="J6" s="139">
        <v>0</v>
      </c>
      <c r="K6" s="139">
        <v>28.847199999999997</v>
      </c>
      <c r="L6" s="139">
        <v>28.847199999999997</v>
      </c>
      <c r="M6" s="139">
        <v>9.52</v>
      </c>
      <c r="N6" s="139">
        <v>199.54560000000001</v>
      </c>
      <c r="O6" s="141">
        <v>0.55338639452009208</v>
      </c>
      <c r="Q6"/>
    </row>
    <row r="7" spans="1:18" s="31" customFormat="1" x14ac:dyDescent="0.3">
      <c r="A7" s="9" t="s">
        <v>581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296844</v>
      </c>
      <c r="B8" s="139">
        <v>674.15</v>
      </c>
      <c r="C8" s="140">
        <v>228.33</v>
      </c>
      <c r="D8" s="139">
        <v>0</v>
      </c>
      <c r="E8" s="139">
        <v>1192.17</v>
      </c>
      <c r="F8" s="139">
        <v>0</v>
      </c>
      <c r="G8" s="141">
        <v>1.7684046577171255</v>
      </c>
      <c r="H8" s="139">
        <v>80.900000000000006</v>
      </c>
      <c r="I8" s="139">
        <v>36.57</v>
      </c>
      <c r="J8" s="139">
        <v>2.74</v>
      </c>
      <c r="K8" s="139">
        <v>53.932000000000002</v>
      </c>
      <c r="L8" s="139">
        <v>53.932000000000002</v>
      </c>
      <c r="M8" s="139">
        <v>0</v>
      </c>
      <c r="N8" s="139">
        <v>-746.09400000000016</v>
      </c>
      <c r="O8" s="141">
        <v>-1.1067180894459694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595</v>
      </c>
    </row>
    <row r="2" spans="1:4" x14ac:dyDescent="0.3">
      <c r="B2" s="29">
        <f>SUM(B6:B5000)</f>
        <v>674.15</v>
      </c>
      <c r="C2" s="29">
        <f>SUM(C6:C5000)</f>
        <v>-746.09400000000016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589</v>
      </c>
      <c r="B5" s="10">
        <v>360.59</v>
      </c>
      <c r="C5" s="10">
        <v>199.54560000000001</v>
      </c>
    </row>
    <row r="6" spans="1:4" x14ac:dyDescent="0.3">
      <c r="A6" s="9" t="s">
        <v>581</v>
      </c>
      <c r="B6" s="139">
        <v>674.15</v>
      </c>
      <c r="C6" s="139">
        <v>-746.09400000000016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2" t="s">
        <v>594</v>
      </c>
      <c r="D368" s="87">
        <v>1500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2026-08-28T13:59:54Z</dcterms:modified>
  <cp:category/>
  <cp:contentStatus/>
</cp:coreProperties>
</file>