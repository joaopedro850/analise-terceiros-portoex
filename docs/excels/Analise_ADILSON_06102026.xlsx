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A8240CB-8B25-4371-B33F-3C3EA829255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<sst xmlns="http://schemas.openxmlformats.org/spreadsheetml/2006/main" count="914" uniqueCount="633">
  <si>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</si>
  <si>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</si>
  <si>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</si>
  <si>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</si>
  <si>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</si>
  <si>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</si>
  <si>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</si>
  <si>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</si>
  <si>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</si>
  <si>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</si>
  <si>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</si>
  <si>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</si>
  <si>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</si>
  <si>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</si>
  <si>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</si>
  <si>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</si>
  <si>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</si>
  <si>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</si>
  <si>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</si>
  <si>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</si>
  <si>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</si>
  <si>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</si>
  <si>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</si>
  <si>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</si>
  <si>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</si>
  <si>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</si>
  <si>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</si>
  <si>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</si>
  <si>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</si>
  <si>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</si>
  <si>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</si>
  <si>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</si>
  <si>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</si>
  <si>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</si>
  <si>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</si>
  <si>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</si>
  <si>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</si>
  <si>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</si>
  <si>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</si>
  <si>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</si>
  <si>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</si>
  <si>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</si>
  <si>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</si>
  <si>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</si>
  <si>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</si>
  <si>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</si>
  <si>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</si>
  <si>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</si>
  <si>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</si>
  <si>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</si>
  <si>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</si>
  <si>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</si>
  <si>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</si>
  <si>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</si>
  <si>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</si>
  <si>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</si>
  <si>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</si>
  <si>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</si>
  <si>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</si>
  <si>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</si>
  <si>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</si>
  <si>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</si>
  <si>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</si>
  <si>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</si>
  <si>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</si>
  <si>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</si>
  <si>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</si>
  <si>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</si>
  <si>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</si>
  <si>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</si>
  <si>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</si>
  <si>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</si>
  <si>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</si>
  <si>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</si>
  <si>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</si>
  <si>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</si>
  <si>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</si>
  <si>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</si>
  <si>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</si>
  <si>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</si>
  <si>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</si>
  <si>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</si>
  <si>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</si>
  <si>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</si>
  <si>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</si>
  <si>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</si>
  <si>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</si>
  <si>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</si>
  <si>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</si>
  <si>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</si>
  <si>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</si>
  <si>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</si>
  <si>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</si>
  <si>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</si>
  <si>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</si>
  <si>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</si>
  <si>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</si>
  <si>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</si>
  <si>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</si>
  <si>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</si>
  <si>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</si>
  <si>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</si>
  <si>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</si>
  <si>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</si>
  <si>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</si>
  <si>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</si>
  <si>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</si>
  <si>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</si>
  <si>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</si>
  <si>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</si>
  <si>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</si>
  <si>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</si>
  <si>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</si>
  <si>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</si>
  <si>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</si>
  <si>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</si>
  <si>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</si>
  <si>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</si>
  <si>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</si>
  <si>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</si>
  <si>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</si>
  <si>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</si>
  <si>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</si>
  <si>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</si>
  <si>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</si>
  <si>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</si>
  <si>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</si>
  <si>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</si>
  <si>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</si>
  <si>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</si>
  <si>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</si>
  <si>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</si>
  <si>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</si>
  <si>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</si>
  <si>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</si>
  <si>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</si>
  <si>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</si>
  <si>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</si>
  <si>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</si>
  <si>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</si>
  <si>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</si>
  <si>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</si>
  <si>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</si>
  <si>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</si>
  <si>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</si>
  <si>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</si>
  <si>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</si>
  <si>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</si>
  <si>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</si>
  <si>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</si>
  <si>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</si>
  <si>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</si>
  <si>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</si>
  <si>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</si>
  <si>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</si>
  <si>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</si>
  <si>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</si>
  <si>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</si>
  <si>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</si>
  <si>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</si>
  <si>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</si>
  <si>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</si>
  <si>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</si>
  <si>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</si>
  <si>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</si>
  <si>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</si>
  <si>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</si>
  <si>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</si>
  <si>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</si>
  <si>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</si>
  <si>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</si>
  <si>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</si>
  <si>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</si>
  <si>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</si>
  <si>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</si>
  <si>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</si>
  <si>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</si>
  <si>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</si>
  <si>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</si>
  <si>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</si>
  <si>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</si>
  <si>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</si>
  <si>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</si>
  <si>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</si>
  <si>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</si>
  <si>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</si>
  <si>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</si>
  <si>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</si>
  <si>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</si>
  <si>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</si>
  <si>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</si>
  <si>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</si>
  <si>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</si>
  <si>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</si>
  <si>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</si>
  <si>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</si>
  <si>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</si>
  <si>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</si>
  <si>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</si>
  <si>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</si>
  <si>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</si>
  <si>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</si>
  <si>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</si>
  <si>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</si>
  <si>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</si>
  <si>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</si>
  <si>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</si>
  <si>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</si>
  <si>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</si>
  <si>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</si>
  <si>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</si>
  <si>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</si>
  <si>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</si>
  <si>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</si>
  <si>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</si>
  <si>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</si>
  <si>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</si>
  <si>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</si>
  <si>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</si>
  <si>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</si>
  <si>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</si>
  <si>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</si>
  <si>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</si>
  <si>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</si>
  <si>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</si>
  <si>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</si>
  <si>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</si>
  <si>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</si>
  <si>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</si>
  <si>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</si>
  <si>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</si>
  <si>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</si>
  <si>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</si>
  <si>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</si>
  <si>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</si>
  <si>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</si>
  <si>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</si>
  <si>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</si>
  <si>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</si>
  <si>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</si>
  <si>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</si>
  <si>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</si>
  <si>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</si>
  <si>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</si>
  <si>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</si>
  <si>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</si>
  <si>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</si>
  <si>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</si>
  <si>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</si>
  <si>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</si>
  <si>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</si>
  <si>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</si>
  <si>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</si>
  <si>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</si>
  <si>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</si>
  <si>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</si>
  <si>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</si>
  <si>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</si>
  <si>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</si>
  <si>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</si>
  <si>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</si>
  <si>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</si>
  <si>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</si>
  <si>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</si>
  <si>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</si>
  <si>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</si>
  <si>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</si>
  <si>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</si>
  <si>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</si>
  <si>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</si>
  <si>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</si>
  <si>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</si>
  <si>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</si>
  <si>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</si>
  <si>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</si>
  <si>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</si>
  <si>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</si>
  <si>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</si>
  <si>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</si>
  <si>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</si>
  <si>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</si>
  <si>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</si>
  <si>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</si>
  <si>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</si>
  <si>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</si>
  <si>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</si>
  <si>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</si>
  <si>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</si>
  <si>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</si>
  <si>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</si>
  <si>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</si>
  <si>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</si>
  <si>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</si>
  <si>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</si>
  <si>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</si>
  <si>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</si>
  <si>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</si>
  <si>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</si>
  <si>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</si>
  <si>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</si>
  <si>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</si>
  <si>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</si>
  <si>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</si>
  <si>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</si>
  <si>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</si>
  <si>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</si>
  <si>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</si>
  <si>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</si>
  <si>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</si>
  <si>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</si>
  <si>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</si>
  <si>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</si>
  <si>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</si>
  <si>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</si>
  <si>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</si>
  <si>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</si>
  <si>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</si>
  <si>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</si>
  <si>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</si>
  <si>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</si>
  <si>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</si>
  <si>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</si>
  <si>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</si>
  <si>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</si>
  <si>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</si>
  <si>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</si>
  <si>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</si>
  <si>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</si>
  <si>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</si>
  <si>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</si>
  <si>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</si>
  <si>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</si>
  <si>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</si>
  <si>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</si>
  <si>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</si>
  <si>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</si>
  <si>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</si>
  <si>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</si>
  <si>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</si>
  <si>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</si>
  <si>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</si>
  <si>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</si>
  <si>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</si>
  <si>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</si>
  <si>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</si>
  <si>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</si>
  <si>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</si>
  <si>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</si>
  <si>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</si>
  <si>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</si>
  <si>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</si>
  <si>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</si>
  <si>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</si>
  <si>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</si>
  <si>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</si>
  <si>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</si>
  <si>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</si>
  <si>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</si>
  <si>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</si>
  <si>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</si>
  <si>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</si>
  <si>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</si>
  <si>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</si>
  <si>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</si>
  <si>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</si>
  <si>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</si>
  <si>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</si>
  <si>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</si>
  <si>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</si>
  <si>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</si>
  <si>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</si>
  <si>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</si>
  <si>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</si>
  <si>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</si>
  <si>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</si>
  <si>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</si>
  <si>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</si>
  <si>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</si>
  <si>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</si>
  <si>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</si>
  <si>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</si>
  <si>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</si>
  <si>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</si>
  <si>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</si>
  <si>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</si>
  <si>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</si>
  <si>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</si>
  <si>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</si>
  <si>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</si>
  <si>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</si>
  <si>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</si>
  <si>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</si>
  <si>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</si>
  <si>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</si>
  <si>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</si>
  <si>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</si>
  <si>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</si>
  <si>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</si>
  <si>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</si>
  <si>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</si>
  <si>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</si>
  <si>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</si>
  <si>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</si>
  <si>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</si>
  <si>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</si>
  <si>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</si>
  <si>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</si>
  <si>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</si>
  <si>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</si>
  <si>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</si>
  <si>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</si>
  <si>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</si>
  <si>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</si>
  <si>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</si>
  <si>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</si>
  <si>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</si>
  <si>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</si>
  <si>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</si>
  <si>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</si>
  <si>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</si>
  <si>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</si>
  <si>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</si>
  <si>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</si>
  <si>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</si>
  <si>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</si>
  <si>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</si>
  <si>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</si>
  <si>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</si>
  <si>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</si>
  <si>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</si>
  <si>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</si>
  <si>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</si>
  <si>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</si>
  <si>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</si>
  <si>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</si>
  <si>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</si>
  <si>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</si>
  <si>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</si>
  <si>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</si>
  <si>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</si>
  <si>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</si>
  <si>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</si>
  <si>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</si>
  <si>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</si>
  <si>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</si>
  <si>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</si>
  <si>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</si>
  <si>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</si>
  <si>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</si>
  <si>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</si>
  <si>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</si>
  <si>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</si>
  <si>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</si>
  <si>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</si>
  <si>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</si>
  <si>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</si>
  <si>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</si>
  <si>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</si>
  <si>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</si>
  <si>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</si>
  <si>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</si>
  <si>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</si>
  <si>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</si>
  <si>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</si>
  <si>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</si>
  <si>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</si>
  <si>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</si>
  <si>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</si>
  <si>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</si>
  <si>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</si>
  <si>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</si>
  <si>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</si>
  <si>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</si>
  <si>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</si>
  <si>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</si>
  <si>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</si>
  <si>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</si>
  <si>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</si>
  <si>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</si>
  <si>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</si>
  <si>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</si>
  <si>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</si>
  <si>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</si>
  <si>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</si>
  <si>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</si>
  <si>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</si>
  <si>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</si>
  <si>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</si>
  <si>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</si>
  <si>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</si>
  <si>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</si>
  <si>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</si>
  <si>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</si>
  <si>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</si>
  <si>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</si>
  <si>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</si>
  <si>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</si>
  <si>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</si>
  <si>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</si>
  <si>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</si>
  <si>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</si>
  <si>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</si>
  <si>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</si>
  <si>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</si>
  <si>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</si>
  <si>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</si>
  <si>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</si>
  <si>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</si>
  <si>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</si>
  <si>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</si>
  <si>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</si>
  <si>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</si>
  <si>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</si>
  <si>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</si>
  <si>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</si>
  <si>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</si>
  <si>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</si>
  <si>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</si>
  <si>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</si>
  <si>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</si>
  <si>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</si>
  <si>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</si>
  <si>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</si>
  <si>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</si>
  <si>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</si>
  <si>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</si>
  <si>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</si>
  <si>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</si>
  <si>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</si>
  <si>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</si>
  <si>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</si>
  <si>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</si>
  <si>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</si>
  <si>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</si>
  <si>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</si>
  <si>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</si>
  <si>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</si>
  <si>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</si>
  <si>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</si>
  <si>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</si>
  <si>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</si>
  <si>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</si>
  <si>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</si>
  <si>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</si>
  <si>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</si>
  <si>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</si>
  <si>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</si>
  <si>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</si>
  <si>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</si>
  <si>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</si>
  <si>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</si>
  <si>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</si>
  <si>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</si>
  <si>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</si>
  <si>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</si>
  <si>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</si>
  <si>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</si>
  <si>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</si>
  <si>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</si>
  <si>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</si>
  <si>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</si>
  <si>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</si>
  <si>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</si>
  <si>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</si>
  <si>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</si>
  <si>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</si>
  <si>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</si>
  <si>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</si>
  <si>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</si>
  <si>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</si>
  <si>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</si>
  <si>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</si>
  <si>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</si>
  <si>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</si>
  <si>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</si>
  <si>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</si>
  <si>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</si>
  <si>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</si>
  <si>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</si>
  <si>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</si>
  <si>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</si>
  <si>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</si>
  <si>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</si>
  <si>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</si>
  <si>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</si>
  <si>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</si>
  <si>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</si>
  <si>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</si>
  <si>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</si>
  <si>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</si>
  <si>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</si>
  <si>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</si>
  <si>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</si>
  <si>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</si>
  <si>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</si>
  <si>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</si>
  <si>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</si>
  <si>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</si>
  <si>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</si>
  <si>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</si>
  <si>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</si>
  <si>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</si>
  <si>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</si>
  <si>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</si>
  <si>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</si>
  <si>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</si>
  <si>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</si>
  <si>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</si>
  <si>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</si>
  <si>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</si>
  <si>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</si>
  <si>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</si>
  <si>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</si>
  <si>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</si>
  <si>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</si>
  <si>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</si>
  <si>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</si>
  <si>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204419-1</t>
  </si>
  <si>
    <t>SKO COMERCIO, I</t>
  </si>
  <si>
    <t>URIEL CORREA</t>
  </si>
  <si>
    <t>ECONOMICO_250</t>
  </si>
  <si>
    <t>CTE NORMAL</t>
  </si>
  <si>
    <t>ARARAQUARA - SP</t>
  </si>
  <si>
    <t>HELTON JOHN DA SILVA</t>
  </si>
  <si>
    <t>RISSO TRANSPORTES</t>
  </si>
  <si>
    <t>RAFAEL ADRIANO FERRETTI</t>
  </si>
  <si>
    <t>204431-1</t>
  </si>
  <si>
    <t>DL FESTAS COMER</t>
  </si>
  <si>
    <t>ASIA/MAURO MARQUES</t>
  </si>
  <si>
    <t>PERSONALIZADO_L</t>
  </si>
  <si>
    <t>SAO BERNARDO DO CAMPO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</si>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</sst>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[Analise_ADILSON_06102026.xlsx]Resumo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8500</c:v>
                </c:pt>
                <c:pt idx="1">
                  <c:v>227.89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6488.63</c:v>
                </c:pt>
                <c:pt idx="1">
                  <c:v>95.908800000000014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[Analise_ADILSON_06102026.xlsx]Resumo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8500</c:v>
                </c:pt>
                <c:pt idx="1">
                  <c:v>227.89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6488.63</c:v>
                </c:pt>
                <c:pt idx="1">
                  <c:v>95.908800000000014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4.49300763889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404" count="8000">
        <n v="304385"/>
        <n v="30440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6T00:00:00" maxDate="2026-10-07T00:00:00"/>
    </cacheField>
    <cacheField name="DATA" numFmtId="14">
      <sharedItems containsNonDate="0" containsDate="1" containsString="0" containsBlank="1" minDate="2026-10-06T00:00:00" maxDate="2026-10-07T00:00:00"/>
    </cacheField>
    <cacheField name="FAT" numFmtId="0">
      <sharedItems containsString="0" containsBlank="1" containsNumber="1" containsInteger="1" minValue="0" maxValue="0"/>
    </cacheField>
    <cacheField name="CT-E" numFmtId="0">
      <sharedItems containsBlank="1"/>
    </cacheField>
    <cacheField name="CLIENTE TOMADOR" numFmtId="0">
      <sharedItems containsBlank="1" count="856">
        <s v="SKO COMERCIO, I"/>
        <s v="DL FESTAS COME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031.24" maxValue="173947.94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27.89" maxValue="8500"/>
    </cacheField>
    <cacheField name="VOLUMES" numFmtId="0">
      <sharedItems containsString="0" containsBlank="1" containsNumber="1" containsInteger="1" minValue="2" maxValue="489"/>
    </cacheField>
    <cacheField name="PESO" numFmtId="0">
      <sharedItems containsString="0" containsBlank="1" containsNumber="1" minValue="49.39" maxValue="4370"/>
    </cacheField>
    <cacheField name="RESP. COLETA" numFmtId="0">
      <sharedItems containsBlank="1"/>
    </cacheField>
    <cacheField name="CUSTO COLETA" numFmtId="0">
      <sharedItems containsString="0" containsBlank="1" containsNumber="1" minValue="0" maxValue="0.7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8.13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7.35" maxValue="102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52" maxValue="86.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6.91" maxValue="5457.79"/>
    </cacheField>
    <cacheField name="RECEITA" numFmtId="0">
      <sharedItems containsString="0" containsBlank="1" containsNumber="1" minValue="70.98" maxValue="3042.21"/>
    </cacheField>
    <cacheField name="IMPOSTO" numFmtId="0">
      <sharedItems containsString="0" containsBlank="1" containsNumber="1" minValue="59.25" maxValue="2210"/>
    </cacheField>
    <cacheField name="RESULTADO" numFmtId="0">
      <sharedItems containsString="0" containsBlank="1" containsNumber="1" minValue="11.73" maxValue="832.20999999999992"/>
    </cacheField>
    <cacheField name="COMIS" numFmtId="0">
      <sharedItems containsString="0" containsBlank="1" containsNumber="1" minValue="6.02" maxValue="224.4"/>
    </cacheField>
    <cacheField name="LUCRO LIQ" numFmtId="0">
      <sharedItems containsString="0" containsBlank="1" containsNumber="1" minValue="5.71" maxValue="607.80999999999995"/>
    </cacheField>
    <cacheField name="MARGEM" numFmtId="10">
      <sharedItems containsString="0" containsBlank="1" containsNumber="1" minValue="2.5099999999999997E-2" maxValue="7.1500000000000008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6T00:00:00"/>
    <d v="2026-10-06T00:00:00"/>
    <m/>
    <s v="204419-1"/>
    <x v="0"/>
    <s v="URIEL CORREA"/>
    <n v="3031.24"/>
    <x v="0"/>
    <s v="CTE NORMAL"/>
    <s v="ARARAQUARA - SP"/>
    <n v="227.89"/>
    <n v="2"/>
    <n v="49.39"/>
    <s v="HELTON JOHN DA SILVA"/>
    <n v="0.73"/>
    <s v="RISSO TRANSPORTES"/>
    <n v="78.13"/>
    <s v="RAFAEL ADRIANO FERRETTI"/>
    <n v="0"/>
    <n v="27.35"/>
    <n v="0"/>
    <n v="0"/>
    <n v="1.52"/>
    <n v="0"/>
    <n v="156.91"/>
    <n v="70.98"/>
    <n v="59.25"/>
    <n v="11.73"/>
    <n v="6.02"/>
    <n v="5.71"/>
    <n v="2.5099999999999997E-2"/>
    <m/>
  </r>
  <r>
    <x v="1"/>
    <s v="MATRIZ"/>
    <d v="2026-10-06T00:00:00"/>
    <d v="2026-10-06T00:00:00"/>
    <n v="0"/>
    <s v="204431-1"/>
    <x v="1"/>
    <s v="ASIA/MAURO MARQUES"/>
    <n v="173947.94"/>
    <x v="1"/>
    <s v="CTE NORMAL"/>
    <s v="SAO BERNARDO DO CAMPO - SP"/>
    <n v="8500"/>
    <n v="489"/>
    <n v="4370"/>
    <s v="N/D"/>
    <n v="0"/>
    <s v="N/D"/>
    <n v="0"/>
    <s v="RAFAEL ADRIANO FERRETTI"/>
    <n v="0"/>
    <n v="1020"/>
    <n v="0"/>
    <n v="0"/>
    <n v="86.97"/>
    <n v="0"/>
    <n v="5457.79"/>
    <n v="3042.21"/>
    <n v="2210"/>
    <n v="832.20999999999992"/>
    <n v="224.4"/>
    <n v="607.80999999999995"/>
    <n v="7.1500000000000008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60"/>
        <item m="1" x="632"/>
        <item m="1" x="531"/>
        <item m="1" x="295"/>
        <item m="1" x="304"/>
        <item m="1" x="174"/>
        <item x="1"/>
        <item m="1" x="101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5"/>
        <item m="1" x="636"/>
        <item m="1" x="458"/>
        <item m="1" x="791"/>
        <item m="1" x="704"/>
        <item m="1" x="234"/>
        <item m="1" x="598"/>
        <item m="1" x="44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70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m="1" x="84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4"/>
        <item m="1" x="440"/>
        <item sd="0" m="1" x="351"/>
        <item m="1" x="785"/>
        <item m="1" x="499"/>
        <item m="1" x="62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x="0"/>
        <item m="1" x="52"/>
        <item m="1" x="852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80"/>
        <item m="1" x="81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07"/>
    </i>
    <i r="1">
      <x v="7999"/>
    </i>
    <i>
      <x v="712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60"/>
        <item m="1" x="632"/>
        <item m="1" x="531"/>
        <item m="1" x="295"/>
        <item m="1" x="304"/>
        <item m="1" x="174"/>
        <item x="1"/>
        <item m="1" x="101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5"/>
        <item m="1" x="636"/>
        <item m="1" x="458"/>
        <item m="1" x="791"/>
        <item sd="0" m="1" x="704"/>
        <item m="1" x="234"/>
        <item m="1" x="598"/>
        <item m="1" x="44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70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m="1" x="84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4"/>
        <item m="1" x="440"/>
        <item sd="0" m="1" x="351"/>
        <item m="1" x="785"/>
        <item m="1" x="499"/>
        <item m="1" x="62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x="0"/>
        <item m="1" x="52"/>
        <item m="1" x="852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80"/>
        <item m="1" x="81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07"/>
    </i>
    <i>
      <x v="712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5" s="1" nd="1"/>
        <i x="582" s="1" nd="1"/>
        <i x="853" s="1" nd="1"/>
        <i x="21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9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60" s="1" nd="1"/>
        <i x="632" s="1" nd="1"/>
        <i x="531" s="1" nd="1"/>
        <i x="295" s="1" nd="1"/>
        <i x="304" s="1" nd="1"/>
        <i x="174" s="1" nd="1"/>
        <i x="101" s="1" nd="1"/>
        <i x="71" s="1" nd="1"/>
        <i x="579" s="1" nd="1"/>
        <i x="799" s="1" nd="1"/>
        <i x="33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9" s="1" nd="1"/>
        <i x="583" s="1" nd="1"/>
        <i x="19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5" s="1" nd="1"/>
        <i x="636" s="1" nd="1"/>
        <i x="458" s="1" nd="1"/>
        <i x="791" s="1" nd="1"/>
        <i x="704" s="1" nd="1"/>
        <i x="234" s="1" nd="1"/>
        <i x="598" s="1" nd="1"/>
        <i x="44" s="1" nd="1"/>
        <i x="844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4" s="1" nd="1"/>
        <i x="302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6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5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3" s="1" nd="1"/>
        <i x="272" s="1" nd="1"/>
        <i x="76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70" s="1" nd="1"/>
        <i x="118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1" s="1" nd="1"/>
        <i x="606" s="1" nd="1"/>
        <i x="84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5" s="1" nd="1"/>
        <i x="670" s="1" nd="1"/>
        <i x="94" s="1" nd="1"/>
        <i x="440" s="1" nd="1"/>
        <i x="351" s="1" nd="1"/>
        <i x="785" s="1" nd="1"/>
        <i x="499" s="1" nd="1"/>
        <i x="62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52" s="1" nd="1"/>
        <i x="852" s="1" nd="1"/>
        <i x="30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80" s="1" nd="1"/>
        <i x="81" s="1" nd="1"/>
        <i x="635" s="1" nd="1"/>
        <i x="67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4" s="1" nd="1"/>
        <i x="424" s="1" nd="1"/>
        <i x="27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5" s="1" nd="1"/>
        <i x="36" s="1" nd="1"/>
        <i x="311" s="1" nd="1"/>
        <i x="826" s="1" nd="1"/>
        <i x="563" s="1" nd="1"/>
        <i x="63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6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304385</v>
      </c>
      <c r="B2" s="12" t="s">
        <v>616</v>
      </c>
      <c r="C2" s="14">
        <v>46301</v>
      </c>
      <c r="D2" s="14">
        <v>46301</v>
      </c>
      <c r="E2" s="12"/>
      <c r="F2" s="15" t="s">
        <v>617</v>
      </c>
      <c r="G2" s="15" t="s">
        <v>618</v>
      </c>
      <c r="H2" s="15" t="s">
        <v>619</v>
      </c>
      <c r="I2" s="16">
        <v>3031.24</v>
      </c>
      <c r="J2" s="15" t="s">
        <v>620</v>
      </c>
      <c r="K2" s="15" t="s">
        <v>621</v>
      </c>
      <c r="L2" s="15" t="s">
        <v>622</v>
      </c>
      <c r="M2" s="15">
        <v>227.89</v>
      </c>
      <c r="N2" s="15">
        <v>2</v>
      </c>
      <c r="O2" s="16">
        <v>49.39</v>
      </c>
      <c r="P2" s="15" t="s">
        <v>623</v>
      </c>
      <c r="Q2" s="15">
        <v>0.73</v>
      </c>
      <c r="R2" s="15" t="s">
        <v>624</v>
      </c>
      <c r="S2" s="15">
        <v>78.13</v>
      </c>
      <c r="T2" s="15" t="s">
        <v>625</v>
      </c>
      <c r="U2" s="15">
        <v>0</v>
      </c>
      <c r="V2" s="15">
        <v>27.35</v>
      </c>
      <c r="W2" s="15">
        <v>0</v>
      </c>
      <c r="X2" s="15">
        <v>0</v>
      </c>
      <c r="Y2" s="15">
        <v>1.52</v>
      </c>
      <c r="Z2" s="15">
        <v>0</v>
      </c>
      <c r="AA2" s="15">
        <v>156.91</v>
      </c>
      <c r="AB2" s="15">
        <v>70.98</v>
      </c>
      <c r="AC2" s="15">
        <v>59.25</v>
      </c>
      <c r="AD2" s="15">
        <v>11.73</v>
      </c>
      <c r="AE2" s="15">
        <v>6.02</v>
      </c>
      <c r="AF2" s="15">
        <v>5.71</v>
      </c>
      <c r="AG2" s="17">
        <v>2.5099999999999997E-2</v>
      </c>
      <c r="AH2" s="15"/>
    </row>
    <row r="3" spans="1:34" s="1" customFormat="1" ht="12" customHeight="1" x14ac:dyDescent="0.3">
      <c r="A3" s="13">
        <v>304404</v>
      </c>
      <c r="B3" s="12" t="s">
        <v>616</v>
      </c>
      <c r="C3" s="14">
        <v>46301</v>
      </c>
      <c r="D3" s="14">
        <v>46301</v>
      </c>
      <c r="E3" s="12">
        <v>0</v>
      </c>
      <c r="F3" s="15" t="s">
        <v>626</v>
      </c>
      <c r="G3" s="15" t="s">
        <v>627</v>
      </c>
      <c r="H3" s="15" t="s">
        <v>628</v>
      </c>
      <c r="I3" s="16">
        <v>173947.94</v>
      </c>
      <c r="J3" s="15" t="s">
        <v>629</v>
      </c>
      <c r="K3" s="15" t="s">
        <v>621</v>
      </c>
      <c r="L3" s="15" t="s">
        <v>630</v>
      </c>
      <c r="M3" s="16">
        <v>8500</v>
      </c>
      <c r="N3" s="15">
        <v>489</v>
      </c>
      <c r="O3" s="16">
        <v>4370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1020</v>
      </c>
      <c r="W3" s="15">
        <v>0</v>
      </c>
      <c r="X3" s="15">
        <v>0</v>
      </c>
      <c r="Y3" s="15">
        <v>86.97</v>
      </c>
      <c r="Z3" s="15">
        <v>0</v>
      </c>
      <c r="AA3" s="16">
        <v>5457.79</v>
      </c>
      <c r="AB3" s="16">
        <v>3042.21</v>
      </c>
      <c r="AC3" s="15">
        <v>2210</v>
      </c>
      <c r="AD3" s="15">
        <v>832.20999999999992</v>
      </c>
      <c r="AE3" s="15">
        <v>224.4</v>
      </c>
      <c r="AF3" s="15">
        <v>607.80999999999995</v>
      </c>
      <c r="AG3" s="17">
        <v>7.1500000000000008E-2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8727.89</v>
      </c>
      <c r="F3" s="89"/>
      <c r="G3" s="90"/>
      <c r="H3" s="133">
        <f>'Resumo Detalhado'!C2</f>
        <v>4419.3900000000003</v>
      </c>
      <c r="I3" s="134"/>
      <c r="J3" s="135">
        <f>E3/H3</f>
        <v>1.9749083018244598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0.40176272727272733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4400.7299999999996</v>
      </c>
      <c r="F7" s="112"/>
      <c r="G7" s="112"/>
      <c r="H7" s="112"/>
      <c r="I7" s="112"/>
      <c r="J7" s="112">
        <f>E7/H3</f>
        <v>0.99577769782707548</v>
      </c>
      <c r="K7" s="112"/>
      <c r="L7" s="112"/>
      <c r="M7" s="130">
        <f>E7/E3</f>
        <v>0.50421464981799724</v>
      </c>
      <c r="N7" s="130"/>
      <c r="O7" s="130"/>
      <c r="P7" s="112">
        <f>E11+K11+Q11+E15+K15+Q15+E19+H19+K19</f>
        <v>7631.2636000000002</v>
      </c>
      <c r="Q7" s="112"/>
      <c r="R7" s="112"/>
      <c r="S7" s="112">
        <f>P7/H3</f>
        <v>1.7267685359291667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4400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4400</v>
      </c>
      <c r="L11" s="90"/>
      <c r="M11" s="38"/>
      <c r="N11" s="88">
        <f>K11/H3</f>
        <v>0.99561251665953887</v>
      </c>
      <c r="O11" s="90"/>
      <c r="P11" s="38"/>
      <c r="Q11" s="88">
        <f>'Resumo Detalhado'!D2</f>
        <v>0.73</v>
      </c>
      <c r="R11" s="90"/>
      <c r="S11" s="38"/>
      <c r="T11" s="88">
        <f>Q11/H3</f>
        <v>1.6518116753669622E-4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1047.3499999999999</v>
      </c>
      <c r="F15" s="119"/>
      <c r="G15" s="119"/>
      <c r="H15" s="119"/>
      <c r="I15" s="132"/>
      <c r="J15" s="38"/>
      <c r="K15" s="113">
        <f>'Resumo Detalhado'!K2+'Resumo Detalhado'!L2</f>
        <v>1396.4623999999999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88.49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698.23119999999994</v>
      </c>
      <c r="L19" s="123"/>
      <c r="M19" s="38"/>
      <c r="N19" s="121" t="s">
        <v>207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6584.5388000000003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0.75442504431197011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8727.89</v>
      </c>
      <c r="C2" s="29">
        <f>SUM(C6:C5000)</f>
        <v>4419.3900000000003</v>
      </c>
      <c r="D2" s="29">
        <f>SUM(D6:D5000)</f>
        <v>0.73</v>
      </c>
      <c r="E2" s="29">
        <f>SUM(E6:E5000)</f>
        <v>78.13</v>
      </c>
      <c r="F2" s="29">
        <f>SUM(F6:F5000)</f>
        <v>0</v>
      </c>
      <c r="G2" s="29"/>
      <c r="H2" s="29">
        <f t="shared" ref="H2:P2" si="0">SUM(H6:H5000)</f>
        <v>1047.3499999999999</v>
      </c>
      <c r="I2" s="29">
        <f t="shared" si="0"/>
        <v>88.49</v>
      </c>
      <c r="J2" s="29">
        <f t="shared" si="0"/>
        <v>0</v>
      </c>
      <c r="K2" s="29">
        <f t="shared" si="0"/>
        <v>698.23119999999994</v>
      </c>
      <c r="L2" s="29">
        <f t="shared" si="0"/>
        <v>698.23119999999994</v>
      </c>
      <c r="M2" s="29">
        <f t="shared" si="0"/>
        <v>230.42000000000002</v>
      </c>
      <c r="N2" s="29">
        <f t="shared" si="0"/>
        <v>6584.5388000000003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304404</v>
      </c>
      <c r="B6" s="140">
        <v>8500</v>
      </c>
      <c r="C6" s="141">
        <v>4370</v>
      </c>
      <c r="D6" s="140">
        <v>0</v>
      </c>
      <c r="E6" s="140">
        <v>0</v>
      </c>
      <c r="F6" s="140">
        <v>0</v>
      </c>
      <c r="G6" s="142">
        <v>0</v>
      </c>
      <c r="H6" s="140">
        <v>1020</v>
      </c>
      <c r="I6" s="140">
        <v>86.97</v>
      </c>
      <c r="J6" s="140">
        <v>0</v>
      </c>
      <c r="K6" s="140">
        <v>680</v>
      </c>
      <c r="L6" s="140">
        <v>680</v>
      </c>
      <c r="M6" s="140">
        <v>224.4</v>
      </c>
      <c r="N6" s="140">
        <v>6488.63</v>
      </c>
      <c r="O6" s="142">
        <v>0.76336823529411768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304385</v>
      </c>
      <c r="B8" s="140">
        <v>227.89</v>
      </c>
      <c r="C8" s="141">
        <v>49.39</v>
      </c>
      <c r="D8" s="140">
        <v>0.73</v>
      </c>
      <c r="E8" s="140">
        <v>78.13</v>
      </c>
      <c r="F8" s="140">
        <v>0</v>
      </c>
      <c r="G8" s="142">
        <v>0.34604414410461187</v>
      </c>
      <c r="H8" s="140">
        <v>27.35</v>
      </c>
      <c r="I8" s="140">
        <v>1.52</v>
      </c>
      <c r="J8" s="140">
        <v>0</v>
      </c>
      <c r="K8" s="140">
        <v>18.231199999999998</v>
      </c>
      <c r="L8" s="140">
        <v>18.231199999999998</v>
      </c>
      <c r="M8" s="140">
        <v>6.02</v>
      </c>
      <c r="N8" s="140">
        <v>95.908800000000014</v>
      </c>
      <c r="O8" s="142">
        <v>0.42085567598402746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227.89</v>
      </c>
      <c r="C2" s="29">
        <f>SUM(C6:C5000)</f>
        <v>95.908800000000014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8500</v>
      </c>
      <c r="C5" s="10">
        <v>6488.63</v>
      </c>
    </row>
    <row r="6" spans="1:4" x14ac:dyDescent="0.3">
      <c r="A6" s="139" t="s">
        <v>618</v>
      </c>
      <c r="B6" s="140">
        <v>227.89</v>
      </c>
      <c r="C6" s="140">
        <v>95.908800000000014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2026-10-09T14:50:03Z</dcterms:modified>
  <cp:category/>
  <cp:contentStatus/>
</cp:coreProperties>
</file>