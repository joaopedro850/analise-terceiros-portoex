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B6AC8D6-9498-416F-A857-EA97DA3FF196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<sst xmlns="http://schemas.openxmlformats.org/spreadsheetml/2006/main" count="915" uniqueCount="636">
  <si>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</si>
  <si>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</si>
  <si>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</si>
  <si>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</si>
  <si>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</si>
  <si>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</si>
  <si>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</si>
  <si>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</si>
  <si>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</si>
  <si>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</si>
  <si>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</si>
  <si>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</si>
  <si>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</si>
  <si>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</si>
  <si>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</si>
  <si>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</si>
  <si>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</si>
  <si>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</si>
  <si>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</si>
  <si>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</si>
  <si>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</si>
  <si>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</si>
  <si>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</si>
  <si>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</si>
  <si>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</si>
  <si>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</si>
  <si>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</si>
  <si>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</si>
  <si>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</si>
  <si>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</si>
  <si>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</si>
  <si>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</si>
  <si>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</si>
  <si>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</si>
  <si>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</si>
  <si>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</si>
  <si>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</si>
  <si>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</si>
  <si>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</si>
  <si>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</si>
  <si>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</si>
  <si>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</si>
  <si>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</si>
  <si>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</si>
  <si>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</si>
  <si>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</si>
  <si>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</si>
  <si>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</si>
  <si>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</si>
  <si>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</si>
  <si>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</si>
  <si>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</si>
  <si>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</si>
  <si>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</si>
  <si>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</si>
  <si>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</si>
  <si>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</si>
  <si>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</si>
  <si>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</si>
  <si>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</si>
  <si>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</si>
  <si>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</si>
  <si>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</si>
  <si>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</si>
  <si>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</si>
  <si>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</si>
  <si>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</si>
  <si>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</si>
  <si>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</si>
  <si>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</si>
  <si>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</si>
  <si>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</si>
  <si>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</si>
  <si>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</si>
  <si>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</si>
  <si>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</si>
  <si>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</si>
  <si>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</si>
  <si>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</si>
  <si>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</si>
  <si>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</si>
  <si>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</si>
  <si>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</si>
  <si>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</si>
  <si>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</si>
  <si>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</si>
  <si>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</si>
  <si>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</si>
  <si>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</si>
  <si>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</si>
  <si>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</si>
  <si>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</si>
  <si>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</si>
  <si>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</si>
  <si>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</si>
  <si>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</si>
  <si>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</si>
  <si>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</si>
  <si>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</si>
  <si>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</si>
  <si>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</si>
  <si>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</si>
  <si>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</si>
  <si>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</si>
  <si>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</si>
  <si>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</si>
  <si>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</si>
  <si>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</si>
  <si>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</si>
  <si>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</si>
  <si>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</si>
  <si>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</si>
  <si>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</si>
  <si>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</si>
  <si>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</si>
  <si>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</si>
  <si>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</si>
  <si>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</si>
  <si>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</si>
  <si>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</si>
  <si>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</si>
  <si>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</si>
  <si>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</si>
  <si>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</si>
  <si>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</si>
  <si>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</si>
  <si>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</si>
  <si>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</si>
  <si>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</si>
  <si>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</si>
  <si>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</si>
  <si>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</si>
  <si>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</si>
  <si>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</si>
  <si>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</si>
  <si>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</si>
  <si>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</si>
  <si>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</si>
  <si>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</si>
  <si>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</si>
  <si>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</si>
  <si>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</si>
  <si>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</si>
  <si>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</si>
  <si>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</si>
  <si>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</si>
  <si>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</si>
  <si>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</si>
  <si>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</si>
  <si>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</si>
  <si>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</si>
  <si>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</si>
  <si>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</si>
  <si>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</si>
  <si>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</si>
  <si>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</si>
  <si>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</si>
  <si>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</si>
  <si>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</si>
  <si>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</si>
  <si>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</si>
  <si>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</si>
  <si>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</si>
  <si>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</si>
  <si>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</si>
  <si>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</si>
  <si>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</si>
  <si>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</si>
  <si>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</si>
  <si>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</si>
  <si>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</si>
  <si>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</si>
  <si>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</si>
  <si>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</si>
  <si>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</si>
  <si>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</si>
  <si>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</si>
  <si>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</si>
  <si>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</si>
  <si>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</si>
  <si>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</si>
  <si>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</si>
  <si>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</si>
  <si>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</si>
  <si>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</si>
  <si>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</si>
  <si>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</si>
  <si>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</si>
  <si>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</si>
  <si>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</si>
  <si>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</si>
  <si>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</si>
  <si>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</si>
  <si>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</si>
  <si>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</si>
  <si>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</si>
  <si>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</si>
  <si>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</si>
  <si>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</si>
  <si>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</si>
  <si>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</si>
  <si>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</si>
  <si>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</si>
  <si>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</si>
  <si>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</si>
  <si>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</si>
  <si>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</si>
  <si>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</si>
  <si>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</si>
  <si>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</si>
  <si>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</si>
  <si>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</si>
  <si>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</si>
  <si>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</si>
  <si>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</si>
  <si>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</si>
  <si>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</si>
  <si>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</si>
  <si>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</si>
  <si>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</si>
  <si>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</si>
  <si>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</si>
  <si>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</si>
  <si>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</si>
  <si>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</si>
  <si>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</si>
  <si>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</si>
  <si>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</si>
  <si>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</si>
  <si>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</si>
  <si>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</si>
  <si>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</si>
  <si>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</si>
  <si>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</si>
  <si>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</si>
  <si>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</si>
  <si>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</si>
  <si>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</si>
  <si>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</si>
  <si>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</si>
  <si>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</si>
  <si>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</si>
  <si>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</si>
  <si>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</si>
  <si>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</si>
  <si>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</si>
  <si>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</si>
  <si>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</si>
  <si>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</si>
  <si>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</si>
  <si>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</si>
  <si>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</si>
  <si>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</si>
  <si>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</si>
  <si>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</si>
  <si>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</si>
  <si>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</si>
  <si>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</si>
  <si>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</si>
  <si>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</si>
  <si>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</si>
  <si>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</si>
  <si>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</si>
  <si>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</si>
  <si>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</si>
  <si>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</si>
  <si>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</si>
  <si>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</si>
  <si>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</si>
  <si>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</si>
  <si>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</si>
  <si>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</si>
  <si>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</si>
  <si>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</si>
  <si>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</si>
  <si>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</si>
  <si>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</si>
  <si>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</si>
  <si>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</si>
  <si>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</si>
  <si>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</si>
  <si>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</si>
  <si>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</si>
  <si>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</si>
  <si>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</si>
  <si>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</si>
  <si>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</si>
  <si>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</si>
  <si>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</si>
  <si>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</si>
  <si>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</si>
  <si>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</si>
  <si>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</si>
  <si>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</si>
  <si>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</si>
  <si>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</si>
  <si>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</si>
  <si>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</si>
  <si>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</si>
  <si>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</si>
  <si>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</si>
  <si>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</si>
  <si>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</si>
  <si>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</si>
  <si>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</si>
  <si>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</si>
  <si>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</si>
  <si>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</si>
  <si>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</si>
  <si>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</si>
  <si>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</si>
  <si>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</si>
  <si>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</si>
  <si>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</si>
  <si>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</si>
  <si>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</si>
  <si>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</si>
  <si>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</si>
  <si>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</si>
  <si>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</si>
  <si>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</si>
  <si>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</si>
  <si>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</si>
  <si>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</si>
  <si>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</si>
  <si>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</si>
  <si>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</si>
  <si>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</si>
  <si>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</si>
  <si>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</si>
  <si>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</si>
  <si>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</si>
  <si>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</si>
  <si>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</si>
  <si>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</si>
  <si>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</si>
  <si>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</si>
  <si>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</si>
  <si>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</si>
  <si>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</si>
  <si>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</si>
  <si>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</si>
  <si>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</si>
  <si>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</si>
  <si>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</si>
  <si>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</si>
  <si>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</si>
  <si>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</si>
  <si>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</si>
  <si>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</si>
  <si>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</si>
  <si>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</si>
  <si>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</si>
  <si>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</si>
  <si>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</si>
  <si>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</si>
  <si>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</si>
  <si>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</si>
  <si>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</si>
  <si>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</si>
  <si>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</si>
  <si>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</si>
  <si>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</si>
  <si>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</si>
  <si>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</si>
  <si>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</si>
  <si>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</si>
  <si>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</si>
  <si>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</si>
  <si>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</si>
  <si>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</si>
  <si>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</si>
  <si>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</si>
  <si>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</si>
  <si>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</si>
  <si>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</si>
  <si>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</si>
  <si>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</si>
  <si>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</si>
  <si>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</si>
  <si>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</si>
  <si>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</si>
  <si>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</si>
  <si>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</si>
  <si>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</si>
  <si>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</si>
  <si>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</si>
  <si>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</si>
  <si>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</si>
  <si>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</si>
  <si>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</si>
  <si>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</si>
  <si>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</si>
  <si>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</si>
  <si>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</si>
  <si>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</si>
  <si>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</si>
  <si>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</si>
  <si>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</si>
  <si>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</si>
  <si>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</si>
  <si>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</si>
  <si>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</si>
  <si>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</si>
  <si>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</si>
  <si>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</si>
  <si>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</si>
  <si>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</si>
  <si>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</si>
  <si>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</si>
  <si>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</si>
  <si>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</si>
  <si>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</si>
  <si>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</si>
  <si>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</si>
  <si>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</si>
  <si>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</si>
  <si>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</si>
  <si>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</si>
  <si>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</si>
  <si>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</si>
  <si>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</si>
  <si>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</si>
  <si>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</si>
  <si>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</si>
  <si>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</si>
  <si>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</si>
  <si>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</si>
  <si>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</si>
  <si>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</si>
  <si>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</si>
  <si>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</si>
  <si>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</si>
  <si>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</si>
  <si>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</si>
  <si>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</si>
  <si>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</si>
  <si>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</si>
  <si>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</si>
  <si>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</si>
  <si>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</si>
  <si>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</si>
  <si>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</si>
  <si>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</si>
  <si>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</si>
  <si>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</si>
  <si>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</si>
  <si>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</si>
  <si>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</si>
  <si>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</si>
  <si>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</si>
  <si>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</si>
  <si>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</si>
  <si>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</si>
  <si>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</si>
  <si>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</si>
  <si>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</si>
  <si>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</si>
  <si>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</si>
  <si>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</si>
  <si>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</si>
  <si>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</si>
  <si>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</si>
  <si>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</si>
  <si>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</si>
  <si>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</si>
  <si>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</si>
  <si>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</si>
  <si>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</si>
  <si>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</si>
  <si>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</si>
  <si>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</si>
  <si>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</si>
  <si>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</si>
  <si>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</si>
  <si>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</si>
  <si>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</si>
  <si>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</si>
  <si>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</si>
  <si>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</si>
  <si>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</si>
  <si>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</si>
  <si>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</si>
  <si>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</si>
  <si>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</si>
  <si>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</si>
  <si>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</si>
  <si>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</si>
  <si>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</si>
  <si>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</si>
  <si>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</si>
  <si>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</si>
  <si>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</si>
  <si>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</si>
  <si>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</si>
  <si>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</si>
  <si>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</si>
  <si>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</si>
  <si>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</si>
  <si>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</si>
  <si>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</si>
  <si>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</si>
  <si>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</si>
  <si>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</si>
  <si>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</si>
  <si>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</si>
  <si>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</si>
  <si>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</si>
  <si>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</si>
  <si>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</si>
  <si>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</si>
  <si>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</si>
  <si>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</si>
  <si>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</si>
  <si>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</si>
  <si>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</si>
  <si>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</si>
  <si>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</si>
  <si>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</si>
  <si>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</si>
  <si>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</si>
  <si>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</si>
  <si>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</si>
  <si>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</si>
  <si>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</si>
  <si>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</si>
  <si>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</si>
  <si>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</si>
  <si>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</si>
  <si>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</si>
  <si>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</si>
  <si>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</si>
  <si>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</si>
  <si>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</si>
  <si>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</si>
  <si>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</si>
  <si>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</si>
  <si>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</si>
  <si>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</si>
  <si>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</si>
  <si>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</si>
  <si>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</si>
  <si>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</si>
  <si>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</si>
  <si>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</si>
  <si>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</si>
  <si>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</si>
  <si>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</si>
  <si>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</si>
  <si>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</si>
  <si>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</si>
  <si>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</si>
  <si>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</si>
  <si>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</si>
  <si>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</si>
  <si>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</si>
  <si>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</si>
  <si>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</si>
  <si>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</si>
  <si>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</si>
  <si>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</si>
  <si>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</si>
  <si>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</si>
  <si>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</si>
  <si>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</si>
  <si>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</si>
  <si>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</si>
  <si>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</si>
  <si>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</si>
  <si>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</si>
  <si>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</si>
  <si>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</si>
  <si>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</si>
  <si>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</si>
  <si>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</si>
  <si>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</si>
  <si>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</si>
  <si>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</si>
  <si>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</si>
  <si>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</si>
  <si>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</si>
  <si>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</si>
  <si>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</si>
  <si>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</si>
  <si>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</si>
  <si>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</si>
  <si>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</si>
  <si>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</si>
  <si>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</si>
  <si>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</si>
  <si>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</si>
  <si>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</si>
  <si>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</si>
  <si>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</si>
  <si>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</si>
  <si>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</si>
  <si>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</si>
  <si>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</si>
  <si>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</si>
  <si>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</si>
  <si>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</si>
  <si>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</si>
  <si>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</si>
  <si>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</si>
  <si>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</si>
  <si>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</si>
  <si>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</si>
  <si>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</si>
  <si>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</si>
  <si>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</si>
  <si>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</si>
  <si>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</si>
  <si>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</si>
  <si>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</si>
  <si>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</si>
  <si>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</si>
  <si>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</si>
  <si>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2258-6</t>
  </si>
  <si>
    <t>MATTEL DO BRASI</t>
  </si>
  <si>
    <t>MARLON MARQUES</t>
  </si>
  <si>
    <t>EXPRESSO_250</t>
  </si>
  <si>
    <t>CTE NORMAL</t>
  </si>
  <si>
    <t>SAO BORJA - RS</t>
  </si>
  <si>
    <t>RAFAEL DE FREITAS</t>
  </si>
  <si>
    <t>N/D</t>
  </si>
  <si>
    <t>ADRIANO HODECKER</t>
  </si>
  <si>
    <t>204157-1</t>
  </si>
  <si>
    <t>FORTE TRANSPORT</t>
  </si>
  <si>
    <t>MURILO PEREIRA</t>
  </si>
  <si>
    <t>SUBCONTRATO_ECO</t>
  </si>
  <si>
    <t>FLORIANOPOLIS - SC</t>
  </si>
  <si>
    <t>JAZIEL PEREIRA DO NASCIME</t>
  </si>
  <si>
    <t>BRUNO RODRIGUES DA COSTA</t>
  </si>
  <si>
    <t>Fiorino</t>
  </si>
  <si>
    <t>Itajai-Sc X São Borja-Rsfiorino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</si>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</sst>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[Analise_ADRIANO_30092026.xlsx]Resumo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162.19999999999999</c:v>
                </c:pt>
                <c:pt idx="1">
                  <c:v>5570.03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105.80399999999997</c:v>
                </c:pt>
                <c:pt idx="1">
                  <c:v>4150.2076000000006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[Analise_ADRIANO_30092026.xlsx]Resumo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162.19999999999999</c:v>
                </c:pt>
                <c:pt idx="1">
                  <c:v>5570.03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105.80399999999997</c:v>
                </c:pt>
                <c:pt idx="1">
                  <c:v>4150.2076000000006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0.4876208333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697" count="8000">
        <n v="303686"/>
        <n v="30369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30T00:00:00" maxDate="2026-10-01T00:00:00"/>
    </cacheField>
    <cacheField name="DATA" numFmtId="14">
      <sharedItems containsNonDate="0" containsDate="1" containsString="0" containsBlank="1" minDate="2026-09-30T00:00:00" maxDate="2026-10-01T00:00:00"/>
    </cacheField>
    <cacheField name="FAT" numFmtId="0">
      <sharedItems containsString="0" containsBlank="1" containsNumber="1" containsInteger="1" minValue="65984" maxValue="66113"/>
    </cacheField>
    <cacheField name="CT-E" numFmtId="0">
      <sharedItems containsBlank="1"/>
    </cacheField>
    <cacheField name="CLIENTE TOMADOR" numFmtId="0">
      <sharedItems containsBlank="1" count="855">
        <s v="MATTEL DO BRASI"/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632.57" maxValue="24316.12"/>
    </cacheField>
    <cacheField name="SERVICO" numFmtId="0">
      <sharedItems containsBlank="1" count="27">
        <s v="EXPRESSO_250"/>
        <s v="SUBCONTRATO_ECO"/>
        <m/>
        <s v="REPASSE" u="1"/>
        <s v="DEDICADO VAN" u="1"/>
        <s v="DEDICADO" u="1"/>
        <s v="LEAL DISTRIBUIC" u="1"/>
        <s v="ECONOMICO_200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62.19999999999999" maxValue="5570.03"/>
    </cacheField>
    <cacheField name="VOLUMES" numFmtId="0">
      <sharedItems containsString="0" containsBlank="1" containsNumber="1" containsInteger="1" minValue="5" maxValue="35"/>
    </cacheField>
    <cacheField name="PESO" numFmtId="0">
      <sharedItems containsString="0" containsBlank="1" containsNumber="1" minValue="45" maxValue="75.510000000000005"/>
    </cacheField>
    <cacheField name="RESP. COLETA" numFmtId="0">
      <sharedItems containsBlank="1"/>
    </cacheField>
    <cacheField name="CUSTO COLETA" numFmtId="0">
      <sharedItems containsString="0" containsBlank="1" containsNumber="1" minValue="0.61" maxValue="3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0.6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668.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.82" maxValue="12.1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76.95" maxValue="2540.69"/>
    </cacheField>
    <cacheField name="RECEITA" numFmtId="0">
      <sharedItems containsString="0" containsBlank="1" containsNumber="1" minValue="-814.75" maxValue="3029.34"/>
    </cacheField>
    <cacheField name="IMPOSTO" numFmtId="0">
      <sharedItems containsString="0" containsBlank="1" containsNumber="1" minValue="42.17" maxValue="1448.21"/>
    </cacheField>
    <cacheField name="RESULTADO" numFmtId="0">
      <sharedItems containsString="0" containsBlank="1" containsNumber="1" minValue="-856.92" maxValue="1581.1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856.92" maxValue="1581.13"/>
    </cacheField>
    <cacheField name="MARGEM" numFmtId="10">
      <sharedItems containsString="0" containsBlank="1" containsNumber="1" minValue="-5.2830999999999992" maxValue="0.2838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30T00:00:00"/>
    <d v="2026-09-30T00:00:00"/>
    <n v="66113"/>
    <s v="2258-6"/>
    <x v="0"/>
    <s v="MARLON MARQUES"/>
    <n v="11632.57"/>
    <x v="0"/>
    <s v="CTE NORMAL"/>
    <s v="SAO BORJA - RS"/>
    <n v="5570.03"/>
    <n v="35"/>
    <n v="75.510000000000005"/>
    <s v="RAFAEL DE FREITAS"/>
    <n v="300"/>
    <s v="N/D"/>
    <n v="0"/>
    <s v="ADRIANO HODECKER"/>
    <n v="0"/>
    <n v="668.4"/>
    <n v="0"/>
    <n v="0"/>
    <n v="5.82"/>
    <n v="0"/>
    <n v="2540.69"/>
    <n v="3029.34"/>
    <n v="1448.21"/>
    <n v="1581.13"/>
    <n v="0"/>
    <n v="1581.13"/>
    <n v="0.28389999999999999"/>
    <m/>
  </r>
  <r>
    <x v="1"/>
    <s v="MATRIZ"/>
    <d v="2026-09-30T00:00:00"/>
    <d v="2026-09-30T00:00:00"/>
    <n v="65984"/>
    <s v="204157-1"/>
    <x v="1"/>
    <s v="MURILO PEREIRA"/>
    <n v="24316.12"/>
    <x v="1"/>
    <s v="CTE NORMAL"/>
    <s v="FLORIANOPOLIS - SC"/>
    <n v="162.19999999999999"/>
    <n v="5"/>
    <n v="45"/>
    <s v="JAZIEL PEREIRA DO NASCIME"/>
    <n v="0.61"/>
    <s v="BRUNO RODRIGUES DA COSTA"/>
    <n v="30.65"/>
    <s v="ADRIANO HODECKER"/>
    <n v="0"/>
    <n v="0"/>
    <n v="0"/>
    <n v="0"/>
    <n v="12.16"/>
    <n v="0"/>
    <n v="976.95"/>
    <n v="-814.75"/>
    <n v="42.17"/>
    <n v="-856.92"/>
    <n v="0"/>
    <n v="-856.92"/>
    <n v="-5.283099999999999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6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5"/>
        <item m="1" x="636"/>
        <item m="1" x="458"/>
        <item m="1" x="791"/>
        <item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x="1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4"/>
        <item m="1" x="91"/>
        <item m="1" x="573"/>
        <item m="1" x="157"/>
        <item sd="0" m="1" x="561"/>
        <item m="1" x="46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70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1"/>
    </i>
    <i r="1">
      <x v="7999"/>
    </i>
    <i>
      <x v="495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6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x="1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4"/>
        <item m="1" x="91"/>
        <item m="1" x="573"/>
        <item m="1" x="157"/>
        <item sd="0" m="1" x="561"/>
        <item m="1" x="46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70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1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8" s="1" nd="1"/>
        <i x="112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1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806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60" s="1" nd="1"/>
        <i x="632" s="1" nd="1"/>
        <i x="531" s="1" nd="1"/>
        <i x="295" s="1" nd="1"/>
        <i x="304" s="1" nd="1"/>
        <i x="174" s="1" nd="1"/>
        <i x="101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1" s="1" nd="1"/>
        <i x="765" s="1" nd="1"/>
        <i x="509" s="1" nd="1"/>
        <i x="821" s="1" nd="1"/>
        <i x="341" s="1" nd="1"/>
        <i x="223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42" s="1" nd="1"/>
        <i x="805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5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4" s="1" nd="1"/>
        <i x="91" s="1" nd="1"/>
        <i x="573" s="1" nd="1"/>
        <i x="157" s="1" nd="1"/>
        <i x="561" s="1" nd="1"/>
        <i x="46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6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7" s="1" nd="1"/>
        <i x="70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4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3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3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99" s="1" nd="1"/>
        <i x="767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8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303686</v>
      </c>
      <c r="B2" s="12" t="s">
        <v>616</v>
      </c>
      <c r="C2" s="14">
        <v>46295</v>
      </c>
      <c r="D2" s="14">
        <v>46295</v>
      </c>
      <c r="E2" s="12">
        <v>66113</v>
      </c>
      <c r="F2" s="15" t="s">
        <v>617</v>
      </c>
      <c r="G2" s="15" t="s">
        <v>618</v>
      </c>
      <c r="H2" s="15" t="s">
        <v>619</v>
      </c>
      <c r="I2" s="16">
        <v>11632.57</v>
      </c>
      <c r="J2" s="15" t="s">
        <v>620</v>
      </c>
      <c r="K2" s="15" t="s">
        <v>621</v>
      </c>
      <c r="L2" s="15" t="s">
        <v>622</v>
      </c>
      <c r="M2" s="15">
        <v>5570.03</v>
      </c>
      <c r="N2" s="15">
        <v>35</v>
      </c>
      <c r="O2" s="16">
        <v>75.510000000000005</v>
      </c>
      <c r="P2" s="15" t="s">
        <v>623</v>
      </c>
      <c r="Q2" s="15">
        <v>300</v>
      </c>
      <c r="R2" s="15" t="s">
        <v>624</v>
      </c>
      <c r="S2" s="15">
        <v>0</v>
      </c>
      <c r="T2" s="15" t="s">
        <v>625</v>
      </c>
      <c r="U2" s="15">
        <v>0</v>
      </c>
      <c r="V2" s="15">
        <v>668.4</v>
      </c>
      <c r="W2" s="15">
        <v>0</v>
      </c>
      <c r="X2" s="15">
        <v>0</v>
      </c>
      <c r="Y2" s="15">
        <v>5.82</v>
      </c>
      <c r="Z2" s="15">
        <v>0</v>
      </c>
      <c r="AA2" s="15">
        <v>2540.69</v>
      </c>
      <c r="AB2" s="15">
        <v>3029.34</v>
      </c>
      <c r="AC2" s="15">
        <v>1448.21</v>
      </c>
      <c r="AD2" s="15">
        <v>1581.13</v>
      </c>
      <c r="AE2" s="15">
        <v>0</v>
      </c>
      <c r="AF2" s="15">
        <v>1581.13</v>
      </c>
      <c r="AG2" s="17">
        <v>0.28389999999999999</v>
      </c>
      <c r="AH2" s="15"/>
    </row>
    <row r="3" spans="1:34" s="1" customFormat="1" ht="12" customHeight="1" x14ac:dyDescent="0.3">
      <c r="A3" s="13">
        <v>303697</v>
      </c>
      <c r="B3" s="12" t="s">
        <v>616</v>
      </c>
      <c r="C3" s="14">
        <v>46295</v>
      </c>
      <c r="D3" s="14">
        <v>46295</v>
      </c>
      <c r="E3" s="12">
        <v>65984</v>
      </c>
      <c r="F3" s="15" t="s">
        <v>626</v>
      </c>
      <c r="G3" s="15" t="s">
        <v>627</v>
      </c>
      <c r="H3" s="15" t="s">
        <v>628</v>
      </c>
      <c r="I3" s="16">
        <v>24316.12</v>
      </c>
      <c r="J3" s="15" t="s">
        <v>629</v>
      </c>
      <c r="K3" s="15" t="s">
        <v>621</v>
      </c>
      <c r="L3" s="15" t="s">
        <v>630</v>
      </c>
      <c r="M3" s="16">
        <v>162.19999999999999</v>
      </c>
      <c r="N3" s="15">
        <v>5</v>
      </c>
      <c r="O3" s="16">
        <v>45</v>
      </c>
      <c r="P3" s="15" t="s">
        <v>631</v>
      </c>
      <c r="Q3" s="15">
        <v>0.61</v>
      </c>
      <c r="R3" s="15" t="s">
        <v>632</v>
      </c>
      <c r="S3" s="15">
        <v>30.65</v>
      </c>
      <c r="T3" s="15" t="s">
        <v>625</v>
      </c>
      <c r="U3" s="15">
        <v>0</v>
      </c>
      <c r="V3" s="15">
        <v>0</v>
      </c>
      <c r="W3" s="15">
        <v>0</v>
      </c>
      <c r="X3" s="15">
        <v>0</v>
      </c>
      <c r="Y3" s="15">
        <v>12.16</v>
      </c>
      <c r="Z3" s="15">
        <v>0</v>
      </c>
      <c r="AA3" s="16">
        <v>976.95</v>
      </c>
      <c r="AB3" s="16">
        <v>-814.75</v>
      </c>
      <c r="AC3" s="15">
        <v>42.17</v>
      </c>
      <c r="AD3" s="15">
        <v>-856.92</v>
      </c>
      <c r="AE3" s="15">
        <v>0</v>
      </c>
      <c r="AF3" s="15">
        <v>-856.92</v>
      </c>
      <c r="AG3" s="17">
        <v>-5.2830999999999992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5732.23</v>
      </c>
      <c r="F3" s="89"/>
      <c r="G3" s="90"/>
      <c r="H3" s="133">
        <f>'Resumo Detalhado'!C2</f>
        <v>120.51</v>
      </c>
      <c r="I3" s="134"/>
      <c r="J3" s="135">
        <f>E3/H3</f>
        <v>47.5664260227367</v>
      </c>
      <c r="K3" s="136"/>
      <c r="L3" s="137"/>
      <c r="M3" s="138" t="s">
        <v>633</v>
      </c>
      <c r="N3" s="89"/>
      <c r="O3" s="90"/>
      <c r="P3" s="106">
        <v>1200</v>
      </c>
      <c r="Q3" s="107"/>
      <c r="R3" s="108"/>
      <c r="S3" s="103">
        <f>MIN(H3/P3,1)</f>
        <v>0.100425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2800.61</v>
      </c>
      <c r="F7" s="112"/>
      <c r="G7" s="112"/>
      <c r="H7" s="112"/>
      <c r="I7" s="112"/>
      <c r="J7" s="112">
        <f>E7/H3</f>
        <v>23.239648161978259</v>
      </c>
      <c r="K7" s="112"/>
      <c r="L7" s="112"/>
      <c r="M7" s="130">
        <f>E7/E3</f>
        <v>0.48857251017492326</v>
      </c>
      <c r="N7" s="130"/>
      <c r="O7" s="130"/>
      <c r="P7" s="112">
        <f>E11+K11+Q11+E15+K15+Q15+E19+H19+K19</f>
        <v>4862.7251999999999</v>
      </c>
      <c r="Q7" s="112"/>
      <c r="R7" s="112"/>
      <c r="S7" s="112">
        <f>P7/H3</f>
        <v>40.351217326362956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2500</v>
      </c>
      <c r="L11" s="90"/>
      <c r="M11" s="38"/>
      <c r="N11" s="88">
        <f>K11/H3</f>
        <v>20.745166376234337</v>
      </c>
      <c r="O11" s="90"/>
      <c r="P11" s="38"/>
      <c r="Q11" s="88">
        <f>'Resumo Detalhado'!D2</f>
        <v>300.61</v>
      </c>
      <c r="R11" s="90"/>
      <c r="S11" s="38"/>
      <c r="T11" s="88">
        <f>Q11/H3</f>
        <v>2.4944817857439219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668.4</v>
      </c>
      <c r="F15" s="119"/>
      <c r="G15" s="119"/>
      <c r="H15" s="119"/>
      <c r="I15" s="132"/>
      <c r="J15" s="38"/>
      <c r="K15" s="113">
        <f>'Resumo Detalhado'!K2+'Resumo Detalhado'!L2</f>
        <v>917.15679999999998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17.98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458.57839999999999</v>
      </c>
      <c r="L19" s="123"/>
      <c r="M19" s="38"/>
      <c r="N19" s="121" t="s">
        <v>634</v>
      </c>
      <c r="O19" s="119"/>
      <c r="P19" s="119"/>
      <c r="Q19" s="119"/>
      <c r="R19" s="120"/>
      <c r="S19" s="121">
        <v>2600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4256.0116000000007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0.74247048705303187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635</v>
      </c>
      <c r="F1" s="29"/>
    </row>
    <row r="2" spans="1:18" x14ac:dyDescent="0.3">
      <c r="B2" s="29">
        <f>SUM(B6:B5000)</f>
        <v>5732.23</v>
      </c>
      <c r="C2" s="29">
        <f>SUM(C6:C5000)</f>
        <v>120.51</v>
      </c>
      <c r="D2" s="29">
        <f>SUM(D6:D5000)</f>
        <v>300.61</v>
      </c>
      <c r="E2" s="29">
        <f>SUM(E6:E5000)</f>
        <v>30.65</v>
      </c>
      <c r="F2" s="29">
        <f>SUM(F6:F5000)</f>
        <v>0</v>
      </c>
      <c r="G2" s="29"/>
      <c r="H2" s="29">
        <f t="shared" ref="H2:P2" si="0">SUM(H6:H5000)</f>
        <v>668.4</v>
      </c>
      <c r="I2" s="29">
        <f t="shared" si="0"/>
        <v>17.98</v>
      </c>
      <c r="J2" s="29">
        <f t="shared" si="0"/>
        <v>0</v>
      </c>
      <c r="K2" s="29">
        <f t="shared" si="0"/>
        <v>458.57839999999999</v>
      </c>
      <c r="L2" s="29">
        <f t="shared" si="0"/>
        <v>458.57839999999999</v>
      </c>
      <c r="M2" s="29">
        <f t="shared" si="0"/>
        <v>0</v>
      </c>
      <c r="N2" s="29">
        <f t="shared" si="0"/>
        <v>4256.0116000000007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303697</v>
      </c>
      <c r="B6" s="139">
        <v>162.19999999999999</v>
      </c>
      <c r="C6" s="140">
        <v>45</v>
      </c>
      <c r="D6" s="139">
        <v>0.61</v>
      </c>
      <c r="E6" s="139">
        <v>30.65</v>
      </c>
      <c r="F6" s="139">
        <v>0</v>
      </c>
      <c r="G6" s="141">
        <v>0.19272503082614056</v>
      </c>
      <c r="H6" s="139">
        <v>0</v>
      </c>
      <c r="I6" s="139">
        <v>12.16</v>
      </c>
      <c r="J6" s="139">
        <v>0</v>
      </c>
      <c r="K6" s="139">
        <v>12.975999999999999</v>
      </c>
      <c r="L6" s="139">
        <v>12.975999999999999</v>
      </c>
      <c r="M6" s="139">
        <v>0</v>
      </c>
      <c r="N6" s="139">
        <v>105.80399999999997</v>
      </c>
      <c r="O6" s="141">
        <v>0.65230579531442656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303686</v>
      </c>
      <c r="B8" s="139">
        <v>5570.03</v>
      </c>
      <c r="C8" s="140">
        <v>75.510000000000005</v>
      </c>
      <c r="D8" s="139">
        <v>300</v>
      </c>
      <c r="E8" s="139">
        <v>0</v>
      </c>
      <c r="F8" s="139">
        <v>0</v>
      </c>
      <c r="G8" s="141">
        <v>5.385967400534647E-2</v>
      </c>
      <c r="H8" s="139">
        <v>668.4</v>
      </c>
      <c r="I8" s="139">
        <v>5.82</v>
      </c>
      <c r="J8" s="139">
        <v>0</v>
      </c>
      <c r="K8" s="139">
        <v>445.60239999999999</v>
      </c>
      <c r="L8" s="139">
        <v>445.60239999999999</v>
      </c>
      <c r="M8" s="139">
        <v>0</v>
      </c>
      <c r="N8" s="139">
        <v>4150.2076000000006</v>
      </c>
      <c r="O8" s="141">
        <v>0.74509609463503801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635</v>
      </c>
    </row>
    <row r="2" spans="1:4" x14ac:dyDescent="0.3">
      <c r="B2" s="29">
        <f>SUM(B6:B5000)</f>
        <v>5570.03</v>
      </c>
      <c r="C2" s="29">
        <f>SUM(C6:C5000)</f>
        <v>4150.2076000000006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162.19999999999999</v>
      </c>
      <c r="C5" s="10">
        <v>105.80399999999997</v>
      </c>
    </row>
    <row r="6" spans="1:4" x14ac:dyDescent="0.3">
      <c r="A6" s="9" t="s">
        <v>618</v>
      </c>
      <c r="B6" s="139">
        <v>5570.03</v>
      </c>
      <c r="C6" s="139">
        <v>4150.2076000000006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634</v>
      </c>
      <c r="D395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2026-10-05T14:42:21Z</dcterms:modified>
  <cp:category/>
  <cp:contentStatus/>
</cp:coreProperties>
</file>