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DBA77FEB-2F69-4BE3-B39E-D28D7BC3762B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<sst xmlns="http://schemas.openxmlformats.org/spreadsheetml/2006/main" count="857" uniqueCount="589">
  <si>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</si>
  <si>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</si>
  <si>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</si>
  <si>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</si>
  <si>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</si>
  <si>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</si>
  <si>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</si>
  <si>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</si>
  <si>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</si>
  <si>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</si>
  <si>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</si>
  <si>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</si>
  <si>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</si>
  <si>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</si>
  <si>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</si>
  <si>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</si>
  <si>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</si>
  <si>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</si>
  <si>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</si>
  <si>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</si>
  <si>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</si>
  <si>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</si>
  <si>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</si>
  <si>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</si>
  <si>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</si>
  <si>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</si>
  <si>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</si>
  <si>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</si>
  <si>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</si>
  <si>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</si>
  <si>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</si>
  <si>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</si>
  <si>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</si>
  <si>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</si>
  <si>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</si>
  <si>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</si>
  <si>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</si>
  <si>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</si>
  <si>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</si>
  <si>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</si>
  <si>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</si>
  <si>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</si>
  <si>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</si>
  <si>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</si>
  <si>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</si>
  <si>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</si>
  <si>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</si>
  <si>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</si>
  <si>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</si>
  <si>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</si>
  <si>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</si>
  <si>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</si>
  <si>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</si>
  <si>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</si>
  <si>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</si>
  <si>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</si>
  <si>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</si>
  <si>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</si>
  <si>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</si>
  <si>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</si>
  <si>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</si>
  <si>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</si>
  <si>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</si>
  <si>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</si>
  <si>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</si>
  <si>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</si>
  <si>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</si>
  <si>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</si>
  <si>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</si>
  <si>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</si>
  <si>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</si>
  <si>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</si>
  <si>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</si>
  <si>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</si>
  <si>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</si>
  <si>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</si>
  <si>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</si>
  <si>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</si>
  <si>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</si>
  <si>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</si>
  <si>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</si>
  <si>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</si>
  <si>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</si>
  <si>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</si>
  <si>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</si>
  <si>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</si>
  <si>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</si>
  <si>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</si>
  <si>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</si>
  <si>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</si>
  <si>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</si>
  <si>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</si>
  <si>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</si>
  <si>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</si>
  <si>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</si>
  <si>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</si>
  <si>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</si>
  <si>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</si>
  <si>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</si>
  <si>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</si>
  <si>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</si>
  <si>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</si>
  <si>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</si>
  <si>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</si>
  <si>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</si>
  <si>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</si>
  <si>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</si>
  <si>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</si>
  <si>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</si>
  <si>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</si>
  <si>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</si>
  <si>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</si>
  <si>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</si>
  <si>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</si>
  <si>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</si>
  <si>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</si>
  <si>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</si>
  <si>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</si>
  <si>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</si>
  <si>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</si>
  <si>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</si>
  <si>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</si>
  <si>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</si>
  <si>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</si>
  <si>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</si>
  <si>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</si>
  <si>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</si>
  <si>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</si>
  <si>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</si>
  <si>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</si>
  <si>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</si>
  <si>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</si>
  <si>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</si>
  <si>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</si>
  <si>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</si>
  <si>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</si>
  <si>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</si>
  <si>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</si>
  <si>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</si>
  <si>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</si>
  <si>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</si>
  <si>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</si>
  <si>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</si>
  <si>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</si>
  <si>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</si>
  <si>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</si>
  <si>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</si>
  <si>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</si>
  <si>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</si>
  <si>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</si>
  <si>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</si>
  <si>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</si>
  <si>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</si>
  <si>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</si>
  <si>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</si>
  <si>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</si>
  <si>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</si>
  <si>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</si>
  <si>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</si>
  <si>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</si>
  <si>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</si>
  <si>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</si>
  <si>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</si>
  <si>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</si>
  <si>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</si>
  <si>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</si>
  <si>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</si>
  <si>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</si>
  <si>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</si>
  <si>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</si>
  <si>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</si>
  <si>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</si>
  <si>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</si>
  <si>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</si>
  <si>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</si>
  <si>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</si>
  <si>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</si>
  <si>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</si>
  <si>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</si>
  <si>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</si>
  <si>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</si>
  <si>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</si>
  <si>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</si>
  <si>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</si>
  <si>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</si>
  <si>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</si>
  <si>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</si>
  <si>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</si>
  <si>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</si>
  <si>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</si>
  <si>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</si>
  <si>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</si>
  <si>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</si>
  <si>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</si>
  <si>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</si>
  <si>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</si>
  <si>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</si>
  <si>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</si>
  <si>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</si>
  <si>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</si>
  <si>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</si>
  <si>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</si>
  <si>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</si>
  <si>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</si>
  <si>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</si>
  <si>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</si>
  <si>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</si>
  <si>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</si>
  <si>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</si>
  <si>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</si>
  <si>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</si>
  <si>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</si>
  <si>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</si>
  <si>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</si>
  <si>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</si>
  <si>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</si>
  <si>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</si>
  <si>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</si>
  <si>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</si>
  <si>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</si>
  <si>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</si>
  <si>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</si>
  <si>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</si>
  <si>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</si>
  <si>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</si>
  <si>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</si>
  <si>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</si>
  <si>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</si>
  <si>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</si>
  <si>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</si>
  <si>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</si>
  <si>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</si>
  <si>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</si>
  <si>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</si>
  <si>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</si>
  <si>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</si>
  <si>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</si>
  <si>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</si>
  <si>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</si>
  <si>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</si>
  <si>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</si>
  <si>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</si>
  <si>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</si>
  <si>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</si>
  <si>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</si>
  <si>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</si>
  <si>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</si>
  <si>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</si>
  <si>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</si>
  <si>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</si>
  <si>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</si>
  <si>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</si>
  <si>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</si>
  <si>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</si>
  <si>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</si>
  <si>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</si>
  <si>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</si>
  <si>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</si>
  <si>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</si>
  <si>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</si>
  <si>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</si>
  <si>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</si>
  <si>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</si>
  <si>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</si>
  <si>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</si>
  <si>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</si>
  <si>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</si>
  <si>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</si>
  <si>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</si>
  <si>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</si>
  <si>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</si>
  <si>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</si>
  <si>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</si>
  <si>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</si>
  <si>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</si>
  <si>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</si>
  <si>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</si>
  <si>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</si>
  <si>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</si>
  <si>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</si>
  <si>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</si>
  <si>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</si>
  <si>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</si>
  <si>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</si>
  <si>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</si>
  <si>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</si>
  <si>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</si>
  <si>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</si>
  <si>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</si>
  <si>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</si>
  <si>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</si>
  <si>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</si>
  <si>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</si>
  <si>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</si>
  <si>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</si>
  <si>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</si>
  <si>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</si>
  <si>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</si>
  <si>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</si>
  <si>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</si>
  <si>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</si>
  <si>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</si>
  <si>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</si>
  <si>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</si>
  <si>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</si>
  <si>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</si>
  <si>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</si>
  <si>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</si>
  <si>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</si>
  <si>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</si>
  <si>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</si>
  <si>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</si>
  <si>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</si>
  <si>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</si>
  <si>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</si>
  <si>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</si>
  <si>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</si>
  <si>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</si>
  <si>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</si>
  <si>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</si>
  <si>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</si>
  <si>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</si>
  <si>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</si>
  <si>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</si>
  <si>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</si>
  <si>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</si>
  <si>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</si>
  <si>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</si>
  <si>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</si>
  <si>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</si>
  <si>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</si>
  <si>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</si>
  <si>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</si>
  <si>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</si>
  <si>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</si>
  <si>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</si>
  <si>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</si>
  <si>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</si>
  <si>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</si>
  <si>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</si>
  <si>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</si>
  <si>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</si>
  <si>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</si>
  <si>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</si>
  <si>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</si>
  <si>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</si>
  <si>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</si>
  <si>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</si>
  <si>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</si>
  <si>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</si>
  <si>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</si>
  <si>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</si>
  <si>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</si>
  <si>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</si>
  <si>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</si>
  <si>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</si>
  <si>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</si>
  <si>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</si>
  <si>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</si>
  <si>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</si>
  <si>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</si>
  <si>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</si>
  <si>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</si>
  <si>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</si>
  <si>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</si>
  <si>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</si>
  <si>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</si>
  <si>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</si>
  <si>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</si>
  <si>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</si>
  <si>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</si>
  <si>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</si>
  <si>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</si>
  <si>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</si>
  <si>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</si>
  <si>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</si>
  <si>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</si>
  <si>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</si>
  <si>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</si>
  <si>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</si>
  <si>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</si>
  <si>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</si>
  <si>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</si>
  <si>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</si>
  <si>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</si>
  <si>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</si>
  <si>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</si>
  <si>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</si>
  <si>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</si>
  <si>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</si>
  <si>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</si>
  <si>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</si>
  <si>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</si>
  <si>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</si>
  <si>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</si>
  <si>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</si>
  <si>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</si>
  <si>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</si>
  <si>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</si>
  <si>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</si>
  <si>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</si>
  <si>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</si>
  <si>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</si>
  <si>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</si>
  <si>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</si>
  <si>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</si>
  <si>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</si>
  <si>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</si>
  <si>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</si>
  <si>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</si>
  <si>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</si>
  <si>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</si>
  <si>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</si>
  <si>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</si>
  <si>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</si>
  <si>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</si>
  <si>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</si>
  <si>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</si>
  <si>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</si>
  <si>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</si>
  <si>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</si>
  <si>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</si>
  <si>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</si>
  <si>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</si>
  <si>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</si>
  <si>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</si>
  <si>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</si>
  <si>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</si>
  <si>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</si>
  <si>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</si>
  <si>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</si>
  <si>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</si>
  <si>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</si>
  <si>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</si>
  <si>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</si>
  <si>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</si>
  <si>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</si>
  <si>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</si>
  <si>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</si>
  <si>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</si>
  <si>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</si>
  <si>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</si>
  <si>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</si>
  <si>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</si>
  <si>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</si>
  <si>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</si>
  <si>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</si>
  <si>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</si>
  <si>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</si>
  <si>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</si>
  <si>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</si>
  <si>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</si>
  <si>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</si>
  <si>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</si>
  <si>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</si>
  <si>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</si>
  <si>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</si>
  <si>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</si>
  <si>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</si>
  <si>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</si>
  <si>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</si>
  <si>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</si>
  <si>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</si>
  <si>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</si>
  <si>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</si>
  <si>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</si>
  <si>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</si>
  <si>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</si>
  <si>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</si>
  <si>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</si>
  <si>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</si>
  <si>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</si>
  <si>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</si>
  <si>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</si>
  <si>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</si>
  <si>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</si>
  <si>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</si>
  <si>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</si>
  <si>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</si>
  <si>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</si>
  <si>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</si>
  <si>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</si>
  <si>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</si>
  <si>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</si>
  <si>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</si>
  <si>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</si>
  <si>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</si>
  <si>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</si>
  <si>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</si>
  <si>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</si>
  <si>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</si>
  <si>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</si>
  <si>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</si>
  <si>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</si>
  <si>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</si>
  <si>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</si>
  <si>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</si>
  <si>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</si>
  <si>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</si>
  <si>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</si>
  <si>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</si>
  <si>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</si>
  <si>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</si>
  <si>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</si>
  <si>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</si>
  <si>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</si>
  <si>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</si>
  <si>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</si>
  <si>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</si>
  <si>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</si>
  <si>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</si>
  <si>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</si>
  <si>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</si>
  <si>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</si>
  <si>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</si>
  <si>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</si>
  <si>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</si>
  <si>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</si>
  <si>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</si>
  <si>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</si>
  <si>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</si>
  <si>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</si>
  <si>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</si>
  <si>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</si>
  <si>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</si>
  <si>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</si>
  <si>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</si>
  <si>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</si>
  <si>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</si>
  <si>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</si>
  <si>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</si>
  <si>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</si>
  <si>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</si>
  <si>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</si>
  <si>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</si>
  <si>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</si>
  <si>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</si>
  <si>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</si>
  <si>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</si>
  <si>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</si>
  <si>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</si>
  <si>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</si>
  <si>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</si>
  <si>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</si>
  <si>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</si>
  <si>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</si>
  <si>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</si>
  <si>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</si>
  <si>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</si>
  <si>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</si>
  <si>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</si>
  <si>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</si>
  <si>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</si>
  <si>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</si>
  <si>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</si>
  <si>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</si>
  <si>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</si>
  <si>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</si>
  <si>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</si>
  <si>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</si>
  <si>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</si>
  <si>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</si>
  <si>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</si>
  <si>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</si>
  <si>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</si>
  <si>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</si>
  <si>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</si>
  <si>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</si>
  <si>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</si>
  <si>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</si>
  <si>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</si>
  <si>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</si>
  <si>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</si>
  <si>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</si>
  <si>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</si>
  <si>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</si>
  <si>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</si>
  <si>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</si>
  <si>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</si>
  <si>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</si>
  <si>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2846-1</t>
  </si>
  <si>
    <t>LIGHT ENGINE IL</t>
  </si>
  <si>
    <t>PERSONALIZADO_L</t>
  </si>
  <si>
    <t>CTE NORMAL</t>
  </si>
  <si>
    <t>CAJAMAR - SP</t>
  </si>
  <si>
    <t>MATHEUS WILLIAN BAU</t>
  </si>
  <si>
    <t>INDEFINIDO</t>
  </si>
  <si>
    <t>Itajai-Sc X Barueri-Sp3/4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</si>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</sst>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[Analise_ADRIAN_03092026.xlsx]Resumo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LIGHT ENGINE IL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4822.38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LIGHT ENGINE IL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641.20960000000014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[Analise_ADRIAN_03092026.xlsx]Resumo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LIGHT ENGINE IL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4822.38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LIGHT ENGINE IL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641.20960000000014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4.578132291666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2940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2T00:00:00" maxDate="2026-09-03T00:00:00"/>
    </cacheField>
    <cacheField name="DATA" numFmtId="14">
      <sharedItems containsNonDate="0" containsDate="1" containsString="0" containsBlank="1" minDate="2026-09-03T00:00:00" maxDate="2026-09-04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LIGHT ENGINE IL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NonDate="0" containsString="0" containsBlank="1"/>
    </cacheField>
    <cacheField name="VALOR NF" numFmtId="0">
      <sharedItems containsString="0" containsBlank="1" containsNumber="1" minValue="33157.25" maxValue="33157.25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4822.38" maxValue="4822.38"/>
    </cacheField>
    <cacheField name="VOLUMES" numFmtId="0">
      <sharedItems containsString="0" containsBlank="1" containsNumber="1" containsInteger="1" minValue="129" maxValue="129"/>
    </cacheField>
    <cacheField name="PESO" numFmtId="0">
      <sharedItems containsString="0" containsBlank="1" containsNumber="1" minValue="267.48" maxValue="267.48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3200" maxValue="32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578.67999999999995" maxValue="578.6799999999999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3.26" maxValue="13.26"/>
    </cacheField>
    <cacheField name="OUTROS" numFmtId="0">
      <sharedItems containsString="0" containsBlank="1" containsNumber="1" minValue="3.44" maxValue="3.44"/>
    </cacheField>
    <cacheField name="C.TOTAL" numFmtId="0">
      <sharedItems containsString="0" containsBlank="1" containsNumber="1" minValue="3795.38" maxValue="3795.38"/>
    </cacheField>
    <cacheField name="RECEITA" numFmtId="0">
      <sharedItems containsString="0" containsBlank="1" containsNumber="1" containsInteger="1" minValue="1027" maxValue="1027"/>
    </cacheField>
    <cacheField name="IMPOSTO" numFmtId="0">
      <sharedItems containsString="0" containsBlank="1" containsNumber="1" minValue="771.58" maxValue="771.58"/>
    </cacheField>
    <cacheField name="RESULTADO" numFmtId="0">
      <sharedItems containsString="0" containsBlank="1" containsNumber="1" minValue="255.42" maxValue="255.42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255.42" maxValue="255.42"/>
    </cacheField>
    <cacheField name="MARGEM" numFmtId="10">
      <sharedItems containsString="0" containsBlank="1" containsNumber="1" minValue="5.2999999999999999E-2" maxValue="5.2999999999999999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02T00:00:00"/>
    <d v="2026-09-03T00:00:00"/>
    <m/>
    <s v="2846-1"/>
    <x v="0"/>
    <m/>
    <n v="33157.25"/>
    <x v="0"/>
    <s v="CTE NORMAL"/>
    <s v="CAJAMAR - SP"/>
    <n v="4822.38"/>
    <n v="129"/>
    <n v="267.48"/>
    <s v="MATRIZ"/>
    <n v="0"/>
    <s v="MATHEUS WILLIAN BAU"/>
    <n v="3200"/>
    <s v="INDEFINIDO"/>
    <n v="0"/>
    <n v="578.67999999999995"/>
    <n v="0"/>
    <n v="0"/>
    <n v="13.26"/>
    <n v="3.44"/>
    <n v="3795.38"/>
    <n v="1027"/>
    <n v="771.58"/>
    <n v="255.42"/>
    <n v="0"/>
    <n v="255.42"/>
    <n v="5.2999999999999999E-2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2"/>
        <item m="1" x="11"/>
        <item m="1" x="761"/>
        <item m="1" x="391"/>
        <item sd="0" m="1" x="712"/>
        <item m="1" x="295"/>
        <item sd="0" m="1" x="113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2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5"/>
        <item m="1" x="686"/>
        <item m="1" x="311"/>
        <item m="1" x="136"/>
        <item m="1" x="293"/>
        <item m="1" x="601"/>
        <item m="1" x="206"/>
        <item m="1" x="674"/>
        <item m="1" x="139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7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5"/>
        <item sd="0" m="1" x="186"/>
        <item sd="0" m="1" x="306"/>
        <item sd="0" m="1" x="177"/>
        <item m="1" x="596"/>
        <item m="1" x="172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6"/>
        <item sd="0" m="1" x="203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59"/>
        <item m="1" x="631"/>
        <item m="1" x="530"/>
        <item m="1" x="294"/>
        <item m="1" x="303"/>
        <item m="1" x="174"/>
        <item m="1" x="101"/>
        <item sd="0" m="1" x="70"/>
        <item m="1" x="578"/>
        <item sd="0" m="1" x="798"/>
        <item m="1" x="32"/>
        <item m="1" x="673"/>
        <item m="1" x="286"/>
        <item m="1" x="629"/>
        <item m="1" x="264"/>
        <item m="1" x="115"/>
        <item m="1" x="332"/>
        <item m="1" x="220"/>
        <item m="1" x="509"/>
        <item m="1" x="117"/>
        <item sd="0" m="1" x="536"/>
        <item m="1" x="83"/>
        <item m="1" x="602"/>
        <item sd="0" m="1" x="449"/>
        <item m="1" x="348"/>
        <item m="1" x="78"/>
        <item m="1" x="582"/>
        <item m="1" x="18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9"/>
        <item m="1" x="42"/>
        <item m="1" x="16"/>
        <item m="1" x="622"/>
        <item m="1" x="556"/>
        <item m="1" x="626"/>
        <item m="1" x="344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0"/>
        <item m="1" x="223"/>
        <item m="1" x="64"/>
        <item m="1" x="635"/>
        <item m="1" x="457"/>
        <item m="1" x="790"/>
        <item m="1" x="703"/>
        <item m="1" x="233"/>
        <item m="1" x="597"/>
        <item m="1" x="43"/>
        <item sd="0" m="1" x="843"/>
        <item sd="0" m="1" x="123"/>
        <item m="1" x="266"/>
        <item m="1" x="291"/>
        <item m="1" x="353"/>
        <item m="1" x="98"/>
        <item m="1" x="459"/>
        <item m="1" x="580"/>
        <item m="1" x="352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3"/>
        <item m="1" x="15"/>
        <item m="1" x="231"/>
        <item m="1" x="240"/>
        <item m="1" x="5"/>
        <item m="1" x="387"/>
        <item m="1" x="369"/>
        <item m="1" x="615"/>
        <item m="1" x="57"/>
        <item m="1" x="707"/>
        <item m="1" x="23"/>
        <item m="1" x="36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3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1"/>
        <item m="1" x="314"/>
        <item sd="0" m="1" x="698"/>
        <item m="1" x="330"/>
        <item m="1" x="625"/>
        <item m="1" x="541"/>
        <item sd="0" m="1" x="368"/>
        <item sd="0" m="1" x="334"/>
        <item sd="0" m="1" x="175"/>
        <item m="1" x="419"/>
        <item m="1" x="701"/>
        <item m="1" x="697"/>
        <item m="1" x="378"/>
        <item m="1" x="347"/>
        <item m="1" x="150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3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1"/>
        <item m="1" x="572"/>
        <item m="1" x="157"/>
        <item sd="0" m="1" x="560"/>
        <item m="1" x="45"/>
        <item m="1" x="723"/>
        <item m="1" x="748"/>
        <item m="1" x="743"/>
        <item m="1" x="847"/>
        <item sd="0" m="1" x="124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4"/>
        <item m="1" x="297"/>
        <item m="1" x="682"/>
        <item m="1" x="135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5"/>
        <item m="1" x="130"/>
        <item m="1" x="654"/>
        <item sd="0" m="1" x="721"/>
        <item m="1" x="641"/>
        <item x="0"/>
        <item m="1" x="372"/>
        <item m="1" x="735"/>
        <item sd="0" m="1" x="132"/>
        <item m="1" x="86"/>
        <item m="1" x="209"/>
        <item m="1" x="681"/>
        <item m="1" x="274"/>
        <item m="1" x="471"/>
        <item m="1" x="799"/>
        <item m="1" x="217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8"/>
        <item m="1" x="659"/>
        <item m="1" x="221"/>
        <item m="1" x="448"/>
        <item m="1" x="147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4"/>
        <item m="1" x="325"/>
        <item m="1" x="34"/>
        <item m="1" x="495"/>
        <item sd="0" m="1" x="506"/>
        <item m="1" x="446"/>
        <item m="1" x="166"/>
        <item m="1" x="133"/>
        <item m="1" x="251"/>
        <item m="1" x="299"/>
        <item m="1" x="819"/>
        <item m="1" x="169"/>
        <item m="1" x="709"/>
        <item m="1" x="171"/>
        <item m="1" x="586"/>
        <item m="1" x="227"/>
        <item m="1" x="390"/>
        <item m="1" x="657"/>
        <item m="1" x="309"/>
        <item m="1" x="74"/>
        <item sd="0" m="1" x="669"/>
        <item m="1" x="94"/>
        <item m="1" x="439"/>
        <item sd="0" m="1" x="350"/>
        <item m="1" x="784"/>
        <item m="1" x="498"/>
        <item m="1" x="61"/>
        <item m="1" x="455"/>
        <item m="1" x="82"/>
        <item m="1" x="324"/>
        <item sd="0" m="1" x="168"/>
        <item m="1" x="331"/>
        <item m="1" x="564"/>
        <item m="1" x="503"/>
        <item m="1" x="228"/>
        <item m="1" x="280"/>
        <item m="1" x="93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3"/>
        <item m="1" x="511"/>
        <item m="1" x="95"/>
        <item m="1" x="522"/>
        <item m="1" x="789"/>
        <item m="1" x="19"/>
        <item m="1" x="537"/>
        <item m="1" x="636"/>
        <item m="1" x="575"/>
        <item sd="0" m="1" x="197"/>
        <item m="1" x="574"/>
        <item m="1" x="364"/>
        <item m="1" x="823"/>
        <item m="1" x="335"/>
        <item m="1" x="523"/>
        <item m="1" x="246"/>
        <item sd="0" m="1" x="10"/>
        <item m="1" x="142"/>
        <item m="1" x="651"/>
        <item m="1" x="604"/>
        <item m="1" x="440"/>
        <item m="1" x="22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8"/>
        <item m="1" x="234"/>
        <item sd="0" m="1" x="358"/>
        <item m="1" x="259"/>
        <item m="1" x="363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5"/>
        <item m="1" x="502"/>
        <item m="1" x="786"/>
        <item m="1" x="258"/>
        <item sd="0" m="1" x="752"/>
        <item m="1" x="128"/>
        <item m="1" x="211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80"/>
        <item m="1" x="333"/>
        <item m="1" x="817"/>
        <item sd="0" m="1" x="610"/>
        <item m="1" x="587"/>
        <item sd="0" m="1" x="255"/>
        <item m="1" x="550"/>
        <item m="1" x="104"/>
        <item m="1" x="87"/>
        <item m="1" x="754"/>
        <item m="1" x="155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5"/>
        <item m="1" x="783"/>
        <item m="1" x="724"/>
        <item m="1" x="841"/>
        <item m="1" x="443"/>
        <item m="1" x="193"/>
        <item m="1" x="305"/>
        <item m="1" x="339"/>
        <item sd="0" m="1" x="96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9"/>
        <item m="1" x="51"/>
        <item m="1" x="851"/>
        <item m="1" x="29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0"/>
        <item sd="0" m="1" x="705"/>
        <item m="1" x="302"/>
        <item m="1" x="189"/>
        <item m="1" x="680"/>
        <item sd="0" m="1" x="282"/>
        <item m="1" x="219"/>
        <item m="1" x="318"/>
        <item m="1" x="254"/>
        <item sd="0" m="1" x="192"/>
        <item m="1" x="729"/>
        <item m="1" x="384"/>
        <item m="1" x="576"/>
        <item m="1" x="359"/>
        <item m="1" x="450"/>
        <item m="1" x="513"/>
        <item m="1" x="122"/>
        <item m="1" x="646"/>
        <item m="1" x="48"/>
        <item m="1" x="415"/>
        <item m="1" x="145"/>
        <item sd="0" m="1" x="728"/>
        <item m="1" x="164"/>
        <item m="1" x="345"/>
        <item m="1" x="119"/>
        <item m="1" x="289"/>
        <item sd="0" m="1" x="199"/>
        <item m="1" x="205"/>
        <item m="1" x="89"/>
        <item sd="0" m="1" x="27"/>
        <item m="1" x="277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8"/>
        <item m="1" x="588"/>
        <item sd="0" m="1" x="179"/>
        <item m="1" x="623"/>
        <item sd="0" m="1" x="63"/>
        <item m="1" x="423"/>
        <item sd="0" m="1" x="26"/>
        <item sd="0" m="1" x="765"/>
        <item m="1" x="413"/>
        <item sd="0" m="1" x="552"/>
        <item m="1" x="97"/>
        <item m="1" x="85"/>
        <item sd="0" m="1" x="292"/>
        <item m="1" x="195"/>
        <item sd="0" m="1" x="496"/>
        <item m="1" x="261"/>
        <item m="1" x="30"/>
        <item m="1" x="105"/>
        <item m="1" x="533"/>
        <item sd="0" m="1" x="296"/>
        <item sd="0" m="1" x="396"/>
        <item sd="0" m="1" x="229"/>
        <item sd="0" m="1" x="7"/>
        <item m="1" x="472"/>
        <item sd="0" m="1" x="824"/>
        <item m="1" x="35"/>
        <item m="1" x="310"/>
        <item m="1" x="825"/>
        <item m="1" x="562"/>
        <item m="1" x="62"/>
        <item m="1" x="568"/>
        <item m="1" x="430"/>
        <item m="1" x="425"/>
        <item m="1" x="176"/>
        <item m="1" x="365"/>
        <item m="1" x="758"/>
        <item m="1" x="600"/>
        <item m="1" x="12"/>
        <item m="1" x="92"/>
        <item m="1" x="437"/>
        <item m="1" x="433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8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2"/>
        <item m="1" x="56"/>
        <item m="1" x="129"/>
        <item m="1" x="3"/>
        <item m="1" x="49"/>
        <item m="1" x="90"/>
        <item sd="0" m="1" x="202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439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2"/>
        <item m="1" x="11"/>
        <item m="1" x="761"/>
        <item m="1" x="391"/>
        <item sd="0" m="1" x="712"/>
        <item m="1" x="295"/>
        <item sd="0" m="1" x="113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2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5"/>
        <item m="1" x="686"/>
        <item m="1" x="311"/>
        <item m="1" x="136"/>
        <item m="1" x="293"/>
        <item m="1" x="601"/>
        <item m="1" x="206"/>
        <item m="1" x="674"/>
        <item m="1" x="139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7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5"/>
        <item sd="0" m="1" x="186"/>
        <item sd="0" m="1" x="306"/>
        <item sd="0" m="1" x="177"/>
        <item m="1" x="596"/>
        <item m="1" x="172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6"/>
        <item sd="0" m="1" x="203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59"/>
        <item m="1" x="631"/>
        <item m="1" x="530"/>
        <item m="1" x="294"/>
        <item m="1" x="303"/>
        <item m="1" x="174"/>
        <item m="1" x="101"/>
        <item sd="0" m="1" x="70"/>
        <item m="1" x="578"/>
        <item sd="0" m="1" x="798"/>
        <item m="1" x="32"/>
        <item m="1" x="673"/>
        <item m="1" x="286"/>
        <item m="1" x="629"/>
        <item m="1" x="264"/>
        <item m="1" x="115"/>
        <item m="1" x="332"/>
        <item m="1" x="220"/>
        <item m="1" x="509"/>
        <item m="1" x="117"/>
        <item sd="0" m="1" x="536"/>
        <item m="1" x="83"/>
        <item m="1" x="602"/>
        <item sd="0" m="1" x="449"/>
        <item m="1" x="348"/>
        <item m="1" x="78"/>
        <item m="1" x="582"/>
        <item m="1" x="18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9"/>
        <item m="1" x="42"/>
        <item m="1" x="16"/>
        <item m="1" x="622"/>
        <item m="1" x="556"/>
        <item m="1" x="626"/>
        <item m="1" x="344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0"/>
        <item m="1" x="223"/>
        <item m="1" x="64"/>
        <item m="1" x="635"/>
        <item m="1" x="457"/>
        <item m="1" x="790"/>
        <item sd="0" m="1" x="703"/>
        <item m="1" x="233"/>
        <item m="1" x="597"/>
        <item m="1" x="43"/>
        <item sd="0" m="1" x="843"/>
        <item sd="0" m="1" x="123"/>
        <item m="1" x="266"/>
        <item m="1" x="291"/>
        <item m="1" x="353"/>
        <item m="1" x="98"/>
        <item m="1" x="459"/>
        <item m="1" x="580"/>
        <item m="1" x="352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3"/>
        <item m="1" x="15"/>
        <item m="1" x="231"/>
        <item m="1" x="240"/>
        <item m="1" x="5"/>
        <item m="1" x="387"/>
        <item m="1" x="369"/>
        <item m="1" x="615"/>
        <item m="1" x="57"/>
        <item m="1" x="707"/>
        <item m="1" x="23"/>
        <item m="1" x="36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3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1"/>
        <item m="1" x="314"/>
        <item sd="0" m="1" x="698"/>
        <item m="1" x="330"/>
        <item m="1" x="625"/>
        <item m="1" x="541"/>
        <item sd="0" m="1" x="368"/>
        <item sd="0" m="1" x="334"/>
        <item sd="0" m="1" x="175"/>
        <item m="1" x="419"/>
        <item m="1" x="701"/>
        <item m="1" x="697"/>
        <item m="1" x="378"/>
        <item m="1" x="347"/>
        <item m="1" x="150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3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1"/>
        <item m="1" x="572"/>
        <item m="1" x="157"/>
        <item sd="0" m="1" x="560"/>
        <item m="1" x="45"/>
        <item m="1" x="723"/>
        <item m="1" x="748"/>
        <item m="1" x="743"/>
        <item m="1" x="847"/>
        <item sd="0" m="1" x="124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4"/>
        <item m="1" x="297"/>
        <item m="1" x="682"/>
        <item m="1" x="135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5"/>
        <item m="1" x="130"/>
        <item m="1" x="654"/>
        <item sd="0" m="1" x="721"/>
        <item m="1" x="641"/>
        <item x="0"/>
        <item m="1" x="372"/>
        <item m="1" x="735"/>
        <item sd="0" m="1" x="132"/>
        <item m="1" x="86"/>
        <item m="1" x="209"/>
        <item m="1" x="681"/>
        <item m="1" x="274"/>
        <item m="1" x="471"/>
        <item m="1" x="799"/>
        <item m="1" x="217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8"/>
        <item m="1" x="659"/>
        <item m="1" x="221"/>
        <item m="1" x="448"/>
        <item m="1" x="147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4"/>
        <item m="1" x="325"/>
        <item m="1" x="34"/>
        <item m="1" x="495"/>
        <item sd="0" m="1" x="506"/>
        <item m="1" x="446"/>
        <item m="1" x="166"/>
        <item m="1" x="133"/>
        <item m="1" x="251"/>
        <item m="1" x="299"/>
        <item m="1" x="819"/>
        <item m="1" x="169"/>
        <item m="1" x="709"/>
        <item m="1" x="171"/>
        <item m="1" x="586"/>
        <item m="1" x="227"/>
        <item m="1" x="390"/>
        <item m="1" x="657"/>
        <item m="1" x="309"/>
        <item m="1" x="74"/>
        <item sd="0" m="1" x="669"/>
        <item m="1" x="94"/>
        <item m="1" x="439"/>
        <item sd="0" m="1" x="350"/>
        <item m="1" x="784"/>
        <item m="1" x="498"/>
        <item m="1" x="61"/>
        <item m="1" x="455"/>
        <item m="1" x="82"/>
        <item m="1" x="324"/>
        <item sd="0" m="1" x="168"/>
        <item m="1" x="331"/>
        <item m="1" x="564"/>
        <item m="1" x="503"/>
        <item m="1" x="228"/>
        <item m="1" x="280"/>
        <item m="1" x="93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3"/>
        <item m="1" x="511"/>
        <item m="1" x="95"/>
        <item m="1" x="522"/>
        <item m="1" x="789"/>
        <item m="1" x="19"/>
        <item m="1" x="537"/>
        <item m="1" x="636"/>
        <item m="1" x="575"/>
        <item sd="0" m="1" x="197"/>
        <item m="1" x="574"/>
        <item m="1" x="364"/>
        <item m="1" x="823"/>
        <item m="1" x="335"/>
        <item m="1" x="523"/>
        <item m="1" x="246"/>
        <item sd="0" m="1" x="10"/>
        <item m="1" x="142"/>
        <item m="1" x="651"/>
        <item m="1" x="604"/>
        <item m="1" x="440"/>
        <item m="1" x="22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8"/>
        <item m="1" x="234"/>
        <item sd="0" m="1" x="358"/>
        <item m="1" x="259"/>
        <item m="1" x="363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5"/>
        <item m="1" x="502"/>
        <item m="1" x="786"/>
        <item m="1" x="258"/>
        <item sd="0" m="1" x="752"/>
        <item m="1" x="128"/>
        <item m="1" x="211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80"/>
        <item m="1" x="333"/>
        <item m="1" x="817"/>
        <item sd="0" m="1" x="610"/>
        <item m="1" x="587"/>
        <item sd="0" m="1" x="255"/>
        <item m="1" x="550"/>
        <item m="1" x="104"/>
        <item m="1" x="87"/>
        <item m="1" x="754"/>
        <item m="1" x="155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5"/>
        <item m="1" x="783"/>
        <item m="1" x="724"/>
        <item m="1" x="841"/>
        <item m="1" x="443"/>
        <item m="1" x="193"/>
        <item m="1" x="305"/>
        <item m="1" x="339"/>
        <item sd="0" m="1" x="96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9"/>
        <item m="1" x="51"/>
        <item m="1" x="851"/>
        <item m="1" x="29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0"/>
        <item sd="0" m="1" x="705"/>
        <item m="1" x="302"/>
        <item m="1" x="189"/>
        <item m="1" x="680"/>
        <item sd="0" m="1" x="282"/>
        <item m="1" x="219"/>
        <item m="1" x="318"/>
        <item m="1" x="254"/>
        <item sd="0" m="1" x="192"/>
        <item m="1" x="729"/>
        <item m="1" x="384"/>
        <item m="1" x="576"/>
        <item m="1" x="359"/>
        <item m="1" x="450"/>
        <item m="1" x="513"/>
        <item m="1" x="122"/>
        <item m="1" x="646"/>
        <item m="1" x="48"/>
        <item m="1" x="415"/>
        <item m="1" x="145"/>
        <item sd="0" m="1" x="728"/>
        <item m="1" x="164"/>
        <item m="1" x="345"/>
        <item m="1" x="119"/>
        <item m="1" x="289"/>
        <item sd="0" m="1" x="199"/>
        <item m="1" x="205"/>
        <item m="1" x="89"/>
        <item sd="0" m="1" x="27"/>
        <item m="1" x="277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8"/>
        <item m="1" x="588"/>
        <item sd="0" m="1" x="179"/>
        <item m="1" x="623"/>
        <item sd="0" m="1" x="63"/>
        <item m="1" x="423"/>
        <item sd="0" m="1" x="26"/>
        <item sd="0" m="1" x="765"/>
        <item m="1" x="413"/>
        <item sd="0" m="1" x="552"/>
        <item m="1" x="97"/>
        <item m="1" x="85"/>
        <item sd="0" m="1" x="292"/>
        <item m="1" x="195"/>
        <item sd="0" m="1" x="496"/>
        <item m="1" x="261"/>
        <item m="1" x="30"/>
        <item m="1" x="105"/>
        <item m="1" x="533"/>
        <item sd="0" m="1" x="296"/>
        <item sd="0" m="1" x="396"/>
        <item sd="0" m="1" x="229"/>
        <item sd="0" m="1" x="7"/>
        <item m="1" x="472"/>
        <item sd="0" m="1" x="824"/>
        <item m="1" x="35"/>
        <item m="1" x="310"/>
        <item m="1" x="825"/>
        <item m="1" x="562"/>
        <item m="1" x="62"/>
        <item m="1" x="568"/>
        <item m="1" x="430"/>
        <item m="1" x="425"/>
        <item m="1" x="176"/>
        <item m="1" x="365"/>
        <item m="1" x="758"/>
        <item m="1" x="600"/>
        <item m="1" x="12"/>
        <item m="1" x="92"/>
        <item m="1" x="437"/>
        <item m="1" x="433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8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2"/>
        <item m="1" x="56"/>
        <item m="1" x="129"/>
        <item m="1" x="3"/>
        <item m="1" x="49"/>
        <item m="1" x="90"/>
        <item sd="0" m="1" x="202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439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8" s="1" nd="1"/>
        <i x="762" s="1" nd="1"/>
        <i x="794" s="1" nd="1"/>
        <i x="543" s="1" nd="1"/>
        <i x="149" s="1" nd="1"/>
        <i x="187" s="1" nd="1"/>
        <i x="272" s="1" nd="1"/>
        <i x="11" s="1" nd="1"/>
        <i x="761" s="1" nd="1"/>
        <i x="391" s="1" nd="1"/>
        <i x="712" s="1" nd="1"/>
        <i x="295" s="1" nd="1"/>
        <i x="113" s="1" nd="1"/>
        <i x="270" s="1" nd="1"/>
        <i x="590" s="1" nd="1"/>
        <i x="323" s="1" nd="1"/>
        <i x="675" s="1" nd="1"/>
        <i x="501" s="1" nd="1"/>
        <i x="24" s="1" nd="1"/>
        <i x="581" s="1" nd="1"/>
        <i x="852" s="1" nd="1"/>
        <i x="20" s="1" nd="1"/>
        <i x="757" s="1" nd="1"/>
        <i x="112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6" s="1" nd="1"/>
        <i x="47" s="1" nd="1"/>
        <i x="668" s="1" nd="1"/>
        <i x="660" s="1" nd="1"/>
        <i x="468" s="1" nd="1"/>
        <i x="44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5" s="1" nd="1"/>
        <i x="686" s="1" nd="1"/>
        <i x="311" s="1" nd="1"/>
        <i x="136" s="1" nd="1"/>
        <i x="293" s="1" nd="1"/>
        <i x="601" s="1" nd="1"/>
        <i x="206" s="1" nd="1"/>
        <i x="674" s="1" nd="1"/>
        <i x="139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3" s="1" nd="1"/>
        <i x="835" s="1" nd="1"/>
        <i x="711" s="1" nd="1"/>
        <i x="377" s="1" nd="1"/>
        <i x="207" s="1" nd="1"/>
        <i x="521" s="1" nd="1"/>
        <i x="462" s="1" nd="1"/>
        <i x="138" s="1" nd="1"/>
        <i x="661" s="1" nd="1"/>
        <i x="371" s="1" nd="1"/>
        <i x="154" s="1" nd="1"/>
        <i x="250" s="1" nd="1"/>
        <i x="628" s="1" nd="1"/>
        <i x="736" s="1" nd="1"/>
        <i x="420" s="1" nd="1"/>
        <i x="80" s="1" nd="1"/>
        <i x="696" s="1" nd="1"/>
        <i x="283" s="1" nd="1"/>
        <i x="846" s="1" nd="1"/>
        <i x="247" s="1" nd="1"/>
        <i x="763" s="1" nd="1"/>
        <i x="424" s="1" nd="1"/>
        <i x="435" s="1" nd="1"/>
        <i x="167" s="1" nd="1"/>
        <i x="542" s="1" nd="1"/>
        <i x="806" s="1" nd="1"/>
        <i x="620" s="1" nd="1"/>
        <i x="4" s="1" nd="1"/>
        <i x="770" s="1" nd="1"/>
        <i x="14" s="1" nd="1"/>
        <i x="739" s="1" nd="1"/>
        <i x="392" s="1" nd="1"/>
        <i x="275" s="1" nd="1"/>
        <i x="65" s="1" nd="1"/>
        <i x="186" s="1" nd="1"/>
        <i x="306" s="1" nd="1"/>
        <i x="177" s="1" nd="1"/>
        <i x="596" s="1" nd="1"/>
        <i x="172" s="1" nd="1"/>
        <i x="614" s="1" nd="1"/>
        <i x="767" s="1" nd="1"/>
        <i x="482" s="1" nd="1"/>
        <i x="52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20" s="1" nd="1"/>
        <i x="389" s="1" nd="1"/>
        <i x="88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6" s="1" nd="1"/>
        <i x="400" s="1" nd="1"/>
        <i x="114" s="1" nd="1"/>
        <i x="652" s="1" nd="1"/>
        <i x="656" s="1" nd="1"/>
        <i x="795" s="1" nd="1"/>
        <i x="695" s="1" nd="1"/>
        <i x="454" s="1" nd="1"/>
        <i x="380" s="1" nd="1"/>
        <i x="447" s="1" nd="1"/>
        <i x="159" s="1" nd="1"/>
        <i x="276" s="1" nd="1"/>
        <i x="203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3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3" s="1" nd="1"/>
        <i x="627" s="1" nd="1"/>
        <i x="374" s="1" nd="1"/>
        <i x="807" s="1" nd="1"/>
        <i x="59" s="1" nd="1"/>
        <i x="631" s="1" nd="1"/>
        <i x="530" s="1" nd="1"/>
        <i x="294" s="1" nd="1"/>
        <i x="303" s="1" nd="1"/>
        <i x="174" s="1" nd="1"/>
        <i x="101" s="1" nd="1"/>
        <i x="70" s="1" nd="1"/>
        <i x="578" s="1" nd="1"/>
        <i x="798" s="1" nd="1"/>
        <i x="32" s="1" nd="1"/>
        <i x="673" s="1" nd="1"/>
        <i x="286" s="1" nd="1"/>
        <i x="629" s="1" nd="1"/>
        <i x="264" s="1" nd="1"/>
        <i x="115" s="1" nd="1"/>
        <i x="332" s="1" nd="1"/>
        <i x="220" s="1" nd="1"/>
        <i x="509" s="1" nd="1"/>
        <i x="117" s="1" nd="1"/>
        <i x="536" s="1" nd="1"/>
        <i x="83" s="1" nd="1"/>
        <i x="602" s="1" nd="1"/>
        <i x="449" s="1" nd="1"/>
        <i x="348" s="1" nd="1"/>
        <i x="78" s="1" nd="1"/>
        <i x="582" s="1" nd="1"/>
        <i x="18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1" s="1" nd="1"/>
        <i x="426" s="1" nd="1"/>
        <i x="9" s="1" nd="1"/>
        <i x="42" s="1" nd="1"/>
        <i x="16" s="1" nd="1"/>
        <i x="622" s="1" nd="1"/>
        <i x="556" s="1" nd="1"/>
        <i x="626" s="1" nd="1"/>
        <i x="344" s="1" nd="1"/>
        <i x="432" s="1" nd="1"/>
        <i x="708" s="1" nd="1"/>
        <i x="210" s="1" nd="1"/>
        <i x="438" s="1" nd="1"/>
        <i x="102" s="1" nd="1"/>
        <i x="196" s="1" nd="1"/>
        <i x="831" s="1" nd="1"/>
        <i x="764" s="1" nd="1"/>
        <i x="508" s="1" nd="1"/>
        <i x="821" s="1" nd="1"/>
        <i x="340" s="1" nd="1"/>
        <i x="223" s="1" nd="1"/>
        <i x="64" s="1" nd="1"/>
        <i x="635" s="1" nd="1"/>
        <i x="457" s="1" nd="1"/>
        <i x="790" s="1" nd="1"/>
        <i x="703" s="1" nd="1"/>
        <i x="233" s="1" nd="1"/>
        <i x="597" s="1" nd="1"/>
        <i x="43" s="1" nd="1"/>
        <i x="843" s="1" nd="1"/>
        <i x="123" s="1" nd="1"/>
        <i x="266" s="1" nd="1"/>
        <i x="291" s="1" nd="1"/>
        <i x="353" s="1" nd="1"/>
        <i x="98" s="1" nd="1"/>
        <i x="459" s="1" nd="1"/>
        <i x="580" s="1" nd="1"/>
        <i x="352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3" s="1" nd="1"/>
        <i x="414" s="1" nd="1"/>
        <i x="418" s="1" nd="1"/>
        <i x="802" s="1" nd="1"/>
        <i x="41" s="1" nd="1"/>
        <i x="805" s="1" nd="1"/>
        <i x="486" s="1" nd="1"/>
        <i x="442" s="1" nd="1"/>
        <i x="398" s="1" nd="1"/>
        <i x="608" s="1" nd="1"/>
        <i x="153" s="1" nd="1"/>
        <i x="15" s="1" nd="1"/>
        <i x="231" s="1" nd="1"/>
        <i x="240" s="1" nd="1"/>
        <i x="5" s="1" nd="1"/>
        <i x="387" s="1" nd="1"/>
        <i x="369" s="1" nd="1"/>
        <i x="615" s="1" nd="1"/>
        <i x="57" s="1" nd="1"/>
        <i x="707" s="1" nd="1"/>
        <i x="23" s="1" nd="1"/>
        <i x="36" s="1" nd="1"/>
        <i x="8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3" s="1" nd="1"/>
        <i x="666" s="1" nd="1"/>
        <i x="839" s="1" nd="1"/>
        <i x="38" s="1" nd="1"/>
        <i x="382" s="1" nd="1"/>
        <i x="589" s="1" nd="1"/>
        <i x="747" s="1" nd="1"/>
        <i x="268" s="1" nd="1"/>
        <i x="17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6" s="1" nd="1"/>
        <i x="349" s="1" nd="1"/>
        <i x="577" s="1" nd="1"/>
        <i x="161" s="1" nd="1"/>
        <i x="314" s="1" nd="1"/>
        <i x="698" s="1" nd="1"/>
        <i x="330" s="1" nd="1"/>
        <i x="625" s="1" nd="1"/>
        <i x="541" s="1" nd="1"/>
        <i x="368" s="1" nd="1"/>
        <i x="334" s="1" nd="1"/>
        <i x="175" s="1" nd="1"/>
        <i x="419" s="1" nd="1"/>
        <i x="701" s="1" nd="1"/>
        <i x="697" s="1" nd="1"/>
        <i x="378" s="1" nd="1"/>
        <i x="347" s="1" nd="1"/>
        <i x="150" s="1" nd="1"/>
        <i x="759" s="1" nd="1"/>
        <i x="690" s="1" nd="1"/>
        <i x="21" s="1" nd="1"/>
        <i x="727" s="1" nd="1"/>
        <i x="780" s="1" nd="1"/>
        <i x="639" s="1" nd="1"/>
        <i x="328" s="1" nd="1"/>
        <i x="367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5" s="1" nd="1"/>
        <i x="718" s="1" nd="1"/>
        <i x="127" s="1" nd="1"/>
        <i x="33" s="1" nd="1"/>
        <i x="301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3" s="1" nd="1"/>
        <i x="741" s="1" nd="1"/>
        <i x="194" s="1" nd="1"/>
        <i x="746" s="1" nd="1"/>
        <i x="383" s="1" nd="1"/>
        <i x="137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1" s="1" nd="1"/>
        <i x="572" s="1" nd="1"/>
        <i x="157" s="1" nd="1"/>
        <i x="560" s="1" nd="1"/>
        <i x="45" s="1" nd="1"/>
        <i x="723" s="1" nd="1"/>
        <i x="748" s="1" nd="1"/>
        <i x="743" s="1" nd="1"/>
        <i x="847" s="1" nd="1"/>
        <i x="124" s="1" nd="1"/>
        <i x="464" s="1" nd="1"/>
        <i x="700" s="1" nd="1"/>
        <i x="427" s="1" nd="1"/>
        <i x="362" s="1" nd="1"/>
        <i x="100" s="1" nd="1"/>
        <i x="480" s="1" nd="1"/>
        <i x="607" s="1" nd="1"/>
        <i x="715" s="1" nd="1"/>
        <i x="54" s="1" nd="1"/>
        <i x="297" s="1" nd="1"/>
        <i x="682" s="1" nd="1"/>
        <i x="135" s="1" nd="1"/>
        <i x="329" s="1" nd="1"/>
        <i x="535" s="1" nd="1"/>
        <i x="236" s="1" nd="1"/>
        <i x="557" s="1" nd="1"/>
        <i x="546" s="1" nd="1"/>
        <i x="850" s="1" nd="1"/>
        <i x="2" s="1" nd="1"/>
        <i x="271" s="1" nd="1"/>
        <i x="75" s="1" nd="1"/>
        <i x="130" s="1" nd="1"/>
        <i x="654" s="1" nd="1"/>
        <i x="721" s="1" nd="1"/>
        <i x="641" s="1" nd="1"/>
        <i x="372" s="1" nd="1"/>
        <i x="735" s="1" nd="1"/>
        <i x="132" s="1" nd="1"/>
        <i x="86" s="1" nd="1"/>
        <i x="209" s="1" nd="1"/>
        <i x="681" s="1" nd="1"/>
        <i x="274" s="1" nd="1"/>
        <i x="471" s="1" nd="1"/>
        <i x="799" s="1" nd="1"/>
        <i x="217" s="1" nd="1"/>
        <i x="827" s="1" nd="1"/>
        <i x="69" s="1" nd="1"/>
        <i x="118" s="1" nd="1"/>
        <i x="645" s="1" nd="1"/>
        <i x="410" s="1" nd="1"/>
        <i x="854" s="1" nd="1"/>
        <i x="431" s="1" nd="1"/>
        <i x="569" s="1" nd="1"/>
        <i x="487" s="1" nd="1"/>
        <i x="182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8" s="1" nd="1"/>
        <i x="659" s="1" nd="1"/>
        <i x="221" s="1" nd="1"/>
        <i x="448" s="1" nd="1"/>
        <i x="147" s="1" nd="1"/>
        <i x="361" s="1" nd="1"/>
        <i x="262" s="1" nd="1"/>
        <i x="290" s="1" nd="1"/>
        <i x="540" s="1" nd="1"/>
        <i x="810" s="1" nd="1"/>
        <i x="603" s="1" nd="1"/>
        <i x="31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50" s="1" nd="1"/>
        <i x="605" s="1" nd="1"/>
        <i x="84" s="1" nd="1"/>
        <i x="325" s="1" nd="1"/>
        <i x="34" s="1" nd="1"/>
        <i x="495" s="1" nd="1"/>
        <i x="506" s="1" nd="1"/>
        <i x="446" s="1" nd="1"/>
        <i x="166" s="1" nd="1"/>
        <i x="133" s="1" nd="1"/>
        <i x="251" s="1" nd="1"/>
        <i x="299" s="1" nd="1"/>
        <i x="819" s="1" nd="1"/>
        <i x="169" s="1" nd="1"/>
        <i x="709" s="1" nd="1"/>
        <i x="171" s="1" nd="1"/>
        <i x="586" s="1" nd="1"/>
        <i x="227" s="1" nd="1"/>
        <i x="390" s="1" nd="1"/>
        <i x="657" s="1" nd="1"/>
        <i x="309" s="1" nd="1"/>
        <i x="74" s="1" nd="1"/>
        <i x="669" s="1" nd="1"/>
        <i x="94" s="1" nd="1"/>
        <i x="439" s="1" nd="1"/>
        <i x="350" s="1" nd="1"/>
        <i x="784" s="1" nd="1"/>
        <i x="498" s="1" nd="1"/>
        <i x="61" s="1" nd="1"/>
        <i x="455" s="1" nd="1"/>
        <i x="82" s="1" nd="1"/>
        <i x="324" s="1" nd="1"/>
        <i x="168" s="1" nd="1"/>
        <i x="331" s="1" nd="1"/>
        <i x="564" s="1" nd="1"/>
        <i x="503" s="1" nd="1"/>
        <i x="228" s="1" nd="1"/>
        <i x="280" s="1" nd="1"/>
        <i x="93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8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3" s="1" nd="1"/>
        <i x="511" s="1" nd="1"/>
        <i x="95" s="1" nd="1"/>
        <i x="522" s="1" nd="1"/>
        <i x="789" s="1" nd="1"/>
        <i x="19" s="1" nd="1"/>
        <i x="537" s="1" nd="1"/>
        <i x="636" s="1" nd="1"/>
        <i x="575" s="1" nd="1"/>
        <i x="197" s="1" nd="1"/>
        <i x="574" s="1" nd="1"/>
        <i x="364" s="1" nd="1"/>
        <i x="823" s="1" nd="1"/>
        <i x="335" s="1" nd="1"/>
        <i x="523" s="1" nd="1"/>
        <i x="246" s="1" nd="1"/>
        <i x="10" s="1" nd="1"/>
        <i x="142" s="1" nd="1"/>
        <i x="651" s="1" nd="1"/>
        <i x="604" s="1" nd="1"/>
        <i x="440" s="1" nd="1"/>
        <i x="22" s="1" nd="1"/>
        <i x="594" s="1" nd="1"/>
        <i x="434" s="1" nd="1"/>
        <i x="67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2" s="1" nd="1"/>
        <i x="77" s="1" nd="1"/>
        <i x="528" s="1" nd="1"/>
        <i x="566" s="1" nd="1"/>
        <i x="687" s="1" nd="1"/>
        <i x="279" s="1" nd="1"/>
        <i x="524" s="1" nd="1"/>
        <i x="525" s="1" nd="1"/>
        <i x="37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8" s="1" nd="1"/>
        <i x="234" s="1" nd="1"/>
        <i x="358" s="1" nd="1"/>
        <i x="259" s="1" nd="1"/>
        <i x="363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5" s="1" nd="1"/>
        <i x="502" s="1" nd="1"/>
        <i x="786" s="1" nd="1"/>
        <i x="258" s="1" nd="1"/>
        <i x="752" s="1" nd="1"/>
        <i x="128" s="1" nd="1"/>
        <i x="211" s="1" nd="1"/>
        <i x="833" s="1" nd="1"/>
        <i x="585" s="1" nd="1"/>
        <i x="796" s="1" nd="1"/>
        <i x="726" s="1" nd="1"/>
        <i x="411" s="1" nd="1"/>
        <i x="25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80" s="1" nd="1"/>
        <i x="333" s="1" nd="1"/>
        <i x="817" s="1" nd="1"/>
        <i x="610" s="1" nd="1"/>
        <i x="587" s="1" nd="1"/>
        <i x="255" s="1" nd="1"/>
        <i x="550" s="1" nd="1"/>
        <i x="104" s="1" nd="1"/>
        <i x="87" s="1" nd="1"/>
        <i x="754" s="1" nd="1"/>
        <i x="155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3" s="1" nd="1"/>
        <i x="225" s="1" nd="1"/>
        <i x="783" s="1" nd="1"/>
        <i x="724" s="1" nd="1"/>
        <i x="841" s="1" nd="1"/>
        <i x="443" s="1" nd="1"/>
        <i x="193" s="1" nd="1"/>
        <i x="305" s="1" nd="1"/>
        <i x="339" s="1" nd="1"/>
        <i x="96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5" s="1" nd="1"/>
        <i x="408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9" s="1" nd="1"/>
        <i x="51" s="1" nd="1"/>
        <i x="851" s="1" nd="1"/>
        <i x="29" s="1" nd="1"/>
        <i x="570" s="1" nd="1"/>
        <i x="512" s="1" nd="1"/>
        <i x="412" s="1" nd="1"/>
        <i x="702" s="1" nd="1"/>
        <i x="204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09" s="1" nd="1"/>
        <i x="692" s="1" nd="1"/>
        <i x="441" s="1" nd="1"/>
        <i x="360" s="1" nd="1"/>
        <i x="705" s="1" nd="1"/>
        <i x="302" s="1" nd="1"/>
        <i x="189" s="1" nd="1"/>
        <i x="680" s="1" nd="1"/>
        <i x="282" s="1" nd="1"/>
        <i x="219" s="1" nd="1"/>
        <i x="318" s="1" nd="1"/>
        <i x="254" s="1" nd="1"/>
        <i x="192" s="1" nd="1"/>
        <i x="729" s="1" nd="1"/>
        <i x="384" s="1" nd="1"/>
        <i x="576" s="1" nd="1"/>
        <i x="359" s="1" nd="1"/>
        <i x="450" s="1" nd="1"/>
        <i x="513" s="1" nd="1"/>
        <i x="122" s="1" nd="1"/>
        <i x="646" s="1" nd="1"/>
        <i x="48" s="1" nd="1"/>
        <i x="415" s="1" nd="1"/>
        <i x="145" s="1" nd="1"/>
        <i x="728" s="1" nd="1"/>
        <i x="164" s="1" nd="1"/>
        <i x="345" s="1" nd="1"/>
        <i x="119" s="1" nd="1"/>
        <i x="289" s="1" nd="1"/>
        <i x="199" s="1" nd="1"/>
        <i x="205" s="1" nd="1"/>
        <i x="89" s="1" nd="1"/>
        <i x="27" s="1" nd="1"/>
        <i x="277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8" s="1" nd="1"/>
        <i x="588" s="1" nd="1"/>
        <i x="179" s="1" nd="1"/>
        <i x="623" s="1" nd="1"/>
        <i x="63" s="1" nd="1"/>
        <i x="423" s="1" nd="1"/>
        <i x="26" s="1" nd="1"/>
        <i x="765" s="1" nd="1"/>
        <i x="413" s="1" nd="1"/>
        <i x="552" s="1" nd="1"/>
        <i x="97" s="1" nd="1"/>
        <i x="85" s="1" nd="1"/>
        <i x="292" s="1" nd="1"/>
        <i x="195" s="1" nd="1"/>
        <i x="496" s="1" nd="1"/>
        <i x="261" s="1" nd="1"/>
        <i x="30" s="1" nd="1"/>
        <i x="105" s="1" nd="1"/>
        <i x="533" s="1" nd="1"/>
        <i x="296" s="1" nd="1"/>
        <i x="396" s="1" nd="1"/>
        <i x="229" s="1" nd="1"/>
        <i x="7" s="1" nd="1"/>
        <i x="472" s="1" nd="1"/>
        <i x="824" s="1" nd="1"/>
        <i x="35" s="1" nd="1"/>
        <i x="310" s="1" nd="1"/>
        <i x="825" s="1" nd="1"/>
        <i x="562" s="1" nd="1"/>
        <i x="62" s="1" nd="1"/>
        <i x="568" s="1" nd="1"/>
        <i x="430" s="1" nd="1"/>
        <i x="425" s="1" nd="1"/>
        <i x="176" s="1" nd="1"/>
        <i x="365" s="1" nd="1"/>
        <i x="758" s="1" nd="1"/>
        <i x="600" s="1" nd="1"/>
        <i x="12" s="1" nd="1"/>
        <i x="92" s="1" nd="1"/>
        <i x="437" s="1" nd="1"/>
        <i x="433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8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2" s="1" nd="1"/>
        <i x="56" s="1" nd="1"/>
        <i x="129" s="1" nd="1"/>
        <i x="3" s="1" nd="1"/>
        <i x="49" s="1" nd="1"/>
        <i x="90" s="1" nd="1"/>
        <i x="202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2940</v>
      </c>
      <c r="B2" s="12" t="s">
        <v>579</v>
      </c>
      <c r="C2" s="14">
        <v>46267</v>
      </c>
      <c r="D2" s="14">
        <v>46268</v>
      </c>
      <c r="E2" s="12"/>
      <c r="F2" s="15" t="s">
        <v>580</v>
      </c>
      <c r="G2" s="15" t="s">
        <v>581</v>
      </c>
      <c r="H2" s="15"/>
      <c r="I2" s="16">
        <v>33157.25</v>
      </c>
      <c r="J2" s="15" t="s">
        <v>582</v>
      </c>
      <c r="K2" s="15" t="s">
        <v>583</v>
      </c>
      <c r="L2" s="15" t="s">
        <v>584</v>
      </c>
      <c r="M2" s="15">
        <v>4822.38</v>
      </c>
      <c r="N2" s="15">
        <v>129</v>
      </c>
      <c r="O2" s="16">
        <v>267.48</v>
      </c>
      <c r="P2" s="15" t="s">
        <v>579</v>
      </c>
      <c r="Q2" s="15">
        <v>0</v>
      </c>
      <c r="R2" s="15" t="s">
        <v>585</v>
      </c>
      <c r="S2" s="15">
        <v>3200</v>
      </c>
      <c r="T2" s="15" t="s">
        <v>586</v>
      </c>
      <c r="U2" s="15">
        <v>0</v>
      </c>
      <c r="V2" s="15">
        <v>578.67999999999995</v>
      </c>
      <c r="W2" s="15">
        <v>0</v>
      </c>
      <c r="X2" s="15">
        <v>0</v>
      </c>
      <c r="Y2" s="15">
        <v>13.26</v>
      </c>
      <c r="Z2" s="15">
        <v>3.44</v>
      </c>
      <c r="AA2" s="15">
        <v>3795.38</v>
      </c>
      <c r="AB2" s="15">
        <v>1027</v>
      </c>
      <c r="AC2" s="15">
        <v>771.58</v>
      </c>
      <c r="AD2" s="15">
        <v>255.42</v>
      </c>
      <c r="AE2" s="15">
        <v>0</v>
      </c>
      <c r="AF2" s="15">
        <v>255.42</v>
      </c>
      <c r="AG2" s="17">
        <v>5.2999999999999999E-2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4822.38</v>
      </c>
      <c r="F3" s="93"/>
      <c r="G3" s="94"/>
      <c r="H3" s="95">
        <f>'Resumo Detalhado'!C2</f>
        <v>267.48</v>
      </c>
      <c r="I3" s="96"/>
      <c r="J3" s="97">
        <f>E3/H3</f>
        <v>18.02893674293405</v>
      </c>
      <c r="K3" s="98"/>
      <c r="L3" s="99"/>
      <c r="M3" s="138" t="s">
        <v>236</v>
      </c>
      <c r="N3" s="93"/>
      <c r="O3" s="94"/>
      <c r="P3" s="135">
        <v>3500</v>
      </c>
      <c r="Q3" s="136"/>
      <c r="R3" s="137"/>
      <c r="S3" s="103">
        <f>MIN(H3/P3,1)</f>
        <v>7.6422857142857153E-2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3200</v>
      </c>
      <c r="F7" s="109"/>
      <c r="G7" s="109"/>
      <c r="H7" s="109"/>
      <c r="I7" s="109"/>
      <c r="J7" s="109">
        <f>E7/H3</f>
        <v>11.96351129056378</v>
      </c>
      <c r="K7" s="109"/>
      <c r="L7" s="109"/>
      <c r="M7" s="110">
        <f>E7/E3</f>
        <v>0.6635727586793243</v>
      </c>
      <c r="N7" s="110"/>
      <c r="O7" s="110"/>
      <c r="P7" s="109">
        <f>E11+K11+Q11+E15+K15+Q15+E19+H19+K19</f>
        <v>4952.7511999999997</v>
      </c>
      <c r="Q7" s="109"/>
      <c r="R7" s="109"/>
      <c r="S7" s="109">
        <f>P7/H3</f>
        <v>18.516342156422908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3200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3200</v>
      </c>
      <c r="L11" s="94"/>
      <c r="M11" s="38"/>
      <c r="N11" s="92">
        <f>K11/H3</f>
        <v>11.96351129056378</v>
      </c>
      <c r="O11" s="94"/>
      <c r="P11" s="38"/>
      <c r="Q11" s="92">
        <f>'Resumo Detalhado'!D2</f>
        <v>0</v>
      </c>
      <c r="R11" s="94"/>
      <c r="S11" s="38"/>
      <c r="T11" s="92">
        <f>Q11/H3</f>
        <v>0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578.67999999999995</v>
      </c>
      <c r="F15" s="113"/>
      <c r="G15" s="113"/>
      <c r="H15" s="113"/>
      <c r="I15" s="114"/>
      <c r="J15" s="38"/>
      <c r="K15" s="116">
        <f>'Resumo Detalhado'!K2+'Resumo Detalhado'!L2</f>
        <v>771.58080000000007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13.26</v>
      </c>
      <c r="F19" s="119"/>
      <c r="G19" s="38"/>
      <c r="H19" s="106">
        <f>'Resumo Detalhado'!J2</f>
        <v>3.44</v>
      </c>
      <c r="I19" s="108"/>
      <c r="J19" s="38"/>
      <c r="K19" s="106">
        <f>'Resumo Detalhado'!L2</f>
        <v>385.79040000000003</v>
      </c>
      <c r="L19" s="108"/>
      <c r="M19" s="38"/>
      <c r="N19" s="112" t="s">
        <v>587</v>
      </c>
      <c r="O19" s="113"/>
      <c r="P19" s="113"/>
      <c r="Q19" s="113"/>
      <c r="R19" s="119"/>
      <c r="S19" s="112">
        <v>3200</v>
      </c>
      <c r="T19" s="113"/>
      <c r="U19" s="119"/>
      <c r="V19" s="36"/>
      <c r="W19" s="126" t="str">
        <f>IF(D11=S19,"NO TARGET",IF(D11&lt;S19,"ABAIXO DO TARGET",IF(D11&gt;S19,"FORA DO TARGET")))</f>
        <v>NO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641.20960000000014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0.13296538223864568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6.7773437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588</v>
      </c>
      <c r="F1" s="29"/>
    </row>
    <row r="2" spans="1:18" x14ac:dyDescent="0.3">
      <c r="B2" s="29">
        <f>SUM(B6:B5000)</f>
        <v>4822.38</v>
      </c>
      <c r="C2" s="29">
        <f>SUM(C6:C5000)</f>
        <v>267.48</v>
      </c>
      <c r="D2" s="29">
        <f>SUM(D6:D5000)</f>
        <v>0</v>
      </c>
      <c r="E2" s="29">
        <f>SUM(E6:E5000)</f>
        <v>3200</v>
      </c>
      <c r="F2" s="29">
        <f>SUM(F6:F5000)</f>
        <v>0</v>
      </c>
      <c r="G2" s="29"/>
      <c r="H2" s="29">
        <f t="shared" ref="H2:P2" si="0">SUM(H6:H5000)</f>
        <v>578.67999999999995</v>
      </c>
      <c r="I2" s="29">
        <f t="shared" si="0"/>
        <v>13.26</v>
      </c>
      <c r="J2" s="29">
        <f t="shared" si="0"/>
        <v>3.44</v>
      </c>
      <c r="K2" s="29">
        <f t="shared" si="0"/>
        <v>385.79040000000003</v>
      </c>
      <c r="L2" s="29">
        <f t="shared" si="0"/>
        <v>385.79040000000003</v>
      </c>
      <c r="M2" s="29">
        <f t="shared" si="0"/>
        <v>0</v>
      </c>
      <c r="N2" s="29">
        <f t="shared" si="0"/>
        <v>641.20960000000014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2940</v>
      </c>
      <c r="B6" s="139">
        <v>4822.38</v>
      </c>
      <c r="C6" s="140">
        <v>267.48</v>
      </c>
      <c r="D6" s="139">
        <v>0</v>
      </c>
      <c r="E6" s="139">
        <v>3200</v>
      </c>
      <c r="F6" s="139">
        <v>0</v>
      </c>
      <c r="G6" s="141">
        <v>0.6635727586793243</v>
      </c>
      <c r="H6" s="139">
        <v>578.67999999999995</v>
      </c>
      <c r="I6" s="139">
        <v>13.26</v>
      </c>
      <c r="J6" s="139">
        <v>3.44</v>
      </c>
      <c r="K6" s="139">
        <v>385.79040000000003</v>
      </c>
      <c r="L6" s="139">
        <v>385.79040000000003</v>
      </c>
      <c r="M6" s="139">
        <v>0</v>
      </c>
      <c r="N6" s="139">
        <v>641.20960000000014</v>
      </c>
      <c r="O6" s="141">
        <v>0.13296538223864568</v>
      </c>
      <c r="Q6"/>
    </row>
    <row r="7" spans="1:18" s="31" customFormat="1" x14ac:dyDescent="0.3">
      <c r="A7" s="9" t="s">
        <v>86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4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588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581</v>
      </c>
      <c r="B5" s="10">
        <v>4822.38</v>
      </c>
      <c r="C5" s="10">
        <v>641.20960000000014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2" t="s">
        <v>587</v>
      </c>
      <c r="D368" s="87">
        <v>3200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2026-09-09T16:52:41Z</dcterms:modified>
  <cp:category/>
  <cp:contentStatus/>
</cp:coreProperties>
</file>