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ADAB396-EF49-4B27-963D-DA95ED3836F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<sst xmlns="http://schemas.openxmlformats.org/spreadsheetml/2006/main" count="857" uniqueCount="590">
  <si>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</si>
  <si>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</si>
  <si>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</si>
  <si>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</si>
  <si>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</si>
  <si>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</si>
  <si>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</si>
  <si>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</si>
  <si>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</si>
  <si>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</si>
  <si>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</si>
  <si>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</si>
  <si>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</si>
  <si>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</si>
  <si>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</si>
  <si>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</si>
  <si>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</si>
  <si>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</si>
  <si>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</si>
  <si>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</si>
  <si>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</si>
  <si>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</si>
  <si>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</si>
  <si>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</si>
  <si>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</si>
  <si>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</si>
  <si>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</si>
  <si>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</si>
  <si>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</si>
  <si>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</si>
  <si>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</si>
  <si>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</si>
  <si>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</si>
  <si>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</si>
  <si>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</si>
  <si>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</si>
  <si>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</si>
  <si>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</si>
  <si>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</si>
  <si>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</si>
  <si>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</si>
  <si>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</si>
  <si>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</si>
  <si>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</si>
  <si>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</si>
  <si>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</si>
  <si>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</si>
  <si>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</si>
  <si>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</si>
  <si>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</si>
  <si>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</si>
  <si>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</si>
  <si>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</si>
  <si>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</si>
  <si>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</si>
  <si>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</si>
  <si>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</si>
  <si>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</si>
  <si>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</si>
  <si>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</si>
  <si>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</si>
  <si>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</si>
  <si>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</si>
  <si>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</si>
  <si>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</si>
  <si>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</si>
  <si>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</si>
  <si>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</si>
  <si>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</si>
  <si>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</si>
  <si>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</si>
  <si>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</si>
  <si>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</si>
  <si>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</si>
  <si>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</si>
  <si>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</si>
  <si>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</si>
  <si>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</si>
  <si>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</si>
  <si>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</si>
  <si>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</si>
  <si>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</si>
  <si>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</si>
  <si>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</si>
  <si>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</si>
  <si>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</si>
  <si>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</si>
  <si>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</si>
  <si>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</si>
  <si>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</si>
  <si>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</si>
  <si>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</si>
  <si>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</si>
  <si>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</si>
  <si>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</si>
  <si>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</si>
  <si>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</si>
  <si>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</si>
  <si>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</si>
  <si>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</si>
  <si>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</si>
  <si>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</si>
  <si>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</si>
  <si>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</si>
  <si>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</si>
  <si>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</si>
  <si>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</si>
  <si>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</si>
  <si>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</si>
  <si>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</si>
  <si>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</si>
  <si>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</si>
  <si>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</si>
  <si>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</si>
  <si>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</si>
  <si>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</si>
  <si>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</si>
  <si>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</si>
  <si>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</si>
  <si>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</si>
  <si>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</si>
  <si>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</si>
  <si>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</si>
  <si>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</si>
  <si>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</si>
  <si>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</si>
  <si>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</si>
  <si>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</si>
  <si>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</si>
  <si>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</si>
  <si>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</si>
  <si>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</si>
  <si>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</si>
  <si>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</si>
  <si>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</si>
  <si>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</si>
  <si>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</si>
  <si>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</si>
  <si>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</si>
  <si>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</si>
  <si>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</si>
  <si>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</si>
  <si>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</si>
  <si>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</si>
  <si>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</si>
  <si>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</si>
  <si>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</si>
  <si>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</si>
  <si>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</si>
  <si>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</si>
  <si>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</si>
  <si>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</si>
  <si>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</si>
  <si>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</si>
  <si>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</si>
  <si>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</si>
  <si>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</si>
  <si>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</si>
  <si>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</si>
  <si>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</si>
  <si>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</si>
  <si>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</si>
  <si>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</si>
  <si>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</si>
  <si>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</si>
  <si>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</si>
  <si>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</si>
  <si>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</si>
  <si>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</si>
  <si>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</si>
  <si>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</si>
  <si>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</si>
  <si>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</si>
  <si>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</si>
  <si>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</si>
  <si>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</si>
  <si>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</si>
  <si>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</si>
  <si>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</si>
  <si>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</si>
  <si>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</si>
  <si>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</si>
  <si>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</si>
  <si>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</si>
  <si>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</si>
  <si>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</si>
  <si>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</si>
  <si>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</si>
  <si>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</si>
  <si>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</si>
  <si>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</si>
  <si>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</si>
  <si>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</si>
  <si>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</si>
  <si>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</si>
  <si>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</si>
  <si>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</si>
  <si>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</si>
  <si>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</si>
  <si>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</si>
  <si>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</si>
  <si>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</si>
  <si>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</si>
  <si>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</si>
  <si>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</si>
  <si>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</si>
  <si>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</si>
  <si>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</si>
  <si>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</si>
  <si>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</si>
  <si>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</si>
  <si>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</si>
  <si>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</si>
  <si>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</si>
  <si>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</si>
  <si>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</si>
  <si>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</si>
  <si>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</si>
  <si>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</si>
  <si>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</si>
  <si>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</si>
  <si>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</si>
  <si>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</si>
  <si>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</si>
  <si>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</si>
  <si>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</si>
  <si>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</si>
  <si>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</si>
  <si>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</si>
  <si>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</si>
  <si>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</si>
  <si>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</si>
  <si>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</si>
  <si>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</si>
  <si>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</si>
  <si>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</si>
  <si>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</si>
  <si>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</si>
  <si>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</si>
  <si>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</si>
  <si>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</si>
  <si>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</si>
  <si>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</si>
  <si>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</si>
  <si>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</si>
  <si>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</si>
  <si>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</si>
  <si>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</si>
  <si>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</si>
  <si>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</si>
  <si>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</si>
  <si>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</si>
  <si>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</si>
  <si>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</si>
  <si>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</si>
  <si>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</si>
  <si>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</si>
  <si>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</si>
  <si>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</si>
  <si>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</si>
  <si>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</si>
  <si>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</si>
  <si>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</si>
  <si>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</si>
  <si>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</si>
  <si>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</si>
  <si>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</si>
  <si>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</si>
  <si>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</si>
  <si>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</si>
  <si>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</si>
  <si>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</si>
  <si>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</si>
  <si>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</si>
  <si>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</si>
  <si>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</si>
  <si>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</si>
  <si>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</si>
  <si>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</si>
  <si>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</si>
  <si>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</si>
  <si>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</si>
  <si>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</si>
  <si>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</si>
  <si>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</si>
  <si>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</si>
  <si>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</si>
  <si>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</si>
  <si>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</si>
  <si>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</si>
  <si>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</si>
  <si>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</si>
  <si>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</si>
  <si>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</si>
  <si>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</si>
  <si>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</si>
  <si>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</si>
  <si>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</si>
  <si>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</si>
  <si>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</si>
  <si>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</si>
  <si>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</si>
  <si>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</si>
  <si>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</si>
  <si>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</si>
  <si>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</si>
  <si>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</si>
  <si>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</si>
  <si>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</si>
  <si>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</si>
  <si>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</si>
  <si>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</si>
  <si>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</si>
  <si>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</si>
  <si>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</si>
  <si>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</si>
  <si>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</si>
  <si>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</si>
  <si>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</si>
  <si>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</si>
  <si>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</si>
  <si>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</si>
  <si>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</si>
  <si>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</si>
  <si>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</si>
  <si>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</si>
  <si>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</si>
  <si>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</si>
  <si>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</si>
  <si>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</si>
  <si>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</si>
  <si>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</si>
  <si>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</si>
  <si>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</si>
  <si>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</si>
  <si>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</si>
  <si>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</si>
  <si>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</si>
  <si>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</si>
  <si>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</si>
  <si>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</si>
  <si>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</si>
  <si>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</si>
  <si>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</si>
  <si>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</si>
  <si>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</si>
  <si>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</si>
  <si>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</si>
  <si>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</si>
  <si>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</si>
  <si>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</si>
  <si>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</si>
  <si>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</si>
  <si>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</si>
  <si>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</si>
  <si>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</si>
  <si>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</si>
  <si>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</si>
  <si>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</si>
  <si>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</si>
  <si>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</si>
  <si>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</si>
  <si>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</si>
  <si>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</si>
  <si>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</si>
  <si>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</si>
  <si>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</si>
  <si>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</si>
  <si>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</si>
  <si>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</si>
  <si>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</si>
  <si>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</si>
  <si>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</si>
  <si>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</si>
  <si>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</si>
  <si>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</si>
  <si>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</si>
  <si>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</si>
  <si>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</si>
  <si>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</si>
  <si>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</si>
  <si>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</si>
  <si>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</si>
  <si>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</si>
  <si>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</si>
  <si>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</si>
  <si>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</si>
  <si>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</si>
  <si>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</si>
  <si>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</si>
  <si>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</si>
  <si>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</si>
  <si>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</si>
  <si>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</si>
  <si>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</si>
  <si>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</si>
  <si>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</si>
  <si>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</si>
  <si>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</si>
  <si>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</si>
  <si>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</si>
  <si>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</si>
  <si>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</si>
  <si>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</si>
  <si>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</si>
  <si>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</si>
  <si>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</si>
  <si>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</si>
  <si>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</si>
  <si>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</si>
  <si>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</si>
  <si>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</si>
  <si>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</si>
  <si>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</si>
  <si>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</si>
  <si>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</si>
  <si>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</si>
  <si>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</si>
  <si>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</si>
  <si>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</si>
  <si>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</si>
  <si>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</si>
  <si>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</si>
  <si>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</si>
  <si>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</si>
  <si>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</si>
  <si>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</si>
  <si>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</si>
  <si>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</si>
  <si>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</si>
  <si>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</si>
  <si>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</si>
  <si>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</si>
  <si>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</si>
  <si>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</si>
  <si>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</si>
  <si>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</si>
  <si>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</si>
  <si>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</si>
  <si>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</si>
  <si>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</si>
  <si>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</si>
  <si>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</si>
  <si>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</si>
  <si>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</si>
  <si>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</si>
  <si>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</si>
  <si>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</si>
  <si>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</si>
  <si>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</si>
  <si>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</si>
  <si>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</si>
  <si>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</si>
  <si>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</si>
  <si>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</si>
  <si>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</si>
  <si>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</si>
  <si>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</si>
  <si>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</si>
  <si>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</si>
  <si>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</si>
  <si>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</si>
  <si>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</si>
  <si>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</si>
  <si>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</si>
  <si>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</si>
  <si>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</si>
  <si>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</si>
  <si>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</si>
  <si>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</si>
  <si>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</si>
  <si>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</si>
  <si>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</si>
  <si>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</si>
  <si>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</si>
  <si>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</si>
  <si>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</si>
  <si>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</si>
  <si>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</si>
  <si>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</si>
  <si>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</si>
  <si>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</si>
  <si>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</si>
  <si>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</si>
  <si>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</si>
  <si>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</si>
  <si>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</si>
  <si>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</si>
  <si>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</si>
  <si>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</si>
  <si>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</si>
  <si>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</si>
  <si>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</si>
  <si>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</si>
  <si>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</si>
  <si>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</si>
  <si>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</si>
  <si>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</si>
  <si>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</si>
  <si>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</si>
  <si>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</si>
  <si>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</si>
  <si>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</si>
  <si>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</si>
  <si>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</si>
  <si>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</si>
  <si>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</si>
  <si>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</si>
  <si>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</si>
  <si>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</si>
  <si>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</si>
  <si>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</si>
  <si>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</si>
  <si>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</si>
  <si>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</si>
  <si>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</si>
  <si>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</si>
  <si>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</si>
  <si>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</si>
  <si>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</si>
  <si>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</si>
  <si>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</si>
  <si>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</si>
  <si>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</si>
  <si>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</si>
  <si>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</si>
  <si>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</si>
  <si>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</si>
  <si>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</si>
  <si>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</si>
  <si>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</si>
  <si>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</si>
  <si>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</si>
  <si>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</si>
  <si>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</si>
  <si>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</si>
  <si>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</si>
  <si>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</si>
  <si>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</si>
  <si>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</si>
  <si>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</si>
  <si>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</si>
  <si>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</si>
  <si>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</si>
  <si>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</si>
  <si>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</si>
  <si>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</si>
  <si>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</si>
  <si>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</si>
  <si>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</si>
  <si>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</si>
  <si>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</si>
  <si>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</si>
  <si>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</si>
  <si>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</si>
  <si>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</si>
  <si>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</si>
  <si>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</si>
  <si>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</si>
  <si>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</si>
  <si>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</si>
  <si>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</si>
  <si>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</si>
  <si>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</si>
  <si>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</si>
  <si>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</si>
  <si>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</si>
  <si>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</si>
  <si>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</si>
  <si>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</si>
  <si>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</si>
  <si>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</si>
  <si>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</si>
  <si>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</si>
  <si>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</si>
  <si>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</si>
  <si>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</si>
  <si>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</si>
  <si>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</si>
  <si>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</si>
  <si>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2983-1</t>
  </si>
  <si>
    <t>AC COMERCIAL IM</t>
  </si>
  <si>
    <t>TIAGO SANTANA</t>
  </si>
  <si>
    <t>PERSONALIZADO_L</t>
  </si>
  <si>
    <t>CTE NORMAL</t>
  </si>
  <si>
    <t>HIDROLANDIA - GO</t>
  </si>
  <si>
    <t>SUZANA CRISTINA GONCALVES</t>
  </si>
  <si>
    <t>INDEFINIDO</t>
  </si>
  <si>
    <t>Itajai-Sc X Hidrolandia-Gotoco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</si>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</sst>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 SANDRO_11092026.xlsx]Resumo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15097.51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4126.7692000000006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 SANDRO_11092026.xlsx]Resumo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15097.51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4126.7692000000006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18460648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08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4259.51" maxValue="164259.51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097.51" maxValue="15097.51"/>
    </cacheField>
    <cacheField name="VOLUMES" numFmtId="0">
      <sharedItems containsString="0" containsBlank="1" containsNumber="1" containsInteger="1" minValue="8" maxValue="8"/>
    </cacheField>
    <cacheField name="PESO" numFmtId="0">
      <sharedItems containsString="0" containsBlank="1" containsNumber="1" containsInteger="1" minValue="2880" maxValue="288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8500" maxValue="8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56.83" maxValue="1056.8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5.7" maxValue="65.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622.5300000000007" maxValue="9622.5300000000007"/>
    </cacheField>
    <cacheField name="RECEITA" numFmtId="0">
      <sharedItems containsString="0" containsBlank="1" containsNumber="1" minValue="5474.98" maxValue="5474.98"/>
    </cacheField>
    <cacheField name="IMPOSTO" numFmtId="0">
      <sharedItems containsString="0" containsBlank="1" containsNumber="1" minValue="2415.6" maxValue="2415.6"/>
    </cacheField>
    <cacheField name="RESULTADO" numFmtId="0">
      <sharedItems containsString="0" containsBlank="1" containsNumber="1" minValue="3059.3799999999997" maxValue="3059.3799999999997"/>
    </cacheField>
    <cacheField name="COMIS" numFmtId="0">
      <sharedItems containsString="0" containsBlank="1" containsNumber="1" minValue="140.41" maxValue="140.41"/>
    </cacheField>
    <cacheField name="LUCRO LIQ" numFmtId="0">
      <sharedItems containsString="0" containsBlank="1" containsNumber="1" minValue="2918.97" maxValue="2918.97"/>
    </cacheField>
    <cacheField name="MARGEM" numFmtId="10">
      <sharedItems containsString="0" containsBlank="1" containsNumber="1" minValue="0.19329999999999997" maxValue="0.1932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0T00:00:00"/>
    <m/>
    <s v="2983-1"/>
    <x v="0"/>
    <s v="TIAGO SANTANA"/>
    <n v="164259.51"/>
    <x v="0"/>
    <s v="CTE NORMAL"/>
    <s v="HIDROLANDIA - GO"/>
    <n v="15097.51"/>
    <n v="8"/>
    <n v="2880"/>
    <s v="MATRIZ"/>
    <n v="0"/>
    <s v="SUZANA CRISTINA GONCALVES"/>
    <n v="8500"/>
    <s v="INDEFINIDO"/>
    <n v="0"/>
    <n v="1056.83"/>
    <n v="0"/>
    <n v="0"/>
    <n v="65.7"/>
    <n v="0"/>
    <n v="9622.5300000000007"/>
    <n v="5474.98"/>
    <n v="2415.6"/>
    <n v="3059.3799999999997"/>
    <n v="140.41"/>
    <n v="2918.97"/>
    <n v="0.19329999999999997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3083</v>
      </c>
      <c r="B2" s="12" t="s">
        <v>579</v>
      </c>
      <c r="C2" s="14">
        <v>46275</v>
      </c>
      <c r="D2" s="14">
        <v>46275</v>
      </c>
      <c r="E2" s="12"/>
      <c r="F2" s="15" t="s">
        <v>580</v>
      </c>
      <c r="G2" s="15" t="s">
        <v>581</v>
      </c>
      <c r="H2" s="15" t="s">
        <v>582</v>
      </c>
      <c r="I2" s="16">
        <v>164259.51</v>
      </c>
      <c r="J2" s="15" t="s">
        <v>583</v>
      </c>
      <c r="K2" s="15" t="s">
        <v>584</v>
      </c>
      <c r="L2" s="15" t="s">
        <v>585</v>
      </c>
      <c r="M2" s="15">
        <v>15097.51</v>
      </c>
      <c r="N2" s="15">
        <v>8</v>
      </c>
      <c r="O2" s="16">
        <v>2880</v>
      </c>
      <c r="P2" s="15" t="s">
        <v>579</v>
      </c>
      <c r="Q2" s="15">
        <v>0</v>
      </c>
      <c r="R2" s="15" t="s">
        <v>586</v>
      </c>
      <c r="S2" s="15">
        <v>8500</v>
      </c>
      <c r="T2" s="15" t="s">
        <v>587</v>
      </c>
      <c r="U2" s="15">
        <v>0</v>
      </c>
      <c r="V2" s="15">
        <v>1056.83</v>
      </c>
      <c r="W2" s="15">
        <v>0</v>
      </c>
      <c r="X2" s="15">
        <v>0</v>
      </c>
      <c r="Y2" s="15">
        <v>65.7</v>
      </c>
      <c r="Z2" s="15">
        <v>0</v>
      </c>
      <c r="AA2" s="15">
        <v>9622.5300000000007</v>
      </c>
      <c r="AB2" s="15">
        <v>5474.98</v>
      </c>
      <c r="AC2" s="15">
        <v>2415.6</v>
      </c>
      <c r="AD2" s="15">
        <v>3059.3799999999997</v>
      </c>
      <c r="AE2" s="15">
        <v>140.41</v>
      </c>
      <c r="AF2" s="15">
        <v>2918.97</v>
      </c>
      <c r="AG2" s="17">
        <v>0.19329999999999997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15097.51</v>
      </c>
      <c r="F3" s="93"/>
      <c r="G3" s="94"/>
      <c r="H3" s="95">
        <f>'Resumo Detalhado'!C2</f>
        <v>2880</v>
      </c>
      <c r="I3" s="96"/>
      <c r="J3" s="97">
        <f>E3/H3</f>
        <v>5.2421909722222226</v>
      </c>
      <c r="K3" s="98"/>
      <c r="L3" s="99"/>
      <c r="M3" s="138" t="s">
        <v>60</v>
      </c>
      <c r="N3" s="93"/>
      <c r="O3" s="94"/>
      <c r="P3" s="135">
        <v>6000</v>
      </c>
      <c r="Q3" s="136"/>
      <c r="R3" s="137"/>
      <c r="S3" s="103">
        <f>MIN(H3/P3,1)</f>
        <v>0.48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8500</v>
      </c>
      <c r="F7" s="109"/>
      <c r="G7" s="109"/>
      <c r="H7" s="109"/>
      <c r="I7" s="109"/>
      <c r="J7" s="109">
        <f>E7/H3</f>
        <v>2.9513888888888888</v>
      </c>
      <c r="K7" s="109"/>
      <c r="L7" s="109"/>
      <c r="M7" s="110">
        <f>E7/E3</f>
        <v>0.56300674747027823</v>
      </c>
      <c r="N7" s="110"/>
      <c r="O7" s="110"/>
      <c r="P7" s="109">
        <f>E11+K11+Q11+E15+K15+Q15+E19+H19+K19</f>
        <v>13245.932400000002</v>
      </c>
      <c r="Q7" s="109"/>
      <c r="R7" s="109"/>
      <c r="S7" s="109">
        <f>P7/H3</f>
        <v>4.5992820833333337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8500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8500</v>
      </c>
      <c r="L11" s="94"/>
      <c r="M11" s="38"/>
      <c r="N11" s="92">
        <f>K11/H3</f>
        <v>2.9513888888888888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1056.83</v>
      </c>
      <c r="F15" s="113"/>
      <c r="G15" s="113"/>
      <c r="H15" s="113"/>
      <c r="I15" s="114"/>
      <c r="J15" s="38"/>
      <c r="K15" s="116">
        <f>'Resumo Detalhado'!K2+'Resumo Detalhado'!L2</f>
        <v>2415.6016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65.7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1207.8008</v>
      </c>
      <c r="L19" s="108"/>
      <c r="M19" s="38"/>
      <c r="N19" s="112" t="s">
        <v>588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4126.7692000000006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0.27334104762970851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15097.51</v>
      </c>
      <c r="C2" s="29">
        <f>SUM(C6:C5000)</f>
        <v>2880</v>
      </c>
      <c r="D2" s="29">
        <f>SUM(D6:D5000)</f>
        <v>0</v>
      </c>
      <c r="E2" s="29">
        <f>SUM(E6:E5000)</f>
        <v>8500</v>
      </c>
      <c r="F2" s="29">
        <f>SUM(F6:F5000)</f>
        <v>0</v>
      </c>
      <c r="G2" s="29"/>
      <c r="H2" s="29">
        <f t="shared" ref="H2:P2" si="0">SUM(H6:H5000)</f>
        <v>1056.83</v>
      </c>
      <c r="I2" s="29">
        <f t="shared" si="0"/>
        <v>65.7</v>
      </c>
      <c r="J2" s="29">
        <f t="shared" si="0"/>
        <v>0</v>
      </c>
      <c r="K2" s="29">
        <f t="shared" si="0"/>
        <v>1207.8008</v>
      </c>
      <c r="L2" s="29">
        <f t="shared" si="0"/>
        <v>1207.8008</v>
      </c>
      <c r="M2" s="29">
        <f t="shared" si="0"/>
        <v>140.41</v>
      </c>
      <c r="N2" s="29">
        <f t="shared" si="0"/>
        <v>4126.7692000000006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3083</v>
      </c>
      <c r="B6" s="140">
        <v>15097.51</v>
      </c>
      <c r="C6" s="141">
        <v>2880</v>
      </c>
      <c r="D6" s="140">
        <v>0</v>
      </c>
      <c r="E6" s="140">
        <v>8500</v>
      </c>
      <c r="F6" s="140">
        <v>0</v>
      </c>
      <c r="G6" s="142">
        <v>0.56300674747027823</v>
      </c>
      <c r="H6" s="140">
        <v>1056.83</v>
      </c>
      <c r="I6" s="140">
        <v>65.7</v>
      </c>
      <c r="J6" s="140">
        <v>0</v>
      </c>
      <c r="K6" s="140">
        <v>1207.8008</v>
      </c>
      <c r="L6" s="140">
        <v>1207.8008</v>
      </c>
      <c r="M6" s="140">
        <v>140.41</v>
      </c>
      <c r="N6" s="140">
        <v>4126.7692000000006</v>
      </c>
      <c r="O6" s="142">
        <v>0.27334104762970851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15097.51</v>
      </c>
      <c r="C5" s="10">
        <v>4126.7692000000006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2026-09-16T13:19:35Z</dcterms:modified>
  <cp:category/>
  <cp:contentStatus/>
</cp:coreProperties>
</file>