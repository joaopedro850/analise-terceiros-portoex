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21B8DDC-1823-4D61-B109-5DFDF8B1B2E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<sst xmlns="http://schemas.openxmlformats.org/spreadsheetml/2006/main" count="914" uniqueCount="633">
  <si>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</si>
  <si>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</si>
  <si>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</si>
  <si>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</si>
  <si>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</si>
  <si>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</si>
  <si>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</si>
  <si>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</si>
  <si>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</si>
  <si>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</si>
  <si>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</si>
  <si>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</si>
  <si>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</si>
  <si>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</si>
  <si>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</si>
  <si>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</si>
  <si>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</si>
  <si>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</si>
  <si>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</si>
  <si>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</si>
  <si>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</si>
  <si>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</si>
  <si>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</si>
  <si>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</si>
  <si>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</si>
  <si>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</si>
  <si>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</si>
  <si>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</si>
  <si>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</si>
  <si>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</si>
  <si>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</si>
  <si>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</si>
  <si>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</si>
  <si>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</si>
  <si>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</si>
  <si>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</si>
  <si>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</si>
  <si>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</si>
  <si>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</si>
  <si>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</si>
  <si>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</si>
  <si>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</si>
  <si>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</si>
  <si>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</si>
  <si>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</si>
  <si>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</si>
  <si>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</si>
  <si>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</si>
  <si>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</si>
  <si>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</si>
  <si>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</si>
  <si>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</si>
  <si>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</si>
  <si>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</si>
  <si>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</si>
  <si>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</si>
  <si>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</si>
  <si>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</si>
  <si>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</si>
  <si>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</si>
  <si>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</si>
  <si>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</si>
  <si>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</si>
  <si>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</si>
  <si>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</si>
  <si>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</si>
  <si>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</si>
  <si>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</si>
  <si>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</si>
  <si>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</si>
  <si>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</si>
  <si>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</si>
  <si>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</si>
  <si>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</si>
  <si>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</si>
  <si>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</si>
  <si>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</si>
  <si>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</si>
  <si>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</si>
  <si>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</si>
  <si>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</si>
  <si>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</si>
  <si>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</si>
  <si>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</si>
  <si>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</si>
  <si>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</si>
  <si>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</si>
  <si>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</si>
  <si>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</si>
  <si>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</si>
  <si>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</si>
  <si>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</si>
  <si>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</si>
  <si>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</si>
  <si>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</si>
  <si>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</si>
  <si>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</si>
  <si>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</si>
  <si>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</si>
  <si>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</si>
  <si>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</si>
  <si>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</si>
  <si>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</si>
  <si>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</si>
  <si>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</si>
  <si>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</si>
  <si>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</si>
  <si>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</si>
  <si>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</si>
  <si>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</si>
  <si>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</si>
  <si>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</si>
  <si>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</si>
  <si>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</si>
  <si>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</si>
  <si>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</si>
  <si>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</si>
  <si>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</si>
  <si>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</si>
  <si>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</si>
  <si>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</si>
  <si>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</si>
  <si>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</si>
  <si>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</si>
  <si>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</si>
  <si>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</si>
  <si>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</si>
  <si>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</si>
  <si>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</si>
  <si>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</si>
  <si>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</si>
  <si>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</si>
  <si>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</si>
  <si>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</si>
  <si>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</si>
  <si>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</si>
  <si>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</si>
  <si>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</si>
  <si>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</si>
  <si>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</si>
  <si>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</si>
  <si>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</si>
  <si>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</si>
  <si>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</si>
  <si>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</si>
  <si>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</si>
  <si>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</si>
  <si>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</si>
  <si>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</si>
  <si>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</si>
  <si>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</si>
  <si>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</si>
  <si>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</si>
  <si>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</si>
  <si>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</si>
  <si>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</si>
  <si>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</si>
  <si>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</si>
  <si>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</si>
  <si>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</si>
  <si>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</si>
  <si>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</si>
  <si>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</si>
  <si>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</si>
  <si>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</si>
  <si>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</si>
  <si>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</si>
  <si>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</si>
  <si>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</si>
  <si>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</si>
  <si>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</si>
  <si>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</si>
  <si>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</si>
  <si>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</si>
  <si>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</si>
  <si>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</si>
  <si>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</si>
  <si>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</si>
  <si>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</si>
  <si>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</si>
  <si>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</si>
  <si>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</si>
  <si>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</si>
  <si>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</si>
  <si>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</si>
  <si>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</si>
  <si>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</si>
  <si>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</si>
  <si>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</si>
  <si>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</si>
  <si>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</si>
  <si>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</si>
  <si>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</si>
  <si>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</si>
  <si>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</si>
  <si>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</si>
  <si>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</si>
  <si>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</si>
  <si>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</si>
  <si>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</si>
  <si>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</si>
  <si>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</si>
  <si>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</si>
  <si>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</si>
  <si>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</si>
  <si>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</si>
  <si>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</si>
  <si>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</si>
  <si>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</si>
  <si>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</si>
  <si>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</si>
  <si>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</si>
  <si>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</si>
  <si>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</si>
  <si>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</si>
  <si>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</si>
  <si>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</si>
  <si>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</si>
  <si>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</si>
  <si>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</si>
  <si>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</si>
  <si>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</si>
  <si>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</si>
  <si>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</si>
  <si>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</si>
  <si>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</si>
  <si>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</si>
  <si>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</si>
  <si>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</si>
  <si>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</si>
  <si>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</si>
  <si>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</si>
  <si>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</si>
  <si>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</si>
  <si>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</si>
  <si>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</si>
  <si>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</si>
  <si>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</si>
  <si>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</si>
  <si>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</si>
  <si>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</si>
  <si>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</si>
  <si>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</si>
  <si>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</si>
  <si>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</si>
  <si>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</si>
  <si>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</si>
  <si>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</si>
  <si>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</si>
  <si>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</si>
  <si>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</si>
  <si>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</si>
  <si>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</si>
  <si>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</si>
  <si>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</si>
  <si>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</si>
  <si>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</si>
  <si>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</si>
  <si>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</si>
  <si>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</si>
  <si>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</si>
  <si>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</si>
  <si>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</si>
  <si>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</si>
  <si>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</si>
  <si>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</si>
  <si>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</si>
  <si>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</si>
  <si>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</si>
  <si>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</si>
  <si>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</si>
  <si>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</si>
  <si>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</si>
  <si>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</si>
  <si>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</si>
  <si>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</si>
  <si>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</si>
  <si>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</si>
  <si>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</si>
  <si>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</si>
  <si>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</si>
  <si>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</si>
  <si>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</si>
  <si>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</si>
  <si>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</si>
  <si>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</si>
  <si>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</si>
  <si>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</si>
  <si>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</si>
  <si>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</si>
  <si>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</si>
  <si>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</si>
  <si>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</si>
  <si>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</si>
  <si>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</si>
  <si>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</si>
  <si>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</si>
  <si>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</si>
  <si>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</si>
  <si>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</si>
  <si>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</si>
  <si>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</si>
  <si>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</si>
  <si>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</si>
  <si>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</si>
  <si>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</si>
  <si>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</si>
  <si>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</si>
  <si>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</si>
  <si>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</si>
  <si>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</si>
  <si>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</si>
  <si>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</si>
  <si>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</si>
  <si>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</si>
  <si>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</si>
  <si>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</si>
  <si>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</si>
  <si>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</si>
  <si>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</si>
  <si>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</si>
  <si>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</si>
  <si>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</si>
  <si>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</si>
  <si>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</si>
  <si>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</si>
  <si>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</si>
  <si>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</si>
  <si>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</si>
  <si>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</si>
  <si>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</si>
  <si>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</si>
  <si>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</si>
  <si>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</si>
  <si>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</si>
  <si>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</si>
  <si>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</si>
  <si>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</si>
  <si>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</si>
  <si>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</si>
  <si>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</si>
  <si>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</si>
  <si>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</si>
  <si>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</si>
  <si>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</si>
  <si>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</si>
  <si>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</si>
  <si>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</si>
  <si>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</si>
  <si>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</si>
  <si>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</si>
  <si>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</si>
  <si>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</si>
  <si>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</si>
  <si>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</si>
  <si>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</si>
  <si>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</si>
  <si>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</si>
  <si>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</si>
  <si>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</si>
  <si>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</si>
  <si>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</si>
  <si>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</si>
  <si>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</si>
  <si>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</si>
  <si>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</si>
  <si>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</si>
  <si>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</si>
  <si>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</si>
  <si>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</si>
  <si>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</si>
  <si>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</si>
  <si>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</si>
  <si>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</si>
  <si>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</si>
  <si>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</si>
  <si>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</si>
  <si>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</si>
  <si>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</si>
  <si>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</si>
  <si>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</si>
  <si>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</si>
  <si>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</si>
  <si>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</si>
  <si>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</si>
  <si>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</si>
  <si>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</si>
  <si>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</si>
  <si>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</si>
  <si>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</si>
  <si>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</si>
  <si>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</si>
  <si>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</si>
  <si>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</si>
  <si>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</si>
  <si>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</si>
  <si>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</si>
  <si>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</si>
  <si>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</si>
  <si>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</si>
  <si>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</si>
  <si>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</si>
  <si>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</si>
  <si>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</si>
  <si>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</si>
  <si>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</si>
  <si>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</si>
  <si>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</si>
  <si>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</si>
  <si>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</si>
  <si>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</si>
  <si>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</si>
  <si>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</si>
  <si>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</si>
  <si>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</si>
  <si>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</si>
  <si>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</si>
  <si>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</si>
  <si>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</si>
  <si>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</si>
  <si>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</si>
  <si>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</si>
  <si>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</si>
  <si>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</si>
  <si>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</si>
  <si>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</si>
  <si>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</si>
  <si>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</si>
  <si>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</si>
  <si>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</si>
  <si>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</si>
  <si>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</si>
  <si>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</si>
  <si>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</si>
  <si>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</si>
  <si>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</si>
  <si>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</si>
  <si>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</si>
  <si>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</si>
  <si>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</si>
  <si>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</si>
  <si>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</si>
  <si>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</si>
  <si>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</si>
  <si>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</si>
  <si>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</si>
  <si>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</si>
  <si>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</si>
  <si>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</si>
  <si>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</si>
  <si>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</si>
  <si>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</si>
  <si>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</si>
  <si>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</si>
  <si>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</si>
  <si>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</si>
  <si>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</si>
  <si>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</si>
  <si>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</si>
  <si>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</si>
  <si>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</si>
  <si>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</si>
  <si>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</si>
  <si>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</si>
  <si>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</si>
  <si>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</si>
  <si>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</si>
  <si>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</si>
  <si>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</si>
  <si>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</si>
  <si>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</si>
  <si>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</si>
  <si>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</si>
  <si>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</si>
  <si>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</si>
  <si>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</si>
  <si>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</si>
  <si>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</si>
  <si>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</si>
  <si>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</si>
  <si>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</si>
  <si>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</si>
  <si>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</si>
  <si>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</si>
  <si>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</si>
  <si>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</si>
  <si>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</si>
  <si>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</si>
  <si>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</si>
  <si>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</si>
  <si>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</si>
  <si>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</si>
  <si>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</si>
  <si>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</si>
  <si>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</si>
  <si>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</si>
  <si>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</si>
  <si>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</si>
  <si>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</si>
  <si>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</si>
  <si>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</si>
  <si>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</si>
  <si>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</si>
  <si>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</si>
  <si>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</si>
  <si>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</si>
  <si>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</si>
  <si>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</si>
  <si>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</si>
  <si>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</si>
  <si>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</si>
  <si>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</si>
  <si>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</si>
  <si>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</si>
  <si>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</si>
  <si>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</si>
  <si>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</si>
  <si>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</si>
  <si>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</si>
  <si>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</si>
  <si>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</si>
  <si>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</si>
  <si>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</si>
  <si>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</si>
  <si>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</si>
  <si>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</si>
  <si>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</si>
  <si>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</si>
  <si>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</si>
  <si>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</si>
  <si>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</si>
  <si>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</si>
  <si>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</si>
  <si>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</si>
  <si>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</si>
  <si>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</si>
  <si>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</si>
  <si>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</si>
  <si>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</si>
  <si>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</si>
  <si>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</si>
  <si>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</si>
  <si>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</si>
  <si>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</si>
  <si>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</si>
  <si>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</si>
  <si>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</si>
  <si>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</si>
  <si>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</si>
  <si>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</si>
  <si>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</si>
  <si>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</si>
  <si>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</si>
  <si>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</si>
  <si>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</si>
  <si>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</si>
  <si>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</si>
  <si>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</si>
  <si>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</si>
  <si>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</si>
  <si>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</si>
  <si>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</si>
  <si>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</si>
  <si>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</si>
  <si>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</si>
  <si>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</si>
  <si>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</si>
  <si>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</si>
  <si>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</si>
  <si>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</si>
  <si>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</si>
  <si>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</si>
  <si>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</si>
  <si>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</si>
  <si>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</si>
  <si>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</si>
  <si>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</si>
  <si>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</si>
  <si>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</si>
  <si>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</si>
  <si>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</si>
  <si>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</si>
  <si>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</si>
  <si>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</si>
  <si>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</si>
  <si>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</si>
  <si>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</si>
  <si>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</si>
  <si>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</si>
  <si>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</si>
  <si>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</si>
  <si>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</si>
  <si>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</si>
  <si>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</si>
  <si>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</si>
  <si>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</si>
  <si>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</si>
  <si>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</si>
  <si>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</si>
  <si>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</si>
  <si>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</si>
  <si>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</si>
  <si>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</si>
  <si>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</si>
  <si>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</si>
  <si>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</si>
  <si>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</si>
  <si>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</si>
  <si>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</si>
  <si>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</si>
  <si>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</si>
  <si>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</si>
  <si>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</si>
  <si>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</si>
  <si>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</si>
  <si>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</si>
  <si>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</si>
  <si>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3238-1</t>
  </si>
  <si>
    <t>TECADI ARMAZENS</t>
  </si>
  <si>
    <t>MAURO MARQUES</t>
  </si>
  <si>
    <t>SUBCONTRATO_EXP</t>
  </si>
  <si>
    <t>CTE NORMAL</t>
  </si>
  <si>
    <t>BELO HORIZONTE - MG</t>
  </si>
  <si>
    <t>N/D</t>
  </si>
  <si>
    <t>CARLOS JOSE PEIXOTO DE PA</t>
  </si>
  <si>
    <t>3374-1</t>
  </si>
  <si>
    <t>STRATUS COMERCI</t>
  </si>
  <si>
    <t>MICHELL MARQUES</t>
  </si>
  <si>
    <t>ECONOMICO_250</t>
  </si>
  <si>
    <t>SAO PAULO - SP</t>
  </si>
  <si>
    <t>PORTOEXPRESS LOGISTICA LT</t>
  </si>
  <si>
    <t>PORTOEX SP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</si>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</sst>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[Analise_ALEXANDRE_01102026.xlsx]Resumo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142.24</c:v>
                </c:pt>
                <c:pt idx="1">
                  <c:v>16996.71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67.040800000000019</c:v>
                </c:pt>
                <c:pt idx="1">
                  <c:v>15493.1032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[Analise_ALEXANDRE_01102026.xlsx]Resumo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142.24</c:v>
                </c:pt>
                <c:pt idx="1">
                  <c:v>16996.71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STRATUS COMERCI</c:v>
                </c:pt>
                <c:pt idx="1">
                  <c:v>TECADI ARMAZENS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67.040800000000019</c:v>
                </c:pt>
                <c:pt idx="1">
                  <c:v>15493.1032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302777777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343"/>
        <n v="348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10-02T00:00:00"/>
    </cacheField>
    <cacheField name="DATA" numFmtId="14">
      <sharedItems containsNonDate="0" containsDate="1" containsString="0" containsBlank="1" minDate="2026-09-24T00:00:00" maxDate="2026-10-02T00:00:00"/>
    </cacheField>
    <cacheField name="FAT" numFmtId="0">
      <sharedItems containsString="0" containsBlank="1" containsNumber="1" containsInteger="1" minValue="689" maxValue="689"/>
    </cacheField>
    <cacheField name="CT-E" numFmtId="0">
      <sharedItems containsBlank="1"/>
    </cacheField>
    <cacheField name="CLIENTE TOMADOR" numFmtId="0">
      <sharedItems containsBlank="1" count="855">
        <s v="TECADI ARMAZENS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418.4" maxValue="302837.28999999998"/>
    </cacheField>
    <cacheField name="SERVICO" numFmtId="0">
      <sharedItems containsBlank="1" count="27">
        <s v="SUBCONTRATO_EXP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2.24" maxValue="16996.71"/>
    </cacheField>
    <cacheField name="VOLUMES" numFmtId="0">
      <sharedItems containsString="0" containsBlank="1" containsNumber="1" containsInteger="1" minValue="2" maxValue="32"/>
    </cacheField>
    <cacheField name="PESO" numFmtId="0">
      <sharedItems containsString="0" containsBlank="1" containsNumber="1" minValue="40.44" maxValue="7758.4"/>
    </cacheField>
    <cacheField name="RESP. COLETA" numFmtId="0">
      <sharedItems containsBlank="1"/>
    </cacheField>
    <cacheField name="CUSTO COLETA" numFmtId="0">
      <sharedItems containsString="0" containsBlank="1" containsNumber="1" minValue="0" maxValue="6.18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7.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0.56999999999999995"/>
    </cacheField>
    <cacheField name="OUTROS" numFmtId="0">
      <sharedItems containsString="0" containsBlank="1" containsNumber="1" minValue="0" maxValue="143.87"/>
    </cacheField>
    <cacheField name="C.TOTAL" numFmtId="0">
      <sharedItems containsString="0" containsBlank="1" containsNumber="1" minValue="95.36" maxValue="6055.31"/>
    </cacheField>
    <cacheField name="RECEITA" numFmtId="0">
      <sharedItems containsString="0" containsBlank="1" containsNumber="1" minValue="46.88" maxValue="10941.4"/>
    </cacheField>
    <cacheField name="IMPOSTO" numFmtId="0">
      <sharedItems containsString="0" containsBlank="1" containsNumber="1" minValue="36.979999999999997" maxValue="4419.1400000000003"/>
    </cacheField>
    <cacheField name="RESULTADO" numFmtId="0">
      <sharedItems containsString="0" containsBlank="1" containsNumber="1" minValue="9.9" maxValue="6522.2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9.9" maxValue="6522.26"/>
    </cacheField>
    <cacheField name="MARGEM" numFmtId="10">
      <sharedItems containsString="0" containsBlank="1" containsNumber="1" minValue="6.9599999999999995E-2" maxValue="0.3836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n v="689"/>
    <s v="3238-1"/>
    <x v="0"/>
    <s v="MAURO MARQUES"/>
    <n v="302837.28999999998"/>
    <x v="0"/>
    <s v="CTE NORMAL"/>
    <s v="BELO HORIZONTE - MG"/>
    <n v="16996.71"/>
    <n v="32"/>
    <n v="7758.4"/>
    <s v="N/D"/>
    <n v="0"/>
    <s v="N/D"/>
    <n v="0"/>
    <s v="CARLOS JOSE PEIXOTO DE PA"/>
    <n v="0"/>
    <n v="0"/>
    <n v="0"/>
    <n v="0"/>
    <n v="0"/>
    <n v="143.87"/>
    <n v="6055.31"/>
    <n v="10941.4"/>
    <n v="4419.1400000000003"/>
    <n v="6522.26"/>
    <n v="0"/>
    <n v="6522.26"/>
    <n v="0.38369999999999999"/>
    <m/>
  </r>
  <r>
    <x v="1"/>
    <s v="MATRIZ"/>
    <d v="2026-10-01T00:00:00"/>
    <d v="2026-10-01T00:00:00"/>
    <m/>
    <s v="3374-1"/>
    <x v="1"/>
    <s v="MICHELL MARQUES"/>
    <n v="1418.4"/>
    <x v="1"/>
    <s v="CTE NORMAL"/>
    <s v="SAO PAULO - SP"/>
    <n v="142.24"/>
    <n v="2"/>
    <n v="40.44"/>
    <s v="PORTOEXPRESS LOGISTICA LT"/>
    <n v="6.18"/>
    <s v="PORTOEX SP"/>
    <n v="40"/>
    <s v="CARLOS JOSE PEIXOTO DE PA"/>
    <n v="0"/>
    <n v="17.07"/>
    <n v="0"/>
    <n v="0"/>
    <n v="0.56999999999999995"/>
    <n v="0"/>
    <n v="95.36"/>
    <n v="46.88"/>
    <n v="36.979999999999997"/>
    <n v="9.9"/>
    <n v="0"/>
    <n v="9.9"/>
    <n v="6.9599999999999995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1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59"/>
        <item m="1" x="580"/>
        <item m="1" x="353"/>
        <item m="1" x="104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3"/>
        <item m="1" x="101"/>
        <item m="1" x="480"/>
        <item m="1" x="607"/>
        <item sd="0" m="1" x="715"/>
        <item sd="0" m="1" x="55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1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8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6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2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3"/>
        <item m="1" x="646"/>
        <item m="1" x="49"/>
        <item m="1" x="416"/>
        <item m="1" x="146"/>
        <item sd="0" m="1" x="728"/>
        <item x="0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0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734"/>
    </i>
    <i r="1">
      <x v="7999"/>
    </i>
    <i>
      <x v="75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4"/>
        <item m="1" x="381"/>
        <item m="1" x="447"/>
        <item m="1" x="160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1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4"/>
        <item m="1" x="267"/>
        <item m="1" x="292"/>
        <item m="1" x="354"/>
        <item m="1" x="99"/>
        <item m="1" x="459"/>
        <item m="1" x="580"/>
        <item m="1" x="353"/>
        <item m="1" x="104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4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4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2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8"/>
        <item m="1" x="363"/>
        <item m="1" x="101"/>
        <item m="1" x="480"/>
        <item m="1" x="607"/>
        <item sd="0" m="1" x="715"/>
        <item sd="0" m="1" x="55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1"/>
        <item m="1" x="799"/>
        <item m="1" x="217"/>
        <item m="1" x="827"/>
        <item m="1" x="70"/>
        <item m="1" x="119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8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5"/>
        <item sd="0" m="1" x="506"/>
        <item m="1" x="446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3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0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2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3"/>
        <item m="1" x="646"/>
        <item m="1" x="49"/>
        <item m="1" x="416"/>
        <item m="1" x="146"/>
        <item sd="0" m="1" x="728"/>
        <item x="0"/>
        <item m="1" x="346"/>
        <item m="1" x="120"/>
        <item m="1" x="290"/>
        <item sd="0" m="1" x="199"/>
        <item m="1" x="205"/>
        <item m="1" x="90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6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2"/>
        <item m="1" x="630"/>
        <item m="1" x="201"/>
        <item m="1" x="157"/>
        <item m="1" x="56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30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6"/>
        <item m="1" x="19"/>
        <item x="2"/>
        <item m="1" x="8"/>
        <item m="1" x="3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0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734"/>
    </i>
    <i>
      <x v="757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50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9" s="1" nd="1"/>
        <i x="661" s="1" nd="1"/>
        <i x="372" s="1" nd="1"/>
        <i x="155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4" s="1" nd="1"/>
        <i x="381" s="1" nd="1"/>
        <i x="447" s="1" nd="1"/>
        <i x="160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09" s="1" nd="1"/>
        <i x="118" s="1" nd="1"/>
        <i x="536" s="1" nd="1"/>
        <i x="84" s="1" nd="1"/>
        <i x="602" s="1" nd="1"/>
        <i x="449" s="1" nd="1"/>
        <i x="349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4" s="1" nd="1"/>
        <i x="267" s="1" nd="1"/>
        <i x="292" s="1" nd="1"/>
        <i x="354" s="1" nd="1"/>
        <i x="99" s="1" nd="1"/>
        <i x="459" s="1" nd="1"/>
        <i x="580" s="1" nd="1"/>
        <i x="353" s="1" nd="1"/>
        <i x="104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4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4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2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4" s="1" nd="1"/>
        <i x="720" s="1" nd="1"/>
        <i x="555" s="1" nd="1"/>
        <i x="117" s="1" nd="1"/>
        <i x="376" s="1" nd="1"/>
        <i x="718" s="1" nd="1"/>
        <i x="128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4" s="1" nd="1"/>
        <i x="741" s="1" nd="1"/>
        <i x="194" s="1" nd="1"/>
        <i x="746" s="1" nd="1"/>
        <i x="384" s="1" nd="1"/>
        <i x="138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8" s="1" nd="1"/>
        <i x="363" s="1" nd="1"/>
        <i x="101" s="1" nd="1"/>
        <i x="480" s="1" nd="1"/>
        <i x="607" s="1" nd="1"/>
        <i x="715" s="1" nd="1"/>
        <i x="55" s="1" nd="1"/>
        <i x="298" s="1" nd="1"/>
        <i x="682" s="1" nd="1"/>
        <i x="136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1" s="1" nd="1"/>
        <i x="654" s="1" nd="1"/>
        <i x="721" s="1" nd="1"/>
        <i x="641" s="1" nd="1"/>
        <i x="231" s="1" nd="1"/>
        <i x="373" s="1" nd="1"/>
        <i x="735" s="1" nd="1"/>
        <i x="133" s="1" nd="1"/>
        <i x="87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9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8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5" s="1" nd="1"/>
        <i x="506" s="1" nd="1"/>
        <i x="446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8" s="1" nd="1"/>
        <i x="62" s="1" nd="1"/>
        <i x="455" s="1" nd="1"/>
        <i x="83" s="1" nd="1"/>
        <i x="325" s="1" nd="1"/>
        <i x="168" s="1" nd="1"/>
        <i x="332" s="1" nd="1"/>
        <i x="564" s="1" nd="1"/>
        <i x="503" s="1" nd="1"/>
        <i x="228" s="1" nd="1"/>
        <i x="281" s="1" nd="1"/>
        <i x="94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3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5" s="1" nd="1"/>
        <i x="359" s="1" nd="1"/>
        <i x="260" s="1" nd="1"/>
        <i x="364" s="1" nd="1"/>
        <i x="500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2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3" s="1" nd="1"/>
        <i x="646" s="1" nd="1"/>
        <i x="49" s="1" nd="1"/>
        <i x="416" s="1" nd="1"/>
        <i x="146" s="1" nd="1"/>
        <i x="728" s="1" nd="1"/>
        <i x="346" s="1" nd="1"/>
        <i x="120" s="1" nd="1"/>
        <i x="290" s="1" nd="1"/>
        <i x="199" s="1" nd="1"/>
        <i x="205" s="1" nd="1"/>
        <i x="90" s="1" nd="1"/>
        <i x="28" s="1" nd="1"/>
        <i x="278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6" s="1" nd="1"/>
        <i x="262" s="1" nd="1"/>
        <i x="31" s="1" nd="1"/>
        <i x="106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2" s="1" nd="1"/>
        <i x="630" s="1" nd="1"/>
        <i x="201" s="1" nd="1"/>
        <i x="157" s="1" nd="1"/>
        <i x="56" s="1" nd="1"/>
        <i x="547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30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4" s="1" nd="1"/>
        <i x="24" s="1" nd="1"/>
        <i x="7" s="1" nd="1"/>
        <i x="23" s="1" nd="1"/>
        <i x="22" s="1" nd="1"/>
        <i x="12" s="1" nd="1"/>
        <i x="18" s="1" nd="1"/>
        <i x="21" s="1" nd="1"/>
        <i x="3" s="1" nd="1"/>
        <i x="26" s="1" nd="1"/>
        <i x="11" s="1" nd="1"/>
        <i x="14" s="1" nd="1"/>
        <i x="10" s="1" nd="1"/>
        <i x="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3343</v>
      </c>
      <c r="B2" s="12" t="s">
        <v>616</v>
      </c>
      <c r="C2" s="14">
        <v>46289</v>
      </c>
      <c r="D2" s="14">
        <v>46289</v>
      </c>
      <c r="E2" s="12">
        <v>689</v>
      </c>
      <c r="F2" s="15" t="s">
        <v>617</v>
      </c>
      <c r="G2" s="15" t="s">
        <v>618</v>
      </c>
      <c r="H2" s="15" t="s">
        <v>619</v>
      </c>
      <c r="I2" s="16">
        <v>302837.28999999998</v>
      </c>
      <c r="J2" s="15" t="s">
        <v>620</v>
      </c>
      <c r="K2" s="15" t="s">
        <v>621</v>
      </c>
      <c r="L2" s="15" t="s">
        <v>622</v>
      </c>
      <c r="M2" s="15">
        <v>16996.71</v>
      </c>
      <c r="N2" s="15">
        <v>32</v>
      </c>
      <c r="O2" s="16">
        <v>7758.4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143.87</v>
      </c>
      <c r="AA2" s="15">
        <v>6055.31</v>
      </c>
      <c r="AB2" s="15">
        <v>10941.4</v>
      </c>
      <c r="AC2" s="15">
        <v>4419.1400000000003</v>
      </c>
      <c r="AD2" s="15">
        <v>6522.26</v>
      </c>
      <c r="AE2" s="15">
        <v>0</v>
      </c>
      <c r="AF2" s="15">
        <v>6522.26</v>
      </c>
      <c r="AG2" s="17">
        <v>0.38369999999999999</v>
      </c>
      <c r="AH2" s="15"/>
    </row>
    <row r="3" spans="1:34" s="1" customFormat="1" ht="12" customHeight="1" x14ac:dyDescent="0.3">
      <c r="A3" s="13">
        <v>3486</v>
      </c>
      <c r="B3" s="12" t="s">
        <v>616</v>
      </c>
      <c r="C3" s="14">
        <v>46296</v>
      </c>
      <c r="D3" s="14">
        <v>46296</v>
      </c>
      <c r="E3" s="12"/>
      <c r="F3" s="15" t="s">
        <v>625</v>
      </c>
      <c r="G3" s="15" t="s">
        <v>626</v>
      </c>
      <c r="H3" s="15" t="s">
        <v>627</v>
      </c>
      <c r="I3" s="16">
        <v>1418.4</v>
      </c>
      <c r="J3" s="15" t="s">
        <v>628</v>
      </c>
      <c r="K3" s="15" t="s">
        <v>621</v>
      </c>
      <c r="L3" s="15" t="s">
        <v>629</v>
      </c>
      <c r="M3" s="16">
        <v>142.24</v>
      </c>
      <c r="N3" s="15">
        <v>2</v>
      </c>
      <c r="O3" s="16">
        <v>40.44</v>
      </c>
      <c r="P3" s="15" t="s">
        <v>630</v>
      </c>
      <c r="Q3" s="15">
        <v>6.18</v>
      </c>
      <c r="R3" s="15" t="s">
        <v>631</v>
      </c>
      <c r="S3" s="15">
        <v>40</v>
      </c>
      <c r="T3" s="15" t="s">
        <v>624</v>
      </c>
      <c r="U3" s="15">
        <v>0</v>
      </c>
      <c r="V3" s="15">
        <v>17.07</v>
      </c>
      <c r="W3" s="15">
        <v>0</v>
      </c>
      <c r="X3" s="15">
        <v>0</v>
      </c>
      <c r="Y3" s="15">
        <v>0.56999999999999995</v>
      </c>
      <c r="Z3" s="15">
        <v>0</v>
      </c>
      <c r="AA3" s="16">
        <v>95.36</v>
      </c>
      <c r="AB3" s="16">
        <v>46.88</v>
      </c>
      <c r="AC3" s="15">
        <v>36.979999999999997</v>
      </c>
      <c r="AD3" s="15">
        <v>9.9</v>
      </c>
      <c r="AE3" s="15">
        <v>0</v>
      </c>
      <c r="AF3" s="15">
        <v>9.9</v>
      </c>
      <c r="AG3" s="17">
        <v>6.9599999999999995E-2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17138.95</v>
      </c>
      <c r="F3" s="89"/>
      <c r="G3" s="90"/>
      <c r="H3" s="133">
        <f>'Resumo Detalhado'!C2</f>
        <v>7798.8399999999992</v>
      </c>
      <c r="I3" s="134"/>
      <c r="J3" s="135">
        <f>E3/H3</f>
        <v>2.1976281087956675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0.70898545454545447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3806.18</v>
      </c>
      <c r="F7" s="112"/>
      <c r="G7" s="112"/>
      <c r="H7" s="112"/>
      <c r="I7" s="112"/>
      <c r="J7" s="112">
        <f>E7/H3</f>
        <v>0.48804437583025173</v>
      </c>
      <c r="K7" s="112"/>
      <c r="L7" s="112"/>
      <c r="M7" s="130">
        <f>E7/E3</f>
        <v>0.22207778189445676</v>
      </c>
      <c r="N7" s="130"/>
      <c r="O7" s="130"/>
      <c r="P7" s="112">
        <f>E11+K11+Q11+E15+K15+Q15+E19+H19+K19</f>
        <v>8081.0379999999996</v>
      </c>
      <c r="Q7" s="112"/>
      <c r="R7" s="112"/>
      <c r="S7" s="112">
        <f>P7/H3</f>
        <v>1.0361846120705132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3800</v>
      </c>
      <c r="L11" s="90"/>
      <c r="M11" s="38"/>
      <c r="N11" s="88">
        <f>K11/H3</f>
        <v>0.4872519502900432</v>
      </c>
      <c r="O11" s="90"/>
      <c r="P11" s="38"/>
      <c r="Q11" s="88">
        <f>'Resumo Detalhado'!D2</f>
        <v>6.18</v>
      </c>
      <c r="R11" s="90"/>
      <c r="S11" s="38"/>
      <c r="T11" s="88">
        <f>Q11/H3</f>
        <v>7.9242554020854384E-4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17.07</v>
      </c>
      <c r="F15" s="119"/>
      <c r="G15" s="119"/>
      <c r="H15" s="119"/>
      <c r="I15" s="132"/>
      <c r="J15" s="38"/>
      <c r="K15" s="113">
        <f>'Resumo Detalhado'!K2+'Resumo Detalhado'!L2</f>
        <v>2742.232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0.56999999999999995</v>
      </c>
      <c r="F19" s="120"/>
      <c r="G19" s="38"/>
      <c r="H19" s="122">
        <f>'Resumo Detalhado'!J2</f>
        <v>143.87</v>
      </c>
      <c r="I19" s="123"/>
      <c r="J19" s="38"/>
      <c r="K19" s="122">
        <f>'Resumo Detalhado'!L2</f>
        <v>1371.116</v>
      </c>
      <c r="L19" s="123"/>
      <c r="M19" s="38"/>
      <c r="N19" s="121" t="s">
        <v>425</v>
      </c>
      <c r="O19" s="119"/>
      <c r="P19" s="119"/>
      <c r="Q19" s="119"/>
      <c r="R19" s="120"/>
      <c r="S19" s="121">
        <f>_xlfn.XLOOKUP(N19,Target!C:C,Target!D:D)</f>
        <v>3800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15560.144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0.90788198810312182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10.55468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17138.95</v>
      </c>
      <c r="C2" s="29">
        <f>SUM(C6:C5000)</f>
        <v>7798.8399999999992</v>
      </c>
      <c r="D2" s="29">
        <f>SUM(D6:D5000)</f>
        <v>6.18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17.07</v>
      </c>
      <c r="I2" s="29">
        <f t="shared" si="0"/>
        <v>0.56999999999999995</v>
      </c>
      <c r="J2" s="29">
        <f t="shared" si="0"/>
        <v>143.87</v>
      </c>
      <c r="K2" s="29">
        <f t="shared" si="0"/>
        <v>1371.116</v>
      </c>
      <c r="L2" s="29">
        <f t="shared" si="0"/>
        <v>1371.116</v>
      </c>
      <c r="M2" s="29">
        <f t="shared" si="0"/>
        <v>0</v>
      </c>
      <c r="N2" s="29">
        <f t="shared" si="0"/>
        <v>15560.144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3486</v>
      </c>
      <c r="B6" s="140">
        <v>142.24</v>
      </c>
      <c r="C6" s="141">
        <v>40.44</v>
      </c>
      <c r="D6" s="140">
        <v>6.18</v>
      </c>
      <c r="E6" s="140">
        <v>40</v>
      </c>
      <c r="F6" s="140">
        <v>0</v>
      </c>
      <c r="G6" s="142">
        <v>0.32466254218222718</v>
      </c>
      <c r="H6" s="140">
        <v>17.07</v>
      </c>
      <c r="I6" s="140">
        <v>0.56999999999999995</v>
      </c>
      <c r="J6" s="140">
        <v>0</v>
      </c>
      <c r="K6" s="140">
        <v>11.379200000000001</v>
      </c>
      <c r="L6" s="140">
        <v>11.379200000000001</v>
      </c>
      <c r="M6" s="140">
        <v>0</v>
      </c>
      <c r="N6" s="140">
        <v>67.040800000000019</v>
      </c>
      <c r="O6" s="142">
        <v>0.4713217097862768</v>
      </c>
      <c r="Q6"/>
    </row>
    <row r="7" spans="1:18" s="31" customFormat="1" x14ac:dyDescent="0.3">
      <c r="A7" s="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3343</v>
      </c>
      <c r="B8" s="140">
        <v>16996.71</v>
      </c>
      <c r="C8" s="141">
        <v>7758.4</v>
      </c>
      <c r="D8" s="140">
        <v>0</v>
      </c>
      <c r="E8" s="140">
        <v>0</v>
      </c>
      <c r="F8" s="140">
        <v>0</v>
      </c>
      <c r="G8" s="142">
        <v>0</v>
      </c>
      <c r="H8" s="140">
        <v>0</v>
      </c>
      <c r="I8" s="140">
        <v>0</v>
      </c>
      <c r="J8" s="140">
        <v>143.87</v>
      </c>
      <c r="K8" s="140">
        <v>1359.7367999999999</v>
      </c>
      <c r="L8" s="140">
        <v>1359.7367999999999</v>
      </c>
      <c r="M8" s="140">
        <v>0</v>
      </c>
      <c r="N8" s="140">
        <v>15493.1032</v>
      </c>
      <c r="O8" s="142">
        <v>0.91153542067847249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16996.71</v>
      </c>
      <c r="C2" s="29">
        <f>SUM(C6:C5000)</f>
        <v>15493.1032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626</v>
      </c>
      <c r="B5" s="10">
        <v>142.24</v>
      </c>
      <c r="C5" s="10">
        <v>67.040800000000019</v>
      </c>
    </row>
    <row r="6" spans="1:4" x14ac:dyDescent="0.3">
      <c r="A6" s="9" t="s">
        <v>618</v>
      </c>
      <c r="B6" s="140">
        <v>16996.71</v>
      </c>
      <c r="C6" s="140">
        <v>15493.1032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2026-10-06T12:40:28Z</dcterms:modified>
  <cp:category/>
  <cp:contentStatus/>
</cp:coreProperties>
</file>