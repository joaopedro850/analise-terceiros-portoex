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E2D1B3FE-FCF0-459B-B471-F12A106B284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3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<sst xmlns="http://schemas.openxmlformats.org/spreadsheetml/2006/main" count="856" uniqueCount="588">
  <si>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</si>
  <si>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</si>
  <si>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</si>
  <si>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</si>
  <si>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</si>
  <si>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</si>
  <si>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</si>
  <si>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</si>
  <si>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</si>
  <si>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</si>
  <si>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</si>
  <si>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</si>
  <si>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</si>
  <si>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</si>
  <si>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</si>
  <si>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</si>
  <si>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</si>
  <si>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</si>
  <si>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</si>
  <si>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</si>
  <si>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</si>
  <si>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</si>
  <si>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</si>
  <si>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</si>
  <si>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</si>
  <si>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</si>
  <si>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</si>
  <si>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</si>
  <si>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</si>
  <si>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</si>
  <si>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</si>
  <si>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</si>
  <si>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</si>
  <si>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</si>
  <si>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</si>
  <si>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</si>
  <si>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</si>
  <si>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</si>
  <si>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</si>
  <si>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</si>
  <si>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</si>
  <si>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</si>
  <si>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</si>
  <si>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</si>
  <si>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</si>
  <si>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</si>
  <si>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</si>
  <si>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</si>
  <si>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</si>
  <si>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</si>
  <si>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</si>
  <si>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</si>
  <si>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</si>
  <si>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</si>
  <si>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</si>
  <si>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</si>
  <si>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</si>
  <si>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</si>
  <si>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</si>
  <si>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</si>
  <si>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</si>
  <si>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</si>
  <si>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</si>
  <si>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</si>
  <si>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</si>
  <si>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</si>
  <si>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</si>
  <si>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</si>
  <si>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</si>
  <si>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</si>
  <si>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</si>
  <si>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</si>
  <si>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</si>
  <si>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</si>
  <si>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</si>
  <si>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</si>
  <si>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</si>
  <si>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</si>
  <si>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</si>
  <si>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</si>
  <si>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</si>
  <si>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</si>
  <si>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</si>
  <si>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</si>
  <si>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</si>
  <si>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</si>
  <si>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</si>
  <si>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</si>
  <si>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</si>
  <si>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</si>
  <si>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</si>
  <si>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</si>
  <si>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</si>
  <si>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</si>
  <si>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</si>
  <si>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</si>
  <si>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</si>
  <si>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</si>
  <si>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</si>
  <si>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</si>
  <si>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</si>
  <si>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</si>
  <si>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</si>
  <si>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</si>
  <si>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</si>
  <si>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</si>
  <si>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</si>
  <si>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</si>
  <si>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</si>
  <si>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</si>
  <si>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</si>
  <si>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</si>
  <si>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</si>
  <si>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</si>
  <si>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</si>
  <si>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</si>
  <si>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</si>
  <si>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</si>
  <si>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</si>
  <si>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</si>
  <si>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</si>
  <si>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</si>
  <si>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</si>
  <si>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</si>
  <si>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</si>
  <si>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</si>
  <si>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</si>
  <si>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</si>
  <si>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</si>
  <si>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</si>
  <si>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</si>
  <si>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</si>
  <si>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</si>
  <si>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</si>
  <si>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</si>
  <si>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</si>
  <si>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</si>
  <si>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</si>
  <si>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</si>
  <si>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</si>
  <si>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</si>
  <si>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</si>
  <si>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</si>
  <si>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</si>
  <si>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</si>
  <si>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</si>
  <si>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</si>
  <si>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</si>
  <si>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</si>
  <si>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</si>
  <si>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</si>
  <si>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</si>
  <si>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</si>
  <si>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</si>
  <si>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</si>
  <si>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</si>
  <si>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</si>
  <si>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</si>
  <si>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</si>
  <si>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</si>
  <si>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</si>
  <si>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</si>
  <si>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</si>
  <si>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</si>
  <si>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</si>
  <si>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</si>
  <si>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</si>
  <si>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</si>
  <si>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</si>
  <si>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</si>
  <si>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</si>
  <si>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</si>
  <si>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</si>
  <si>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</si>
  <si>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</si>
  <si>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</si>
  <si>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</si>
  <si>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</si>
  <si>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</si>
  <si>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</si>
  <si>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</si>
  <si>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</si>
  <si>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</si>
  <si>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</si>
  <si>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</si>
  <si>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</si>
  <si>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</si>
  <si>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</si>
  <si>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</si>
  <si>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</si>
  <si>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</si>
  <si>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</si>
  <si>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</si>
  <si>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</si>
  <si>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</si>
  <si>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</si>
  <si>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</si>
  <si>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</si>
  <si>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</si>
  <si>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</si>
  <si>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</si>
  <si>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</si>
  <si>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</si>
  <si>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</si>
  <si>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</si>
  <si>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</si>
  <si>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</si>
  <si>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</si>
  <si>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</si>
  <si>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</si>
  <si>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</si>
  <si>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</si>
  <si>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</si>
  <si>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</si>
  <si>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</si>
  <si>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</si>
  <si>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</si>
  <si>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</si>
  <si>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</si>
  <si>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</si>
  <si>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</si>
  <si>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</si>
  <si>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</si>
  <si>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</si>
  <si>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</si>
  <si>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</si>
  <si>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</si>
  <si>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</si>
  <si>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</si>
  <si>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</si>
  <si>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</si>
  <si>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</si>
  <si>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</si>
  <si>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</si>
  <si>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</si>
  <si>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</si>
  <si>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</si>
  <si>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</si>
  <si>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</si>
  <si>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</si>
  <si>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</si>
  <si>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</si>
  <si>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</si>
  <si>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</si>
  <si>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</si>
  <si>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</si>
  <si>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</si>
  <si>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</si>
  <si>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</si>
  <si>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</si>
  <si>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</si>
  <si>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</si>
  <si>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</si>
  <si>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</si>
  <si>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</si>
  <si>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</si>
  <si>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</si>
  <si>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</si>
  <si>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</si>
  <si>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</si>
  <si>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</si>
  <si>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</si>
  <si>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</si>
  <si>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</si>
  <si>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</si>
  <si>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</si>
  <si>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</si>
  <si>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</si>
  <si>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</si>
  <si>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</si>
  <si>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</si>
  <si>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</si>
  <si>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</si>
  <si>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</si>
  <si>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</si>
  <si>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</si>
  <si>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</si>
  <si>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</si>
  <si>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</si>
  <si>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</si>
  <si>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</si>
  <si>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</si>
  <si>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</si>
  <si>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</si>
  <si>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</si>
  <si>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</si>
  <si>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</si>
  <si>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</si>
  <si>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</si>
  <si>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</si>
  <si>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</si>
  <si>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</si>
  <si>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</si>
  <si>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</si>
  <si>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</si>
  <si>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</si>
  <si>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</si>
  <si>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</si>
  <si>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</si>
  <si>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</si>
  <si>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</si>
  <si>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</si>
  <si>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</si>
  <si>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</si>
  <si>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</si>
  <si>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</si>
  <si>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</si>
  <si>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</si>
  <si>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</si>
  <si>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</si>
  <si>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</si>
  <si>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</si>
  <si>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</si>
  <si>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</si>
  <si>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</si>
  <si>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</si>
  <si>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</si>
  <si>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</si>
  <si>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</si>
  <si>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</si>
  <si>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</si>
  <si>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</si>
  <si>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</si>
  <si>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</si>
  <si>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</si>
  <si>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</si>
  <si>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</si>
  <si>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</si>
  <si>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</si>
  <si>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</si>
  <si>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</si>
  <si>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</si>
  <si>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</si>
  <si>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</si>
  <si>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</si>
  <si>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</si>
  <si>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</si>
  <si>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</si>
  <si>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</si>
  <si>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</si>
  <si>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</si>
  <si>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</si>
  <si>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</si>
  <si>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</si>
  <si>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</si>
  <si>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</si>
  <si>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</si>
  <si>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</si>
  <si>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</si>
  <si>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</si>
  <si>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</si>
  <si>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</si>
  <si>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</si>
  <si>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</si>
  <si>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</si>
  <si>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</si>
  <si>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</si>
  <si>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</si>
  <si>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</si>
  <si>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</si>
  <si>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</si>
  <si>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</si>
  <si>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</si>
  <si>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</si>
  <si>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</si>
  <si>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</si>
  <si>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</si>
  <si>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</si>
  <si>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</si>
  <si>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</si>
  <si>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</si>
  <si>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</si>
  <si>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</si>
  <si>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</si>
  <si>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</si>
  <si>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</si>
  <si>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</si>
  <si>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</si>
  <si>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</si>
  <si>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</si>
  <si>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</si>
  <si>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</si>
  <si>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</si>
  <si>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</si>
  <si>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</si>
  <si>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</si>
  <si>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</si>
  <si>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</si>
  <si>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</si>
  <si>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</si>
  <si>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</si>
  <si>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</si>
  <si>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</si>
  <si>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</si>
  <si>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</si>
  <si>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</si>
  <si>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</si>
  <si>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</si>
  <si>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</si>
  <si>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</si>
  <si>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</si>
  <si>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</si>
  <si>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</si>
  <si>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</si>
  <si>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</si>
  <si>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</si>
  <si>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</si>
  <si>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</si>
  <si>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</si>
  <si>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</si>
  <si>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</si>
  <si>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</si>
  <si>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</si>
  <si>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</si>
  <si>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</si>
  <si>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</si>
  <si>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</si>
  <si>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</si>
  <si>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</si>
  <si>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</si>
  <si>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</si>
  <si>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</si>
  <si>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</si>
  <si>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</si>
  <si>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</si>
  <si>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</si>
  <si>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</si>
  <si>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</si>
  <si>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</si>
  <si>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</si>
  <si>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</si>
  <si>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</si>
  <si>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</si>
  <si>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</si>
  <si>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</si>
  <si>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</si>
  <si>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</si>
  <si>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</si>
  <si>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</si>
  <si>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</si>
  <si>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</si>
  <si>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</si>
  <si>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</si>
  <si>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</si>
  <si>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</si>
  <si>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</si>
  <si>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</si>
  <si>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</si>
  <si>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</si>
  <si>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</si>
  <si>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</si>
  <si>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</si>
  <si>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</si>
  <si>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</si>
  <si>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</si>
  <si>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</si>
  <si>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</si>
  <si>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</si>
  <si>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</si>
  <si>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</si>
  <si>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</si>
  <si>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</si>
  <si>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</si>
  <si>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</si>
  <si>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</si>
  <si>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</si>
  <si>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</si>
  <si>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</si>
  <si>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</si>
  <si>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</si>
  <si>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</si>
  <si>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</si>
  <si>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</si>
  <si>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</si>
  <si>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</si>
  <si>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</si>
  <si>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</si>
  <si>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</si>
  <si>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</si>
  <si>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</si>
  <si>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</si>
  <si>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</si>
  <si>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</si>
  <si>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</si>
  <si>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</si>
  <si>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</si>
  <si>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</si>
  <si>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</si>
  <si>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</si>
  <si>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</si>
  <si>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</si>
  <si>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</si>
  <si>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</si>
  <si>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</si>
  <si>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</si>
  <si>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</si>
  <si>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</si>
  <si>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</si>
  <si>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</si>
  <si>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</si>
  <si>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</si>
  <si>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</si>
  <si>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</si>
  <si>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</si>
  <si>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</si>
  <si>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</si>
  <si>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</si>
  <si>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</si>
  <si>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</si>
  <si>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</si>
  <si>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</si>
  <si>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</si>
  <si>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</si>
  <si>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</si>
  <si>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</si>
  <si>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</si>
  <si>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</si>
  <si>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</si>
  <si>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</si>
  <si>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</si>
  <si>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</si>
  <si>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</si>
  <si>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</si>
  <si>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</si>
  <si>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</si>
  <si>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</si>
  <si>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</si>
  <si>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</si>
  <si>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</si>
  <si>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</si>
  <si>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</si>
  <si>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</si>
  <si>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</si>
  <si>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</si>
  <si>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</si>
  <si>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</si>
  <si>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</si>
  <si>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</si>
  <si>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</si>
  <si>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</si>
  <si>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</si>
  <si>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</si>
  <si>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</si>
  <si>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</si>
  <si>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</si>
  <si>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</si>
  <si>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</si>
  <si>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</si>
  <si>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</si>
  <si>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</si>
  <si>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</si>
  <si>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</si>
  <si>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</si>
  <si>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</si>
  <si>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</si>
  <si>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</si>
  <si>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</si>
  <si>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</si>
  <si>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</si>
  <si>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</si>
  <si>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</si>
  <si>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</si>
  <si>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</si>
  <si>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</si>
  <si>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</si>
  <si>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</si>
  <si>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</si>
  <si>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</si>
  <si>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</si>
  <si>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</si>
  <si>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</si>
  <si>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</si>
  <si>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</si>
  <si>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</si>
  <si>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</si>
  <si>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</si>
  <si>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</si>
  <si>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</si>
  <si>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MATRIZ</t>
  </si>
  <si>
    <t>2455-1</t>
  </si>
  <si>
    <t>CRONOS LOGISTIC</t>
  </si>
  <si>
    <t>URIEL CORREA</t>
  </si>
  <si>
    <t>PERSONALIZADO_L</t>
  </si>
  <si>
    <t>CTE NORMAL</t>
  </si>
  <si>
    <t>GUARULHOS - SP</t>
  </si>
  <si>
    <t>NANO TRANSPORTES LTDA</t>
  </si>
  <si>
    <t>INDEFINIDO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</si>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</sst>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[Analise_ALEXANDRE_19082026.xlsx]Resumo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CRONOS LOGISTIC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6760.5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CRONOS LOGISTIC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-257.3900000000001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[Analise_ALEXANDRE_19082026.xlsx]Resumo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CRONOS LOGISTIC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6760.5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CRONOS LOGISTIC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-257.3900000000001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58.404584374999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2548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8T00:00:00" maxDate="2026-08-19T00:00:00"/>
    </cacheField>
    <cacheField name="DATA" numFmtId="14">
      <sharedItems containsNonDate="0" containsDate="1" containsString="0" containsBlank="1" minDate="2026-08-19T00:00:00" maxDate="2026-08-20T00:00:00"/>
    </cacheField>
    <cacheField name="FAT" numFmtId="0">
      <sharedItems containsString="0" containsBlank="1" containsNumber="1" containsInteger="1" minValue="400" maxValue="400"/>
    </cacheField>
    <cacheField name="CT-E" numFmtId="0">
      <sharedItems containsBlank="1"/>
    </cacheField>
    <cacheField name="CLIENTE TOMADOR" numFmtId="0">
      <sharedItems containsBlank="1" count="855">
        <s v="CRONOS LOGISTIC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465523.8" maxValue="465523.8"/>
    </cacheField>
    <cacheField name="SERVICO" numFmtId="0">
      <sharedItems containsBlank="1" count="27"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6760.5" maxValue="6760.5"/>
    </cacheField>
    <cacheField name="VOLUMES" numFmtId="0">
      <sharedItems containsString="0" containsBlank="1" containsNumber="1" containsInteger="1" minValue="23" maxValue="23"/>
    </cacheField>
    <cacheField name="PESO" numFmtId="0">
      <sharedItems containsString="0" containsBlank="1" containsNumber="1" containsInteger="1" minValue="8103" maxValue="8103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5600" maxValue="56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containsInteger="1" minValue="0" maxValue="0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86.21" maxValue="186.21"/>
    </cacheField>
    <cacheField name="OUTROS" numFmtId="0">
      <sharedItems containsString="0" containsBlank="1" containsNumber="1" containsInteger="1" minValue="150" maxValue="150"/>
    </cacheField>
    <cacheField name="C.TOTAL" numFmtId="0">
      <sharedItems containsString="0" containsBlank="1" containsNumber="1" minValue="5936.21" maxValue="5936.21"/>
    </cacheField>
    <cacheField name="RECEITA" numFmtId="0">
      <sharedItems containsString="0" containsBlank="1" containsNumber="1" minValue="824.29" maxValue="824.29"/>
    </cacheField>
    <cacheField name="IMPOSTO" numFmtId="0">
      <sharedItems containsString="0" containsBlank="1" containsNumber="1" minValue="1081.68" maxValue="1081.68"/>
    </cacheField>
    <cacheField name="RESULTADO" numFmtId="0">
      <sharedItems containsString="0" containsBlank="1" containsNumber="1" minValue="-460.21" maxValue="-460.21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460.21" maxValue="-460.21"/>
    </cacheField>
    <cacheField name="MARGEM" numFmtId="10">
      <sharedItems containsString="0" containsBlank="1" containsNumber="1" minValue="-6.8099999999999994E-2" maxValue="-6.8099999999999994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18T00:00:00"/>
    <d v="2026-08-19T00:00:00"/>
    <n v="400"/>
    <s v="2455-1"/>
    <x v="0"/>
    <s v="URIEL CORREA"/>
    <n v="465523.8"/>
    <x v="0"/>
    <s v="CTE NORMAL"/>
    <s v="GUARULHOS - SP"/>
    <n v="6760.5"/>
    <n v="23"/>
    <n v="8103"/>
    <s v="MATRIZ"/>
    <n v="0"/>
    <s v="NANO TRANSPORTES LTDA"/>
    <n v="5600"/>
    <s v="INDEFINIDO"/>
    <n v="0"/>
    <n v="0"/>
    <n v="0"/>
    <n v="0"/>
    <n v="186.21"/>
    <n v="150"/>
    <n v="5936.21"/>
    <n v="824.29"/>
    <n v="1081.68"/>
    <n v="-460.21"/>
    <n v="0"/>
    <n v="-460.21"/>
    <n v="-6.8099999999999994E-2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5"/>
        <item m="1" x="47"/>
        <item sd="0" m="1" x="668"/>
        <item m="1" x="660"/>
        <item m="1" x="468"/>
        <item m="1" x="44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7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4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x="0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8"/>
        <item m="1" x="631"/>
        <item m="1" x="530"/>
        <item m="1" x="294"/>
        <item m="1" x="303"/>
        <item m="1" x="173"/>
        <item m="1" x="100"/>
        <item sd="0" m="1" x="69"/>
        <item m="1" x="578"/>
        <item sd="0" m="1" x="798"/>
        <item m="1" x="32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7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2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3"/>
        <item m="1" x="635"/>
        <item m="1" x="457"/>
        <item m="1" x="790"/>
        <item m="1" x="703"/>
        <item m="1" x="233"/>
        <item m="1" x="597"/>
        <item m="1" x="43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5"/>
        <item m="1" x="387"/>
        <item m="1" x="369"/>
        <item m="1" x="615"/>
        <item m="1" x="56"/>
        <item m="1" x="707"/>
        <item m="1" x="23"/>
        <item m="1" x="36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8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1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3"/>
        <item m="1" x="301"/>
        <item m="1" x="548"/>
        <item m="1" x="59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5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3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4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8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m="1" x="83"/>
        <item m="1" x="325"/>
        <item m="1" x="34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3"/>
        <item sd="0" m="1" x="669"/>
        <item m="1" x="93"/>
        <item m="1" x="439"/>
        <item sd="0" m="1" x="350"/>
        <item m="1" x="784"/>
        <item m="1" x="498"/>
        <item m="1" x="60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0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2"/>
        <item m="1" x="594"/>
        <item m="1" x="434"/>
        <item m="1" x="66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1"/>
        <item m="1" x="76"/>
        <item m="1" x="528"/>
        <item m="1" x="566"/>
        <item m="1" x="687"/>
        <item m="1" x="279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8"/>
        <item m="1" x="51"/>
        <item m="1" x="851"/>
        <item m="1" x="29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8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7"/>
        <item m="1" x="277"/>
        <item m="1" x="507"/>
        <item sd="0" m="1" x="499"/>
        <item m="1" x="67"/>
        <item m="1" x="679"/>
        <item m="1" x="80"/>
        <item m="1" x="634"/>
        <item m="1" x="65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2"/>
        <item m="1" x="423"/>
        <item sd="0" m="1" x="26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30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5"/>
        <item m="1" x="310"/>
        <item m="1" x="825"/>
        <item m="1" x="562"/>
        <item m="1" x="61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4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2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5"/>
        <item m="1" x="128"/>
        <item m="1" x="3"/>
        <item m="1" x="49"/>
        <item m="1" x="89"/>
        <item sd="0" m="1" x="201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186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5"/>
        <item m="1" x="47"/>
        <item sd="0" m="1" x="668"/>
        <item m="1" x="660"/>
        <item m="1" x="468"/>
        <item m="1" x="44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7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4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x="0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8"/>
        <item m="1" x="631"/>
        <item m="1" x="530"/>
        <item m="1" x="294"/>
        <item m="1" x="303"/>
        <item m="1" x="173"/>
        <item m="1" x="100"/>
        <item sd="0" m="1" x="69"/>
        <item m="1" x="578"/>
        <item sd="0" m="1" x="798"/>
        <item m="1" x="32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7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2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3"/>
        <item m="1" x="635"/>
        <item m="1" x="457"/>
        <item m="1" x="790"/>
        <item sd="0" m="1" x="703"/>
        <item m="1" x="233"/>
        <item m="1" x="597"/>
        <item m="1" x="43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5"/>
        <item m="1" x="387"/>
        <item m="1" x="369"/>
        <item m="1" x="615"/>
        <item m="1" x="56"/>
        <item m="1" x="707"/>
        <item m="1" x="23"/>
        <item m="1" x="36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8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1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3"/>
        <item m="1" x="301"/>
        <item m="1" x="548"/>
        <item m="1" x="59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5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3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4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8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m="1" x="83"/>
        <item m="1" x="325"/>
        <item m="1" x="34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3"/>
        <item sd="0" m="1" x="669"/>
        <item m="1" x="93"/>
        <item m="1" x="439"/>
        <item sd="0" m="1" x="350"/>
        <item m="1" x="784"/>
        <item m="1" x="498"/>
        <item m="1" x="60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0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2"/>
        <item m="1" x="594"/>
        <item m="1" x="434"/>
        <item m="1" x="66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1"/>
        <item m="1" x="76"/>
        <item m="1" x="528"/>
        <item m="1" x="566"/>
        <item m="1" x="687"/>
        <item m="1" x="279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8"/>
        <item m="1" x="51"/>
        <item m="1" x="851"/>
        <item m="1" x="29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8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7"/>
        <item m="1" x="277"/>
        <item m="1" x="507"/>
        <item sd="0" m="1" x="499"/>
        <item m="1" x="67"/>
        <item m="1" x="679"/>
        <item m="1" x="80"/>
        <item m="1" x="634"/>
        <item m="1" x="65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2"/>
        <item m="1" x="423"/>
        <item sd="0" m="1" x="26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30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5"/>
        <item m="1" x="310"/>
        <item m="1" x="825"/>
        <item m="1" x="562"/>
        <item m="1" x="61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4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2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5"/>
        <item m="1" x="128"/>
        <item m="1" x="3"/>
        <item m="1" x="49"/>
        <item m="1" x="89"/>
        <item sd="0" m="1" x="201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186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8" s="1" nd="1"/>
        <i x="762" s="1" nd="1"/>
        <i x="794" s="1" nd="1"/>
        <i x="543" s="1" nd="1"/>
        <i x="148" s="1" nd="1"/>
        <i x="186" s="1" nd="1"/>
        <i x="272" s="1" nd="1"/>
        <i x="11" s="1" nd="1"/>
        <i x="761" s="1" nd="1"/>
        <i x="391" s="1" nd="1"/>
        <i x="712" s="1" nd="1"/>
        <i x="295" s="1" nd="1"/>
        <i x="112" s="1" nd="1"/>
        <i x="270" s="1" nd="1"/>
        <i x="590" s="1" nd="1"/>
        <i x="323" s="1" nd="1"/>
        <i x="675" s="1" nd="1"/>
        <i x="501" s="1" nd="1"/>
        <i x="24" s="1" nd="1"/>
        <i x="581" s="1" nd="1"/>
        <i x="852" s="1" nd="1"/>
        <i x="20" s="1" nd="1"/>
        <i x="757" s="1" nd="1"/>
        <i x="111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5" s="1" nd="1"/>
        <i x="47" s="1" nd="1"/>
        <i x="668" s="1" nd="1"/>
        <i x="660" s="1" nd="1"/>
        <i x="468" s="1" nd="1"/>
        <i x="44" s="1" nd="1"/>
        <i x="730" s="1" nd="1"/>
        <i x="689" s="1" nd="1"/>
        <i x="215" s="1" nd="1"/>
        <i x="475" s="1" nd="1"/>
        <i x="633" s="1" nd="1"/>
        <i x="445" s="1" nd="1"/>
        <i x="809" s="1" nd="1"/>
        <i x="667" s="1" nd="1"/>
        <i x="214" s="1" nd="1"/>
        <i x="130" s="1" nd="1"/>
        <i x="221" s="1" nd="1"/>
        <i x="157" s="1" nd="1"/>
        <i x="229" s="1" nd="1"/>
        <i x="108" s="1" nd="1"/>
        <i x="621" s="1" nd="1"/>
        <i x="140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7" s="1" nd="1"/>
        <i x="57" s="1" nd="1"/>
        <i x="355" s="1" nd="1"/>
        <i x="686" s="1" nd="1"/>
        <i x="311" s="1" nd="1"/>
        <i x="135" s="1" nd="1"/>
        <i x="293" s="1" nd="1"/>
        <i x="601" s="1" nd="1"/>
        <i x="205" s="1" nd="1"/>
        <i x="674" s="1" nd="1"/>
        <i x="138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2" s="1" nd="1"/>
        <i x="835" s="1" nd="1"/>
        <i x="711" s="1" nd="1"/>
        <i x="377" s="1" nd="1"/>
        <i x="206" s="1" nd="1"/>
        <i x="521" s="1" nd="1"/>
        <i x="462" s="1" nd="1"/>
        <i x="137" s="1" nd="1"/>
        <i x="661" s="1" nd="1"/>
        <i x="371" s="1" nd="1"/>
        <i x="153" s="1" nd="1"/>
        <i x="250" s="1" nd="1"/>
        <i x="628" s="1" nd="1"/>
        <i x="736" s="1" nd="1"/>
        <i x="420" s="1" nd="1"/>
        <i x="79" s="1" nd="1"/>
        <i x="696" s="1" nd="1"/>
        <i x="283" s="1" nd="1"/>
        <i x="846" s="1" nd="1"/>
        <i x="247" s="1" nd="1"/>
        <i x="763" s="1" nd="1"/>
        <i x="424" s="1" nd="1"/>
        <i x="435" s="1" nd="1"/>
        <i x="166" s="1" nd="1"/>
        <i x="542" s="1" nd="1"/>
        <i x="806" s="1" nd="1"/>
        <i x="620" s="1" nd="1"/>
        <i x="4" s="1" nd="1"/>
        <i x="770" s="1" nd="1"/>
        <i x="14" s="1" nd="1"/>
        <i x="739" s="1" nd="1"/>
        <i x="392" s="1" nd="1"/>
        <i x="275" s="1" nd="1"/>
        <i x="64" s="1" nd="1"/>
        <i x="185" s="1" nd="1"/>
        <i x="306" s="1" nd="1"/>
        <i x="176" s="1" nd="1"/>
        <i x="596" s="1" nd="1"/>
        <i x="171" s="1" nd="1"/>
        <i x="614" s="1" nd="1"/>
        <i x="767" s="1" nd="1"/>
        <i x="482" s="1" nd="1"/>
        <i x="52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19" s="1" nd="1"/>
        <i x="389" s="1" nd="1"/>
        <i x="87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5" s="1" nd="1"/>
        <i x="400" s="1" nd="1"/>
        <i x="113" s="1" nd="1"/>
        <i x="652" s="1" nd="1"/>
        <i x="656" s="1" nd="1"/>
        <i x="795" s="1" nd="1"/>
        <i x="695" s="1" nd="1"/>
        <i x="454" s="1" nd="1"/>
        <i x="380" s="1" nd="1"/>
        <i x="447" s="1" nd="1"/>
        <i x="158" s="1" nd="1"/>
        <i x="276" s="1" nd="1"/>
        <i x="202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2" s="1" nd="1"/>
        <i x="627" s="1" nd="1"/>
        <i x="374" s="1" nd="1"/>
        <i x="807" s="1" nd="1"/>
        <i x="58" s="1" nd="1"/>
        <i x="631" s="1" nd="1"/>
        <i x="530" s="1" nd="1"/>
        <i x="294" s="1" nd="1"/>
        <i x="303" s="1" nd="1"/>
        <i x="173" s="1" nd="1"/>
        <i x="100" s="1" nd="1"/>
        <i x="69" s="1" nd="1"/>
        <i x="578" s="1" nd="1"/>
        <i x="798" s="1" nd="1"/>
        <i x="32" s="1" nd="1"/>
        <i x="673" s="1" nd="1"/>
        <i x="286" s="1" nd="1"/>
        <i x="629" s="1" nd="1"/>
        <i x="264" s="1" nd="1"/>
        <i x="114" s="1" nd="1"/>
        <i x="332" s="1" nd="1"/>
        <i x="219" s="1" nd="1"/>
        <i x="509" s="1" nd="1"/>
        <i x="116" s="1" nd="1"/>
        <i x="536" s="1" nd="1"/>
        <i x="82" s="1" nd="1"/>
        <i x="602" s="1" nd="1"/>
        <i x="449" s="1" nd="1"/>
        <i x="348" s="1" nd="1"/>
        <i x="77" s="1" nd="1"/>
        <i x="582" s="1" nd="1"/>
        <i x="18" s="1" nd="1"/>
        <i x="159" s="1" nd="1"/>
        <i x="773" s="1" nd="1"/>
        <i x="579" s="1" nd="1"/>
        <i x="517" s="1" nd="1"/>
        <i x="797" s="1" nd="1"/>
        <i x="164" s="1" nd="1"/>
        <i x="826" s="1" nd="1"/>
        <i x="109" s="1" nd="1"/>
        <i x="421" s="1" nd="1"/>
        <i x="426" s="1" nd="1"/>
        <i x="9" s="1" nd="1"/>
        <i x="42" s="1" nd="1"/>
        <i x="16" s="1" nd="1"/>
        <i x="622" s="1" nd="1"/>
        <i x="556" s="1" nd="1"/>
        <i x="626" s="1" nd="1"/>
        <i x="344" s="1" nd="1"/>
        <i x="432" s="1" nd="1"/>
        <i x="708" s="1" nd="1"/>
        <i x="209" s="1" nd="1"/>
        <i x="438" s="1" nd="1"/>
        <i x="101" s="1" nd="1"/>
        <i x="195" s="1" nd="1"/>
        <i x="831" s="1" nd="1"/>
        <i x="764" s="1" nd="1"/>
        <i x="508" s="1" nd="1"/>
        <i x="821" s="1" nd="1"/>
        <i x="340" s="1" nd="1"/>
        <i x="222" s="1" nd="1"/>
        <i x="63" s="1" nd="1"/>
        <i x="635" s="1" nd="1"/>
        <i x="457" s="1" nd="1"/>
        <i x="790" s="1" nd="1"/>
        <i x="703" s="1" nd="1"/>
        <i x="233" s="1" nd="1"/>
        <i x="597" s="1" nd="1"/>
        <i x="43" s="1" nd="1"/>
        <i x="843" s="1" nd="1"/>
        <i x="122" s="1" nd="1"/>
        <i x="266" s="1" nd="1"/>
        <i x="291" s="1" nd="1"/>
        <i x="353" s="1" nd="1"/>
        <i x="97" s="1" nd="1"/>
        <i x="459" s="1" nd="1"/>
        <i x="580" s="1" nd="1"/>
        <i x="352" s="1" nd="1"/>
        <i x="102" s="1" nd="1"/>
        <i x="538" s="1" nd="1"/>
        <i x="207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2" s="1" nd="1"/>
        <i x="414" s="1" nd="1"/>
        <i x="418" s="1" nd="1"/>
        <i x="802" s="1" nd="1"/>
        <i x="41" s="1" nd="1"/>
        <i x="805" s="1" nd="1"/>
        <i x="486" s="1" nd="1"/>
        <i x="442" s="1" nd="1"/>
        <i x="398" s="1" nd="1"/>
        <i x="608" s="1" nd="1"/>
        <i x="152" s="1" nd="1"/>
        <i x="15" s="1" nd="1"/>
        <i x="231" s="1" nd="1"/>
        <i x="240" s="1" nd="1"/>
        <i x="5" s="1" nd="1"/>
        <i x="387" s="1" nd="1"/>
        <i x="369" s="1" nd="1"/>
        <i x="615" s="1" nd="1"/>
        <i x="56" s="1" nd="1"/>
        <i x="707" s="1" nd="1"/>
        <i x="23" s="1" nd="1"/>
        <i x="36" s="1" nd="1"/>
        <i x="8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2" s="1" nd="1"/>
        <i x="666" s="1" nd="1"/>
        <i x="839" s="1" nd="1"/>
        <i x="38" s="1" nd="1"/>
        <i x="382" s="1" nd="1"/>
        <i x="589" s="1" nd="1"/>
        <i x="747" s="1" nd="1"/>
        <i x="268" s="1" nd="1"/>
        <i x="17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6" s="1" nd="1"/>
        <i x="349" s="1" nd="1"/>
        <i x="577" s="1" nd="1"/>
        <i x="160" s="1" nd="1"/>
        <i x="314" s="1" nd="1"/>
        <i x="698" s="1" nd="1"/>
        <i x="330" s="1" nd="1"/>
        <i x="625" s="1" nd="1"/>
        <i x="541" s="1" nd="1"/>
        <i x="368" s="1" nd="1"/>
        <i x="334" s="1" nd="1"/>
        <i x="174" s="1" nd="1"/>
        <i x="419" s="1" nd="1"/>
        <i x="701" s="1" nd="1"/>
        <i x="697" s="1" nd="1"/>
        <i x="378" s="1" nd="1"/>
        <i x="347" s="1" nd="1"/>
        <i x="149" s="1" nd="1"/>
        <i x="759" s="1" nd="1"/>
        <i x="690" s="1" nd="1"/>
        <i x="21" s="1" nd="1"/>
        <i x="727" s="1" nd="1"/>
        <i x="780" s="1" nd="1"/>
        <i x="639" s="1" nd="1"/>
        <i x="328" s="1" nd="1"/>
        <i x="367" s="1" nd="1"/>
        <i x="815" s="1" nd="1"/>
        <i x="776" s="1" nd="1"/>
        <i x="143" s="1" nd="1"/>
        <i x="497" s="1" nd="1"/>
        <i x="466" s="1" nd="1"/>
        <i x="139" s="1" nd="1"/>
        <i x="756" s="1" nd="1"/>
        <i x="147" s="1" nd="1"/>
        <i x="223" s="1" nd="1"/>
        <i x="720" s="1" nd="1"/>
        <i x="555" s="1" nd="1"/>
        <i x="115" s="1" nd="1"/>
        <i x="375" s="1" nd="1"/>
        <i x="718" s="1" nd="1"/>
        <i x="126" s="1" nd="1"/>
        <i x="33" s="1" nd="1"/>
        <i x="301" s="1" nd="1"/>
        <i x="548" s="1" nd="1"/>
        <i x="59" s="1" nd="1"/>
        <i x="451" s="1" nd="1"/>
        <i x="774" s="1" nd="1"/>
        <i x="484" s="1" nd="1"/>
        <i x="740" s="1" nd="1"/>
        <i x="453" s="1" nd="1"/>
        <i x="520" s="1" nd="1"/>
        <i x="161" s="1" nd="1"/>
        <i x="403" s="1" nd="1"/>
        <i x="741" s="1" nd="1"/>
        <i x="193" s="1" nd="1"/>
        <i x="746" s="1" nd="1"/>
        <i x="383" s="1" nd="1"/>
        <i x="136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0" s="1" nd="1"/>
        <i x="572" s="1" nd="1"/>
        <i x="156" s="1" nd="1"/>
        <i x="560" s="1" nd="1"/>
        <i x="45" s="1" nd="1"/>
        <i x="723" s="1" nd="1"/>
        <i x="748" s="1" nd="1"/>
        <i x="743" s="1" nd="1"/>
        <i x="847" s="1" nd="1"/>
        <i x="123" s="1" nd="1"/>
        <i x="464" s="1" nd="1"/>
        <i x="700" s="1" nd="1"/>
        <i x="427" s="1" nd="1"/>
        <i x="362" s="1" nd="1"/>
        <i x="99" s="1" nd="1"/>
        <i x="480" s="1" nd="1"/>
        <i x="607" s="1" nd="1"/>
        <i x="715" s="1" nd="1"/>
        <i x="53" s="1" nd="1"/>
        <i x="297" s="1" nd="1"/>
        <i x="682" s="1" nd="1"/>
        <i x="134" s="1" nd="1"/>
        <i x="329" s="1" nd="1"/>
        <i x="535" s="1" nd="1"/>
        <i x="236" s="1" nd="1"/>
        <i x="557" s="1" nd="1"/>
        <i x="546" s="1" nd="1"/>
        <i x="850" s="1" nd="1"/>
        <i x="2" s="1" nd="1"/>
        <i x="271" s="1" nd="1"/>
        <i x="74" s="1" nd="1"/>
        <i x="129" s="1" nd="1"/>
        <i x="654" s="1" nd="1"/>
        <i x="721" s="1" nd="1"/>
        <i x="641" s="1" nd="1"/>
        <i x="230" s="1" nd="1"/>
        <i x="372" s="1" nd="1"/>
        <i x="735" s="1" nd="1"/>
        <i x="131" s="1" nd="1"/>
        <i x="85" s="1" nd="1"/>
        <i x="208" s="1" nd="1"/>
        <i x="681" s="1" nd="1"/>
        <i x="274" s="1" nd="1"/>
        <i x="471" s="1" nd="1"/>
        <i x="799" s="1" nd="1"/>
        <i x="216" s="1" nd="1"/>
        <i x="827" s="1" nd="1"/>
        <i x="68" s="1" nd="1"/>
        <i x="117" s="1" nd="1"/>
        <i x="645" s="1" nd="1"/>
        <i x="410" s="1" nd="1"/>
        <i x="854" s="1" nd="1"/>
        <i x="431" s="1" nd="1"/>
        <i x="569" s="1" nd="1"/>
        <i x="487" s="1" nd="1"/>
        <i x="181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187" s="1" nd="1"/>
        <i x="659" s="1" nd="1"/>
        <i x="220" s="1" nd="1"/>
        <i x="448" s="1" nd="1"/>
        <i x="146" s="1" nd="1"/>
        <i x="361" s="1" nd="1"/>
        <i x="262" s="1" nd="1"/>
        <i x="290" s="1" nd="1"/>
        <i x="540" s="1" nd="1"/>
        <i x="810" s="1" nd="1"/>
        <i x="603" s="1" nd="1"/>
        <i x="31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50" s="1" nd="1"/>
        <i x="605" s="1" nd="1"/>
        <i x="83" s="1" nd="1"/>
        <i x="325" s="1" nd="1"/>
        <i x="34" s="1" nd="1"/>
        <i x="495" s="1" nd="1"/>
        <i x="506" s="1" nd="1"/>
        <i x="446" s="1" nd="1"/>
        <i x="165" s="1" nd="1"/>
        <i x="132" s="1" nd="1"/>
        <i x="251" s="1" nd="1"/>
        <i x="299" s="1" nd="1"/>
        <i x="819" s="1" nd="1"/>
        <i x="168" s="1" nd="1"/>
        <i x="709" s="1" nd="1"/>
        <i x="170" s="1" nd="1"/>
        <i x="586" s="1" nd="1"/>
        <i x="226" s="1" nd="1"/>
        <i x="390" s="1" nd="1"/>
        <i x="657" s="1" nd="1"/>
        <i x="309" s="1" nd="1"/>
        <i x="73" s="1" nd="1"/>
        <i x="669" s="1" nd="1"/>
        <i x="93" s="1" nd="1"/>
        <i x="439" s="1" nd="1"/>
        <i x="350" s="1" nd="1"/>
        <i x="784" s="1" nd="1"/>
        <i x="498" s="1" nd="1"/>
        <i x="60" s="1" nd="1"/>
        <i x="455" s="1" nd="1"/>
        <i x="81" s="1" nd="1"/>
        <i x="324" s="1" nd="1"/>
        <i x="167" s="1" nd="1"/>
        <i x="331" s="1" nd="1"/>
        <i x="564" s="1" nd="1"/>
        <i x="503" s="1" nd="1"/>
        <i x="227" s="1" nd="1"/>
        <i x="280" s="1" nd="1"/>
        <i x="92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0" s="1" nd="1"/>
        <i x="713" s="1" nd="1"/>
        <i x="573" s="1" nd="1"/>
        <i x="183" s="1" nd="1"/>
        <i x="717" s="1" nd="1"/>
        <i x="110" s="1" nd="1"/>
        <i x="253" s="1" nd="1"/>
        <i x="511" s="1" nd="1"/>
        <i x="94" s="1" nd="1"/>
        <i x="522" s="1" nd="1"/>
        <i x="789" s="1" nd="1"/>
        <i x="19" s="1" nd="1"/>
        <i x="537" s="1" nd="1"/>
        <i x="636" s="1" nd="1"/>
        <i x="575" s="1" nd="1"/>
        <i x="196" s="1" nd="1"/>
        <i x="574" s="1" nd="1"/>
        <i x="364" s="1" nd="1"/>
        <i x="823" s="1" nd="1"/>
        <i x="335" s="1" nd="1"/>
        <i x="523" s="1" nd="1"/>
        <i x="246" s="1" nd="1"/>
        <i x="10" s="1" nd="1"/>
        <i x="141" s="1" nd="1"/>
        <i x="651" s="1" nd="1"/>
        <i x="604" s="1" nd="1"/>
        <i x="440" s="1" nd="1"/>
        <i x="22" s="1" nd="1"/>
        <i x="594" s="1" nd="1"/>
        <i x="434" s="1" nd="1"/>
        <i x="66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1" s="1" nd="1"/>
        <i x="76" s="1" nd="1"/>
        <i x="528" s="1" nd="1"/>
        <i x="566" s="1" nd="1"/>
        <i x="687" s="1" nd="1"/>
        <i x="279" s="1" nd="1"/>
        <i x="524" s="1" nd="1"/>
        <i x="525" s="1" nd="1"/>
        <i x="37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7" s="1" nd="1"/>
        <i x="234" s="1" nd="1"/>
        <i x="358" s="1" nd="1"/>
        <i x="259" s="1" nd="1"/>
        <i x="363" s="1" nd="1"/>
        <i x="500" s="1" nd="1"/>
        <i x="145" s="1" nd="1"/>
        <i x="169" s="1" nd="1"/>
        <i x="584" s="1" nd="1"/>
        <i x="803" s="1" nd="1"/>
        <i x="791" s="1" nd="1"/>
        <i x="199" s="1" nd="1"/>
        <i x="150" s="1" nd="1"/>
        <i x="235" s="1" nd="1"/>
        <i x="502" s="1" nd="1"/>
        <i x="786" s="1" nd="1"/>
        <i x="258" s="1" nd="1"/>
        <i x="752" s="1" nd="1"/>
        <i x="127" s="1" nd="1"/>
        <i x="210" s="1" nd="1"/>
        <i x="833" s="1" nd="1"/>
        <i x="585" s="1" nd="1"/>
        <i x="796" s="1" nd="1"/>
        <i x="726" s="1" nd="1"/>
        <i x="411" s="1" nd="1"/>
        <i x="25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79" s="1" nd="1"/>
        <i x="333" s="1" nd="1"/>
        <i x="817" s="1" nd="1"/>
        <i x="610" s="1" nd="1"/>
        <i x="587" s="1" nd="1"/>
        <i x="255" s="1" nd="1"/>
        <i x="550" s="1" nd="1"/>
        <i x="103" s="1" nd="1"/>
        <i x="86" s="1" nd="1"/>
        <i x="754" s="1" nd="1"/>
        <i x="154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13" s="1" nd="1"/>
        <i x="224" s="1" nd="1"/>
        <i x="783" s="1" nd="1"/>
        <i x="724" s="1" nd="1"/>
        <i x="841" s="1" nd="1"/>
        <i x="443" s="1" nd="1"/>
        <i x="192" s="1" nd="1"/>
        <i x="305" s="1" nd="1"/>
        <i x="339" s="1" nd="1"/>
        <i x="95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4" s="1" nd="1"/>
        <i x="408" s="1" nd="1"/>
        <i x="473" s="1" nd="1"/>
        <i x="837" s="1" nd="1"/>
        <i x="124" s="1" nd="1"/>
        <i x="151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78" s="1" nd="1"/>
        <i x="51" s="1" nd="1"/>
        <i x="851" s="1" nd="1"/>
        <i x="29" s="1" nd="1"/>
        <i x="570" s="1" nd="1"/>
        <i x="512" s="1" nd="1"/>
        <i x="412" s="1" nd="1"/>
        <i x="702" s="1" nd="1"/>
        <i x="203" s="1" nd="1"/>
        <i x="643" s="1" nd="1"/>
        <i x="779" s="1" nd="1"/>
        <i x="467" s="1" nd="1"/>
        <i x="40" s="1" nd="1"/>
        <i x="693" s="1" nd="1"/>
        <i x="663" s="1" nd="1"/>
        <i x="808" s="1" nd="1"/>
        <i x="816" s="1" nd="1"/>
        <i x="624" s="1" nd="1"/>
        <i x="458" s="1" nd="1"/>
        <i x="691" s="1" nd="1"/>
        <i x="133" s="1" nd="1"/>
        <i x="409" s="1" nd="1"/>
        <i x="692" s="1" nd="1"/>
        <i x="441" s="1" nd="1"/>
        <i x="360" s="1" nd="1"/>
        <i x="705" s="1" nd="1"/>
        <i x="302" s="1" nd="1"/>
        <i x="188" s="1" nd="1"/>
        <i x="680" s="1" nd="1"/>
        <i x="282" s="1" nd="1"/>
        <i x="218" s="1" nd="1"/>
        <i x="318" s="1" nd="1"/>
        <i x="254" s="1" nd="1"/>
        <i x="191" s="1" nd="1"/>
        <i x="729" s="1" nd="1"/>
        <i x="384" s="1" nd="1"/>
        <i x="576" s="1" nd="1"/>
        <i x="359" s="1" nd="1"/>
        <i x="450" s="1" nd="1"/>
        <i x="513" s="1" nd="1"/>
        <i x="121" s="1" nd="1"/>
        <i x="646" s="1" nd="1"/>
        <i x="48" s="1" nd="1"/>
        <i x="415" s="1" nd="1"/>
        <i x="144" s="1" nd="1"/>
        <i x="728" s="1" nd="1"/>
        <i x="163" s="1" nd="1"/>
        <i x="345" s="1" nd="1"/>
        <i x="118" s="1" nd="1"/>
        <i x="289" s="1" nd="1"/>
        <i x="198" s="1" nd="1"/>
        <i x="204" s="1" nd="1"/>
        <i x="88" s="1" nd="1"/>
        <i x="27" s="1" nd="1"/>
        <i x="277" s="1" nd="1"/>
        <i x="507" s="1" nd="1"/>
        <i x="499" s="1" nd="1"/>
        <i x="67" s="1" nd="1"/>
        <i x="679" s="1" nd="1"/>
        <i x="80" s="1" nd="1"/>
        <i x="634" s="1" nd="1"/>
        <i x="65" s="1" nd="1"/>
        <i x="650" s="1" nd="1"/>
        <i x="488" s="1" nd="1"/>
        <i x="753" s="1" nd="1"/>
        <i x="162" s="1" nd="1"/>
        <i x="190" s="1" nd="1"/>
        <i x="678" s="1" nd="1"/>
        <i x="298" s="1" nd="1"/>
        <i x="588" s="1" nd="1"/>
        <i x="178" s="1" nd="1"/>
        <i x="623" s="1" nd="1"/>
        <i x="62" s="1" nd="1"/>
        <i x="423" s="1" nd="1"/>
        <i x="26" s="1" nd="1"/>
        <i x="765" s="1" nd="1"/>
        <i x="413" s="1" nd="1"/>
        <i x="552" s="1" nd="1"/>
        <i x="96" s="1" nd="1"/>
        <i x="84" s="1" nd="1"/>
        <i x="292" s="1" nd="1"/>
        <i x="194" s="1" nd="1"/>
        <i x="496" s="1" nd="1"/>
        <i x="261" s="1" nd="1"/>
        <i x="30" s="1" nd="1"/>
        <i x="104" s="1" nd="1"/>
        <i x="533" s="1" nd="1"/>
        <i x="296" s="1" nd="1"/>
        <i x="396" s="1" nd="1"/>
        <i x="228" s="1" nd="1"/>
        <i x="7" s="1" nd="1"/>
        <i x="472" s="1" nd="1"/>
        <i x="824" s="1" nd="1"/>
        <i x="35" s="1" nd="1"/>
        <i x="310" s="1" nd="1"/>
        <i x="825" s="1" nd="1"/>
        <i x="562" s="1" nd="1"/>
        <i x="61" s="1" nd="1"/>
        <i x="568" s="1" nd="1"/>
        <i x="430" s="1" nd="1"/>
        <i x="425" s="1" nd="1"/>
        <i x="175" s="1" nd="1"/>
        <i x="365" s="1" nd="1"/>
        <i x="758" s="1" nd="1"/>
        <i x="600" s="1" nd="1"/>
        <i x="12" s="1" nd="1"/>
        <i x="91" s="1" nd="1"/>
        <i x="437" s="1" nd="1"/>
        <i x="433" s="1" nd="1"/>
        <i x="120" s="1" nd="1"/>
        <i x="630" s="1" nd="1"/>
        <i x="200" s="1" nd="1"/>
        <i x="155" s="1" nd="1"/>
        <i x="54" s="1" nd="1"/>
        <i x="547" s="1" nd="1"/>
        <i x="618" s="1" nd="1"/>
        <i x="98" s="1" nd="1"/>
        <i x="766" s="1" nd="1"/>
        <i x="125" s="1" nd="1"/>
        <i x="217" s="1" nd="1"/>
        <i x="811" s="1" nd="1"/>
        <i x="278" s="1" nd="1"/>
        <i x="106" s="1" nd="1"/>
        <i x="197" s="1" nd="1"/>
        <i x="213" s="1" nd="1"/>
        <i x="180" s="1" nd="1"/>
        <i x="72" s="1" nd="1"/>
        <i x="211" s="1" nd="1"/>
        <i x="599" s="1" nd="1"/>
        <i x="189" s="1" nd="1"/>
        <i x="225" s="1" nd="1"/>
        <i x="842" s="1" nd="1"/>
        <i x="836" s="1" nd="1"/>
        <i x="491" s="1" nd="1"/>
        <i x="684" s="1" nd="1"/>
        <i x="242" s="1" nd="1"/>
        <i x="55" s="1" nd="1"/>
        <i x="128" s="1" nd="1"/>
        <i x="3" s="1" nd="1"/>
        <i x="49" s="1" nd="1"/>
        <i x="89" s="1" nd="1"/>
        <i x="201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3" s="1" nd="1"/>
        <i x="23" s="1" nd="1"/>
        <i x="6" s="1" nd="1"/>
        <i x="22" s="1" nd="1"/>
        <i x="21" s="1" nd="1"/>
        <i x="12" s="1" nd="1"/>
        <i x="18" s="1" nd="1"/>
        <i x="2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6" totalsRowShown="0" headerRowDxfId="92" dataDxfId="90" headerRowBorderDxfId="91" tableBorderDxfId="89" totalsRowBorderDxfId="88">
  <autoFilter ref="A1:D366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2548</v>
      </c>
      <c r="B2" s="12" t="s">
        <v>578</v>
      </c>
      <c r="C2" s="14">
        <v>46252</v>
      </c>
      <c r="D2" s="14">
        <v>46253</v>
      </c>
      <c r="E2" s="12">
        <v>400</v>
      </c>
      <c r="F2" s="15" t="s">
        <v>579</v>
      </c>
      <c r="G2" s="15" t="s">
        <v>580</v>
      </c>
      <c r="H2" s="15" t="s">
        <v>581</v>
      </c>
      <c r="I2" s="16">
        <v>465523.8</v>
      </c>
      <c r="J2" s="15" t="s">
        <v>582</v>
      </c>
      <c r="K2" s="15" t="s">
        <v>583</v>
      </c>
      <c r="L2" s="15" t="s">
        <v>584</v>
      </c>
      <c r="M2" s="15">
        <v>6760.5</v>
      </c>
      <c r="N2" s="15">
        <v>23</v>
      </c>
      <c r="O2" s="16">
        <v>8103</v>
      </c>
      <c r="P2" s="15" t="s">
        <v>578</v>
      </c>
      <c r="Q2" s="15">
        <v>0</v>
      </c>
      <c r="R2" s="15" t="s">
        <v>585</v>
      </c>
      <c r="S2" s="15">
        <v>5600</v>
      </c>
      <c r="T2" s="15" t="s">
        <v>586</v>
      </c>
      <c r="U2" s="15">
        <v>0</v>
      </c>
      <c r="V2" s="15">
        <v>0</v>
      </c>
      <c r="W2" s="15">
        <v>0</v>
      </c>
      <c r="X2" s="15">
        <v>0</v>
      </c>
      <c r="Y2" s="15">
        <v>186.21</v>
      </c>
      <c r="Z2" s="15">
        <v>150</v>
      </c>
      <c r="AA2" s="15">
        <v>5936.21</v>
      </c>
      <c r="AB2" s="15">
        <v>824.29</v>
      </c>
      <c r="AC2" s="15">
        <v>1081.68</v>
      </c>
      <c r="AD2" s="15">
        <v>-460.21</v>
      </c>
      <c r="AE2" s="15">
        <v>0</v>
      </c>
      <c r="AF2" s="15">
        <v>-460.21</v>
      </c>
      <c r="AG2" s="17">
        <v>-6.8099999999999994E-2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6760.5</v>
      </c>
      <c r="F3" s="93"/>
      <c r="G3" s="94"/>
      <c r="H3" s="95">
        <f>'Resumo Detalhado'!C2</f>
        <v>8103</v>
      </c>
      <c r="I3" s="96"/>
      <c r="J3" s="97">
        <f>E3/H3</f>
        <v>0.83432062199185486</v>
      </c>
      <c r="K3" s="98"/>
      <c r="L3" s="99"/>
      <c r="M3" s="138" t="s">
        <v>41</v>
      </c>
      <c r="N3" s="93"/>
      <c r="O3" s="94"/>
      <c r="P3" s="135">
        <v>22000</v>
      </c>
      <c r="Q3" s="136"/>
      <c r="R3" s="137"/>
      <c r="S3" s="103">
        <f>MIN(H3/P3,1)</f>
        <v>0.36831818181818182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5600</v>
      </c>
      <c r="F7" s="109"/>
      <c r="G7" s="109"/>
      <c r="H7" s="109"/>
      <c r="I7" s="109"/>
      <c r="J7" s="109">
        <f>E7/H3</f>
        <v>0.69110206096507465</v>
      </c>
      <c r="K7" s="109"/>
      <c r="L7" s="109"/>
      <c r="M7" s="110">
        <f>E7/E3</f>
        <v>0.82834109903113673</v>
      </c>
      <c r="N7" s="110"/>
      <c r="O7" s="110"/>
      <c r="P7" s="109">
        <f>E11+K11+Q11+E15+K15+Q15+E19+H19+K19</f>
        <v>7558.7300000000005</v>
      </c>
      <c r="Q7" s="109"/>
      <c r="R7" s="109"/>
      <c r="S7" s="109">
        <f>P7/H3</f>
        <v>0.93283105022831059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5600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5600</v>
      </c>
      <c r="L11" s="94"/>
      <c r="M11" s="38"/>
      <c r="N11" s="92">
        <f>K11/H3</f>
        <v>0.69110206096507465</v>
      </c>
      <c r="O11" s="94"/>
      <c r="P11" s="38"/>
      <c r="Q11" s="92">
        <f>'Resumo Detalhado'!D2</f>
        <v>0</v>
      </c>
      <c r="R11" s="94"/>
      <c r="S11" s="38"/>
      <c r="T11" s="92">
        <f>Q11/H3</f>
        <v>0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0</v>
      </c>
      <c r="F15" s="113"/>
      <c r="G15" s="113"/>
      <c r="H15" s="113"/>
      <c r="I15" s="114"/>
      <c r="J15" s="38"/>
      <c r="K15" s="116">
        <f>'Resumo Detalhado'!K2+'Resumo Detalhado'!L2</f>
        <v>1081.68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186.21</v>
      </c>
      <c r="F19" s="119"/>
      <c r="G19" s="38"/>
      <c r="H19" s="106">
        <f>'Resumo Detalhado'!J2</f>
        <v>150</v>
      </c>
      <c r="I19" s="108"/>
      <c r="J19" s="38"/>
      <c r="K19" s="106">
        <f>'Resumo Detalhado'!L2</f>
        <v>540.84</v>
      </c>
      <c r="L19" s="108"/>
      <c r="M19" s="38"/>
      <c r="N19" s="112" t="s">
        <v>284</v>
      </c>
      <c r="O19" s="113"/>
      <c r="P19" s="113"/>
      <c r="Q19" s="113"/>
      <c r="R19" s="119"/>
      <c r="S19" s="112">
        <f>_xlfn.XLOOKUP(N19,Target!C:C,Target!D:D)</f>
        <v>5500</v>
      </c>
      <c r="T19" s="113"/>
      <c r="U19" s="119"/>
      <c r="V19" s="36"/>
      <c r="W19" s="126" t="str">
        <f>IF(D11=S19,"NO TARGET",IF(D11&lt;S19,"ABAIXO DO TARGET",IF(D11&gt;S19,"FORA DO TARGET")))</f>
        <v>FORA DO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-257.3900000000001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-3.8072627764218638E-2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441406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7.5546875" bestFit="1" customWidth="1"/>
    <col min="9" max="9" width="10.5546875" style="4" bestFit="1" customWidth="1"/>
    <col min="10" max="10" width="10.55468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587</v>
      </c>
      <c r="F1" s="29"/>
    </row>
    <row r="2" spans="1:18" x14ac:dyDescent="0.3">
      <c r="B2" s="29">
        <f>SUM(B6:B5000)</f>
        <v>6760.5</v>
      </c>
      <c r="C2" s="29">
        <f>SUM(C6:C5000)</f>
        <v>8103</v>
      </c>
      <c r="D2" s="29">
        <f>SUM(D6:D5000)</f>
        <v>0</v>
      </c>
      <c r="E2" s="29">
        <f>SUM(E6:E5000)</f>
        <v>5600</v>
      </c>
      <c r="F2" s="29">
        <f>SUM(F6:F5000)</f>
        <v>0</v>
      </c>
      <c r="G2" s="29"/>
      <c r="H2" s="29">
        <f t="shared" ref="H2:P2" si="0">SUM(H6:H5000)</f>
        <v>0</v>
      </c>
      <c r="I2" s="29">
        <f t="shared" si="0"/>
        <v>186.21</v>
      </c>
      <c r="J2" s="29">
        <f t="shared" si="0"/>
        <v>150</v>
      </c>
      <c r="K2" s="29">
        <f t="shared" si="0"/>
        <v>540.84</v>
      </c>
      <c r="L2" s="29">
        <f t="shared" si="0"/>
        <v>540.84</v>
      </c>
      <c r="M2" s="29">
        <f t="shared" si="0"/>
        <v>0</v>
      </c>
      <c r="N2" s="29">
        <f t="shared" si="0"/>
        <v>-257.3900000000001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580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2548</v>
      </c>
      <c r="B6" s="139">
        <v>6760.5</v>
      </c>
      <c r="C6" s="140">
        <v>8103</v>
      </c>
      <c r="D6" s="139">
        <v>0</v>
      </c>
      <c r="E6" s="139">
        <v>5600</v>
      </c>
      <c r="F6" s="139">
        <v>0</v>
      </c>
      <c r="G6" s="141">
        <v>0.82834109903113673</v>
      </c>
      <c r="H6" s="139">
        <v>0</v>
      </c>
      <c r="I6" s="139">
        <v>186.21</v>
      </c>
      <c r="J6" s="139">
        <v>150</v>
      </c>
      <c r="K6" s="139">
        <v>540.84</v>
      </c>
      <c r="L6" s="139">
        <v>540.84</v>
      </c>
      <c r="M6" s="139">
        <v>0</v>
      </c>
      <c r="N6" s="139">
        <v>-257.3900000000001</v>
      </c>
      <c r="O6" s="141">
        <v>-3.8072627764218638E-2</v>
      </c>
      <c r="Q6"/>
    </row>
    <row r="7" spans="1:18" s="31" customFormat="1" x14ac:dyDescent="0.3">
      <c r="A7" s="9" t="s">
        <v>86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2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587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580</v>
      </c>
      <c r="B5" s="10">
        <v>6760.5</v>
      </c>
      <c r="C5" s="10">
        <v>-257.3900000000001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6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2026-08-24T12:42:43Z</dcterms:modified>
  <cp:category/>
  <cp:contentStatus/>
</cp:coreProperties>
</file>