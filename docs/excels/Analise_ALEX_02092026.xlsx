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9D992C0-5A0B-46CA-9D61-FF7B55C14A7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<sst xmlns="http://schemas.openxmlformats.org/spreadsheetml/2006/main" count="870" uniqueCount="599">
  <si>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</si>
  <si>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</si>
  <si>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</si>
  <si>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</si>
  <si>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</si>
  <si>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</si>
  <si>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</si>
  <si>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</si>
  <si>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</si>
  <si>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</si>
  <si>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</si>
  <si>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</si>
  <si>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</si>
  <si>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</si>
  <si>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</si>
  <si>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</si>
  <si>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</si>
  <si>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</si>
  <si>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</si>
  <si>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</si>
  <si>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</si>
  <si>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</si>
  <si>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</si>
  <si>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</si>
  <si>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</si>
  <si>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</si>
  <si>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</si>
  <si>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</si>
  <si>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</si>
  <si>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</si>
  <si>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</si>
  <si>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</si>
  <si>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</si>
  <si>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</si>
  <si>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</si>
  <si>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</si>
  <si>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</si>
  <si>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</si>
  <si>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</si>
  <si>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</si>
  <si>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</si>
  <si>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</si>
  <si>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</si>
  <si>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</si>
  <si>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</si>
  <si>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</si>
  <si>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</si>
  <si>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</si>
  <si>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</si>
  <si>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</si>
  <si>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</si>
  <si>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</si>
  <si>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</si>
  <si>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</si>
  <si>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</si>
  <si>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</si>
  <si>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</si>
  <si>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</si>
  <si>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</si>
  <si>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</si>
  <si>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</si>
  <si>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</si>
  <si>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</si>
  <si>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</si>
  <si>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</si>
  <si>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</si>
  <si>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</si>
  <si>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</si>
  <si>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</si>
  <si>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</si>
  <si>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</si>
  <si>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</si>
  <si>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</si>
  <si>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</si>
  <si>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</si>
  <si>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</si>
  <si>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</si>
  <si>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</si>
  <si>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</si>
  <si>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</si>
  <si>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</si>
  <si>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</si>
  <si>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</si>
  <si>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</si>
  <si>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</si>
  <si>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</si>
  <si>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</si>
  <si>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</si>
  <si>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</si>
  <si>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</si>
  <si>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</si>
  <si>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</si>
  <si>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</si>
  <si>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</si>
  <si>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</si>
  <si>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</si>
  <si>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</si>
  <si>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</si>
  <si>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</si>
  <si>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</si>
  <si>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</si>
  <si>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</si>
  <si>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</si>
  <si>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</si>
  <si>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</si>
  <si>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</si>
  <si>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</si>
  <si>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</si>
  <si>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</si>
  <si>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</si>
  <si>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</si>
  <si>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</si>
  <si>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</si>
  <si>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</si>
  <si>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</si>
  <si>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</si>
  <si>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</si>
  <si>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</si>
  <si>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</si>
  <si>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</si>
  <si>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</si>
  <si>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</si>
  <si>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</si>
  <si>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</si>
  <si>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</si>
  <si>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</si>
  <si>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</si>
  <si>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</si>
  <si>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</si>
  <si>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</si>
  <si>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</si>
  <si>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</si>
  <si>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</si>
  <si>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</si>
  <si>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</si>
  <si>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</si>
  <si>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</si>
  <si>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</si>
  <si>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</si>
  <si>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</si>
  <si>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</si>
  <si>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</si>
  <si>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</si>
  <si>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</si>
  <si>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</si>
  <si>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</si>
  <si>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</si>
  <si>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</si>
  <si>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</si>
  <si>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</si>
  <si>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</si>
  <si>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</si>
  <si>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</si>
  <si>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</si>
  <si>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</si>
  <si>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</si>
  <si>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</si>
  <si>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</si>
  <si>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</si>
  <si>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</si>
  <si>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</si>
  <si>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</si>
  <si>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</si>
  <si>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</si>
  <si>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</si>
  <si>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</si>
  <si>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</si>
  <si>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</si>
  <si>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</si>
  <si>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</si>
  <si>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</si>
  <si>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</si>
  <si>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</si>
  <si>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</si>
  <si>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</si>
  <si>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</si>
  <si>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</si>
  <si>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</si>
  <si>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</si>
  <si>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</si>
  <si>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</si>
  <si>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</si>
  <si>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</si>
  <si>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</si>
  <si>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</si>
  <si>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</si>
  <si>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</si>
  <si>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</si>
  <si>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</si>
  <si>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</si>
  <si>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</si>
  <si>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</si>
  <si>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</si>
  <si>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</si>
  <si>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</si>
  <si>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</si>
  <si>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</si>
  <si>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</si>
  <si>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</si>
  <si>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</si>
  <si>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</si>
  <si>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</si>
  <si>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</si>
  <si>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</si>
  <si>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</si>
  <si>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</si>
  <si>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</si>
  <si>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</si>
  <si>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</si>
  <si>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</si>
  <si>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</si>
  <si>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</si>
  <si>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</si>
  <si>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</si>
  <si>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</si>
  <si>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</si>
  <si>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</si>
  <si>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</si>
  <si>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</si>
  <si>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</si>
  <si>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</si>
  <si>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</si>
  <si>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</si>
  <si>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</si>
  <si>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</si>
  <si>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</si>
  <si>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</si>
  <si>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</si>
  <si>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</si>
  <si>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</si>
  <si>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</si>
  <si>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</si>
  <si>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</si>
  <si>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</si>
  <si>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</si>
  <si>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</si>
  <si>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</si>
  <si>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</si>
  <si>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</si>
  <si>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</si>
  <si>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</si>
  <si>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</si>
  <si>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</si>
  <si>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</si>
  <si>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</si>
  <si>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</si>
  <si>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</si>
  <si>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</si>
  <si>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</si>
  <si>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</si>
  <si>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</si>
  <si>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</si>
  <si>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</si>
  <si>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</si>
  <si>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</si>
  <si>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</si>
  <si>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</si>
  <si>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</si>
  <si>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</si>
  <si>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</si>
  <si>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</si>
  <si>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</si>
  <si>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</si>
  <si>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</si>
  <si>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</si>
  <si>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</si>
  <si>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</si>
  <si>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</si>
  <si>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</si>
  <si>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</si>
  <si>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</si>
  <si>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</si>
  <si>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</si>
  <si>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</si>
  <si>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</si>
  <si>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</si>
  <si>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</si>
  <si>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</si>
  <si>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</si>
  <si>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</si>
  <si>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</si>
  <si>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</si>
  <si>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</si>
  <si>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</si>
  <si>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</si>
  <si>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</si>
  <si>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</si>
  <si>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</si>
  <si>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</si>
  <si>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</si>
  <si>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</si>
  <si>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</si>
  <si>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</si>
  <si>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</si>
  <si>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</si>
  <si>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</si>
  <si>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</si>
  <si>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</si>
  <si>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</si>
  <si>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</si>
  <si>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</si>
  <si>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</si>
  <si>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</si>
  <si>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</si>
  <si>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</si>
  <si>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</si>
  <si>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</si>
  <si>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</si>
  <si>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</si>
  <si>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</si>
  <si>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</si>
  <si>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</si>
  <si>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</si>
  <si>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</si>
  <si>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</si>
  <si>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</si>
  <si>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</si>
  <si>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</si>
  <si>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</si>
  <si>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</si>
  <si>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</si>
  <si>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</si>
  <si>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</si>
  <si>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</si>
  <si>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</si>
  <si>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</si>
  <si>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</si>
  <si>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</si>
  <si>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</si>
  <si>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</si>
  <si>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</si>
  <si>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</si>
  <si>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</si>
  <si>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</si>
  <si>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</si>
  <si>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</si>
  <si>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</si>
  <si>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</si>
  <si>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</si>
  <si>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</si>
  <si>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</si>
  <si>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</si>
  <si>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</si>
  <si>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</si>
  <si>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</si>
  <si>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</si>
  <si>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</si>
  <si>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</si>
  <si>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</si>
  <si>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</si>
  <si>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</si>
  <si>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</si>
  <si>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</si>
  <si>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</si>
  <si>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</si>
  <si>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</si>
  <si>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</si>
  <si>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</si>
  <si>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</si>
  <si>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</si>
  <si>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</si>
  <si>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</si>
  <si>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</si>
  <si>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</si>
  <si>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</si>
  <si>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</si>
  <si>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</si>
  <si>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</si>
  <si>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</si>
  <si>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</si>
  <si>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</si>
  <si>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</si>
  <si>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</si>
  <si>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</si>
  <si>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</si>
  <si>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</si>
  <si>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</si>
  <si>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</si>
  <si>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</si>
  <si>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</si>
  <si>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</si>
  <si>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</si>
  <si>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</si>
  <si>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</si>
  <si>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</si>
  <si>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</si>
  <si>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</si>
  <si>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</si>
  <si>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</si>
  <si>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</si>
  <si>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</si>
  <si>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</si>
  <si>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</si>
  <si>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</si>
  <si>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</si>
  <si>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</si>
  <si>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</si>
  <si>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</si>
  <si>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</si>
  <si>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</si>
  <si>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</si>
  <si>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</si>
  <si>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</si>
  <si>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</si>
  <si>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</si>
  <si>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</si>
  <si>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</si>
  <si>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</si>
  <si>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</si>
  <si>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</si>
  <si>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</si>
  <si>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</si>
  <si>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</si>
  <si>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</si>
  <si>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</si>
  <si>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</si>
  <si>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</si>
  <si>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</si>
  <si>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</si>
  <si>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</si>
  <si>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</si>
  <si>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</si>
  <si>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</si>
  <si>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</si>
  <si>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</si>
  <si>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</si>
  <si>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</si>
  <si>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</si>
  <si>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</si>
  <si>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</si>
  <si>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</si>
  <si>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</si>
  <si>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</si>
  <si>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</si>
  <si>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</si>
  <si>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</si>
  <si>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</si>
  <si>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</si>
  <si>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</si>
  <si>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</si>
  <si>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</si>
  <si>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</si>
  <si>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</si>
  <si>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</si>
  <si>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</si>
  <si>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</si>
  <si>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</si>
  <si>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</si>
  <si>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</si>
  <si>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</si>
  <si>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</si>
  <si>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</si>
  <si>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</si>
  <si>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</si>
  <si>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</si>
  <si>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</si>
  <si>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</si>
  <si>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</si>
  <si>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</si>
  <si>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</si>
  <si>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</si>
  <si>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</si>
  <si>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</si>
  <si>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</si>
  <si>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</si>
  <si>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</si>
  <si>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</si>
  <si>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</si>
  <si>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</si>
  <si>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</si>
  <si>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</si>
  <si>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</si>
  <si>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</si>
  <si>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</si>
  <si>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</si>
  <si>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</si>
  <si>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</si>
  <si>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</si>
  <si>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</si>
  <si>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</si>
  <si>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</si>
  <si>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</si>
  <si>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</si>
  <si>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</si>
  <si>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</si>
  <si>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</si>
  <si>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</si>
  <si>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</si>
  <si>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</si>
  <si>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</si>
  <si>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</si>
  <si>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</si>
  <si>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</si>
  <si>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</si>
  <si>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</si>
  <si>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</si>
  <si>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</si>
  <si>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</si>
  <si>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</si>
  <si>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</si>
  <si>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</si>
  <si>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</si>
  <si>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</si>
  <si>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</si>
  <si>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</si>
  <si>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</si>
  <si>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</si>
  <si>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</si>
  <si>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</si>
  <si>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</si>
  <si>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</si>
  <si>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</si>
  <si>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</si>
  <si>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</si>
  <si>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</si>
  <si>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</si>
  <si>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</si>
  <si>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</si>
  <si>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</si>
  <si>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</si>
  <si>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</si>
  <si>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</si>
  <si>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</si>
  <si>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</si>
  <si>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</si>
  <si>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</si>
  <si>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</si>
  <si>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</si>
  <si>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</si>
  <si>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</si>
  <si>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</si>
  <si>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</si>
  <si>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</si>
  <si>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</si>
  <si>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</si>
  <si>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</si>
  <si>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</si>
  <si>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</si>
  <si>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</si>
  <si>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</si>
  <si>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</si>
  <si>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</si>
  <si>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</si>
  <si>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</si>
  <si>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</si>
  <si>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</si>
  <si>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</si>
  <si>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</si>
  <si>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</si>
  <si>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</si>
  <si>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</si>
  <si>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</si>
  <si>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</si>
  <si>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</si>
  <si>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</si>
  <si>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</si>
  <si>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</si>
  <si>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</si>
  <si>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</si>
  <si>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</si>
  <si>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</si>
  <si>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</si>
  <si>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</si>
  <si>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</si>
  <si>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</si>
  <si>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</si>
  <si>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</si>
  <si>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</si>
  <si>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</si>
  <si>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</si>
  <si>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</si>
  <si>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</si>
  <si>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</si>
  <si>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</si>
  <si>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</si>
  <si>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</si>
  <si>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</si>
  <si>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</si>
  <si>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</si>
  <si>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FILIAL SP</t>
  </si>
  <si>
    <t>36458-1</t>
  </si>
  <si>
    <t>ANSELL BRAZIL L</t>
  </si>
  <si>
    <t>MARLON MARQUES</t>
  </si>
  <si>
    <t>EXPRESSO_250</t>
  </si>
  <si>
    <t>CTE NORMAL</t>
  </si>
  <si>
    <t>CONTAGEM - MG</t>
  </si>
  <si>
    <t>ALEX ALVES PINTO</t>
  </si>
  <si>
    <t>DFL TRANSPORTES EIRELI</t>
  </si>
  <si>
    <t>MATRIZ</t>
  </si>
  <si>
    <t>202418-1</t>
  </si>
  <si>
    <t>PLOT SERVICOS C</t>
  </si>
  <si>
    <t>CAIO LUCIANO MATIAS</t>
  </si>
  <si>
    <t>PERSONALIZADO</t>
  </si>
  <si>
    <t>SAO GONCALO DO RIO ABAIXO - MG</t>
  </si>
  <si>
    <t>WILSON FERNANDES DA SILVA</t>
  </si>
  <si>
    <t>TRANSPORTES FERRETI LTDA</t>
  </si>
  <si>
    <t>Fiorino</t>
  </si>
  <si>
    <t>São Paulo-Sp X São Goncalo Do Rio Abaixo-Mgfiorino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</si>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</sst>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[Analise_ALEX_02092026.xlsx]Resumo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PLOT SERVICOS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231.02</c:v>
                </c:pt>
                <c:pt idx="1">
                  <c:v>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PLOT SERVICOS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-377.41160000000008</c:v>
                </c:pt>
                <c:pt idx="1">
                  <c:v>2825.75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[Analise_ALEX_02092026.xlsx]Resumo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PLOT SERVICOS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231.02</c:v>
                </c:pt>
                <c:pt idx="1">
                  <c:v>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PLOT SERVICOS C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-377.41160000000008</c:v>
                </c:pt>
                <c:pt idx="1">
                  <c:v>2825.75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3.41444988425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9315" count="8000">
        <n v="298860"/>
        <n v="29931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01T00:00:00"/>
    </cacheField>
    <cacheField name="DATA" numFmtId="14">
      <sharedItems containsNonDate="0" containsDate="1" containsString="0" containsBlank="1" minDate="2026-08-31T00:00:00" maxDate="2026-09-01T00:00:00"/>
    </cacheField>
    <cacheField name="FAT" numFmtId="0">
      <sharedItems containsString="0" containsBlank="1" containsNumber="1" containsInteger="1" minValue="65000" maxValue="65260"/>
    </cacheField>
    <cacheField name="CT-E" numFmtId="0">
      <sharedItems containsBlank="1"/>
    </cacheField>
    <cacheField name="CLIENTE TOMADOR" numFmtId="0">
      <sharedItems containsBlank="1" count="855">
        <s v="ANSELL BRAZIL L"/>
        <s v="PLOT SERVICOS 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055.04" maxValue="738900"/>
    </cacheField>
    <cacheField name="SERVICO" numFmtId="0">
      <sharedItems containsBlank="1" count="27">
        <s v="EXPRESS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31.02" maxValue="7798"/>
    </cacheField>
    <cacheField name="VOLUMES" numFmtId="0">
      <sharedItems containsString="0" containsBlank="1" containsNumber="1" containsInteger="1" minValue="4" maxValue="11"/>
    </cacheField>
    <cacheField name="PESO" numFmtId="0">
      <sharedItems containsString="0" containsBlank="1" containsNumber="1" minValue="38.82" maxValue="176"/>
    </cacheField>
    <cacheField name="RESP. COLETA" numFmtId="0">
      <sharedItems containsBlank="1"/>
    </cacheField>
    <cacheField name="CUSTO COLETA" numFmtId="0">
      <sharedItems containsString="0" containsBlank="1" containsNumber="1" minValue="0" maxValue="294.02999999999997"/>
    </cacheField>
    <cacheField name="RESP. ENTREGA" numFmtId="0">
      <sharedItems containsBlank="1"/>
    </cacheField>
    <cacheField name="CUSTO ENTREGA" numFmtId="0">
      <sharedItems containsString="0" containsBlank="1" containsNumber="1" minValue="560.20000000000005" maxValue="2539.8000000000002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7.72" maxValue="935.7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0299999999999998" maxValue="369.45"/>
    </cacheField>
    <cacheField name="OUTROS" numFmtId="0">
      <sharedItems containsString="0" containsBlank="1" containsNumber="1" minValue="0" maxValue="3.5"/>
    </cacheField>
    <cacheField name="C.TOTAL" numFmtId="0">
      <sharedItems containsString="0" containsBlank="1" containsNumber="1" minValue="630.49" maxValue="4175.12"/>
    </cacheField>
    <cacheField name="RECEITA" numFmtId="0">
      <sharedItems containsString="0" containsBlank="1" containsNumber="1" minValue="-399.47" maxValue="3622.88"/>
    </cacheField>
    <cacheField name="IMPOSTO" numFmtId="0">
      <sharedItems containsString="0" containsBlank="1" containsNumber="1" minValue="60.07" maxValue="2027.48"/>
    </cacheField>
    <cacheField name="RESULTADO" numFmtId="0">
      <sharedItems containsString="0" containsBlank="1" containsNumber="1" minValue="-459.54" maxValue="1595.4"/>
    </cacheField>
    <cacheField name="COMIS" numFmtId="0">
      <sharedItems containsString="0" containsBlank="1" containsNumber="1" minValue="0" maxValue="205.87"/>
    </cacheField>
    <cacheField name="LUCRO LIQ" numFmtId="0">
      <sharedItems containsString="0" containsBlank="1" containsNumber="1" minValue="-459.54" maxValue="1389.53"/>
    </cacheField>
    <cacheField name="MARGEM" numFmtId="10">
      <sharedItems containsString="0" containsBlank="1" containsNumber="1" minValue="-1.9891999999999999" maxValue="0.178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8-31T00:00:00"/>
    <d v="2026-08-31T00:00:00"/>
    <n v="65000"/>
    <s v="36458-1"/>
    <x v="0"/>
    <s v="MARLON MARQUES"/>
    <n v="4055.04"/>
    <x v="0"/>
    <s v="CTE NORMAL"/>
    <s v="CONTAGEM - MG"/>
    <n v="231.02"/>
    <n v="4"/>
    <n v="38.82"/>
    <s v="FILIAL SP"/>
    <n v="0"/>
    <s v="ALEX ALVES PINTO"/>
    <n v="560.20000000000005"/>
    <s v="DFL TRANSPORTES EIRELI"/>
    <n v="0"/>
    <n v="27.72"/>
    <n v="0"/>
    <n v="0"/>
    <n v="2.0299999999999998"/>
    <n v="0"/>
    <n v="630.49"/>
    <n v="-399.47"/>
    <n v="60.07"/>
    <n v="-459.54"/>
    <n v="0"/>
    <n v="-459.54"/>
    <n v="-1.9891999999999999"/>
    <m/>
  </r>
  <r>
    <x v="1"/>
    <s v="MATRIZ"/>
    <d v="2026-08-31T00:00:00"/>
    <d v="2026-08-31T00:00:00"/>
    <n v="65260"/>
    <s v="202418-1"/>
    <x v="1"/>
    <s v="CAIO LUCIANO MATIAS"/>
    <n v="738900"/>
    <x v="1"/>
    <s v="CTE NORMAL"/>
    <s v="SAO GONCALO DO RIO ABAIXO - MG"/>
    <n v="7798"/>
    <n v="11"/>
    <n v="176"/>
    <s v="WILSON FERNANDES DA SILVA"/>
    <n v="294.02999999999997"/>
    <s v="ALEX ALVES PINTO"/>
    <n v="2539.8000000000002"/>
    <s v="TRANSPORTES FERRETI LTDA"/>
    <n v="0"/>
    <n v="935.76"/>
    <n v="0"/>
    <n v="0"/>
    <n v="369.45"/>
    <n v="3.5"/>
    <n v="4175.12"/>
    <n v="3622.88"/>
    <n v="2027.48"/>
    <n v="1595.4"/>
    <n v="205.87"/>
    <n v="1389.53"/>
    <n v="0.178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8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x="1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0"/>
    </i>
    <i r="1">
      <x v="7998"/>
    </i>
    <i>
      <x v="603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8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7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5"/>
        <item m="1" x="496"/>
        <item sd="0" m="1" x="506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7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x="1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0"/>
        <item m="1" x="11"/>
        <item m="1" x="13"/>
        <item m="1" x="25"/>
        <item m="1" x="18"/>
        <item x="2"/>
        <item m="1" x="7"/>
        <item m="1" x="3"/>
        <item m="1" x="10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x="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"/>
    </i>
    <i>
      <x v="603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0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9" s="1" nd="1"/>
        <i x="44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2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50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8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0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5" s="1" nd="1"/>
        <i x="496" s="1" nd="1"/>
        <i x="506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8" s="1" nd="1"/>
        <i x="40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3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500" s="1" nd="1"/>
        <i x="68" s="1" nd="1"/>
        <i x="679" s="1" nd="1"/>
        <i x="81" s="1" nd="1"/>
        <i x="634" s="1" nd="1"/>
        <i x="66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9" s="1" nd="1"/>
        <i x="12" s="1" nd="1"/>
        <i x="18" s="1" nd="1"/>
        <i x="19" s="1" nd="1"/>
        <i x="23" s="1" nd="1"/>
        <i x="6" s="1" nd="1"/>
        <i x="22" s="1" nd="1"/>
        <i x="21" s="1" nd="1"/>
        <i x="17" s="1" nd="1"/>
        <i x="20" s="1" nd="1"/>
        <i x="3" s="1" nd="1"/>
        <i x="25" s="1" nd="1"/>
        <i x="11" s="1" nd="1"/>
        <i x="13" s="1" nd="1"/>
        <i x="10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298860</v>
      </c>
      <c r="B2" s="12" t="s">
        <v>579</v>
      </c>
      <c r="C2" s="14">
        <v>46265</v>
      </c>
      <c r="D2" s="14">
        <v>46265</v>
      </c>
      <c r="E2" s="12">
        <v>65000</v>
      </c>
      <c r="F2" s="15" t="s">
        <v>580</v>
      </c>
      <c r="G2" s="15" t="s">
        <v>581</v>
      </c>
      <c r="H2" s="15" t="s">
        <v>582</v>
      </c>
      <c r="I2" s="16">
        <v>4055.04</v>
      </c>
      <c r="J2" s="15" t="s">
        <v>583</v>
      </c>
      <c r="K2" s="15" t="s">
        <v>584</v>
      </c>
      <c r="L2" s="15" t="s">
        <v>585</v>
      </c>
      <c r="M2" s="15">
        <v>231.02</v>
      </c>
      <c r="N2" s="15">
        <v>4</v>
      </c>
      <c r="O2" s="16">
        <v>38.82</v>
      </c>
      <c r="P2" s="15" t="s">
        <v>579</v>
      </c>
      <c r="Q2" s="15">
        <v>0</v>
      </c>
      <c r="R2" s="15" t="s">
        <v>586</v>
      </c>
      <c r="S2" s="15">
        <v>560.20000000000005</v>
      </c>
      <c r="T2" s="15" t="s">
        <v>587</v>
      </c>
      <c r="U2" s="15">
        <v>0</v>
      </c>
      <c r="V2" s="15">
        <v>27.72</v>
      </c>
      <c r="W2" s="15">
        <v>0</v>
      </c>
      <c r="X2" s="15">
        <v>0</v>
      </c>
      <c r="Y2" s="15">
        <v>2.0299999999999998</v>
      </c>
      <c r="Z2" s="15">
        <v>0</v>
      </c>
      <c r="AA2" s="15">
        <v>630.49</v>
      </c>
      <c r="AB2" s="15">
        <v>-399.47</v>
      </c>
      <c r="AC2" s="15">
        <v>60.07</v>
      </c>
      <c r="AD2" s="15">
        <v>-459.54</v>
      </c>
      <c r="AE2" s="15">
        <v>0</v>
      </c>
      <c r="AF2" s="15">
        <v>-459.54</v>
      </c>
      <c r="AG2" s="17">
        <v>-1.9891999999999999</v>
      </c>
      <c r="AH2" s="15"/>
    </row>
    <row r="3" spans="1:34" s="1" customFormat="1" ht="12" customHeight="1" x14ac:dyDescent="0.3">
      <c r="A3" s="13">
        <v>299315</v>
      </c>
      <c r="B3" s="12" t="s">
        <v>588</v>
      </c>
      <c r="C3" s="14">
        <v>46265</v>
      </c>
      <c r="D3" s="14">
        <v>46265</v>
      </c>
      <c r="E3" s="12">
        <v>65260</v>
      </c>
      <c r="F3" s="15" t="s">
        <v>589</v>
      </c>
      <c r="G3" s="15" t="s">
        <v>590</v>
      </c>
      <c r="H3" s="15" t="s">
        <v>591</v>
      </c>
      <c r="I3" s="16">
        <v>738900</v>
      </c>
      <c r="J3" s="15" t="s">
        <v>592</v>
      </c>
      <c r="K3" s="15" t="s">
        <v>584</v>
      </c>
      <c r="L3" s="15" t="s">
        <v>593</v>
      </c>
      <c r="M3" s="16">
        <v>7798</v>
      </c>
      <c r="N3" s="15">
        <v>11</v>
      </c>
      <c r="O3" s="16">
        <v>176</v>
      </c>
      <c r="P3" s="15" t="s">
        <v>594</v>
      </c>
      <c r="Q3" s="15">
        <v>294.02999999999997</v>
      </c>
      <c r="R3" s="15" t="s">
        <v>586</v>
      </c>
      <c r="S3" s="15">
        <v>2539.8000000000002</v>
      </c>
      <c r="T3" s="15" t="s">
        <v>595</v>
      </c>
      <c r="U3" s="15">
        <v>0</v>
      </c>
      <c r="V3" s="15">
        <v>935.76</v>
      </c>
      <c r="W3" s="15">
        <v>0</v>
      </c>
      <c r="X3" s="15">
        <v>0</v>
      </c>
      <c r="Y3" s="15">
        <v>369.45</v>
      </c>
      <c r="Z3" s="15">
        <v>3.5</v>
      </c>
      <c r="AA3" s="16">
        <v>4175.12</v>
      </c>
      <c r="AB3" s="16">
        <v>3622.88</v>
      </c>
      <c r="AC3" s="15">
        <v>2027.48</v>
      </c>
      <c r="AD3" s="15">
        <v>1595.4</v>
      </c>
      <c r="AE3" s="15">
        <v>205.87</v>
      </c>
      <c r="AF3" s="15">
        <v>1389.53</v>
      </c>
      <c r="AG3" s="17">
        <v>0.1782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8029.02</v>
      </c>
      <c r="F3" s="93"/>
      <c r="G3" s="94"/>
      <c r="H3" s="95">
        <f>'Resumo Detalhado'!C2</f>
        <v>214.82</v>
      </c>
      <c r="I3" s="96"/>
      <c r="J3" s="97">
        <f>E3/H3</f>
        <v>37.375570244856164</v>
      </c>
      <c r="K3" s="98"/>
      <c r="L3" s="99"/>
      <c r="M3" s="138" t="s">
        <v>596</v>
      </c>
      <c r="N3" s="93"/>
      <c r="O3" s="94"/>
      <c r="P3" s="135">
        <v>1200</v>
      </c>
      <c r="Q3" s="136"/>
      <c r="R3" s="137"/>
      <c r="S3" s="103">
        <f>MIN(H3/P3,1)</f>
        <v>0.17901666666666666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3394.0299999999997</v>
      </c>
      <c r="F7" s="109"/>
      <c r="G7" s="109"/>
      <c r="H7" s="109"/>
      <c r="I7" s="109"/>
      <c r="J7" s="109">
        <f>E7/H3</f>
        <v>15.799413462433664</v>
      </c>
      <c r="K7" s="109"/>
      <c r="L7" s="109"/>
      <c r="M7" s="110">
        <f>E7/E3</f>
        <v>0.42272033199568559</v>
      </c>
      <c r="N7" s="110"/>
      <c r="O7" s="110"/>
      <c r="P7" s="109">
        <f>E11+K11+Q11+E15+K15+Q15+E19+H19+K19</f>
        <v>6659.4548000000004</v>
      </c>
      <c r="Q7" s="109"/>
      <c r="R7" s="109"/>
      <c r="S7" s="109">
        <f>P7/H3</f>
        <v>31.000161996089751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3100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3100</v>
      </c>
      <c r="L11" s="94"/>
      <c r="M11" s="38"/>
      <c r="N11" s="92">
        <f>K11/H3</f>
        <v>14.430686155851411</v>
      </c>
      <c r="O11" s="94"/>
      <c r="P11" s="38"/>
      <c r="Q11" s="92">
        <f>'Resumo Detalhado'!D2</f>
        <v>294.02999999999997</v>
      </c>
      <c r="R11" s="94"/>
      <c r="S11" s="38"/>
      <c r="T11" s="92">
        <f>Q11/H3</f>
        <v>1.3687273065822547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963.48</v>
      </c>
      <c r="F15" s="113"/>
      <c r="G15" s="113"/>
      <c r="H15" s="113"/>
      <c r="I15" s="114"/>
      <c r="J15" s="38"/>
      <c r="K15" s="116">
        <f>'Resumo Detalhado'!K2+'Resumo Detalhado'!L2</f>
        <v>1284.6432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371.47999999999996</v>
      </c>
      <c r="F19" s="119"/>
      <c r="G19" s="38"/>
      <c r="H19" s="106">
        <f>'Resumo Detalhado'!J2</f>
        <v>3.5</v>
      </c>
      <c r="I19" s="108"/>
      <c r="J19" s="38"/>
      <c r="K19" s="106">
        <f>'Resumo Detalhado'!L2</f>
        <v>642.32159999999999</v>
      </c>
      <c r="L19" s="108"/>
      <c r="M19" s="38"/>
      <c r="N19" s="112" t="s">
        <v>597</v>
      </c>
      <c r="O19" s="113"/>
      <c r="P19" s="113"/>
      <c r="Q19" s="113"/>
      <c r="R19" s="119"/>
      <c r="S19" s="112">
        <v>3300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2448.3384000000001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0.30493614413714248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7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598</v>
      </c>
      <c r="F1" s="29"/>
    </row>
    <row r="2" spans="1:18" x14ac:dyDescent="0.3">
      <c r="B2" s="29">
        <f>SUM(B6:B5000)</f>
        <v>8029.02</v>
      </c>
      <c r="C2" s="29">
        <f>SUM(C6:C5000)</f>
        <v>214.82</v>
      </c>
      <c r="D2" s="29">
        <f>SUM(D6:D5000)</f>
        <v>294.02999999999997</v>
      </c>
      <c r="E2" s="29">
        <f>SUM(E6:E5000)</f>
        <v>3100</v>
      </c>
      <c r="F2" s="29">
        <f>SUM(F6:F5000)</f>
        <v>0</v>
      </c>
      <c r="G2" s="29"/>
      <c r="H2" s="29">
        <f t="shared" ref="H2:P2" si="0">SUM(H6:H5000)</f>
        <v>963.48</v>
      </c>
      <c r="I2" s="29">
        <f t="shared" si="0"/>
        <v>371.47999999999996</v>
      </c>
      <c r="J2" s="29">
        <f t="shared" si="0"/>
        <v>3.5</v>
      </c>
      <c r="K2" s="29">
        <f t="shared" si="0"/>
        <v>642.32159999999999</v>
      </c>
      <c r="L2" s="29">
        <f t="shared" si="0"/>
        <v>642.32159999999999</v>
      </c>
      <c r="M2" s="29">
        <f t="shared" si="0"/>
        <v>205.87</v>
      </c>
      <c r="N2" s="29">
        <f t="shared" si="0"/>
        <v>2448.3384000000001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298860</v>
      </c>
      <c r="B6" s="140">
        <v>231.02</v>
      </c>
      <c r="C6" s="141">
        <v>38.82</v>
      </c>
      <c r="D6" s="140">
        <v>0</v>
      </c>
      <c r="E6" s="140">
        <v>560.20000000000005</v>
      </c>
      <c r="F6" s="140">
        <v>0</v>
      </c>
      <c r="G6" s="142">
        <v>2.424898277205437</v>
      </c>
      <c r="H6" s="140">
        <v>27.72</v>
      </c>
      <c r="I6" s="140">
        <v>2.0299999999999998</v>
      </c>
      <c r="J6" s="140">
        <v>0</v>
      </c>
      <c r="K6" s="140">
        <v>18.4816</v>
      </c>
      <c r="L6" s="140">
        <v>18.4816</v>
      </c>
      <c r="M6" s="140">
        <v>0</v>
      </c>
      <c r="N6" s="140">
        <v>-377.41160000000008</v>
      </c>
      <c r="O6" s="142">
        <v>-1.6336750064929446</v>
      </c>
      <c r="Q6"/>
    </row>
    <row r="7" spans="1:18" s="31" customFormat="1" x14ac:dyDescent="0.3">
      <c r="A7" s="9" t="s">
        <v>590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299315</v>
      </c>
      <c r="B8" s="140">
        <v>7798</v>
      </c>
      <c r="C8" s="141">
        <v>176</v>
      </c>
      <c r="D8" s="140">
        <v>294.02999999999997</v>
      </c>
      <c r="E8" s="140">
        <v>2539.8000000000002</v>
      </c>
      <c r="F8" s="140">
        <v>0</v>
      </c>
      <c r="G8" s="142">
        <v>0.36340471915875866</v>
      </c>
      <c r="H8" s="140">
        <v>935.76</v>
      </c>
      <c r="I8" s="140">
        <v>369.45</v>
      </c>
      <c r="J8" s="140">
        <v>3.5</v>
      </c>
      <c r="K8" s="140">
        <v>623.84</v>
      </c>
      <c r="L8" s="140">
        <v>623.84</v>
      </c>
      <c r="M8" s="140">
        <v>205.87</v>
      </c>
      <c r="N8" s="140">
        <v>2825.75</v>
      </c>
      <c r="O8" s="142">
        <v>0.36236855604001028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5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598</v>
      </c>
    </row>
    <row r="2" spans="1:4" x14ac:dyDescent="0.3">
      <c r="B2" s="29">
        <f>SUM(B6:B5000)</f>
        <v>7798</v>
      </c>
      <c r="C2" s="29">
        <f>SUM(C6:C5000)</f>
        <v>2825.75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231.02</v>
      </c>
      <c r="C5" s="10">
        <v>-377.41160000000008</v>
      </c>
    </row>
    <row r="6" spans="1:4" x14ac:dyDescent="0.3">
      <c r="A6" s="9" t="s">
        <v>590</v>
      </c>
      <c r="B6" s="140">
        <v>7798</v>
      </c>
      <c r="C6" s="140">
        <v>2825.75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3" t="s">
        <v>597</v>
      </c>
      <c r="D368" s="87">
        <v>3300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2026-09-08T12:56:57Z</dcterms:modified>
  <cp:category/>
  <cp:contentStatus/>
</cp:coreProperties>
</file>