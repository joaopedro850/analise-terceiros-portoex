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6D47BD32-4A87-45B1-9AD5-BC76353517DE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0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<sst xmlns="http://schemas.openxmlformats.org/spreadsheetml/2006/main" count="915" uniqueCount="634">
  <si>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</si>
  <si>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</si>
  <si>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</si>
  <si>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</si>
  <si>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</si>
  <si>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</si>
  <si>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</si>
  <si>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</si>
  <si>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</si>
  <si>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</si>
  <si>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</si>
  <si>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</si>
  <si>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</si>
  <si>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</si>
  <si>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</si>
  <si>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</si>
  <si>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</si>
  <si>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</si>
  <si>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</si>
  <si>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</si>
  <si>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</si>
  <si>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</si>
  <si>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</si>
  <si>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</si>
  <si>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</si>
  <si>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</si>
  <si>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</si>
  <si>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</si>
  <si>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</si>
  <si>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</si>
  <si>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</si>
  <si>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</si>
  <si>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</si>
  <si>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</si>
  <si>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</si>
  <si>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</si>
  <si>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</si>
  <si>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</si>
  <si>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</si>
  <si>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</si>
  <si>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</si>
  <si>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</si>
  <si>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</si>
  <si>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</si>
  <si>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</si>
  <si>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</si>
  <si>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</si>
  <si>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</si>
  <si>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</si>
  <si>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</si>
  <si>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</si>
  <si>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</si>
  <si>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</si>
  <si>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</si>
  <si>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</si>
  <si>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</si>
  <si>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</si>
  <si>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</si>
  <si>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</si>
  <si>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</si>
  <si>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</si>
  <si>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</si>
  <si>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</si>
  <si>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</si>
  <si>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</si>
  <si>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</si>
  <si>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</si>
  <si>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</si>
  <si>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</si>
  <si>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</si>
  <si>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</si>
  <si>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</si>
  <si>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</si>
  <si>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</si>
  <si>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</si>
  <si>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</si>
  <si>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</si>
  <si>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</si>
  <si>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</si>
  <si>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</si>
  <si>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</si>
  <si>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</si>
  <si>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</si>
  <si>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</si>
  <si>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</si>
  <si>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</si>
  <si>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</si>
  <si>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</si>
  <si>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</si>
  <si>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</si>
  <si>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</si>
  <si>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</si>
  <si>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</si>
  <si>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</si>
  <si>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</si>
  <si>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</si>
  <si>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</si>
  <si>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</si>
  <si>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</si>
  <si>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</si>
  <si>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</si>
  <si>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</si>
  <si>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</si>
  <si>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</si>
  <si>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</si>
  <si>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</si>
  <si>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</si>
  <si>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</si>
  <si>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</si>
  <si>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</si>
  <si>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</si>
  <si>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</si>
  <si>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</si>
  <si>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</si>
  <si>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</si>
  <si>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</si>
  <si>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</si>
  <si>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</si>
  <si>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</si>
  <si>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</si>
  <si>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</si>
  <si>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</si>
  <si>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</si>
  <si>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</si>
  <si>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</si>
  <si>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</si>
  <si>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</si>
  <si>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</si>
  <si>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</si>
  <si>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</si>
  <si>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</si>
  <si>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</si>
  <si>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</si>
  <si>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</si>
  <si>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</si>
  <si>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</si>
  <si>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</si>
  <si>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</si>
  <si>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</si>
  <si>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</si>
  <si>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</si>
  <si>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</si>
  <si>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</si>
  <si>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</si>
  <si>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</si>
  <si>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</si>
  <si>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</si>
  <si>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</si>
  <si>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</si>
  <si>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</si>
  <si>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</si>
  <si>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</si>
  <si>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</si>
  <si>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</si>
  <si>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</si>
  <si>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</si>
  <si>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</si>
  <si>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</si>
  <si>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</si>
  <si>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</si>
  <si>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</si>
  <si>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</si>
  <si>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</si>
  <si>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</si>
  <si>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</si>
  <si>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</si>
  <si>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</si>
  <si>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</si>
  <si>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</si>
  <si>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</si>
  <si>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</si>
  <si>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</si>
  <si>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</si>
  <si>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</si>
  <si>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</si>
  <si>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</si>
  <si>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</si>
  <si>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</si>
  <si>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</si>
  <si>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</si>
  <si>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</si>
  <si>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</si>
  <si>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</si>
  <si>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</si>
  <si>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</si>
  <si>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</si>
  <si>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</si>
  <si>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</si>
  <si>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</si>
  <si>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</si>
  <si>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</si>
  <si>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</si>
  <si>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</si>
  <si>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</si>
  <si>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</si>
  <si>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</si>
  <si>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</si>
  <si>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</si>
  <si>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</si>
  <si>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</si>
  <si>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</si>
  <si>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</si>
  <si>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</si>
  <si>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</si>
  <si>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</si>
  <si>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</si>
  <si>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</si>
  <si>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</si>
  <si>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</si>
  <si>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</si>
  <si>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</si>
  <si>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</si>
  <si>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</si>
  <si>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</si>
  <si>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</si>
  <si>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</si>
  <si>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</si>
  <si>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</si>
  <si>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</si>
  <si>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</si>
  <si>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</si>
  <si>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</si>
  <si>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</si>
  <si>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</si>
  <si>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</si>
  <si>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</si>
  <si>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</si>
  <si>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</si>
  <si>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</si>
  <si>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</si>
  <si>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</si>
  <si>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</si>
  <si>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</si>
  <si>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</si>
  <si>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</si>
  <si>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</si>
  <si>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</si>
  <si>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</si>
  <si>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</si>
  <si>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</si>
  <si>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</si>
  <si>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</si>
  <si>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</si>
  <si>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</si>
  <si>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</si>
  <si>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</si>
  <si>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</si>
  <si>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</si>
  <si>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</si>
  <si>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</si>
  <si>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</si>
  <si>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</si>
  <si>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</si>
  <si>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</si>
  <si>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</si>
  <si>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</si>
  <si>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</si>
  <si>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</si>
  <si>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</si>
  <si>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</si>
  <si>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</si>
  <si>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</si>
  <si>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</si>
  <si>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</si>
  <si>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</si>
  <si>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</si>
  <si>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</si>
  <si>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</si>
  <si>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</si>
  <si>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</si>
  <si>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</si>
  <si>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</si>
  <si>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</si>
  <si>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</si>
  <si>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</si>
  <si>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</si>
  <si>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</si>
  <si>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</si>
  <si>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</si>
  <si>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</si>
  <si>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</si>
  <si>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</si>
  <si>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</si>
  <si>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</si>
  <si>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</si>
  <si>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</si>
  <si>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</si>
  <si>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</si>
  <si>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</si>
  <si>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</si>
  <si>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</si>
  <si>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</si>
  <si>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</si>
  <si>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</si>
  <si>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</si>
  <si>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</si>
  <si>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</si>
  <si>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</si>
  <si>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</si>
  <si>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</si>
  <si>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</si>
  <si>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</si>
  <si>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</si>
  <si>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</si>
  <si>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</si>
  <si>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</si>
  <si>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</si>
  <si>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</si>
  <si>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</si>
  <si>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</si>
  <si>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</si>
  <si>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</si>
  <si>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</si>
  <si>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</si>
  <si>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</si>
  <si>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</si>
  <si>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</si>
  <si>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</si>
  <si>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</si>
  <si>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</si>
  <si>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</si>
  <si>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</si>
  <si>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</si>
  <si>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</si>
  <si>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</si>
  <si>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</si>
  <si>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</si>
  <si>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</si>
  <si>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</si>
  <si>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</si>
  <si>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</si>
  <si>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</si>
  <si>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</si>
  <si>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</si>
  <si>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</si>
  <si>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</si>
  <si>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</si>
  <si>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</si>
  <si>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</si>
  <si>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</si>
  <si>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</si>
  <si>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</si>
  <si>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</si>
  <si>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</si>
  <si>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</si>
  <si>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</si>
  <si>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</si>
  <si>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</si>
  <si>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</si>
  <si>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</si>
  <si>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</si>
  <si>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</si>
  <si>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</si>
  <si>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</si>
  <si>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</si>
  <si>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</si>
  <si>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</si>
  <si>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</si>
  <si>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</si>
  <si>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</si>
  <si>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</si>
  <si>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</si>
  <si>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</si>
  <si>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</si>
  <si>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</si>
  <si>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</si>
  <si>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</si>
  <si>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</si>
  <si>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</si>
  <si>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</si>
  <si>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</si>
  <si>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</si>
  <si>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</si>
  <si>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</si>
  <si>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</si>
  <si>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</si>
  <si>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</si>
  <si>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</si>
  <si>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</si>
  <si>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</si>
  <si>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</si>
  <si>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</si>
  <si>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</si>
  <si>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</si>
  <si>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</si>
  <si>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</si>
  <si>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</si>
  <si>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</si>
  <si>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</si>
  <si>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</si>
  <si>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</si>
  <si>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</si>
  <si>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</si>
  <si>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</si>
  <si>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</si>
  <si>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</si>
  <si>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</si>
  <si>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</si>
  <si>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</si>
  <si>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</si>
  <si>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</si>
  <si>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</si>
  <si>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</si>
  <si>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</si>
  <si>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</si>
  <si>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</si>
  <si>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</si>
  <si>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</si>
  <si>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</si>
  <si>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</si>
  <si>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</si>
  <si>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</si>
  <si>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</si>
  <si>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</si>
  <si>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</si>
  <si>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</si>
  <si>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</si>
  <si>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</si>
  <si>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</si>
  <si>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</si>
  <si>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</si>
  <si>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</si>
  <si>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</si>
  <si>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</si>
  <si>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</si>
  <si>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</si>
  <si>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</si>
  <si>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</si>
  <si>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</si>
  <si>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</si>
  <si>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</si>
  <si>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</si>
  <si>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</si>
  <si>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</si>
  <si>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</si>
  <si>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</si>
  <si>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</si>
  <si>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</si>
  <si>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</si>
  <si>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</si>
  <si>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</si>
  <si>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</si>
  <si>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</si>
  <si>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</si>
  <si>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</si>
  <si>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</si>
  <si>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</si>
  <si>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</si>
  <si>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</si>
  <si>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</si>
  <si>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</si>
  <si>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</si>
  <si>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</si>
  <si>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</si>
  <si>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</si>
  <si>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</si>
  <si>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</si>
  <si>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</si>
  <si>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</si>
  <si>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</si>
  <si>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</si>
  <si>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</si>
  <si>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</si>
  <si>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</si>
  <si>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</si>
  <si>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</si>
  <si>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</si>
  <si>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</si>
  <si>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</si>
  <si>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</si>
  <si>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</si>
  <si>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</si>
  <si>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</si>
  <si>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</si>
  <si>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</si>
  <si>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</si>
  <si>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</si>
  <si>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</si>
  <si>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</si>
  <si>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</si>
  <si>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</si>
  <si>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</si>
  <si>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</si>
  <si>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</si>
  <si>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</si>
  <si>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</si>
  <si>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</si>
  <si>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</si>
  <si>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</si>
  <si>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</si>
  <si>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</si>
  <si>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</si>
  <si>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</si>
  <si>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</si>
  <si>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</si>
  <si>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</si>
  <si>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</si>
  <si>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</si>
  <si>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</si>
  <si>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</si>
  <si>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</si>
  <si>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</si>
  <si>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</si>
  <si>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</si>
  <si>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</si>
  <si>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</si>
  <si>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</si>
  <si>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</si>
  <si>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</si>
  <si>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</si>
  <si>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</si>
  <si>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</si>
  <si>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</si>
  <si>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</si>
  <si>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</si>
  <si>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</si>
  <si>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</si>
  <si>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</si>
  <si>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</si>
  <si>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</si>
  <si>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</si>
  <si>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</si>
  <si>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</si>
  <si>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</si>
  <si>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</si>
  <si>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</si>
  <si>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</si>
  <si>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</si>
  <si>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</si>
  <si>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</si>
  <si>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</si>
  <si>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</si>
  <si>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</si>
  <si>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</si>
  <si>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</si>
  <si>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</si>
  <si>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</si>
  <si>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</si>
  <si>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</si>
  <si>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</si>
  <si>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</si>
  <si>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</si>
  <si>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</si>
  <si>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</si>
  <si>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</si>
  <si>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</si>
  <si>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</si>
  <si>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</si>
  <si>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</si>
  <si>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</si>
  <si>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</si>
  <si>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</si>
  <si>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</si>
  <si>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</si>
  <si>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</si>
  <si>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</si>
  <si>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</si>
  <si>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</si>
  <si>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</si>
  <si>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</si>
  <si>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</si>
  <si>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</si>
  <si>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</si>
  <si>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</si>
  <si>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</si>
  <si>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</si>
  <si>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</si>
  <si>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</si>
  <si>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</si>
  <si>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</si>
  <si>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</si>
  <si>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</si>
  <si>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</si>
  <si>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</si>
  <si>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</si>
  <si>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</si>
  <si>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</si>
  <si>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</si>
  <si>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</si>
  <si>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</si>
  <si>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</si>
  <si>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</si>
  <si>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</si>
  <si>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</si>
  <si>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Itajaí-Sc X Salvador-Ba</t>
  </si>
  <si>
    <t>Itajaí-Sc X Salvador-Batoco</t>
  </si>
  <si>
    <t>Navegantes-Sc X Contagem-Mg</t>
  </si>
  <si>
    <t>Navegantes-Sc X Contagem-Mgcarreta</t>
  </si>
  <si>
    <t>Itajai-Sc</t>
  </si>
  <si>
    <t>Itajai-Sc X Anapolis-Go3/4</t>
  </si>
  <si>
    <t>Guarulhos-Sp X Belo Horizonte-MgFiorino</t>
  </si>
  <si>
    <t>Itajai-Sc X Mogi Guacu-SpFiorino</t>
  </si>
  <si>
    <t>Betim-Mg X Contagem-Mg</t>
  </si>
  <si>
    <t>Betim-Mg X Contagem-Mgtruck</t>
  </si>
  <si>
    <t>Navegantes-Sc X Uberlandia-Mg</t>
  </si>
  <si>
    <t>Navegantes-Sc X Uberlandia-Mgcarreta</t>
  </si>
  <si>
    <t>Itajai-Sc X Sao Jose dos Pinhais-Pr</t>
  </si>
  <si>
    <t>Itajai-Sc X Sao Jose dos Pinhais-Prvan</t>
  </si>
  <si>
    <t>Santo Angelo-Rs X Cachoeirinha-Rs</t>
  </si>
  <si>
    <t>Santo Angelo-Rs X Cachoeirinha-Rsvan</t>
  </si>
  <si>
    <t>Guaruja-Sp X Guaratingueta-Sp3/4</t>
  </si>
  <si>
    <t>Blumenal-Sc X Guarulhos-Sptoco</t>
  </si>
  <si>
    <t>Navegantes-Sc X Belem-Patruck</t>
  </si>
  <si>
    <t>Sao Paulo-Sp X Barueri-Sptruck</t>
  </si>
  <si>
    <t>Navegantes-Sc X Passo Fundo-Rsvan</t>
  </si>
  <si>
    <t>Itajai-Sc X Belem-Pacarreta</t>
  </si>
  <si>
    <t>Itajai-Sc X Santa Maria-Rsvan</t>
  </si>
  <si>
    <t>Navegantes-Sc X Embu Das Artes-Spcarreta</t>
  </si>
  <si>
    <t>Mogi-Guacu-Sp X Sao Paulo-Sp3/4</t>
  </si>
  <si>
    <t>São Paulo-Sp X Serra-Es</t>
  </si>
  <si>
    <t>São Paulo-Sp X Serra-EsToco</t>
  </si>
  <si>
    <t>São Paulo-Sp</t>
  </si>
  <si>
    <t>São Paulo-Sp X São Goncalo Do Rio Abaixo-Mg3/4</t>
  </si>
  <si>
    <t>Itajai-Sc X Santo Andre-SpTruck</t>
  </si>
  <si>
    <t>São Jose Dos Pinhais-Pr</t>
  </si>
  <si>
    <t>São Jose Dos Pinhais-Pr X São Jose Dos Pinhais-PrTruck</t>
  </si>
  <si>
    <t>MATRIZ</t>
  </si>
  <si>
    <t>3430-1</t>
  </si>
  <si>
    <t>MAC FER INDUSTR</t>
  </si>
  <si>
    <t>FRANCISCO GILAILTON/SABRI</t>
  </si>
  <si>
    <t>ECONOMICO_250</t>
  </si>
  <si>
    <t>CTE NORMAL</t>
  </si>
  <si>
    <t>GUARULHOS - SP</t>
  </si>
  <si>
    <t>PORTOEXPRESS LOGISTICA LT</t>
  </si>
  <si>
    <t>JOSE EMILTON DA COSTA - O</t>
  </si>
  <si>
    <t>NM LOG TRANSPORTES LTDA</t>
  </si>
  <si>
    <t>3439-1</t>
  </si>
  <si>
    <t>AC COMERCIAL IM</t>
  </si>
  <si>
    <t>TIAGO SANTANA</t>
  </si>
  <si>
    <t>PERSONALIZADO_L</t>
  </si>
  <si>
    <t>LOUVEIRA - SP</t>
  </si>
  <si>
    <t>N/D</t>
  </si>
  <si>
    <t>Itajai-Sc X Louveira-Sp3/4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</si>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</sst>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0" fontId="0" fillId="0" borderId="39" xfId="0" applyNumberFormat="1" applyBorder="1" applyAlignment="1">
      <alignment horizontal="left" vertic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[Analise_ALVACI_02102026.xlsx]Resumo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7731.6</c:v>
                </c:pt>
                <c:pt idx="1">
                  <c:v>170.43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5289.3620000000001</c:v>
                </c:pt>
                <c:pt idx="1">
                  <c:v>77.025599999999997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[Analise_ALVACI_02102026.xlsx]Resumo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7731.6</c:v>
                </c:pt>
                <c:pt idx="1">
                  <c:v>170.43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5289.3620000000001</c:v>
                </c:pt>
                <c:pt idx="1">
                  <c:v>77.025599999999997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302.514254398149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549"/>
        <n v="355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10-02T00:00:00" maxDate="2026-10-03T00:00:00"/>
    </cacheField>
    <cacheField name="DATA" numFmtId="14">
      <sharedItems containsNonDate="0" containsDate="1" containsString="0" containsBlank="1" minDate="2026-10-02T00:00:00" maxDate="2026-10-03T00:00:00"/>
    </cacheField>
    <cacheField name="FAT" numFmtId="0">
      <sharedItems containsString="0" containsBlank="1" containsNumber="1" containsInteger="1" minValue="713" maxValue="713"/>
    </cacheField>
    <cacheField name="CT-E" numFmtId="0">
      <sharedItems containsBlank="1"/>
    </cacheField>
    <cacheField name="CLIENTE TOMADOR" numFmtId="0">
      <sharedItems containsBlank="1" count="855">
        <s v="MAC FER INDUSTR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6295.5" maxValue="1870484.98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70.43" maxValue="7731.6"/>
    </cacheField>
    <cacheField name="VOLUMES" numFmtId="0">
      <sharedItems containsString="0" containsBlank="1" containsNumber="1" containsInteger="1" minValue="8" maxValue="272"/>
    </cacheField>
    <cacheField name="PESO" numFmtId="0">
      <sharedItems containsString="0" containsBlank="1" containsNumber="1" minValue="116.67" maxValue="836.8"/>
    </cacheField>
    <cacheField name="RESP. COLETA" numFmtId="0">
      <sharedItems containsBlank="1"/>
    </cacheField>
    <cacheField name="CUSTO COLETA" numFmtId="0">
      <sharedItems containsString="0" containsBlank="1" containsNumber="1" minValue="11.81" maxValue="79.69"/>
    </cacheField>
    <cacheField name="RESP. ENTREGA" numFmtId="0">
      <sharedItems containsBlank="1"/>
    </cacheField>
    <cacheField name="CUSTO ENTREGA" numFmtId="0">
      <sharedItems containsString="0" containsBlank="1" containsNumber="1" minValue="0" maxValue="44.99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20.45" maxValue="927.79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2.52" maxValue="748.19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59.57" maxValue="5375.87"/>
    </cacheField>
    <cacheField name="RECEITA" numFmtId="0">
      <sharedItems containsString="0" containsBlank="1" containsNumber="1" minValue="10.86" maxValue="2355.73"/>
    </cacheField>
    <cacheField name="IMPOSTO" numFmtId="0">
      <sharedItems containsString="0" containsBlank="1" containsNumber="1" minValue="44.31" maxValue="2010.22"/>
    </cacheField>
    <cacheField name="RESULTADO" numFmtId="0">
      <sharedItems containsString="0" containsBlank="1" containsNumber="1" minValue="-37.950000000000003" maxValue="345.51000000000005"/>
    </cacheField>
    <cacheField name="COMIS" numFmtId="0">
      <sharedItems containsString="0" containsBlank="1" containsNumber="1" minValue="0" maxValue="68.040000000000006"/>
    </cacheField>
    <cacheField name="LUCRO LIQ" numFmtId="0">
      <sharedItems containsString="0" containsBlank="1" containsNumber="1" minValue="-37.950000000000003" maxValue="277.47000000000003"/>
    </cacheField>
    <cacheField name="MARGEM" numFmtId="10">
      <sharedItems containsString="0" containsBlank="1" containsNumber="1" minValue="-0.22270000000000001" maxValue="3.59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10-02T00:00:00"/>
    <d v="2026-10-02T00:00:00"/>
    <n v="713"/>
    <s v="3430-1"/>
    <x v="0"/>
    <s v="FRANCISCO GILAILTON/SABRI"/>
    <n v="6295.5"/>
    <x v="0"/>
    <s v="CTE NORMAL"/>
    <s v="GUARULHOS - SP"/>
    <n v="170.43"/>
    <n v="8"/>
    <n v="116.67"/>
    <s v="PORTOEXPRESS LOGISTICA LT"/>
    <n v="11.81"/>
    <s v="JOSE EMILTON DA COSTA - O"/>
    <n v="44.99"/>
    <s v="NM LOG TRANSPORTES LTDA"/>
    <n v="0"/>
    <n v="20.45"/>
    <n v="0"/>
    <n v="0"/>
    <n v="2.52"/>
    <n v="0"/>
    <n v="159.57"/>
    <n v="10.86"/>
    <n v="44.31"/>
    <n v="-37.950000000000003"/>
    <n v="0"/>
    <n v="-37.950000000000003"/>
    <n v="-0.22270000000000001"/>
    <m/>
  </r>
  <r>
    <x v="1"/>
    <s v="MATRIZ"/>
    <d v="2026-10-02T00:00:00"/>
    <d v="2026-10-02T00:00:00"/>
    <m/>
    <s v="3439-1"/>
    <x v="1"/>
    <s v="TIAGO SANTANA"/>
    <n v="1870484.98"/>
    <x v="1"/>
    <s v="CTE NORMAL"/>
    <s v="LOUVEIRA - SP"/>
    <n v="7731.6"/>
    <n v="272"/>
    <n v="836.8"/>
    <s v="PORTOEXPRESS LOGISTICA LT"/>
    <n v="79.69"/>
    <s v="N/D"/>
    <n v="0"/>
    <s v="NM LOG TRANSPORTES LTDA"/>
    <n v="0"/>
    <n v="927.79"/>
    <n v="0"/>
    <n v="0"/>
    <n v="748.19"/>
    <n v="0"/>
    <n v="5375.87"/>
    <n v="2355.73"/>
    <n v="2010.22"/>
    <n v="345.51000000000005"/>
    <n v="68.040000000000006"/>
    <n v="277.47000000000003"/>
    <n v="3.590000000000000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95" totalsRowShown="0" headerRowDxfId="92" dataDxfId="90" headerRowBorderDxfId="91" tableBorderDxfId="89" totalsRowBorderDxfId="88">
  <autoFilter ref="A1:D395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3549</v>
      </c>
      <c r="B2" s="12" t="s">
        <v>616</v>
      </c>
      <c r="C2" s="14">
        <v>46297</v>
      </c>
      <c r="D2" s="14">
        <v>46297</v>
      </c>
      <c r="E2" s="12">
        <v>713</v>
      </c>
      <c r="F2" s="15" t="s">
        <v>617</v>
      </c>
      <c r="G2" s="15" t="s">
        <v>618</v>
      </c>
      <c r="H2" s="15" t="s">
        <v>619</v>
      </c>
      <c r="I2" s="16">
        <v>6295.5</v>
      </c>
      <c r="J2" s="15" t="s">
        <v>620</v>
      </c>
      <c r="K2" s="15" t="s">
        <v>621</v>
      </c>
      <c r="L2" s="15" t="s">
        <v>622</v>
      </c>
      <c r="M2" s="15">
        <v>170.43</v>
      </c>
      <c r="N2" s="15">
        <v>8</v>
      </c>
      <c r="O2" s="16">
        <v>116.67</v>
      </c>
      <c r="P2" s="15" t="s">
        <v>623</v>
      </c>
      <c r="Q2" s="15">
        <v>11.81</v>
      </c>
      <c r="R2" s="15" t="s">
        <v>624</v>
      </c>
      <c r="S2" s="15">
        <v>44.99</v>
      </c>
      <c r="T2" s="15" t="s">
        <v>625</v>
      </c>
      <c r="U2" s="15">
        <v>0</v>
      </c>
      <c r="V2" s="15">
        <v>20.45</v>
      </c>
      <c r="W2" s="15">
        <v>0</v>
      </c>
      <c r="X2" s="15">
        <v>0</v>
      </c>
      <c r="Y2" s="15">
        <v>2.52</v>
      </c>
      <c r="Z2" s="15">
        <v>0</v>
      </c>
      <c r="AA2" s="15">
        <v>159.57</v>
      </c>
      <c r="AB2" s="15">
        <v>10.86</v>
      </c>
      <c r="AC2" s="15">
        <v>44.31</v>
      </c>
      <c r="AD2" s="15">
        <v>-37.950000000000003</v>
      </c>
      <c r="AE2" s="15">
        <v>0</v>
      </c>
      <c r="AF2" s="15">
        <v>-37.950000000000003</v>
      </c>
      <c r="AG2" s="17">
        <v>-0.22270000000000001</v>
      </c>
      <c r="AH2" s="15"/>
    </row>
    <row r="3" spans="1:34" s="1" customFormat="1" ht="12" customHeight="1" x14ac:dyDescent="0.3">
      <c r="A3" s="13">
        <v>3554</v>
      </c>
      <c r="B3" s="12" t="s">
        <v>616</v>
      </c>
      <c r="C3" s="14">
        <v>46297</v>
      </c>
      <c r="D3" s="14">
        <v>46297</v>
      </c>
      <c r="E3" s="12"/>
      <c r="F3" s="15" t="s">
        <v>626</v>
      </c>
      <c r="G3" s="15" t="s">
        <v>627</v>
      </c>
      <c r="H3" s="15" t="s">
        <v>628</v>
      </c>
      <c r="I3" s="16">
        <v>1870484.98</v>
      </c>
      <c r="J3" s="15" t="s">
        <v>629</v>
      </c>
      <c r="K3" s="15" t="s">
        <v>621</v>
      </c>
      <c r="L3" s="15" t="s">
        <v>630</v>
      </c>
      <c r="M3" s="16">
        <v>7731.6</v>
      </c>
      <c r="N3" s="15">
        <v>272</v>
      </c>
      <c r="O3" s="16">
        <v>836.8</v>
      </c>
      <c r="P3" s="15" t="s">
        <v>623</v>
      </c>
      <c r="Q3" s="15">
        <v>79.69</v>
      </c>
      <c r="R3" s="15" t="s">
        <v>631</v>
      </c>
      <c r="S3" s="15">
        <v>0</v>
      </c>
      <c r="T3" s="15" t="s">
        <v>625</v>
      </c>
      <c r="U3" s="15">
        <v>0</v>
      </c>
      <c r="V3" s="15">
        <v>927.79</v>
      </c>
      <c r="W3" s="15">
        <v>0</v>
      </c>
      <c r="X3" s="15">
        <v>0</v>
      </c>
      <c r="Y3" s="15">
        <v>748.19</v>
      </c>
      <c r="Z3" s="15">
        <v>0</v>
      </c>
      <c r="AA3" s="16">
        <v>5375.87</v>
      </c>
      <c r="AB3" s="16">
        <v>2355.73</v>
      </c>
      <c r="AC3" s="15">
        <v>2010.22</v>
      </c>
      <c r="AD3" s="15">
        <v>345.51000000000005</v>
      </c>
      <c r="AE3" s="15">
        <v>68.040000000000006</v>
      </c>
      <c r="AF3" s="15">
        <v>277.47000000000003</v>
      </c>
      <c r="AG3" s="17">
        <v>3.5900000000000001E-2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7902.0300000000007</v>
      </c>
      <c r="F3" s="89"/>
      <c r="G3" s="90"/>
      <c r="H3" s="133">
        <f>'Resumo Detalhado'!C2</f>
        <v>953.46999999999991</v>
      </c>
      <c r="I3" s="134"/>
      <c r="J3" s="135">
        <f>E3/H3</f>
        <v>8.2876545670026331</v>
      </c>
      <c r="K3" s="136"/>
      <c r="L3" s="137"/>
      <c r="M3" s="138" t="s">
        <v>236</v>
      </c>
      <c r="N3" s="89"/>
      <c r="O3" s="90"/>
      <c r="P3" s="106">
        <v>3500</v>
      </c>
      <c r="Q3" s="107"/>
      <c r="R3" s="108"/>
      <c r="S3" s="103">
        <f>MIN(H3/P3,1)</f>
        <v>0.27242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3791.5</v>
      </c>
      <c r="F7" s="112"/>
      <c r="G7" s="112"/>
      <c r="H7" s="112"/>
      <c r="I7" s="112"/>
      <c r="J7" s="112">
        <f>E7/H3</f>
        <v>3.9765278404144864</v>
      </c>
      <c r="K7" s="112"/>
      <c r="L7" s="112"/>
      <c r="M7" s="130">
        <f>E7/E3</f>
        <v>0.47981341503385833</v>
      </c>
      <c r="N7" s="130"/>
      <c r="O7" s="130"/>
      <c r="P7" s="112">
        <f>E11+K11+Q11+E15+K15+Q15+E19+H19+K19</f>
        <v>7386.9372000000003</v>
      </c>
      <c r="Q7" s="112"/>
      <c r="R7" s="112"/>
      <c r="S7" s="112">
        <f>P7/H3</f>
        <v>7.7474248796501213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3700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3700</v>
      </c>
      <c r="L11" s="90"/>
      <c r="M11" s="38"/>
      <c r="N11" s="88">
        <f>K11/H3</f>
        <v>3.8805625766935514</v>
      </c>
      <c r="O11" s="90"/>
      <c r="P11" s="38"/>
      <c r="Q11" s="88">
        <f>'Resumo Detalhado'!D2</f>
        <v>91.5</v>
      </c>
      <c r="R11" s="90"/>
      <c r="S11" s="38"/>
      <c r="T11" s="88">
        <f>Q11/H3</f>
        <v>9.5965263720935126E-2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948.24</v>
      </c>
      <c r="F15" s="119"/>
      <c r="G15" s="119"/>
      <c r="H15" s="119"/>
      <c r="I15" s="132"/>
      <c r="J15" s="38"/>
      <c r="K15" s="113">
        <f>'Resumo Detalhado'!K2+'Resumo Detalhado'!L2</f>
        <v>1264.3248000000001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750.71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632.16240000000005</v>
      </c>
      <c r="L19" s="123"/>
      <c r="M19" s="38"/>
      <c r="N19" s="121" t="s">
        <v>632</v>
      </c>
      <c r="O19" s="119"/>
      <c r="P19" s="119"/>
      <c r="Q19" s="119"/>
      <c r="R19" s="120"/>
      <c r="S19" s="121">
        <v>3700</v>
      </c>
      <c r="T19" s="119"/>
      <c r="U19" s="120"/>
      <c r="V19" s="36"/>
      <c r="W19" s="94" t="str">
        <f>IF(D11=S19,"NO TARGET",IF(D11&lt;S19,"ABAIXO DO TARGET",IF(D11&gt;S19,"FORA DO TARGET")))</f>
        <v>NO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5366.3876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0.67911506283828327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633</v>
      </c>
      <c r="F1" s="29"/>
    </row>
    <row r="2" spans="1:18" x14ac:dyDescent="0.3">
      <c r="B2" s="29">
        <f>SUM(B6:B5000)</f>
        <v>7902.0300000000007</v>
      </c>
      <c r="C2" s="29">
        <f>SUM(C6:C5000)</f>
        <v>953.46999999999991</v>
      </c>
      <c r="D2" s="29">
        <f>SUM(D6:D5000)</f>
        <v>91.5</v>
      </c>
      <c r="E2" s="29">
        <f>SUM(E6:E5000)</f>
        <v>44.99</v>
      </c>
      <c r="F2" s="29">
        <f>SUM(F6:F5000)</f>
        <v>0</v>
      </c>
      <c r="G2" s="29"/>
      <c r="H2" s="29">
        <f t="shared" ref="H2:P2" si="0">SUM(H6:H5000)</f>
        <v>948.24</v>
      </c>
      <c r="I2" s="29">
        <f t="shared" si="0"/>
        <v>750.71</v>
      </c>
      <c r="J2" s="29">
        <f t="shared" si="0"/>
        <v>0</v>
      </c>
      <c r="K2" s="29">
        <f t="shared" si="0"/>
        <v>632.16240000000005</v>
      </c>
      <c r="L2" s="29">
        <f t="shared" si="0"/>
        <v>632.16240000000005</v>
      </c>
      <c r="M2" s="29">
        <f t="shared" si="0"/>
        <v>68.040000000000006</v>
      </c>
      <c r="N2" s="29">
        <f t="shared" si="0"/>
        <v>5366.3876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627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3554</v>
      </c>
      <c r="B6" s="140">
        <v>7731.6</v>
      </c>
      <c r="C6" s="141">
        <v>836.8</v>
      </c>
      <c r="D6" s="140">
        <v>79.69</v>
      </c>
      <c r="E6" s="140">
        <v>0</v>
      </c>
      <c r="F6" s="140">
        <v>0</v>
      </c>
      <c r="G6" s="142">
        <v>1.030705158052667E-2</v>
      </c>
      <c r="H6" s="140">
        <v>927.79</v>
      </c>
      <c r="I6" s="140">
        <v>748.19</v>
      </c>
      <c r="J6" s="140">
        <v>0</v>
      </c>
      <c r="K6" s="140">
        <v>618.52800000000002</v>
      </c>
      <c r="L6" s="140">
        <v>618.52800000000002</v>
      </c>
      <c r="M6" s="140">
        <v>68.040000000000006</v>
      </c>
      <c r="N6" s="140">
        <v>5289.3620000000001</v>
      </c>
      <c r="O6" s="142">
        <v>0.68412256195354126</v>
      </c>
      <c r="Q6"/>
    </row>
    <row r="7" spans="1:18" s="31" customFormat="1" x14ac:dyDescent="0.3">
      <c r="A7" s="9" t="s">
        <v>618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3549</v>
      </c>
      <c r="B8" s="140">
        <v>170.43</v>
      </c>
      <c r="C8" s="141">
        <v>116.67</v>
      </c>
      <c r="D8" s="140">
        <v>11.81</v>
      </c>
      <c r="E8" s="140">
        <v>44.99</v>
      </c>
      <c r="F8" s="140">
        <v>0</v>
      </c>
      <c r="G8" s="142">
        <v>0.33327465821745</v>
      </c>
      <c r="H8" s="140">
        <v>20.45</v>
      </c>
      <c r="I8" s="140">
        <v>2.52</v>
      </c>
      <c r="J8" s="140">
        <v>0</v>
      </c>
      <c r="K8" s="140">
        <v>13.634400000000001</v>
      </c>
      <c r="L8" s="140">
        <v>13.634400000000001</v>
      </c>
      <c r="M8" s="140">
        <v>0</v>
      </c>
      <c r="N8" s="140">
        <v>77.025599999999997</v>
      </c>
      <c r="O8" s="142">
        <v>0.45194860059848613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633</v>
      </c>
    </row>
    <row r="2" spans="1:4" x14ac:dyDescent="0.3">
      <c r="B2" s="29">
        <f>SUM(B6:B5000)</f>
        <v>170.43</v>
      </c>
      <c r="C2" s="29">
        <f>SUM(C6:C5000)</f>
        <v>77.025599999999997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627</v>
      </c>
      <c r="B5" s="10">
        <v>7731.6</v>
      </c>
      <c r="C5" s="10">
        <v>5289.3620000000001</v>
      </c>
    </row>
    <row r="6" spans="1:4" x14ac:dyDescent="0.3">
      <c r="A6" s="9" t="s">
        <v>618</v>
      </c>
      <c r="B6" s="140">
        <v>170.43</v>
      </c>
      <c r="C6" s="140">
        <v>77.025599999999997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95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4100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4100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  <row r="373" spans="1:4" x14ac:dyDescent="0.3">
      <c r="A373" s="81" t="s">
        <v>584</v>
      </c>
      <c r="B373" s="68" t="s">
        <v>252</v>
      </c>
      <c r="C373" s="81" t="s">
        <v>585</v>
      </c>
      <c r="D373" s="87">
        <v>14200</v>
      </c>
    </row>
    <row r="374" spans="1:4" x14ac:dyDescent="0.3">
      <c r="A374" s="81" t="s">
        <v>586</v>
      </c>
      <c r="B374" s="68" t="s">
        <v>129</v>
      </c>
      <c r="C374" s="81" t="s">
        <v>587</v>
      </c>
      <c r="D374" s="87">
        <v>9300</v>
      </c>
    </row>
    <row r="375" spans="1:4" x14ac:dyDescent="0.3">
      <c r="A375" s="81" t="s">
        <v>588</v>
      </c>
      <c r="B375" s="83">
        <v>46085</v>
      </c>
      <c r="C375" s="81" t="s">
        <v>589</v>
      </c>
      <c r="D375" s="87">
        <v>7900</v>
      </c>
    </row>
    <row r="376" spans="1:4" x14ac:dyDescent="0.3">
      <c r="A376" s="81"/>
      <c r="B376" s="68"/>
      <c r="C376" s="81" t="s">
        <v>590</v>
      </c>
      <c r="D376" s="87">
        <v>1800</v>
      </c>
    </row>
    <row r="377" spans="1:4" x14ac:dyDescent="0.3">
      <c r="A377" s="81"/>
      <c r="B377" s="68"/>
      <c r="C377" s="81" t="s">
        <v>591</v>
      </c>
      <c r="D377" s="87">
        <v>2100</v>
      </c>
    </row>
    <row r="378" spans="1:4" x14ac:dyDescent="0.3">
      <c r="A378" s="81"/>
      <c r="B378" s="68" t="s">
        <v>592</v>
      </c>
      <c r="C378" s="81" t="s">
        <v>593</v>
      </c>
      <c r="D378" s="87">
        <v>1200</v>
      </c>
    </row>
    <row r="379" spans="1:4" x14ac:dyDescent="0.3">
      <c r="A379" s="81"/>
      <c r="B379" s="68" t="s">
        <v>594</v>
      </c>
      <c r="C379" s="81" t="s">
        <v>595</v>
      </c>
      <c r="D379" s="87">
        <v>10000</v>
      </c>
    </row>
    <row r="380" spans="1:4" x14ac:dyDescent="0.3">
      <c r="A380" s="81"/>
      <c r="B380" s="68" t="s">
        <v>596</v>
      </c>
      <c r="C380" s="81" t="s">
        <v>597</v>
      </c>
      <c r="D380" s="87">
        <v>1300</v>
      </c>
    </row>
    <row r="381" spans="1:4" x14ac:dyDescent="0.3">
      <c r="A381" s="81"/>
      <c r="B381" s="68" t="s">
        <v>598</v>
      </c>
      <c r="C381" s="81" t="s">
        <v>599</v>
      </c>
      <c r="D381" s="87">
        <v>2500</v>
      </c>
    </row>
    <row r="382" spans="1:4" x14ac:dyDescent="0.3">
      <c r="A382" s="81"/>
      <c r="B382" s="68"/>
      <c r="C382" s="81" t="s">
        <v>600</v>
      </c>
      <c r="D382" s="87">
        <v>1600</v>
      </c>
    </row>
    <row r="383" spans="1:4" x14ac:dyDescent="0.3">
      <c r="A383" s="81" t="s">
        <v>283</v>
      </c>
      <c r="B383" s="68" t="s">
        <v>252</v>
      </c>
      <c r="C383" s="81" t="s">
        <v>601</v>
      </c>
      <c r="D383" s="87">
        <v>3800</v>
      </c>
    </row>
    <row r="384" spans="1:4" x14ac:dyDescent="0.3">
      <c r="A384" s="81"/>
      <c r="B384" s="68"/>
      <c r="C384" s="81" t="s">
        <v>602</v>
      </c>
      <c r="D384" s="87">
        <v>22500</v>
      </c>
    </row>
    <row r="385" spans="1:4" x14ac:dyDescent="0.3">
      <c r="A385" s="81"/>
      <c r="B385" s="68"/>
      <c r="C385" s="81" t="s">
        <v>603</v>
      </c>
      <c r="D385" s="87">
        <v>1200</v>
      </c>
    </row>
    <row r="386" spans="1:4" x14ac:dyDescent="0.3">
      <c r="A386" s="81"/>
      <c r="B386" s="68"/>
      <c r="C386" s="81" t="s">
        <v>604</v>
      </c>
      <c r="D386" s="87">
        <v>3100</v>
      </c>
    </row>
    <row r="387" spans="1:4" x14ac:dyDescent="0.3">
      <c r="A387" s="81"/>
      <c r="B387" s="68"/>
      <c r="C387" s="81" t="s">
        <v>605</v>
      </c>
      <c r="D387" s="87">
        <v>27000</v>
      </c>
    </row>
    <row r="388" spans="1:4" x14ac:dyDescent="0.3">
      <c r="A388" s="81"/>
      <c r="B388" s="68"/>
      <c r="C388" s="81" t="s">
        <v>606</v>
      </c>
      <c r="D388" s="87">
        <v>3100</v>
      </c>
    </row>
    <row r="389" spans="1:4" x14ac:dyDescent="0.3">
      <c r="A389" s="81"/>
      <c r="B389" s="68"/>
      <c r="C389" s="81" t="s">
        <v>607</v>
      </c>
      <c r="D389" s="87">
        <v>5500</v>
      </c>
    </row>
    <row r="390" spans="1:4" x14ac:dyDescent="0.3">
      <c r="A390" s="81"/>
      <c r="B390" s="68"/>
      <c r="C390" s="81" t="s">
        <v>608</v>
      </c>
      <c r="D390" s="87">
        <v>1650</v>
      </c>
    </row>
    <row r="391" spans="1:4" x14ac:dyDescent="0.3">
      <c r="A391" s="81" t="s">
        <v>609</v>
      </c>
      <c r="B391" s="68" t="s">
        <v>60</v>
      </c>
      <c r="C391" s="81" t="s">
        <v>610</v>
      </c>
      <c r="D391" s="87">
        <v>5000</v>
      </c>
    </row>
    <row r="392" spans="1:4" x14ac:dyDescent="0.3">
      <c r="A392" s="81" t="s">
        <v>611</v>
      </c>
      <c r="B392" s="83">
        <v>46085</v>
      </c>
      <c r="C392" s="81" t="s">
        <v>612</v>
      </c>
      <c r="D392" s="87">
        <v>3700</v>
      </c>
    </row>
    <row r="393" spans="1:4" x14ac:dyDescent="0.3">
      <c r="A393" s="81" t="s">
        <v>588</v>
      </c>
      <c r="B393" s="68" t="s">
        <v>58</v>
      </c>
      <c r="C393" s="81" t="s">
        <v>613</v>
      </c>
      <c r="D393" s="87">
        <v>4100</v>
      </c>
    </row>
    <row r="394" spans="1:4" x14ac:dyDescent="0.3">
      <c r="A394" s="81" t="s">
        <v>614</v>
      </c>
      <c r="B394" s="68" t="s">
        <v>58</v>
      </c>
      <c r="C394" s="81" t="s">
        <v>615</v>
      </c>
      <c r="D394" s="87">
        <v>800</v>
      </c>
    </row>
    <row r="395" spans="1:4" x14ac:dyDescent="0.3">
      <c r="A395" s="81"/>
      <c r="B395" s="68"/>
      <c r="C395" s="143" t="s">
        <v>632</v>
      </c>
      <c r="D395" s="87">
        <v>3700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2026-10-07T15:20:40Z</dcterms:modified>
  <cp:category/>
  <cp:contentStatus/>
</cp:coreProperties>
</file>