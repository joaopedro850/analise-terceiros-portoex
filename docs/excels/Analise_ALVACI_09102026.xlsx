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8700993C-6F36-40DD-960D-8928C422261E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5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<sst xmlns="http://schemas.openxmlformats.org/spreadsheetml/2006/main" count="915" uniqueCount="634">
  <si>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</si>
  <si>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</si>
  <si>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</si>
  <si>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</si>
  <si>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</si>
  <si>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</si>
  <si>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</si>
  <si>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</si>
  <si>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</si>
  <si>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</si>
  <si>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</si>
  <si>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</si>
  <si>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</si>
  <si>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</si>
  <si>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</si>
  <si>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</si>
  <si>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</si>
  <si>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</si>
  <si>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</si>
  <si>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</si>
  <si>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</si>
  <si>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</si>
  <si>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</si>
  <si>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</si>
  <si>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</si>
  <si>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</si>
  <si>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</si>
  <si>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</si>
  <si>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</si>
  <si>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</si>
  <si>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</si>
  <si>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</si>
  <si>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</si>
  <si>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</si>
  <si>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</si>
  <si>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</si>
  <si>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</si>
  <si>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</si>
  <si>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</si>
  <si>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</si>
  <si>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</si>
  <si>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</si>
  <si>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</si>
  <si>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</si>
  <si>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</si>
  <si>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</si>
  <si>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</si>
  <si>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</si>
  <si>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</si>
  <si>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</si>
  <si>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</si>
  <si>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</si>
  <si>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</si>
  <si>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</si>
  <si>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</si>
  <si>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</si>
  <si>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</si>
  <si>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</si>
  <si>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</si>
  <si>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</si>
  <si>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</si>
  <si>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</si>
  <si>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</si>
  <si>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</si>
  <si>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</si>
  <si>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</si>
  <si>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</si>
  <si>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</si>
  <si>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</si>
  <si>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</si>
  <si>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</si>
  <si>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</si>
  <si>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</si>
  <si>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</si>
  <si>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</si>
  <si>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</si>
  <si>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</si>
  <si>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</si>
  <si>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</si>
  <si>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</si>
  <si>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</si>
  <si>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</si>
  <si>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</si>
  <si>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</si>
  <si>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</si>
  <si>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</si>
  <si>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</si>
  <si>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</si>
  <si>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</si>
  <si>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</si>
  <si>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</si>
  <si>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</si>
  <si>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</si>
  <si>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</si>
  <si>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</si>
  <si>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</si>
  <si>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</si>
  <si>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</si>
  <si>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</si>
  <si>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</si>
  <si>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</si>
  <si>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</si>
  <si>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</si>
  <si>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</si>
  <si>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</si>
  <si>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</si>
  <si>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</si>
  <si>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</si>
  <si>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</si>
  <si>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</si>
  <si>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</si>
  <si>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</si>
  <si>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</si>
  <si>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</si>
  <si>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</si>
  <si>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</si>
  <si>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</si>
  <si>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</si>
  <si>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</si>
  <si>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</si>
  <si>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</si>
  <si>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</si>
  <si>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</si>
  <si>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</si>
  <si>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</si>
  <si>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</si>
  <si>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</si>
  <si>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</si>
  <si>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</si>
  <si>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</si>
  <si>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</si>
  <si>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</si>
  <si>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</si>
  <si>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</si>
  <si>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</si>
  <si>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</si>
  <si>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</si>
  <si>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</si>
  <si>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</si>
  <si>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</si>
  <si>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</si>
  <si>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</si>
  <si>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</si>
  <si>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</si>
  <si>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</si>
  <si>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</si>
  <si>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</si>
  <si>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</si>
  <si>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</si>
  <si>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</si>
  <si>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</si>
  <si>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</si>
  <si>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</si>
  <si>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</si>
  <si>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</si>
  <si>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</si>
  <si>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</si>
  <si>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</si>
  <si>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</si>
  <si>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</si>
  <si>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</si>
  <si>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</si>
  <si>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</si>
  <si>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</si>
  <si>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</si>
  <si>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</si>
  <si>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</si>
  <si>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</si>
  <si>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</si>
  <si>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</si>
  <si>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</si>
  <si>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</si>
  <si>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</si>
  <si>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</si>
  <si>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</si>
  <si>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</si>
  <si>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</si>
  <si>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</si>
  <si>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</si>
  <si>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</si>
  <si>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</si>
  <si>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</si>
  <si>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</si>
  <si>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</si>
  <si>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</si>
  <si>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</si>
  <si>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</si>
  <si>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</si>
  <si>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</si>
  <si>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</si>
  <si>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</si>
  <si>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</si>
  <si>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</si>
  <si>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</si>
  <si>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</si>
  <si>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</si>
  <si>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</si>
  <si>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</si>
  <si>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</si>
  <si>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</si>
  <si>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</si>
  <si>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</si>
  <si>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</si>
  <si>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</si>
  <si>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</si>
  <si>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</si>
  <si>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</si>
  <si>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</si>
  <si>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</si>
  <si>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</si>
  <si>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</si>
  <si>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</si>
  <si>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</si>
  <si>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</si>
  <si>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</si>
  <si>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</si>
  <si>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</si>
  <si>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</si>
  <si>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</si>
  <si>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</si>
  <si>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</si>
  <si>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</si>
  <si>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</si>
  <si>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</si>
  <si>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</si>
  <si>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</si>
  <si>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</si>
  <si>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</si>
  <si>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</si>
  <si>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</si>
  <si>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</si>
  <si>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</si>
  <si>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</si>
  <si>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</si>
  <si>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</si>
  <si>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</si>
  <si>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</si>
  <si>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</si>
  <si>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</si>
  <si>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</si>
  <si>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</si>
  <si>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</si>
  <si>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</si>
  <si>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</si>
  <si>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</si>
  <si>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</si>
  <si>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</si>
  <si>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</si>
  <si>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</si>
  <si>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</si>
  <si>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</si>
  <si>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</si>
  <si>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</si>
  <si>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</si>
  <si>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</si>
  <si>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</si>
  <si>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</si>
  <si>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</si>
  <si>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</si>
  <si>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</si>
  <si>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</si>
  <si>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</si>
  <si>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</si>
  <si>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</si>
  <si>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</si>
  <si>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</si>
  <si>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</si>
  <si>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</si>
  <si>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</si>
  <si>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</si>
  <si>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</si>
  <si>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</si>
  <si>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</si>
  <si>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</si>
  <si>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</si>
  <si>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</si>
  <si>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</si>
  <si>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</si>
  <si>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</si>
  <si>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</si>
  <si>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</si>
  <si>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</si>
  <si>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</si>
  <si>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</si>
  <si>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</si>
  <si>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</si>
  <si>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</si>
  <si>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</si>
  <si>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</si>
  <si>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</si>
  <si>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</si>
  <si>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</si>
  <si>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</si>
  <si>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</si>
  <si>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</si>
  <si>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</si>
  <si>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</si>
  <si>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</si>
  <si>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</si>
  <si>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</si>
  <si>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</si>
  <si>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</si>
  <si>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</si>
  <si>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</si>
  <si>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</si>
  <si>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</si>
  <si>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</si>
  <si>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</si>
  <si>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</si>
  <si>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</si>
  <si>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</si>
  <si>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</si>
  <si>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</si>
  <si>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</si>
  <si>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</si>
  <si>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</si>
  <si>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</si>
  <si>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</si>
  <si>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</si>
  <si>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</si>
  <si>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</si>
  <si>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</si>
  <si>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</si>
  <si>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</si>
  <si>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</si>
  <si>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</si>
  <si>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</si>
  <si>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</si>
  <si>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</si>
  <si>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</si>
  <si>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</si>
  <si>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</si>
  <si>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</si>
  <si>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</si>
  <si>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</si>
  <si>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</si>
  <si>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</si>
  <si>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</si>
  <si>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</si>
  <si>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</si>
  <si>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</si>
  <si>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</si>
  <si>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</si>
  <si>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</si>
  <si>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</si>
  <si>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</si>
  <si>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</si>
  <si>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</si>
  <si>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</si>
  <si>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</si>
  <si>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</si>
  <si>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</si>
  <si>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</si>
  <si>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</si>
  <si>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</si>
  <si>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</si>
  <si>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</si>
  <si>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</si>
  <si>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</si>
  <si>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</si>
  <si>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</si>
  <si>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</si>
  <si>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</si>
  <si>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</si>
  <si>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</si>
  <si>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</si>
  <si>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</si>
  <si>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</si>
  <si>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</si>
  <si>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</si>
  <si>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</si>
  <si>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</si>
  <si>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</si>
  <si>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</si>
  <si>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</si>
  <si>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</si>
  <si>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</si>
  <si>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</si>
  <si>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</si>
  <si>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</si>
  <si>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</si>
  <si>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</si>
  <si>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</si>
  <si>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</si>
  <si>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</si>
  <si>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</si>
  <si>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</si>
  <si>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</si>
  <si>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</si>
  <si>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</si>
  <si>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</si>
  <si>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</si>
  <si>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</si>
  <si>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</si>
  <si>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</si>
  <si>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</si>
  <si>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</si>
  <si>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</si>
  <si>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</si>
  <si>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</si>
  <si>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</si>
  <si>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</si>
  <si>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</si>
  <si>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</si>
  <si>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</si>
  <si>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</si>
  <si>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</si>
  <si>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</si>
  <si>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</si>
  <si>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</si>
  <si>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</si>
  <si>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</si>
  <si>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</si>
  <si>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</si>
  <si>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</si>
  <si>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</si>
  <si>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</si>
  <si>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</si>
  <si>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</si>
  <si>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</si>
  <si>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</si>
  <si>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</si>
  <si>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</si>
  <si>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</si>
  <si>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</si>
  <si>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</si>
  <si>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</si>
  <si>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</si>
  <si>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</si>
  <si>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</si>
  <si>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</si>
  <si>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</si>
  <si>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</si>
  <si>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</si>
  <si>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</si>
  <si>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</si>
  <si>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</si>
  <si>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</si>
  <si>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</si>
  <si>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</si>
  <si>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</si>
  <si>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</si>
  <si>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</si>
  <si>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</si>
  <si>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</si>
  <si>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</si>
  <si>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</si>
  <si>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</si>
  <si>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</si>
  <si>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</si>
  <si>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</si>
  <si>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</si>
  <si>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</si>
  <si>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</si>
  <si>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</si>
  <si>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</si>
  <si>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</si>
  <si>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</si>
  <si>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</si>
  <si>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</si>
  <si>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</si>
  <si>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</si>
  <si>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</si>
  <si>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</si>
  <si>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</si>
  <si>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</si>
  <si>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</si>
  <si>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</si>
  <si>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</si>
  <si>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</si>
  <si>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</si>
  <si>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</si>
  <si>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</si>
  <si>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</si>
  <si>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</si>
  <si>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</si>
  <si>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</si>
  <si>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</si>
  <si>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</si>
  <si>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</si>
  <si>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</si>
  <si>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</si>
  <si>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</si>
  <si>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</si>
  <si>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</si>
  <si>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</si>
  <si>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</si>
  <si>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</si>
  <si>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</si>
  <si>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</si>
  <si>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</si>
  <si>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</si>
  <si>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</si>
  <si>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</si>
  <si>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</si>
  <si>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</si>
  <si>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</si>
  <si>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</si>
  <si>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</si>
  <si>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</si>
  <si>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</si>
  <si>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</si>
  <si>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</si>
  <si>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</si>
  <si>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</si>
  <si>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</si>
  <si>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</si>
  <si>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</si>
  <si>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</si>
  <si>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</si>
  <si>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</si>
  <si>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</si>
  <si>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</si>
  <si>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</si>
  <si>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</si>
  <si>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</si>
  <si>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</si>
  <si>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</si>
  <si>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</si>
  <si>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</si>
  <si>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</si>
  <si>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</si>
  <si>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</si>
  <si>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</si>
  <si>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</si>
  <si>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</si>
  <si>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</si>
  <si>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</si>
  <si>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</si>
  <si>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</si>
  <si>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</si>
  <si>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</si>
  <si>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</si>
  <si>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</si>
  <si>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</si>
  <si>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</si>
  <si>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</si>
  <si>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</si>
  <si>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</si>
  <si>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</si>
  <si>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</si>
  <si>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</si>
  <si>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</si>
  <si>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</si>
  <si>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</si>
  <si>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</si>
  <si>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</si>
  <si>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</si>
  <si>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</si>
  <si>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</si>
  <si>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</si>
  <si>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</si>
  <si>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</si>
  <si>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</si>
  <si>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</si>
  <si>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</si>
  <si>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</si>
  <si>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</si>
  <si>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</si>
  <si>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</si>
  <si>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</si>
  <si>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</si>
  <si>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</si>
  <si>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</si>
  <si>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</si>
  <si>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</si>
  <si>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</si>
  <si>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</si>
  <si>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</si>
  <si>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</si>
  <si>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</si>
  <si>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</si>
  <si>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</si>
  <si>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</si>
  <si>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</si>
  <si>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</si>
  <si>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</si>
  <si>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</si>
  <si>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</si>
  <si>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</si>
  <si>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</si>
  <si>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</si>
  <si>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</si>
  <si>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</si>
  <si>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</si>
  <si>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</si>
  <si>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</si>
  <si>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</si>
  <si>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</si>
  <si>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</si>
  <si>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</si>
  <si>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</si>
  <si>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</si>
  <si>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</si>
  <si>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</si>
  <si>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</si>
  <si>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</si>
  <si>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</si>
  <si>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</si>
  <si>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</si>
  <si>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</si>
  <si>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</si>
  <si>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</si>
  <si>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</si>
  <si>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</si>
  <si>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</si>
  <si>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</si>
  <si>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</si>
  <si>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</si>
  <si>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</si>
  <si>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</si>
  <si>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</si>
  <si>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</si>
  <si>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</si>
  <si>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</si>
  <si>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</si>
  <si>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</si>
  <si>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204692-1</t>
  </si>
  <si>
    <t>SAMSONITE BRASI</t>
  </si>
  <si>
    <t>MARLON MARQUES</t>
  </si>
  <si>
    <t>EXPRESSO_200</t>
  </si>
  <si>
    <t>CTE NORMAL</t>
  </si>
  <si>
    <t>SAO PAULO - SP</t>
  </si>
  <si>
    <t>PEX LOGISTICA INTEGRADA L</t>
  </si>
  <si>
    <t>DENIS MACEDO DE SOUZA</t>
  </si>
  <si>
    <t>NM LOG TRANSPORTES LTDA</t>
  </si>
  <si>
    <t>2323-6</t>
  </si>
  <si>
    <t>MATTEL DO BRASI</t>
  </si>
  <si>
    <t>EXPRESSO_250</t>
  </si>
  <si>
    <t>IBIPORA - PR</t>
  </si>
  <si>
    <t>DIEGO STANO</t>
  </si>
  <si>
    <t>N/D</t>
  </si>
  <si>
    <t>Navegantes-Sc X Ibiporã-Prtoco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</si>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</sst>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[Analise_ALVACI_09102026.xlsx]Resumo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6590.48</c:v>
                </c:pt>
                <c:pt idx="1">
                  <c:v>312.86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4780.3815999999997</c:v>
                </c:pt>
                <c:pt idx="1">
                  <c:v>-3778.2488000000003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[Analise_ALVACI_09102026.xlsx]Resumo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6590.48</c:v>
                </c:pt>
                <c:pt idx="1">
                  <c:v>312.86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4780.3815999999997</c:v>
                </c:pt>
                <c:pt idx="1">
                  <c:v>-3778.2488000000003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10.58081446759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5246" count="8000">
        <n v="305010"/>
        <n v="305246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8T00:00:00" maxDate="2026-10-11T00:00:00"/>
    </cacheField>
    <cacheField name="DATA" numFmtId="14">
      <sharedItems containsNonDate="0" containsDate="1" containsString="0" containsBlank="1" minDate="2026-10-09T00:00:00" maxDate="2026-10-11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SAMSONITE BRASI"/>
        <s v="MATTEL DO BRAS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4834.12" maxValue="250529.47"/>
    </cacheField>
    <cacheField name="SERVICO" numFmtId="0">
      <sharedItems containsBlank="1" count="27">
        <s v="EXPRESSO_200"/>
        <s v="EXPRESSO_250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312.86" maxValue="6590.48"/>
    </cacheField>
    <cacheField name="VOLUMES" numFmtId="0">
      <sharedItems containsString="0" containsBlank="1" containsNumber="1" containsInteger="1" minValue="18" maxValue="472"/>
    </cacheField>
    <cacheField name="PESO" numFmtId="0">
      <sharedItems containsString="0" containsBlank="1" containsNumber="1" minValue="364.39" maxValue="1571.6"/>
    </cacheField>
    <cacheField name="RESP. COLETA" numFmtId="0">
      <sharedItems containsBlank="1"/>
    </cacheField>
    <cacheField name="CUSTO COLETA" numFmtId="0">
      <sharedItems containsString="0" containsBlank="1" containsNumber="1" minValue="26.12" maxValue="366.74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37.54" maxValue="790.86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2.42" maxValue="125.26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901.55" maxValue="4529.99"/>
    </cacheField>
    <cacheField name="RECEITA" numFmtId="0">
      <sharedItems containsString="0" containsBlank="1" containsNumber="1" minValue="-588.69000000000005" maxValue="2060.4899999999998"/>
    </cacheField>
    <cacheField name="IMPOSTO" numFmtId="0">
      <sharedItems containsString="0" containsBlank="1" containsNumber="1" minValue="81.34" maxValue="1713.52"/>
    </cacheField>
    <cacheField name="RESULTADO" numFmtId="0">
      <sharedItems containsString="0" containsBlank="1" containsNumber="1" minValue="-670.03" maxValue="346.97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670.03" maxValue="346.97"/>
    </cacheField>
    <cacheField name="MARGEM" numFmtId="10">
      <sharedItems containsString="0" containsBlank="1" containsNumber="1" minValue="-2.1415999999999999" maxValue="5.2600000000000001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10-08T00:00:00"/>
    <d v="2026-10-09T00:00:00"/>
    <m/>
    <s v="204692-1"/>
    <x v="0"/>
    <s v="MARLON MARQUES"/>
    <n v="4834.12"/>
    <x v="0"/>
    <s v="CTE NORMAL"/>
    <s v="SAO PAULO - SP"/>
    <n v="312.86"/>
    <n v="18"/>
    <n v="364.39"/>
    <s v="PEX LOGISTICA INTEGRADA L"/>
    <n v="26.12"/>
    <s v="DENIS MACEDO DE SOUZA"/>
    <n v="4000"/>
    <s v="NM LOG TRANSPORTES LTDA"/>
    <n v="0"/>
    <n v="37.54"/>
    <n v="0"/>
    <n v="0"/>
    <n v="2.42"/>
    <n v="0"/>
    <n v="901.55"/>
    <n v="-588.69000000000005"/>
    <n v="81.34"/>
    <n v="-670.03"/>
    <n v="0"/>
    <n v="-670.03"/>
    <n v="-2.1415999999999999"/>
    <m/>
  </r>
  <r>
    <x v="1"/>
    <s v="MATRIZ"/>
    <d v="2026-10-10T00:00:00"/>
    <d v="2026-10-10T00:00:00"/>
    <m/>
    <s v="2323-6"/>
    <x v="1"/>
    <s v="MARLON MARQUES"/>
    <n v="250529.47"/>
    <x v="1"/>
    <s v="CTE NORMAL"/>
    <s v="IBIPORA - PR"/>
    <n v="6590.48"/>
    <n v="472"/>
    <n v="1571.6"/>
    <s v="DIEGO STANO"/>
    <n v="366.74"/>
    <s v="N/D"/>
    <n v="0"/>
    <s v="NM LOG TRANSPORTES LTDA"/>
    <n v="0"/>
    <n v="790.86"/>
    <n v="0"/>
    <n v="0"/>
    <n v="125.26"/>
    <n v="0"/>
    <n v="4529.99"/>
    <n v="2060.4899999999998"/>
    <n v="1713.52"/>
    <n v="346.97"/>
    <n v="0"/>
    <n v="346.97"/>
    <n v="5.2600000000000001E-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2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8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5"/>
        <item m="1" x="770"/>
        <item m="1" x="14"/>
        <item m="1" x="739"/>
        <item m="1" x="392"/>
        <item m="1" x="275"/>
        <item m="1" x="65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9"/>
        <item m="1" x="631"/>
        <item m="1" x="530"/>
        <item m="1" x="294"/>
        <item m="1" x="303"/>
        <item m="1" x="173"/>
        <item m="1" x="100"/>
        <item sd="0" m="1" x="70"/>
        <item m="1" x="578"/>
        <item sd="0" m="1" x="798"/>
        <item m="1" x="32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3"/>
        <item m="1" x="602"/>
        <item sd="0" m="1" x="449"/>
        <item m="1" x="348"/>
        <item m="1" x="78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10"/>
        <item m="1" x="42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4"/>
        <item m="1" x="635"/>
        <item m="1" x="457"/>
        <item m="1" x="790"/>
        <item m="1" x="703"/>
        <item m="1" x="233"/>
        <item m="1" x="597"/>
        <item m="1" x="43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6"/>
        <item m="1" x="387"/>
        <item m="1" x="369"/>
        <item m="1" x="615"/>
        <item m="1" x="57"/>
        <item m="1" x="707"/>
        <item m="1" x="23"/>
        <item m="1" x="36"/>
        <item m="1" x="9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7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3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5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4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3"/>
        <item m="1" x="271"/>
        <item sd="0" m="1" x="75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9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x="1"/>
        <item m="1" x="325"/>
        <item m="1" x="34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4"/>
        <item sd="0" m="1" x="669"/>
        <item m="1" x="93"/>
        <item m="1" x="439"/>
        <item sd="0" m="1" x="350"/>
        <item m="1" x="784"/>
        <item m="1" x="498"/>
        <item m="1" x="61"/>
        <item m="1" x="455"/>
        <item m="1" x="82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1"/>
        <item m="1" x="141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x="0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8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7"/>
        <item m="1" x="277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3"/>
        <item m="1" x="423"/>
        <item sd="0" m="1" x="26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30"/>
        <item m="1" x="104"/>
        <item m="1" x="533"/>
        <item sd="0" m="1" x="296"/>
        <item sd="0" m="1" x="396"/>
        <item sd="0" m="1" x="228"/>
        <item sd="0" m="1" x="8"/>
        <item m="1" x="472"/>
        <item sd="0" m="1" x="824"/>
        <item m="1" x="35"/>
        <item m="1" x="310"/>
        <item m="1" x="825"/>
        <item m="1" x="562"/>
        <item m="1" x="62"/>
        <item m="1" x="568"/>
        <item m="1" x="430"/>
        <item m="1" x="425"/>
        <item m="1" x="175"/>
        <item m="1" x="365"/>
        <item m="1" x="758"/>
        <item m="1" x="600"/>
        <item m="1" x="13"/>
        <item m="1" x="91"/>
        <item m="1" x="437"/>
        <item m="1" x="433"/>
        <item m="1" x="120"/>
        <item m="1" x="630"/>
        <item m="1" x="200"/>
        <item m="1" x="155"/>
        <item m="1" x="55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3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6"/>
        <item m="1" x="128"/>
        <item m="1" x="4"/>
        <item m="1" x="49"/>
        <item m="1" x="89"/>
        <item sd="0" m="1" x="201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1"/>
        <item m="1" x="11"/>
        <item m="1" x="14"/>
        <item m="1" x="25"/>
        <item m="1" x="19"/>
        <item x="2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x="0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495"/>
    </i>
    <i r="1">
      <x v="7999"/>
    </i>
    <i>
      <x v="671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2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8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5"/>
        <item m="1" x="770"/>
        <item m="1" x="14"/>
        <item m="1" x="739"/>
        <item m="1" x="392"/>
        <item m="1" x="275"/>
        <item m="1" x="65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9"/>
        <item m="1" x="631"/>
        <item m="1" x="530"/>
        <item m="1" x="294"/>
        <item m="1" x="303"/>
        <item m="1" x="173"/>
        <item m="1" x="100"/>
        <item sd="0" m="1" x="70"/>
        <item m="1" x="578"/>
        <item sd="0" m="1" x="798"/>
        <item m="1" x="32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3"/>
        <item m="1" x="602"/>
        <item sd="0" m="1" x="449"/>
        <item m="1" x="348"/>
        <item m="1" x="78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10"/>
        <item m="1" x="42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4"/>
        <item m="1" x="635"/>
        <item m="1" x="457"/>
        <item m="1" x="790"/>
        <item sd="0" m="1" x="703"/>
        <item m="1" x="233"/>
        <item m="1" x="597"/>
        <item m="1" x="43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6"/>
        <item m="1" x="387"/>
        <item m="1" x="369"/>
        <item m="1" x="615"/>
        <item m="1" x="57"/>
        <item m="1" x="707"/>
        <item m="1" x="23"/>
        <item m="1" x="36"/>
        <item m="1" x="9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7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3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5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4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3"/>
        <item m="1" x="271"/>
        <item sd="0" m="1" x="75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9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x="1"/>
        <item m="1" x="325"/>
        <item m="1" x="34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4"/>
        <item sd="0" m="1" x="669"/>
        <item m="1" x="93"/>
        <item m="1" x="439"/>
        <item sd="0" m="1" x="350"/>
        <item m="1" x="784"/>
        <item m="1" x="498"/>
        <item m="1" x="61"/>
        <item m="1" x="455"/>
        <item m="1" x="82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1"/>
        <item m="1" x="141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x="0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8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7"/>
        <item m="1" x="277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3"/>
        <item m="1" x="423"/>
        <item sd="0" m="1" x="26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30"/>
        <item m="1" x="104"/>
        <item m="1" x="533"/>
        <item sd="0" m="1" x="296"/>
        <item sd="0" m="1" x="396"/>
        <item sd="0" m="1" x="228"/>
        <item sd="0" m="1" x="8"/>
        <item m="1" x="472"/>
        <item sd="0" m="1" x="824"/>
        <item m="1" x="35"/>
        <item m="1" x="310"/>
        <item m="1" x="825"/>
        <item m="1" x="562"/>
        <item m="1" x="62"/>
        <item m="1" x="568"/>
        <item m="1" x="430"/>
        <item m="1" x="425"/>
        <item m="1" x="175"/>
        <item m="1" x="365"/>
        <item m="1" x="758"/>
        <item m="1" x="600"/>
        <item m="1" x="13"/>
        <item m="1" x="91"/>
        <item m="1" x="437"/>
        <item m="1" x="433"/>
        <item m="1" x="120"/>
        <item m="1" x="630"/>
        <item m="1" x="200"/>
        <item m="1" x="155"/>
        <item m="1" x="55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3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6"/>
        <item m="1" x="128"/>
        <item m="1" x="4"/>
        <item m="1" x="49"/>
        <item m="1" x="89"/>
        <item sd="0" m="1" x="201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1"/>
        <item m="1" x="11"/>
        <item m="1" x="14"/>
        <item m="1" x="25"/>
        <item m="1" x="19"/>
        <item x="2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x="0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495"/>
    </i>
    <i>
      <x v="67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67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48" s="1" nd="1"/>
        <i x="186" s="1" nd="1"/>
        <i x="272" s="1" nd="1"/>
        <i x="12" s="1" nd="1"/>
        <i x="761" s="1" nd="1"/>
        <i x="391" s="1" nd="1"/>
        <i x="712" s="1" nd="1"/>
        <i x="295" s="1" nd="1"/>
        <i x="112" s="1" nd="1"/>
        <i x="270" s="1" nd="1"/>
        <i x="590" s="1" nd="1"/>
        <i x="323" s="1" nd="1"/>
        <i x="675" s="1" nd="1"/>
        <i x="501" s="1" nd="1"/>
        <i x="24" s="1" nd="1"/>
        <i x="581" s="1" nd="1"/>
        <i x="852" s="1" nd="1"/>
        <i x="20" s="1" nd="1"/>
        <i x="757" s="1" nd="1"/>
        <i x="111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0" s="1" nd="1"/>
        <i x="221" s="1" nd="1"/>
        <i x="157" s="1" nd="1"/>
        <i x="229" s="1" nd="1"/>
        <i x="108" s="1" nd="1"/>
        <i x="621" s="1" nd="1"/>
        <i x="140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8" s="1" nd="1"/>
        <i x="355" s="1" nd="1"/>
        <i x="686" s="1" nd="1"/>
        <i x="311" s="1" nd="1"/>
        <i x="135" s="1" nd="1"/>
        <i x="293" s="1" nd="1"/>
        <i x="601" s="1" nd="1"/>
        <i x="205" s="1" nd="1"/>
        <i x="674" s="1" nd="1"/>
        <i x="138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7" s="1" nd="1"/>
        <i x="661" s="1" nd="1"/>
        <i x="371" s="1" nd="1"/>
        <i x="153" s="1" nd="1"/>
        <i x="250" s="1" nd="1"/>
        <i x="628" s="1" nd="1"/>
        <i x="736" s="1" nd="1"/>
        <i x="420" s="1" nd="1"/>
        <i x="80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5" s="1" nd="1"/>
        <i x="770" s="1" nd="1"/>
        <i x="14" s="1" nd="1"/>
        <i x="739" s="1" nd="1"/>
        <i x="392" s="1" nd="1"/>
        <i x="275" s="1" nd="1"/>
        <i x="65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2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19" s="1" nd="1"/>
        <i x="389" s="1" nd="1"/>
        <i x="87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5" s="1" nd="1"/>
        <i x="400" s="1" nd="1"/>
        <i x="113" s="1" nd="1"/>
        <i x="652" s="1" nd="1"/>
        <i x="656" s="1" nd="1"/>
        <i x="795" s="1" nd="1"/>
        <i x="695" s="1" nd="1"/>
        <i x="454" s="1" nd="1"/>
        <i x="380" s="1" nd="1"/>
        <i x="447" s="1" nd="1"/>
        <i x="158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59" s="1" nd="1"/>
        <i x="631" s="1" nd="1"/>
        <i x="530" s="1" nd="1"/>
        <i x="294" s="1" nd="1"/>
        <i x="303" s="1" nd="1"/>
        <i x="173" s="1" nd="1"/>
        <i x="100" s="1" nd="1"/>
        <i x="70" s="1" nd="1"/>
        <i x="578" s="1" nd="1"/>
        <i x="798" s="1" nd="1"/>
        <i x="32" s="1" nd="1"/>
        <i x="673" s="1" nd="1"/>
        <i x="286" s="1" nd="1"/>
        <i x="629" s="1" nd="1"/>
        <i x="264" s="1" nd="1"/>
        <i x="114" s="1" nd="1"/>
        <i x="332" s="1" nd="1"/>
        <i x="219" s="1" nd="1"/>
        <i x="509" s="1" nd="1"/>
        <i x="116" s="1" nd="1"/>
        <i x="536" s="1" nd="1"/>
        <i x="83" s="1" nd="1"/>
        <i x="602" s="1" nd="1"/>
        <i x="449" s="1" nd="1"/>
        <i x="348" s="1" nd="1"/>
        <i x="78" s="1" nd="1"/>
        <i x="582" s="1" nd="1"/>
        <i x="18" s="1" nd="1"/>
        <i x="159" s="1" nd="1"/>
        <i x="773" s="1" nd="1"/>
        <i x="579" s="1" nd="1"/>
        <i x="517" s="1" nd="1"/>
        <i x="797" s="1" nd="1"/>
        <i x="164" s="1" nd="1"/>
        <i x="826" s="1" nd="1"/>
        <i x="109" s="1" nd="1"/>
        <i x="421" s="1" nd="1"/>
        <i x="426" s="1" nd="1"/>
        <i x="10" s="1" nd="1"/>
        <i x="42" s="1" nd="1"/>
        <i x="16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1" s="1" nd="1"/>
        <i x="195" s="1" nd="1"/>
        <i x="831" s="1" nd="1"/>
        <i x="764" s="1" nd="1"/>
        <i x="508" s="1" nd="1"/>
        <i x="821" s="1" nd="1"/>
        <i x="340" s="1" nd="1"/>
        <i x="222" s="1" nd="1"/>
        <i x="64" s="1" nd="1"/>
        <i x="635" s="1" nd="1"/>
        <i x="457" s="1" nd="1"/>
        <i x="790" s="1" nd="1"/>
        <i x="703" s="1" nd="1"/>
        <i x="233" s="1" nd="1"/>
        <i x="597" s="1" nd="1"/>
        <i x="43" s="1" nd="1"/>
        <i x="843" s="1" nd="1"/>
        <i x="122" s="1" nd="1"/>
        <i x="266" s="1" nd="1"/>
        <i x="291" s="1" nd="1"/>
        <i x="353" s="1" nd="1"/>
        <i x="97" s="1" nd="1"/>
        <i x="459" s="1" nd="1"/>
        <i x="580" s="1" nd="1"/>
        <i x="352" s="1" nd="1"/>
        <i x="102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1" s="1" nd="1"/>
        <i x="805" s="1" nd="1"/>
        <i x="486" s="1" nd="1"/>
        <i x="442" s="1" nd="1"/>
        <i x="398" s="1" nd="1"/>
        <i x="608" s="1" nd="1"/>
        <i x="152" s="1" nd="1"/>
        <i x="15" s="1" nd="1"/>
        <i x="231" s="1" nd="1"/>
        <i x="240" s="1" nd="1"/>
        <i x="6" s="1" nd="1"/>
        <i x="387" s="1" nd="1"/>
        <i x="369" s="1" nd="1"/>
        <i x="615" s="1" nd="1"/>
        <i x="57" s="1" nd="1"/>
        <i x="707" s="1" nd="1"/>
        <i x="23" s="1" nd="1"/>
        <i x="36" s="1" nd="1"/>
        <i x="9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2" s="1" nd="1"/>
        <i x="666" s="1" nd="1"/>
        <i x="839" s="1" nd="1"/>
        <i x="38" s="1" nd="1"/>
        <i x="382" s="1" nd="1"/>
        <i x="589" s="1" nd="1"/>
        <i x="747" s="1" nd="1"/>
        <i x="268" s="1" nd="1"/>
        <i x="17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7" s="1" nd="1"/>
        <i x="349" s="1" nd="1"/>
        <i x="577" s="1" nd="1"/>
        <i x="160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49" s="1" nd="1"/>
        <i x="759" s="1" nd="1"/>
        <i x="690" s="1" nd="1"/>
        <i x="21" s="1" nd="1"/>
        <i x="727" s="1" nd="1"/>
        <i x="780" s="1" nd="1"/>
        <i x="639" s="1" nd="1"/>
        <i x="328" s="1" nd="1"/>
        <i x="367" s="1" nd="1"/>
        <i x="815" s="1" nd="1"/>
        <i x="776" s="1" nd="1"/>
        <i x="143" s="1" nd="1"/>
        <i x="497" s="1" nd="1"/>
        <i x="466" s="1" nd="1"/>
        <i x="139" s="1" nd="1"/>
        <i x="756" s="1" nd="1"/>
        <i x="147" s="1" nd="1"/>
        <i x="223" s="1" nd="1"/>
        <i x="720" s="1" nd="1"/>
        <i x="555" s="1" nd="1"/>
        <i x="115" s="1" nd="1"/>
        <i x="375" s="1" nd="1"/>
        <i x="718" s="1" nd="1"/>
        <i x="126" s="1" nd="1"/>
        <i x="33" s="1" nd="1"/>
        <i x="301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6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0" s="1" nd="1"/>
        <i x="572" s="1" nd="1"/>
        <i x="156" s="1" nd="1"/>
        <i x="560" s="1" nd="1"/>
        <i x="45" s="1" nd="1"/>
        <i x="723" s="1" nd="1"/>
        <i x="748" s="1" nd="1"/>
        <i x="743" s="1" nd="1"/>
        <i x="847" s="1" nd="1"/>
        <i x="123" s="1" nd="1"/>
        <i x="464" s="1" nd="1"/>
        <i x="700" s="1" nd="1"/>
        <i x="427" s="1" nd="1"/>
        <i x="362" s="1" nd="1"/>
        <i x="99" s="1" nd="1"/>
        <i x="480" s="1" nd="1"/>
        <i x="607" s="1" nd="1"/>
        <i x="715" s="1" nd="1"/>
        <i x="54" s="1" nd="1"/>
        <i x="297" s="1" nd="1"/>
        <i x="682" s="1" nd="1"/>
        <i x="134" s="1" nd="1"/>
        <i x="329" s="1" nd="1"/>
        <i x="535" s="1" nd="1"/>
        <i x="236" s="1" nd="1"/>
        <i x="557" s="1" nd="1"/>
        <i x="546" s="1" nd="1"/>
        <i x="850" s="1" nd="1"/>
        <i x="3" s="1" nd="1"/>
        <i x="271" s="1" nd="1"/>
        <i x="75" s="1" nd="1"/>
        <i x="129" s="1" nd="1"/>
        <i x="654" s="1" nd="1"/>
        <i x="721" s="1" nd="1"/>
        <i x="641" s="1" nd="1"/>
        <i x="230" s="1" nd="1"/>
        <i x="372" s="1" nd="1"/>
        <i x="735" s="1" nd="1"/>
        <i x="131" s="1" nd="1"/>
        <i x="85" s="1" nd="1"/>
        <i x="208" s="1" nd="1"/>
        <i x="681" s="1" nd="1"/>
        <i x="274" s="1" nd="1"/>
        <i x="471" s="1" nd="1"/>
        <i x="799" s="1" nd="1"/>
        <i x="216" s="1" nd="1"/>
        <i x="827" s="1" nd="1"/>
        <i x="69" s="1" nd="1"/>
        <i x="117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6" s="1" nd="1"/>
        <i x="361" s="1" nd="1"/>
        <i x="262" s="1" nd="1"/>
        <i x="290" s="1" nd="1"/>
        <i x="540" s="1" nd="1"/>
        <i x="810" s="1" nd="1"/>
        <i x="603" s="1" nd="1"/>
        <i x="31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50" s="1" nd="1"/>
        <i x="605" s="1" nd="1"/>
        <i x="325" s="1" nd="1"/>
        <i x="34" s="1" nd="1"/>
        <i x="495" s="1" nd="1"/>
        <i x="506" s="1" nd="1"/>
        <i x="446" s="1" nd="1"/>
        <i x="165" s="1" nd="1"/>
        <i x="132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4" s="1" nd="1"/>
        <i x="669" s="1" nd="1"/>
        <i x="93" s="1" nd="1"/>
        <i x="439" s="1" nd="1"/>
        <i x="350" s="1" nd="1"/>
        <i x="784" s="1" nd="1"/>
        <i x="498" s="1" nd="1"/>
        <i x="61" s="1" nd="1"/>
        <i x="455" s="1" nd="1"/>
        <i x="82" s="1" nd="1"/>
        <i x="324" s="1" nd="1"/>
        <i x="167" s="1" nd="1"/>
        <i x="331" s="1" nd="1"/>
        <i x="564" s="1" nd="1"/>
        <i x="503" s="1" nd="1"/>
        <i x="227" s="1" nd="1"/>
        <i x="280" s="1" nd="1"/>
        <i x="92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3" s="1" nd="1"/>
        <i x="717" s="1" nd="1"/>
        <i x="110" s="1" nd="1"/>
        <i x="253" s="1" nd="1"/>
        <i x="511" s="1" nd="1"/>
        <i x="94" s="1" nd="1"/>
        <i x="522" s="1" nd="1"/>
        <i x="789" s="1" nd="1"/>
        <i x="19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1" s="1" nd="1"/>
        <i x="141" s="1" nd="1"/>
        <i x="651" s="1" nd="1"/>
        <i x="604" s="1" nd="1"/>
        <i x="440" s="1" nd="1"/>
        <i x="22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2" s="1" nd="1"/>
        <i x="77" s="1" nd="1"/>
        <i x="528" s="1" nd="1"/>
        <i x="566" s="1" nd="1"/>
        <i x="687" s="1" nd="1"/>
        <i x="279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7" s="1" nd="1"/>
        <i x="234" s="1" nd="1"/>
        <i x="358" s="1" nd="1"/>
        <i x="259" s="1" nd="1"/>
        <i x="363" s="1" nd="1"/>
        <i x="500" s="1" nd="1"/>
        <i x="145" s="1" nd="1"/>
        <i x="169" s="1" nd="1"/>
        <i x="584" s="1" nd="1"/>
        <i x="803" s="1" nd="1"/>
        <i x="791" s="1" nd="1"/>
        <i x="199" s="1" nd="1"/>
        <i x="150" s="1" nd="1"/>
        <i x="235" s="1" nd="1"/>
        <i x="502" s="1" nd="1"/>
        <i x="786" s="1" nd="1"/>
        <i x="258" s="1" nd="1"/>
        <i x="752" s="1" nd="1"/>
        <i x="127" s="1" nd="1"/>
        <i x="210" s="1" nd="1"/>
        <i x="833" s="1" nd="1"/>
        <i x="585" s="1" nd="1"/>
        <i x="796" s="1" nd="1"/>
        <i x="726" s="1" nd="1"/>
        <i x="411" s="1" nd="1"/>
        <i x="25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3" s="1" nd="1"/>
        <i x="86" s="1" nd="1"/>
        <i x="754" s="1" nd="1"/>
        <i x="154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5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4" s="1" nd="1"/>
        <i x="151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79" s="1" nd="1"/>
        <i x="51" s="1" nd="1"/>
        <i x="851" s="1" nd="1"/>
        <i x="29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3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1" s="1" nd="1"/>
        <i x="646" s="1" nd="1"/>
        <i x="48" s="1" nd="1"/>
        <i x="415" s="1" nd="1"/>
        <i x="144" s="1" nd="1"/>
        <i x="728" s="1" nd="1"/>
        <i x="163" s="1" nd="1"/>
        <i x="345" s="1" nd="1"/>
        <i x="118" s="1" nd="1"/>
        <i x="289" s="1" nd="1"/>
        <i x="198" s="1" nd="1"/>
        <i x="204" s="1" nd="1"/>
        <i x="88" s="1" nd="1"/>
        <i x="27" s="1" nd="1"/>
        <i x="277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3" s="1" nd="1"/>
        <i x="423" s="1" nd="1"/>
        <i x="26" s="1" nd="1"/>
        <i x="765" s="1" nd="1"/>
        <i x="413" s="1" nd="1"/>
        <i x="552" s="1" nd="1"/>
        <i x="96" s="1" nd="1"/>
        <i x="84" s="1" nd="1"/>
        <i x="292" s="1" nd="1"/>
        <i x="194" s="1" nd="1"/>
        <i x="496" s="1" nd="1"/>
        <i x="261" s="1" nd="1"/>
        <i x="30" s="1" nd="1"/>
        <i x="104" s="1" nd="1"/>
        <i x="533" s="1" nd="1"/>
        <i x="296" s="1" nd="1"/>
        <i x="396" s="1" nd="1"/>
        <i x="228" s="1" nd="1"/>
        <i x="8" s="1" nd="1"/>
        <i x="472" s="1" nd="1"/>
        <i x="824" s="1" nd="1"/>
        <i x="35" s="1" nd="1"/>
        <i x="310" s="1" nd="1"/>
        <i x="825" s="1" nd="1"/>
        <i x="562" s="1" nd="1"/>
        <i x="62" s="1" nd="1"/>
        <i x="568" s="1" nd="1"/>
        <i x="430" s="1" nd="1"/>
        <i x="425" s="1" nd="1"/>
        <i x="175" s="1" nd="1"/>
        <i x="365" s="1" nd="1"/>
        <i x="758" s="1" nd="1"/>
        <i x="600" s="1" nd="1"/>
        <i x="13" s="1" nd="1"/>
        <i x="91" s="1" nd="1"/>
        <i x="437" s="1" nd="1"/>
        <i x="433" s="1" nd="1"/>
        <i x="120" s="1" nd="1"/>
        <i x="630" s="1" nd="1"/>
        <i x="200" s="1" nd="1"/>
        <i x="155" s="1" nd="1"/>
        <i x="55" s="1" nd="1"/>
        <i x="547" s="1" nd="1"/>
        <i x="618" s="1" nd="1"/>
        <i x="98" s="1" nd="1"/>
        <i x="766" s="1" nd="1"/>
        <i x="125" s="1" nd="1"/>
        <i x="217" s="1" nd="1"/>
        <i x="811" s="1" nd="1"/>
        <i x="278" s="1" nd="1"/>
        <i x="106" s="1" nd="1"/>
        <i x="197" s="1" nd="1"/>
        <i x="213" s="1" nd="1"/>
        <i x="180" s="1" nd="1"/>
        <i x="73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6" s="1" nd="1"/>
        <i x="128" s="1" nd="1"/>
        <i x="4" s="1" nd="1"/>
        <i x="49" s="1" nd="1"/>
        <i x="89" s="1" nd="1"/>
        <i x="201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3" s="1" nd="1"/>
        <i x="6" s="1" nd="1"/>
        <i x="22" s="1" nd="1"/>
        <i x="21" s="1" nd="1"/>
        <i x="12" s="1" nd="1"/>
        <i x="18" s="1" nd="1"/>
        <i x="20" s="1" nd="1"/>
        <i x="3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5" totalsRowShown="0" headerRowDxfId="92" dataDxfId="90" headerRowBorderDxfId="91" tableBorderDxfId="89" totalsRowBorderDxfId="88">
  <autoFilter ref="A1:D395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305010</v>
      </c>
      <c r="B2" s="12" t="s">
        <v>616</v>
      </c>
      <c r="C2" s="14">
        <v>46303</v>
      </c>
      <c r="D2" s="14">
        <v>46304</v>
      </c>
      <c r="E2" s="12"/>
      <c r="F2" s="15" t="s">
        <v>617</v>
      </c>
      <c r="G2" s="15" t="s">
        <v>618</v>
      </c>
      <c r="H2" s="15" t="s">
        <v>619</v>
      </c>
      <c r="I2" s="16">
        <v>4834.12</v>
      </c>
      <c r="J2" s="15" t="s">
        <v>620</v>
      </c>
      <c r="K2" s="15" t="s">
        <v>621</v>
      </c>
      <c r="L2" s="15" t="s">
        <v>622</v>
      </c>
      <c r="M2" s="15">
        <v>312.86</v>
      </c>
      <c r="N2" s="15">
        <v>18</v>
      </c>
      <c r="O2" s="16">
        <v>364.39</v>
      </c>
      <c r="P2" s="15" t="s">
        <v>623</v>
      </c>
      <c r="Q2" s="15">
        <v>26.12</v>
      </c>
      <c r="R2" s="15" t="s">
        <v>624</v>
      </c>
      <c r="S2" s="15">
        <v>4000</v>
      </c>
      <c r="T2" s="15" t="s">
        <v>625</v>
      </c>
      <c r="U2" s="15">
        <v>0</v>
      </c>
      <c r="V2" s="15">
        <v>37.54</v>
      </c>
      <c r="W2" s="15">
        <v>0</v>
      </c>
      <c r="X2" s="15">
        <v>0</v>
      </c>
      <c r="Y2" s="15">
        <v>2.42</v>
      </c>
      <c r="Z2" s="15">
        <v>0</v>
      </c>
      <c r="AA2" s="15">
        <v>901.55</v>
      </c>
      <c r="AB2" s="15">
        <v>-588.69000000000005</v>
      </c>
      <c r="AC2" s="15">
        <v>81.34</v>
      </c>
      <c r="AD2" s="15">
        <v>-670.03</v>
      </c>
      <c r="AE2" s="15">
        <v>0</v>
      </c>
      <c r="AF2" s="15">
        <v>-670.03</v>
      </c>
      <c r="AG2" s="17">
        <v>-2.1415999999999999</v>
      </c>
      <c r="AH2" s="15"/>
    </row>
    <row r="3" spans="1:34" s="1" customFormat="1" ht="12" customHeight="1" x14ac:dyDescent="0.3">
      <c r="A3" s="13">
        <v>305246</v>
      </c>
      <c r="B3" s="12" t="s">
        <v>616</v>
      </c>
      <c r="C3" s="14">
        <v>46305</v>
      </c>
      <c r="D3" s="14">
        <v>46305</v>
      </c>
      <c r="E3" s="12"/>
      <c r="F3" s="15" t="s">
        <v>626</v>
      </c>
      <c r="G3" s="15" t="s">
        <v>627</v>
      </c>
      <c r="H3" s="15" t="s">
        <v>619</v>
      </c>
      <c r="I3" s="16">
        <v>250529.47</v>
      </c>
      <c r="J3" s="15" t="s">
        <v>628</v>
      </c>
      <c r="K3" s="15" t="s">
        <v>621</v>
      </c>
      <c r="L3" s="15" t="s">
        <v>629</v>
      </c>
      <c r="M3" s="16">
        <v>6590.48</v>
      </c>
      <c r="N3" s="15">
        <v>472</v>
      </c>
      <c r="O3" s="16">
        <v>1571.6</v>
      </c>
      <c r="P3" s="15" t="s">
        <v>630</v>
      </c>
      <c r="Q3" s="15">
        <v>366.74</v>
      </c>
      <c r="R3" s="15" t="s">
        <v>631</v>
      </c>
      <c r="S3" s="15">
        <v>0</v>
      </c>
      <c r="T3" s="15" t="s">
        <v>625</v>
      </c>
      <c r="U3" s="15">
        <v>0</v>
      </c>
      <c r="V3" s="15">
        <v>790.86</v>
      </c>
      <c r="W3" s="15">
        <v>0</v>
      </c>
      <c r="X3" s="15">
        <v>0</v>
      </c>
      <c r="Y3" s="15">
        <v>125.26</v>
      </c>
      <c r="Z3" s="15">
        <v>0</v>
      </c>
      <c r="AA3" s="16">
        <v>4529.99</v>
      </c>
      <c r="AB3" s="16">
        <v>2060.4899999999998</v>
      </c>
      <c r="AC3" s="15">
        <v>1713.52</v>
      </c>
      <c r="AD3" s="15">
        <v>346.97</v>
      </c>
      <c r="AE3" s="15">
        <v>0</v>
      </c>
      <c r="AF3" s="15">
        <v>346.97</v>
      </c>
      <c r="AG3" s="17">
        <v>5.2600000000000001E-2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6903.3399999999992</v>
      </c>
      <c r="F3" s="89"/>
      <c r="G3" s="90"/>
      <c r="H3" s="133">
        <f>'Resumo Detalhado'!C2</f>
        <v>1935.9899999999998</v>
      </c>
      <c r="I3" s="134"/>
      <c r="J3" s="135">
        <f>E3/H3</f>
        <v>3.5657932117417963</v>
      </c>
      <c r="K3" s="136"/>
      <c r="L3" s="137"/>
      <c r="M3" s="138" t="s">
        <v>60</v>
      </c>
      <c r="N3" s="89"/>
      <c r="O3" s="90"/>
      <c r="P3" s="106">
        <v>6000</v>
      </c>
      <c r="Q3" s="107"/>
      <c r="R3" s="108"/>
      <c r="S3" s="103">
        <f>MIN(H3/P3,1)</f>
        <v>0.32266499999999998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4392.8599999999997</v>
      </c>
      <c r="F7" s="112"/>
      <c r="G7" s="112"/>
      <c r="H7" s="112"/>
      <c r="I7" s="112"/>
      <c r="J7" s="112">
        <f>E7/H3</f>
        <v>2.269050976502978</v>
      </c>
      <c r="K7" s="112"/>
      <c r="L7" s="112"/>
      <c r="M7" s="130">
        <f>E7/E3</f>
        <v>0.63633835215996892</v>
      </c>
      <c r="N7" s="130"/>
      <c r="O7" s="130"/>
      <c r="P7" s="112">
        <f>E11+K11+Q11+E15+K15+Q15+E19+H19+K19</f>
        <v>7005.7415999999994</v>
      </c>
      <c r="Q7" s="112"/>
      <c r="R7" s="112"/>
      <c r="S7" s="112">
        <f>P7/H3</f>
        <v>3.6186868733826105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4000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4000</v>
      </c>
      <c r="L11" s="90"/>
      <c r="M11" s="38"/>
      <c r="N11" s="88">
        <f>K11/H3</f>
        <v>2.0661263746197038</v>
      </c>
      <c r="O11" s="90"/>
      <c r="P11" s="38"/>
      <c r="Q11" s="88">
        <f>'Resumo Detalhado'!D2</f>
        <v>392.86</v>
      </c>
      <c r="R11" s="90"/>
      <c r="S11" s="38"/>
      <c r="T11" s="88">
        <f>Q11/H3</f>
        <v>0.20292460188327421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828.4</v>
      </c>
      <c r="F15" s="119"/>
      <c r="G15" s="119"/>
      <c r="H15" s="119"/>
      <c r="I15" s="132"/>
      <c r="J15" s="38"/>
      <c r="K15" s="113">
        <f>'Resumo Detalhado'!K2+'Resumo Detalhado'!L2</f>
        <v>1104.5344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127.68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552.2672</v>
      </c>
      <c r="L19" s="123"/>
      <c r="M19" s="38"/>
      <c r="N19" s="121" t="s">
        <v>632</v>
      </c>
      <c r="O19" s="119"/>
      <c r="P19" s="119"/>
      <c r="Q19" s="119"/>
      <c r="R19" s="120"/>
      <c r="S19" s="121">
        <v>3800</v>
      </c>
      <c r="T19" s="119"/>
      <c r="U19" s="120"/>
      <c r="V19" s="36"/>
      <c r="W19" s="94" t="str">
        <f>IF(D11=S19,"NO TARGET",IF(D11&lt;S19,"ABAIXO DO TARGET",IF(D11&gt;S19,"FORA DO TARGET")))</f>
        <v>FORA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1002.1327999999994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0.14516636874324595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10.554687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633</v>
      </c>
      <c r="F1" s="29"/>
    </row>
    <row r="2" spans="1:18" x14ac:dyDescent="0.3">
      <c r="B2" s="29">
        <f>SUM(B6:B5000)</f>
        <v>6903.3399999999992</v>
      </c>
      <c r="C2" s="29">
        <f>SUM(C6:C5000)</f>
        <v>1935.9899999999998</v>
      </c>
      <c r="D2" s="29">
        <f>SUM(D6:D5000)</f>
        <v>392.86</v>
      </c>
      <c r="E2" s="29">
        <f>SUM(E6:E5000)</f>
        <v>4000</v>
      </c>
      <c r="F2" s="29">
        <f>SUM(F6:F5000)</f>
        <v>0</v>
      </c>
      <c r="G2" s="29"/>
      <c r="H2" s="29">
        <f t="shared" ref="H2:P2" si="0">SUM(H6:H5000)</f>
        <v>828.4</v>
      </c>
      <c r="I2" s="29">
        <f t="shared" si="0"/>
        <v>127.68</v>
      </c>
      <c r="J2" s="29">
        <f t="shared" si="0"/>
        <v>0</v>
      </c>
      <c r="K2" s="29">
        <f t="shared" si="0"/>
        <v>552.2672</v>
      </c>
      <c r="L2" s="29">
        <f t="shared" si="0"/>
        <v>552.2672</v>
      </c>
      <c r="M2" s="29">
        <f t="shared" si="0"/>
        <v>0</v>
      </c>
      <c r="N2" s="29">
        <f t="shared" si="0"/>
        <v>1002.1327999999994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627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305246</v>
      </c>
      <c r="B6" s="140">
        <v>6590.48</v>
      </c>
      <c r="C6" s="141">
        <v>1571.6</v>
      </c>
      <c r="D6" s="140">
        <v>366.74</v>
      </c>
      <c r="E6" s="140">
        <v>0</v>
      </c>
      <c r="F6" s="140">
        <v>0</v>
      </c>
      <c r="G6" s="142">
        <v>5.5646933152061769E-2</v>
      </c>
      <c r="H6" s="140">
        <v>790.86</v>
      </c>
      <c r="I6" s="140">
        <v>125.26</v>
      </c>
      <c r="J6" s="140">
        <v>0</v>
      </c>
      <c r="K6" s="140">
        <v>527.23839999999996</v>
      </c>
      <c r="L6" s="140">
        <v>527.23839999999996</v>
      </c>
      <c r="M6" s="140">
        <v>0</v>
      </c>
      <c r="N6" s="140">
        <v>4780.3815999999997</v>
      </c>
      <c r="O6" s="142">
        <v>0.72534649979971111</v>
      </c>
      <c r="Q6"/>
    </row>
    <row r="7" spans="1:18" s="31" customFormat="1" x14ac:dyDescent="0.3">
      <c r="A7" s="139" t="s">
        <v>618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305010</v>
      </c>
      <c r="B8" s="140">
        <v>312.86</v>
      </c>
      <c r="C8" s="141">
        <v>364.39</v>
      </c>
      <c r="D8" s="140">
        <v>26.12</v>
      </c>
      <c r="E8" s="140">
        <v>4000</v>
      </c>
      <c r="F8" s="140">
        <v>0</v>
      </c>
      <c r="G8" s="142">
        <v>12.868759189413794</v>
      </c>
      <c r="H8" s="140">
        <v>37.54</v>
      </c>
      <c r="I8" s="140">
        <v>2.42</v>
      </c>
      <c r="J8" s="140">
        <v>0</v>
      </c>
      <c r="K8" s="140">
        <v>25.0288</v>
      </c>
      <c r="L8" s="140">
        <v>25.0288</v>
      </c>
      <c r="M8" s="140">
        <v>0</v>
      </c>
      <c r="N8" s="140">
        <v>-3778.2488000000003</v>
      </c>
      <c r="O8" s="142">
        <v>-12.076484050373969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109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633</v>
      </c>
    </row>
    <row r="2" spans="1:4" x14ac:dyDescent="0.3">
      <c r="B2" s="29">
        <f>SUM(B6:B5000)</f>
        <v>312.86</v>
      </c>
      <c r="C2" s="29">
        <f>SUM(C6:C5000)</f>
        <v>-3778.2488000000003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627</v>
      </c>
      <c r="B5" s="10">
        <v>6590.48</v>
      </c>
      <c r="C5" s="10">
        <v>4780.3815999999997</v>
      </c>
    </row>
    <row r="6" spans="1:4" x14ac:dyDescent="0.3">
      <c r="A6" s="139" t="s">
        <v>618</v>
      </c>
      <c r="B6" s="140">
        <v>312.86</v>
      </c>
      <c r="C6" s="140">
        <v>-3778.2488000000003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5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  <row r="395" spans="1:4" x14ac:dyDescent="0.3">
      <c r="A395" s="81"/>
      <c r="B395" s="68"/>
      <c r="C395" s="143" t="s">
        <v>632</v>
      </c>
      <c r="D395" s="87">
        <v>3800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2026-10-15T16:56:31Z</dcterms:modified>
  <cp:category/>
  <cp:contentStatus/>
</cp:coreProperties>
</file>