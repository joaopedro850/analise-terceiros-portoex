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D96382C-E616-405F-AB71-8A97914DFE5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<sst xmlns="http://schemas.openxmlformats.org/spreadsheetml/2006/main" count="857" uniqueCount="591">
  <si>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</si>
  <si>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</si>
  <si>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</si>
  <si>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</si>
  <si>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</si>
  <si>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</si>
  <si>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</si>
  <si>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</si>
  <si>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</si>
  <si>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</si>
  <si>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</si>
  <si>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</si>
  <si>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</si>
  <si>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</si>
  <si>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</si>
  <si>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</si>
  <si>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</si>
  <si>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</si>
  <si>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</si>
  <si>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</si>
  <si>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</si>
  <si>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</si>
  <si>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</si>
  <si>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</si>
  <si>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</si>
  <si>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</si>
  <si>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</si>
  <si>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</si>
  <si>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</si>
  <si>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</si>
  <si>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</si>
  <si>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</si>
  <si>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</si>
  <si>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</si>
  <si>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</si>
  <si>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</si>
  <si>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</si>
  <si>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</si>
  <si>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</si>
  <si>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</si>
  <si>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</si>
  <si>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</si>
  <si>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</si>
  <si>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</si>
  <si>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</si>
  <si>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</si>
  <si>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</si>
  <si>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</si>
  <si>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</si>
  <si>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</si>
  <si>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</si>
  <si>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</si>
  <si>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</si>
  <si>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</si>
  <si>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</si>
  <si>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</si>
  <si>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</si>
  <si>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</si>
  <si>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</si>
  <si>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</si>
  <si>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</si>
  <si>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</si>
  <si>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</si>
  <si>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</si>
  <si>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</si>
  <si>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</si>
  <si>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</si>
  <si>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</si>
  <si>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</si>
  <si>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</si>
  <si>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</si>
  <si>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</si>
  <si>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</si>
  <si>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</si>
  <si>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</si>
  <si>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</si>
  <si>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</si>
  <si>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</si>
  <si>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</si>
  <si>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</si>
  <si>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</si>
  <si>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</si>
  <si>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</si>
  <si>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</si>
  <si>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</si>
  <si>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</si>
  <si>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</si>
  <si>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</si>
  <si>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</si>
  <si>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</si>
  <si>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</si>
  <si>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</si>
  <si>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</si>
  <si>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</si>
  <si>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</si>
  <si>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</si>
  <si>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</si>
  <si>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</si>
  <si>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</si>
  <si>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</si>
  <si>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</si>
  <si>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</si>
  <si>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</si>
  <si>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</si>
  <si>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</si>
  <si>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</si>
  <si>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</si>
  <si>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</si>
  <si>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</si>
  <si>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</si>
  <si>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</si>
  <si>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</si>
  <si>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</si>
  <si>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</si>
  <si>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</si>
  <si>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</si>
  <si>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</si>
  <si>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</si>
  <si>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</si>
  <si>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</si>
  <si>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</si>
  <si>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</si>
  <si>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</si>
  <si>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</si>
  <si>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</si>
  <si>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</si>
  <si>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</si>
  <si>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</si>
  <si>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</si>
  <si>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</si>
  <si>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</si>
  <si>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</si>
  <si>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</si>
  <si>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</si>
  <si>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</si>
  <si>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</si>
  <si>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</si>
  <si>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</si>
  <si>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</si>
  <si>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</si>
  <si>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</si>
  <si>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</si>
  <si>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</si>
  <si>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</si>
  <si>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</si>
  <si>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</si>
  <si>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</si>
  <si>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</si>
  <si>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</si>
  <si>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</si>
  <si>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</si>
  <si>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</si>
  <si>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</si>
  <si>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</si>
  <si>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</si>
  <si>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</si>
  <si>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</si>
  <si>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</si>
  <si>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</si>
  <si>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</si>
  <si>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</si>
  <si>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</si>
  <si>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</si>
  <si>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</si>
  <si>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</si>
  <si>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</si>
  <si>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</si>
  <si>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</si>
  <si>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</si>
  <si>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</si>
  <si>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</si>
  <si>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</si>
  <si>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</si>
  <si>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</si>
  <si>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</si>
  <si>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</si>
  <si>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</si>
  <si>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</si>
  <si>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</si>
  <si>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</si>
  <si>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</si>
  <si>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</si>
  <si>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</si>
  <si>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</si>
  <si>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</si>
  <si>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</si>
  <si>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</si>
  <si>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</si>
  <si>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</si>
  <si>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</si>
  <si>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</si>
  <si>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</si>
  <si>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</si>
  <si>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</si>
  <si>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</si>
  <si>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</si>
  <si>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</si>
  <si>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</si>
  <si>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</si>
  <si>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</si>
  <si>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</si>
  <si>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</si>
  <si>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</si>
  <si>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</si>
  <si>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</si>
  <si>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</si>
  <si>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</si>
  <si>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</si>
  <si>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</si>
  <si>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</si>
  <si>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</si>
  <si>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</si>
  <si>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</si>
  <si>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</si>
  <si>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</si>
  <si>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</si>
  <si>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</si>
  <si>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</si>
  <si>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</si>
  <si>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</si>
  <si>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</si>
  <si>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</si>
  <si>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</si>
  <si>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</si>
  <si>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</si>
  <si>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</si>
  <si>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</si>
  <si>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</si>
  <si>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</si>
  <si>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</si>
  <si>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</si>
  <si>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</si>
  <si>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</si>
  <si>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</si>
  <si>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</si>
  <si>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</si>
  <si>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</si>
  <si>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</si>
  <si>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</si>
  <si>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</si>
  <si>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</si>
  <si>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</si>
  <si>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</si>
  <si>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</si>
  <si>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</si>
  <si>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</si>
  <si>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</si>
  <si>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</si>
  <si>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</si>
  <si>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</si>
  <si>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</si>
  <si>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</si>
  <si>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</si>
  <si>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</si>
  <si>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</si>
  <si>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</si>
  <si>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</si>
  <si>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</si>
  <si>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</si>
  <si>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</si>
  <si>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</si>
  <si>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</si>
  <si>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</si>
  <si>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</si>
  <si>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</si>
  <si>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</si>
  <si>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</si>
  <si>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</si>
  <si>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</si>
  <si>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</si>
  <si>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</si>
  <si>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</si>
  <si>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</si>
  <si>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</si>
  <si>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</si>
  <si>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</si>
  <si>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</si>
  <si>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</si>
  <si>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</si>
  <si>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</si>
  <si>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</si>
  <si>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</si>
  <si>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</si>
  <si>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</si>
  <si>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</si>
  <si>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</si>
  <si>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</si>
  <si>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</si>
  <si>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</si>
  <si>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</si>
  <si>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</si>
  <si>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</si>
  <si>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</si>
  <si>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</si>
  <si>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</si>
  <si>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</si>
  <si>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</si>
  <si>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</si>
  <si>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</si>
  <si>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</si>
  <si>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</si>
  <si>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</si>
  <si>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</si>
  <si>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</si>
  <si>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</si>
  <si>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</si>
  <si>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</si>
  <si>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</si>
  <si>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</si>
  <si>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</si>
  <si>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</si>
  <si>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</si>
  <si>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</si>
  <si>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</si>
  <si>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</si>
  <si>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</si>
  <si>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</si>
  <si>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</si>
  <si>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</si>
  <si>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</si>
  <si>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</si>
  <si>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</si>
  <si>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</si>
  <si>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</si>
  <si>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</si>
  <si>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</si>
  <si>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</si>
  <si>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</si>
  <si>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</si>
  <si>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</si>
  <si>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</si>
  <si>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</si>
  <si>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</si>
  <si>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</si>
  <si>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</si>
  <si>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</si>
  <si>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</si>
  <si>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</si>
  <si>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</si>
  <si>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</si>
  <si>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</si>
  <si>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</si>
  <si>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</si>
  <si>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</si>
  <si>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</si>
  <si>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</si>
  <si>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</si>
  <si>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</si>
  <si>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</si>
  <si>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</si>
  <si>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</si>
  <si>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</si>
  <si>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</si>
  <si>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</si>
  <si>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</si>
  <si>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</si>
  <si>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</si>
  <si>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</si>
  <si>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</si>
  <si>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</si>
  <si>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</si>
  <si>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</si>
  <si>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</si>
  <si>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</si>
  <si>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</si>
  <si>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</si>
  <si>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</si>
  <si>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</si>
  <si>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</si>
  <si>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</si>
  <si>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</si>
  <si>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</si>
  <si>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</si>
  <si>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</si>
  <si>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</si>
  <si>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</si>
  <si>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</si>
  <si>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</si>
  <si>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</si>
  <si>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</si>
  <si>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</si>
  <si>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</si>
  <si>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</si>
  <si>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</si>
  <si>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</si>
  <si>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</si>
  <si>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</si>
  <si>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</si>
  <si>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</si>
  <si>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</si>
  <si>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</si>
  <si>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</si>
  <si>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</si>
  <si>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</si>
  <si>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</si>
  <si>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</si>
  <si>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</si>
  <si>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</si>
  <si>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</si>
  <si>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</si>
  <si>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</si>
  <si>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</si>
  <si>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</si>
  <si>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</si>
  <si>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</si>
  <si>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</si>
  <si>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</si>
  <si>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</si>
  <si>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</si>
  <si>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</si>
  <si>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</si>
  <si>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</si>
  <si>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</si>
  <si>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</si>
  <si>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</si>
  <si>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</si>
  <si>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</si>
  <si>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</si>
  <si>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</si>
  <si>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</si>
  <si>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</si>
  <si>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</si>
  <si>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</si>
  <si>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</si>
  <si>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</si>
  <si>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</si>
  <si>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</si>
  <si>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</si>
  <si>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</si>
  <si>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</si>
  <si>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</si>
  <si>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</si>
  <si>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</si>
  <si>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</si>
  <si>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</si>
  <si>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</si>
  <si>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</si>
  <si>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</si>
  <si>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</si>
  <si>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</si>
  <si>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</si>
  <si>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</si>
  <si>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</si>
  <si>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</si>
  <si>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</si>
  <si>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</si>
  <si>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</si>
  <si>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</si>
  <si>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</si>
  <si>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</si>
  <si>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</si>
  <si>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</si>
  <si>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</si>
  <si>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</si>
  <si>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</si>
  <si>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</si>
  <si>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</si>
  <si>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</si>
  <si>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</si>
  <si>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</si>
  <si>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</si>
  <si>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</si>
  <si>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</si>
  <si>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</si>
  <si>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</si>
  <si>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</si>
  <si>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</si>
  <si>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</si>
  <si>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</si>
  <si>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</si>
  <si>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</si>
  <si>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</si>
  <si>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</si>
  <si>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</si>
  <si>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</si>
  <si>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</si>
  <si>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</si>
  <si>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</si>
  <si>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</si>
  <si>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</si>
  <si>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</si>
  <si>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</si>
  <si>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</si>
  <si>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</si>
  <si>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</si>
  <si>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</si>
  <si>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</si>
  <si>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</si>
  <si>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</si>
  <si>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</si>
  <si>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</si>
  <si>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</si>
  <si>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</si>
  <si>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</si>
  <si>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</si>
  <si>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</si>
  <si>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</si>
  <si>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</si>
  <si>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</si>
  <si>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</si>
  <si>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</si>
  <si>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</si>
  <si>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</si>
  <si>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</si>
  <si>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</si>
  <si>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</si>
  <si>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</si>
  <si>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</si>
  <si>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</si>
  <si>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</si>
  <si>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</si>
  <si>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</si>
  <si>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</si>
  <si>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</si>
  <si>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</si>
  <si>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</si>
  <si>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</si>
  <si>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</si>
  <si>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</si>
  <si>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</si>
  <si>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</si>
  <si>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</si>
  <si>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</si>
  <si>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</si>
  <si>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</si>
  <si>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</si>
  <si>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</si>
  <si>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</si>
  <si>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</si>
  <si>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</si>
  <si>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</si>
  <si>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</si>
  <si>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</si>
  <si>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</si>
  <si>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</si>
  <si>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</si>
  <si>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</si>
  <si>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</si>
  <si>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</si>
  <si>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</si>
  <si>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</si>
  <si>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</si>
  <si>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</si>
  <si>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</si>
  <si>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</si>
  <si>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</si>
  <si>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</si>
  <si>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</si>
  <si>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</si>
  <si>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</si>
  <si>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</si>
  <si>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</si>
  <si>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</si>
  <si>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</si>
  <si>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</si>
  <si>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</si>
  <si>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</si>
  <si>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</si>
  <si>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</si>
  <si>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</si>
  <si>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</si>
  <si>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</si>
  <si>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</si>
  <si>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</si>
  <si>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</si>
  <si>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</si>
  <si>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</si>
  <si>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</si>
  <si>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</si>
  <si>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</si>
  <si>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</si>
  <si>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</si>
  <si>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</si>
  <si>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</si>
  <si>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</si>
  <si>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</si>
  <si>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</si>
  <si>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</si>
  <si>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</si>
  <si>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</si>
  <si>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1888-6</t>
  </si>
  <si>
    <t>MATTEL DO BRASI</t>
  </si>
  <si>
    <t>MARLON MARQUES</t>
  </si>
  <si>
    <t>EXPRESSO_250</t>
  </si>
  <si>
    <t>CTE NORMAL</t>
  </si>
  <si>
    <t>RIBEIRAO DAS NEVES - MG</t>
  </si>
  <si>
    <t>ROBSON VICENTE</t>
  </si>
  <si>
    <t>MARCOS VM TRANSPORTES LTD</t>
  </si>
  <si>
    <t>CONCEPT CARGO</t>
  </si>
  <si>
    <t>Belo Horizonte-Mg X Ribeirao Das Neves-Mgcarreta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</si>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</sst>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[Analise_ALYSSON_27082026.xlsx]Resumo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5516.89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2090.6476000000011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[Analise_ALYSSON_27082026.xlsx]Resumo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5516.89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2090.6476000000011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6.60639826388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5513" count="8000">
        <n v="29551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7T00:00:00" maxDate="2026-08-08T00:00:00"/>
    </cacheField>
    <cacheField name="DATA" numFmtId="14">
      <sharedItems containsNonDate="0" containsDate="1" containsString="0" containsBlank="1" minDate="2026-08-07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52895.34" maxValue="152895.34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516.89" maxValue="5516.89"/>
    </cacheField>
    <cacheField name="VOLUMES" numFmtId="0">
      <sharedItems containsString="0" containsBlank="1" containsNumber="1" containsInteger="1" minValue="483" maxValue="483"/>
    </cacheField>
    <cacheField name="PESO" numFmtId="0">
      <sharedItems containsString="0" containsBlank="1" containsNumber="1" minValue="976.83" maxValue="976.83"/>
    </cacheField>
    <cacheField name="RESP. COLETA" numFmtId="0">
      <sharedItems containsBlank="1"/>
    </cacheField>
    <cacheField name="CUSTO COLETA" numFmtId="0">
      <sharedItems containsString="0" containsBlank="1" containsNumber="1" minValue="30.9" maxValue="30.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500" maxValue="1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662.03" maxValue="662.0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76.45" maxValue="76.45"/>
    </cacheField>
    <cacheField name="OUTROS" numFmtId="0">
      <sharedItems containsString="0" containsBlank="1" containsNumber="1" minValue="274.16000000000003" maxValue="274.16000000000003"/>
    </cacheField>
    <cacheField name="C.TOTAL" numFmtId="0">
      <sharedItems containsString="0" containsBlank="1" containsNumber="1" minValue="3995.76" maxValue="3995.76"/>
    </cacheField>
    <cacheField name="RECEITA" numFmtId="0">
      <sharedItems containsString="0" containsBlank="1" containsNumber="1" minValue="1521.13" maxValue="1521.13"/>
    </cacheField>
    <cacheField name="IMPOSTO" numFmtId="0">
      <sharedItems containsString="0" containsBlank="1" containsNumber="1" minValue="1434.39" maxValue="1434.39"/>
    </cacheField>
    <cacheField name="RESULTADO" numFmtId="0">
      <sharedItems containsString="0" containsBlank="1" containsNumber="1" minValue="86.74" maxValue="86.7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86.74" maxValue="86.74"/>
    </cacheField>
    <cacheField name="MARGEM" numFmtId="10">
      <sharedItems containsString="0" containsBlank="1" containsNumber="1" minValue="1.5700000000000002E-2" maxValue="1.570000000000000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7T00:00:00"/>
    <d v="2026-08-07T00:00:00"/>
    <m/>
    <s v="1888-6"/>
    <x v="0"/>
    <s v="MARLON MARQUES"/>
    <n v="152895.34"/>
    <x v="0"/>
    <s v="CTE NORMAL"/>
    <s v="RIBEIRAO DAS NEVES - MG"/>
    <n v="5516.89"/>
    <n v="483"/>
    <n v="976.83"/>
    <s v="ROBSON VICENTE"/>
    <n v="30.9"/>
    <s v="MARCOS VM TRANSPORTES LTD"/>
    <n v="1500"/>
    <s v="CONCEPT CARGO"/>
    <n v="0"/>
    <n v="662.03"/>
    <n v="0"/>
    <n v="0"/>
    <n v="76.45"/>
    <n v="274.16000000000003"/>
    <n v="3995.76"/>
    <n v="1521.13"/>
    <n v="1434.39"/>
    <n v="86.74"/>
    <n v="0"/>
    <n v="86.74"/>
    <n v="1.5700000000000002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0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295513</v>
      </c>
      <c r="B2" s="12" t="s">
        <v>579</v>
      </c>
      <c r="C2" s="14">
        <v>46241</v>
      </c>
      <c r="D2" s="14">
        <v>46241</v>
      </c>
      <c r="E2" s="12"/>
      <c r="F2" s="15" t="s">
        <v>580</v>
      </c>
      <c r="G2" s="15" t="s">
        <v>581</v>
      </c>
      <c r="H2" s="15" t="s">
        <v>582</v>
      </c>
      <c r="I2" s="16">
        <v>152895.34</v>
      </c>
      <c r="J2" s="15" t="s">
        <v>583</v>
      </c>
      <c r="K2" s="15" t="s">
        <v>584</v>
      </c>
      <c r="L2" s="15" t="s">
        <v>585</v>
      </c>
      <c r="M2" s="15">
        <v>5516.89</v>
      </c>
      <c r="N2" s="15">
        <v>483</v>
      </c>
      <c r="O2" s="16">
        <v>976.83</v>
      </c>
      <c r="P2" s="15" t="s">
        <v>586</v>
      </c>
      <c r="Q2" s="15">
        <v>30.9</v>
      </c>
      <c r="R2" s="15" t="s">
        <v>587</v>
      </c>
      <c r="S2" s="15">
        <v>1500</v>
      </c>
      <c r="T2" s="15" t="s">
        <v>588</v>
      </c>
      <c r="U2" s="15">
        <v>0</v>
      </c>
      <c r="V2" s="15">
        <v>662.03</v>
      </c>
      <c r="W2" s="15">
        <v>0</v>
      </c>
      <c r="X2" s="15">
        <v>0</v>
      </c>
      <c r="Y2" s="15">
        <v>76.45</v>
      </c>
      <c r="Z2" s="15">
        <v>274.16000000000003</v>
      </c>
      <c r="AA2" s="15">
        <v>3995.76</v>
      </c>
      <c r="AB2" s="15">
        <v>1521.13</v>
      </c>
      <c r="AC2" s="15">
        <v>1434.39</v>
      </c>
      <c r="AD2" s="15">
        <v>86.74</v>
      </c>
      <c r="AE2" s="15">
        <v>0</v>
      </c>
      <c r="AF2" s="15">
        <v>86.74</v>
      </c>
      <c r="AG2" s="17">
        <v>1.5700000000000002E-2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5516.89</v>
      </c>
      <c r="F3" s="89"/>
      <c r="G3" s="90"/>
      <c r="H3" s="133">
        <f>'Resumo Detalhado'!C2</f>
        <v>976.83</v>
      </c>
      <c r="I3" s="134"/>
      <c r="J3" s="135">
        <f>E3/H3</f>
        <v>5.647748328777781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4.4401363636363642E-2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1530.9</v>
      </c>
      <c r="F7" s="112"/>
      <c r="G7" s="112"/>
      <c r="H7" s="112"/>
      <c r="I7" s="112"/>
      <c r="J7" s="112">
        <f>E7/H3</f>
        <v>1.5672123092042627</v>
      </c>
      <c r="K7" s="112"/>
      <c r="L7" s="112"/>
      <c r="M7" s="130">
        <f>E7/E3</f>
        <v>0.27749329785440713</v>
      </c>
      <c r="N7" s="130"/>
      <c r="O7" s="130"/>
      <c r="P7" s="112">
        <f>E11+K11+Q11+E15+K15+Q15+E19+H19+K19</f>
        <v>3867.5936000000002</v>
      </c>
      <c r="Q7" s="112"/>
      <c r="R7" s="112"/>
      <c r="S7" s="112">
        <f>P7/H3</f>
        <v>3.9593313063685596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1500</v>
      </c>
      <c r="L11" s="90"/>
      <c r="M11" s="38"/>
      <c r="N11" s="88">
        <f>K11/H3</f>
        <v>1.5355793740978469</v>
      </c>
      <c r="O11" s="90"/>
      <c r="P11" s="38"/>
      <c r="Q11" s="88">
        <f>'Resumo Detalhado'!D2</f>
        <v>30.9</v>
      </c>
      <c r="R11" s="90"/>
      <c r="S11" s="38"/>
      <c r="T11" s="88">
        <f>Q11/H3</f>
        <v>3.1632935106415648E-2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662.03</v>
      </c>
      <c r="F15" s="119"/>
      <c r="G15" s="119"/>
      <c r="H15" s="119"/>
      <c r="I15" s="132"/>
      <c r="J15" s="38"/>
      <c r="K15" s="113">
        <f>'Resumo Detalhado'!K2+'Resumo Detalhado'!L2</f>
        <v>882.70240000000013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76.45</v>
      </c>
      <c r="F19" s="120"/>
      <c r="G19" s="38"/>
      <c r="H19" s="122">
        <f>'Resumo Detalhado'!J2</f>
        <v>274.16000000000003</v>
      </c>
      <c r="I19" s="123"/>
      <c r="J19" s="38"/>
      <c r="K19" s="122">
        <f>'Resumo Detalhado'!L2</f>
        <v>441.35120000000006</v>
      </c>
      <c r="L19" s="123"/>
      <c r="M19" s="38"/>
      <c r="N19" s="121" t="s">
        <v>589</v>
      </c>
      <c r="O19" s="119"/>
      <c r="P19" s="119"/>
      <c r="Q19" s="119"/>
      <c r="R19" s="120"/>
      <c r="S19" s="121">
        <v>1400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2090.6476000000011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0.37895401213364793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590</v>
      </c>
      <c r="F1" s="29"/>
    </row>
    <row r="2" spans="1:18" x14ac:dyDescent="0.3">
      <c r="B2" s="29">
        <f>SUM(B6:B5000)</f>
        <v>5516.89</v>
      </c>
      <c r="C2" s="29">
        <f>SUM(C6:C5000)</f>
        <v>976.83</v>
      </c>
      <c r="D2" s="29">
        <f>SUM(D6:D5000)</f>
        <v>30.9</v>
      </c>
      <c r="E2" s="29">
        <f>SUM(E6:E5000)</f>
        <v>1500</v>
      </c>
      <c r="F2" s="29">
        <f>SUM(F6:F5000)</f>
        <v>0</v>
      </c>
      <c r="G2" s="29"/>
      <c r="H2" s="29">
        <f t="shared" ref="H2:P2" si="0">SUM(H6:H5000)</f>
        <v>662.03</v>
      </c>
      <c r="I2" s="29">
        <f t="shared" si="0"/>
        <v>76.45</v>
      </c>
      <c r="J2" s="29">
        <f t="shared" si="0"/>
        <v>274.16000000000003</v>
      </c>
      <c r="K2" s="29">
        <f t="shared" si="0"/>
        <v>441.35120000000006</v>
      </c>
      <c r="L2" s="29">
        <f t="shared" si="0"/>
        <v>441.35120000000006</v>
      </c>
      <c r="M2" s="29">
        <f t="shared" si="0"/>
        <v>0</v>
      </c>
      <c r="N2" s="29">
        <f t="shared" si="0"/>
        <v>2090.6476000000011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295513</v>
      </c>
      <c r="B6" s="139">
        <v>5516.89</v>
      </c>
      <c r="C6" s="140">
        <v>976.83</v>
      </c>
      <c r="D6" s="139">
        <v>30.9</v>
      </c>
      <c r="E6" s="139">
        <v>1500</v>
      </c>
      <c r="F6" s="139">
        <v>0</v>
      </c>
      <c r="G6" s="141">
        <v>0.27749329785440713</v>
      </c>
      <c r="H6" s="139">
        <v>662.03</v>
      </c>
      <c r="I6" s="139">
        <v>76.45</v>
      </c>
      <c r="J6" s="139">
        <v>274.16000000000003</v>
      </c>
      <c r="K6" s="139">
        <v>441.35120000000006</v>
      </c>
      <c r="L6" s="139">
        <v>441.35120000000006</v>
      </c>
      <c r="M6" s="139">
        <v>0</v>
      </c>
      <c r="N6" s="139">
        <v>2090.6476000000011</v>
      </c>
      <c r="O6" s="141">
        <v>0.37895401213364793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590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5516.89</v>
      </c>
      <c r="C5" s="10">
        <v>2090.6476000000011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2026-09-01T17:33:23Z</dcterms:modified>
  <cp:category/>
  <cp:contentStatus/>
</cp:coreProperties>
</file>