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552E8A9-FC59-4282-A764-C47B2960792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<sst xmlns="http://schemas.openxmlformats.org/spreadsheetml/2006/main" count="892" uniqueCount="617">
  <si>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</si>
  <si>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</si>
  <si>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</si>
  <si>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</si>
  <si>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</si>
  <si>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</si>
  <si>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</si>
  <si>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</si>
  <si>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</si>
  <si>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</si>
  <si>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</si>
  <si>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</si>
  <si>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</si>
  <si>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</si>
  <si>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</si>
  <si>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</si>
  <si>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</si>
  <si>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</si>
  <si>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</si>
  <si>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</si>
  <si>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</si>
  <si>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</si>
  <si>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</si>
  <si>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</si>
  <si>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</si>
  <si>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</si>
  <si>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</si>
  <si>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</si>
  <si>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</si>
  <si>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</si>
  <si>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</si>
  <si>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</si>
  <si>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</si>
  <si>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</si>
  <si>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</si>
  <si>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</si>
  <si>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</si>
  <si>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</si>
  <si>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</si>
  <si>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</si>
  <si>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</si>
  <si>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</si>
  <si>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</si>
  <si>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</si>
  <si>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</si>
  <si>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</si>
  <si>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</si>
  <si>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</si>
  <si>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</si>
  <si>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</si>
  <si>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</si>
  <si>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</si>
  <si>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</si>
  <si>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</si>
  <si>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</si>
  <si>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</si>
  <si>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</si>
  <si>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</si>
  <si>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</si>
  <si>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</si>
  <si>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</si>
  <si>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</si>
  <si>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</si>
  <si>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</si>
  <si>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</si>
  <si>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</si>
  <si>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</si>
  <si>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</si>
  <si>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</si>
  <si>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</si>
  <si>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</si>
  <si>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</si>
  <si>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</si>
  <si>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</si>
  <si>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</si>
  <si>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</si>
  <si>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</si>
  <si>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</si>
  <si>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</si>
  <si>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</si>
  <si>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</si>
  <si>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</si>
  <si>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</si>
  <si>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</si>
  <si>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</si>
  <si>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</si>
  <si>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</si>
  <si>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</si>
  <si>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</si>
  <si>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</si>
  <si>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</si>
  <si>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</si>
  <si>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</si>
  <si>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</si>
  <si>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</si>
  <si>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</si>
  <si>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</si>
  <si>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</si>
  <si>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</si>
  <si>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</si>
  <si>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</si>
  <si>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</si>
  <si>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</si>
  <si>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</si>
  <si>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</si>
  <si>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</si>
  <si>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</si>
  <si>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</si>
  <si>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</si>
  <si>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</si>
  <si>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</si>
  <si>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</si>
  <si>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</si>
  <si>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</si>
  <si>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</si>
  <si>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</si>
  <si>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</si>
  <si>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</si>
  <si>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</si>
  <si>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</si>
  <si>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</si>
  <si>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</si>
  <si>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</si>
  <si>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</si>
  <si>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</si>
  <si>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</si>
  <si>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</si>
  <si>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</si>
  <si>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</si>
  <si>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</si>
  <si>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</si>
  <si>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</si>
  <si>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</si>
  <si>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</si>
  <si>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</si>
  <si>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</si>
  <si>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</si>
  <si>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</si>
  <si>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</si>
  <si>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</si>
  <si>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</si>
  <si>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</si>
  <si>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</si>
  <si>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</si>
  <si>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</si>
  <si>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</si>
  <si>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</si>
  <si>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</si>
  <si>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</si>
  <si>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</si>
  <si>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</si>
  <si>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</si>
  <si>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</si>
  <si>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</si>
  <si>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</si>
  <si>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</si>
  <si>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</si>
  <si>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</si>
  <si>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</si>
  <si>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</si>
  <si>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</si>
  <si>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</si>
  <si>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</si>
  <si>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</si>
  <si>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</si>
  <si>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</si>
  <si>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</si>
  <si>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</si>
  <si>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</si>
  <si>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</si>
  <si>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</si>
  <si>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</si>
  <si>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</si>
  <si>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</si>
  <si>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</si>
  <si>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</si>
  <si>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</si>
  <si>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</si>
  <si>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</si>
  <si>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</si>
  <si>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</si>
  <si>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</si>
  <si>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</si>
  <si>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</si>
  <si>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</si>
  <si>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</si>
  <si>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</si>
  <si>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</si>
  <si>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</si>
  <si>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</si>
  <si>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</si>
  <si>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</si>
  <si>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</si>
  <si>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</si>
  <si>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</si>
  <si>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</si>
  <si>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</si>
  <si>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</si>
  <si>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</si>
  <si>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</si>
  <si>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</si>
  <si>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</si>
  <si>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</si>
  <si>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</si>
  <si>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</si>
  <si>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</si>
  <si>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</si>
  <si>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</si>
  <si>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</si>
  <si>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</si>
  <si>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</si>
  <si>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</si>
  <si>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</si>
  <si>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</si>
  <si>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</si>
  <si>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</si>
  <si>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</si>
  <si>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</si>
  <si>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</si>
  <si>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</si>
  <si>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</si>
  <si>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</si>
  <si>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</si>
  <si>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</si>
  <si>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</si>
  <si>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</si>
  <si>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</si>
  <si>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</si>
  <si>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</si>
  <si>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</si>
  <si>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</si>
  <si>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</si>
  <si>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</si>
  <si>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</si>
  <si>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</si>
  <si>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</si>
  <si>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</si>
  <si>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</si>
  <si>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</si>
  <si>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</si>
  <si>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</si>
  <si>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</si>
  <si>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</si>
  <si>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</si>
  <si>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</si>
  <si>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</si>
  <si>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</si>
  <si>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</si>
  <si>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</si>
  <si>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</si>
  <si>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</si>
  <si>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</si>
  <si>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</si>
  <si>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</si>
  <si>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</si>
  <si>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</si>
  <si>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</si>
  <si>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</si>
  <si>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</si>
  <si>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</si>
  <si>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</si>
  <si>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</si>
  <si>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</si>
  <si>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</si>
  <si>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</si>
  <si>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</si>
  <si>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</si>
  <si>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</si>
  <si>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</si>
  <si>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</si>
  <si>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</si>
  <si>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</si>
  <si>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</si>
  <si>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</si>
  <si>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</si>
  <si>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</si>
  <si>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</si>
  <si>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</si>
  <si>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</si>
  <si>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</si>
  <si>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</si>
  <si>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</si>
  <si>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</si>
  <si>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</si>
  <si>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</si>
  <si>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</si>
  <si>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</si>
  <si>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</si>
  <si>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</si>
  <si>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</si>
  <si>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</si>
  <si>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</si>
  <si>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</si>
  <si>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</si>
  <si>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</si>
  <si>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</si>
  <si>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</si>
  <si>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</si>
  <si>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</si>
  <si>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</si>
  <si>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</si>
  <si>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</si>
  <si>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</si>
  <si>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</si>
  <si>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</si>
  <si>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</si>
  <si>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</si>
  <si>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</si>
  <si>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</si>
  <si>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</si>
  <si>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</si>
  <si>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</si>
  <si>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</si>
  <si>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</si>
  <si>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</si>
  <si>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</si>
  <si>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</si>
  <si>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</si>
  <si>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</si>
  <si>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</si>
  <si>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</si>
  <si>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</si>
  <si>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</si>
  <si>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</si>
  <si>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</si>
  <si>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</si>
  <si>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</si>
  <si>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</si>
  <si>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</si>
  <si>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</si>
  <si>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</si>
  <si>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</si>
  <si>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</si>
  <si>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</si>
  <si>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</si>
  <si>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</si>
  <si>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</si>
  <si>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</si>
  <si>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</si>
  <si>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</si>
  <si>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</si>
  <si>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</si>
  <si>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</si>
  <si>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</si>
  <si>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</si>
  <si>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</si>
  <si>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</si>
  <si>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</si>
  <si>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</si>
  <si>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</si>
  <si>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</si>
  <si>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</si>
  <si>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</si>
  <si>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</si>
  <si>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</si>
  <si>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</si>
  <si>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</si>
  <si>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</si>
  <si>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</si>
  <si>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</si>
  <si>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</si>
  <si>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</si>
  <si>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</si>
  <si>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</si>
  <si>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</si>
  <si>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</si>
  <si>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</si>
  <si>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</si>
  <si>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</si>
  <si>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</si>
  <si>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</si>
  <si>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</si>
  <si>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</si>
  <si>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</si>
  <si>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</si>
  <si>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</si>
  <si>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</si>
  <si>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</si>
  <si>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</si>
  <si>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</si>
  <si>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</si>
  <si>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</si>
  <si>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</si>
  <si>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</si>
  <si>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</si>
  <si>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</si>
  <si>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</si>
  <si>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</si>
  <si>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</si>
  <si>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</si>
  <si>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</si>
  <si>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</si>
  <si>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</si>
  <si>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</si>
  <si>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</si>
  <si>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</si>
  <si>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</si>
  <si>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</si>
  <si>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</si>
  <si>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</si>
  <si>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</si>
  <si>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</si>
  <si>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</si>
  <si>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</si>
  <si>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</si>
  <si>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</si>
  <si>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</si>
  <si>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</si>
  <si>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</si>
  <si>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</si>
  <si>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</si>
  <si>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</si>
  <si>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</si>
  <si>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</si>
  <si>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</si>
  <si>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</si>
  <si>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</si>
  <si>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</si>
  <si>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</si>
  <si>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</si>
  <si>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</si>
  <si>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</si>
  <si>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</si>
  <si>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</si>
  <si>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</si>
  <si>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</si>
  <si>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</si>
  <si>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</si>
  <si>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</si>
  <si>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</si>
  <si>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</si>
  <si>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</si>
  <si>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</si>
  <si>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</si>
  <si>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</si>
  <si>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</si>
  <si>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</si>
  <si>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</si>
  <si>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</si>
  <si>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</si>
  <si>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</si>
  <si>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</si>
  <si>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</si>
  <si>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</si>
  <si>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</si>
  <si>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</si>
  <si>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</si>
  <si>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</si>
  <si>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</si>
  <si>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</si>
  <si>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</si>
  <si>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</si>
  <si>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</si>
  <si>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</si>
  <si>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</si>
  <si>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</si>
  <si>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</si>
  <si>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</si>
  <si>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</si>
  <si>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</si>
  <si>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</si>
  <si>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</si>
  <si>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</si>
  <si>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</si>
  <si>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</si>
  <si>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</si>
  <si>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</si>
  <si>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</si>
  <si>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</si>
  <si>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</si>
  <si>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</si>
  <si>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</si>
  <si>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</si>
  <si>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</si>
  <si>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</si>
  <si>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</si>
  <si>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</si>
  <si>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</si>
  <si>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</si>
  <si>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</si>
  <si>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</si>
  <si>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</si>
  <si>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</si>
  <si>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</si>
  <si>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</si>
  <si>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</si>
  <si>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</si>
  <si>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</si>
  <si>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</si>
  <si>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</si>
  <si>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</si>
  <si>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</si>
  <si>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</si>
  <si>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</si>
  <si>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</si>
  <si>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</si>
  <si>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</si>
  <si>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</si>
  <si>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</si>
  <si>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</si>
  <si>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</si>
  <si>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</si>
  <si>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</si>
  <si>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</si>
  <si>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</si>
  <si>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</si>
  <si>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</si>
  <si>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</si>
  <si>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</si>
  <si>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</si>
  <si>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</si>
  <si>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</si>
  <si>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</si>
  <si>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</si>
  <si>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</si>
  <si>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</si>
  <si>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</si>
  <si>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</si>
  <si>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</si>
  <si>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</si>
  <si>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</si>
  <si>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</si>
  <si>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</si>
  <si>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</si>
  <si>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</si>
  <si>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</si>
  <si>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</si>
  <si>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</si>
  <si>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</si>
  <si>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</si>
  <si>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</si>
  <si>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</si>
  <si>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</si>
  <si>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</si>
  <si>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</si>
  <si>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</si>
  <si>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</si>
  <si>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</si>
  <si>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</si>
  <si>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</si>
  <si>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</si>
  <si>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</si>
  <si>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</si>
  <si>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</si>
  <si>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</si>
  <si>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</si>
  <si>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</si>
  <si>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</si>
  <si>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</si>
  <si>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</si>
  <si>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</si>
  <si>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</si>
  <si>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</si>
  <si>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</si>
  <si>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</si>
  <si>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</si>
  <si>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</si>
  <si>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</si>
  <si>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</si>
  <si>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</si>
  <si>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</si>
  <si>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</si>
  <si>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</si>
  <si>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</si>
  <si>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</si>
  <si>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</si>
  <si>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</si>
  <si>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</si>
  <si>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</si>
  <si>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</si>
  <si>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</si>
  <si>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</si>
  <si>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</si>
  <si>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</si>
  <si>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</si>
  <si>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</si>
  <si>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</si>
  <si>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</si>
  <si>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</si>
  <si>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</si>
  <si>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</si>
  <si>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</si>
  <si>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</si>
  <si>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</si>
  <si>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</si>
  <si>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</si>
  <si>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</si>
  <si>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</si>
  <si>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</si>
  <si>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</si>
  <si>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</si>
  <si>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</si>
  <si>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</si>
  <si>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</si>
  <si>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</si>
  <si>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</si>
  <si>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</si>
  <si>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</si>
  <si>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</si>
  <si>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</si>
  <si>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MATRIZ</t>
  </si>
  <si>
    <t>203519-1</t>
  </si>
  <si>
    <t>BATIKI COM IMPO</t>
  </si>
  <si>
    <t>TIAGO SANTANA</t>
  </si>
  <si>
    <t>ECONOMICO_250</t>
  </si>
  <si>
    <t>CTE NORMAL</t>
  </si>
  <si>
    <t>GUARULHOS - SP</t>
  </si>
  <si>
    <t>LUIZ FELIPE FERNANDES DA</t>
  </si>
  <si>
    <t>JOSE EMILTON DA COSTA - O</t>
  </si>
  <si>
    <t>PRISCILA VASSAO DOS SANTO</t>
  </si>
  <si>
    <t>2240-6</t>
  </si>
  <si>
    <t>MATTEL DO BRASI</t>
  </si>
  <si>
    <t>MARLON MARQUES</t>
  </si>
  <si>
    <t>EXPRESSO_250</t>
  </si>
  <si>
    <t>UBERLANDIA - MG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</si>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</sst>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[Analise_ANDERSON_21092026.xlsx]Resumo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129.9</c:v>
                </c:pt>
                <c:pt idx="1">
                  <c:v>24975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53.457999999999998</c:v>
                </c:pt>
                <c:pt idx="1">
                  <c:v>19069.919999999998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[Analise_ANDERSON_21092026.xlsx]Resumo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129.9</c:v>
                </c:pt>
                <c:pt idx="1">
                  <c:v>24975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53.457999999999998</c:v>
                </c:pt>
                <c:pt idx="1">
                  <c:v>19069.919999999998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9.431149189812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2021" count="8000">
        <n v="301895"/>
        <n v="30202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1T00:00:00" maxDate="2026-09-22T00:00:00"/>
    </cacheField>
    <cacheField name="DATA" numFmtId="14">
      <sharedItems containsNonDate="0" containsDate="1" containsString="0" containsBlank="1" minDate="2026-09-21T00:00:00" maxDate="2026-09-2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BATIKI COM IMPO"/>
        <s v="MATTEL DO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477.11" maxValue="1820157.89"/>
    </cacheField>
    <cacheField name="SERVICO" numFmtId="0">
      <sharedItems containsBlank="1" count="27">
        <s v="ECONOMICO_250"/>
        <s v="EXPRESS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29.9" maxValue="24975"/>
    </cacheField>
    <cacheField name="VOLUMES" numFmtId="0">
      <sharedItems containsString="0" containsBlank="1" containsNumber="1" containsInteger="1" minValue="7" maxValue="3522"/>
    </cacheField>
    <cacheField name="PESO" numFmtId="0">
      <sharedItems containsString="0" containsBlank="1" containsNumber="1" minValue="35" maxValue="11338.78"/>
    </cacheField>
    <cacheField name="RESP. COLETA" numFmtId="0">
      <sharedItems containsBlank="1"/>
    </cacheField>
    <cacheField name="CUSTO COLETA" numFmtId="0">
      <sharedItems containsString="0" containsBlank="1" containsNumber="1" minValue="0" maxValue="9.2200000000000006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5.59" maxValue="299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24" maxValue="910.0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96.82" maxValue="13876.31"/>
    </cacheField>
    <cacheField name="RECEITA" numFmtId="0">
      <sharedItems containsString="0" containsBlank="1" containsNumber="1" minValue="33.08" maxValue="11098.69"/>
    </cacheField>
    <cacheField name="IMPOSTO" numFmtId="0">
      <sharedItems containsString="0" containsBlank="1" containsNumber="1" minValue="33.770000000000003" maxValue="6493.5"/>
    </cacheField>
    <cacheField name="RESULTADO" numFmtId="0">
      <sharedItems containsString="0" containsBlank="1" containsNumber="1" minValue="-4.12" maxValue="4605.189999999999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4.12" maxValue="4605.1899999999996"/>
    </cacheField>
    <cacheField name="MARGEM" numFmtId="10">
      <sharedItems containsString="0" containsBlank="1" containsNumber="1" minValue="-3.1699999999999999E-2" maxValue="0.1844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1T00:00:00"/>
    <d v="2026-09-21T00:00:00"/>
    <m/>
    <s v="203519-1"/>
    <x v="0"/>
    <s v="TIAGO SANTANA"/>
    <n v="2477.11"/>
    <x v="0"/>
    <s v="CTE NORMAL"/>
    <s v="GUARULHOS - SP"/>
    <n v="129.9"/>
    <n v="7"/>
    <n v="35"/>
    <s v="LUIZ FELIPE FERNANDES DA"/>
    <n v="9.2200000000000006"/>
    <s v="JOSE EMILTON DA COSTA - O"/>
    <n v="40"/>
    <s v="PRISCILA VASSAO DOS SANTO"/>
    <n v="0"/>
    <n v="15.59"/>
    <n v="0"/>
    <n v="0"/>
    <n v="1.24"/>
    <n v="0"/>
    <n v="96.82"/>
    <n v="33.08"/>
    <n v="33.770000000000003"/>
    <n v="-4.12"/>
    <n v="0"/>
    <n v="-4.12"/>
    <n v="-3.1699999999999999E-2"/>
    <m/>
  </r>
  <r>
    <x v="1"/>
    <s v="MATRIZ"/>
    <d v="2026-09-21T00:00:00"/>
    <d v="2026-09-21T00:00:00"/>
    <m/>
    <s v="2240-6"/>
    <x v="1"/>
    <s v="MARLON MARQUES"/>
    <n v="1820157.89"/>
    <x v="1"/>
    <s v="CTE NORMAL"/>
    <s v="UBERLANDIA - MG"/>
    <n v="24975"/>
    <n v="3522"/>
    <n v="11338.78"/>
    <s v="N/D"/>
    <n v="0"/>
    <s v="N/D"/>
    <n v="0"/>
    <s v="PRISCILA VASSAO DOS SANTO"/>
    <n v="0"/>
    <n v="2997"/>
    <n v="0"/>
    <n v="0"/>
    <n v="910.08"/>
    <n v="0"/>
    <n v="13876.31"/>
    <n v="11098.69"/>
    <n v="6493.5"/>
    <n v="4605.1899999999996"/>
    <n v="0"/>
    <n v="4605.1899999999996"/>
    <n v="0.18440000000000001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x="0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6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x="1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2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92"/>
    </i>
    <i r="1">
      <x v="7998"/>
    </i>
    <i>
      <x v="495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x="0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6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x="1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2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92"/>
    </i>
    <i>
      <x v="495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9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2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1" s="1" nd="1"/>
        <i x="506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29" s="1" nd="1"/>
        <i x="665" s="1" nd="1"/>
        <i x="518" s="1" nd="1"/>
        <i x="792" s="1" nd="1"/>
        <i x="178" s="1" nd="1"/>
        <i x="59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3" s="1" nd="1"/>
        <i x="408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3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1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3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6" s="1" nd="1"/>
        <i x="257" s="1" nd="1"/>
        <i x="406" s="1" nd="1"/>
        <i x="840" s="1" nd="1"/>
        <i x="457" s="1" nd="1"/>
        <i x="478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5" s="1" nd="1"/>
        <i x="173" s="1" nd="1"/>
        <i x="627" s="1" nd="1"/>
        <i x="375" s="1" nd="1"/>
        <i x="807" s="1" nd="1"/>
        <i x="60" s="1" nd="1"/>
        <i x="631" s="1" nd="1"/>
        <i x="530" s="1" nd="1"/>
        <i x="295" s="1" nd="1"/>
        <i x="304" s="1" nd="1"/>
        <i x="174" s="1" nd="1"/>
        <i x="101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10" s="1" nd="1"/>
        <i x="117" s="1" nd="1"/>
        <i x="536" s="1" nd="1"/>
        <i x="84" s="1" nd="1"/>
        <i x="602" s="1" nd="1"/>
        <i x="450" s="1" nd="1"/>
        <i x="349" s="1" nd="1"/>
        <i x="79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9" s="1" nd="1"/>
        <i x="821" s="1" nd="1"/>
        <i x="341" s="1" nd="1"/>
        <i x="223" s="1" nd="1"/>
        <i x="65" s="1" nd="1"/>
        <i x="635" s="1" nd="1"/>
        <i x="458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60" s="1" nd="1"/>
        <i x="580" s="1" nd="1"/>
        <i x="353" s="1" nd="1"/>
        <i x="103" s="1" nd="1"/>
        <i x="538" s="1" nd="1"/>
        <i x="208" s="1" nd="1"/>
        <i x="671" s="1" nd="1"/>
        <i x="486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4" s="1" nd="1"/>
        <i x="302" s="1" nd="1"/>
        <i x="548" s="1" nd="1"/>
        <i x="61" s="1" nd="1"/>
        <i x="452" s="1" nd="1"/>
        <i x="774" s="1" nd="1"/>
        <i x="485" s="1" nd="1"/>
        <i x="740" s="1" nd="1"/>
        <i x="454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5" s="1" nd="1"/>
        <i x="700" s="1" nd="1"/>
        <i x="428" s="1" nd="1"/>
        <i x="363" s="1" nd="1"/>
        <i x="100" s="1" nd="1"/>
        <i x="481" s="1" nd="1"/>
        <i x="607" s="1" nd="1"/>
        <i x="715" s="1" nd="1"/>
        <i x="55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6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2" s="1" nd="1"/>
        <i x="799" s="1" nd="1"/>
        <i x="217" s="1" nd="1"/>
        <i x="827" s="1" nd="1"/>
        <i x="70" s="1" nd="1"/>
        <i x="118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1" s="1" nd="1"/>
        <i x="605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5" s="1" nd="1"/>
        <i x="669" s="1" nd="1"/>
        <i x="94" s="1" nd="1"/>
        <i x="440" s="1" nd="1"/>
        <i x="351" s="1" nd="1"/>
        <i x="784" s="1" nd="1"/>
        <i x="499" s="1" nd="1"/>
        <i x="62" s="1" nd="1"/>
        <i x="456" s="1" nd="1"/>
        <i x="83" s="1" nd="1"/>
        <i x="325" s="1" nd="1"/>
        <i x="168" s="1" nd="1"/>
        <i x="332" s="1" nd="1"/>
        <i x="564" s="1" nd="1"/>
        <i x="504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1" s="1" nd="1"/>
        <i x="254" s="1" nd="1"/>
        <i x="512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5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90" s="1" nd="1"/>
        <i x="511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80" s="1" nd="1"/>
        <i x="52" s="1" nd="1"/>
        <i x="851" s="1" nd="1"/>
        <i x="30" s="1" nd="1"/>
        <i x="570" s="1" nd="1"/>
        <i x="513" s="1" nd="1"/>
        <i x="413" s="1" nd="1"/>
        <i x="702" s="1" nd="1"/>
        <i x="204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4" s="1" nd="1"/>
        <i x="459" s="1" nd="1"/>
        <i x="691" s="1" nd="1"/>
        <i x="134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4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8" s="1" nd="1"/>
        <i x="500" s="1" nd="1"/>
        <i x="69" s="1" nd="1"/>
        <i x="679" s="1" nd="1"/>
        <i x="82" s="1" nd="1"/>
        <i x="634" s="1" nd="1"/>
        <i x="67" s="1" nd="1"/>
        <i x="650" s="1" nd="1"/>
        <i x="489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4" s="1" nd="1"/>
        <i x="424" s="1" nd="1"/>
        <i x="27" s="1" nd="1"/>
        <i x="765" s="1" nd="1"/>
        <i x="414" s="1" nd="1"/>
        <i x="552" s="1" nd="1"/>
        <i x="97" s="1" nd="1"/>
        <i x="85" s="1" nd="1"/>
        <i x="293" s="1" nd="1"/>
        <i x="195" s="1" nd="1"/>
        <i x="497" s="1" nd="1"/>
        <i x="262" s="1" nd="1"/>
        <i x="31" s="1" nd="1"/>
        <i x="105" s="1" nd="1"/>
        <i x="533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2" s="1" nd="1"/>
        <i x="63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6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7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81" totalsRowShown="0" headerRowDxfId="92" dataDxfId="90" headerRowBorderDxfId="91" tableBorderDxfId="89" totalsRowBorderDxfId="88">
  <autoFilter ref="A1:D381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301895</v>
      </c>
      <c r="B2" s="12" t="s">
        <v>600</v>
      </c>
      <c r="C2" s="14">
        <v>46286</v>
      </c>
      <c r="D2" s="14">
        <v>46286</v>
      </c>
      <c r="E2" s="12"/>
      <c r="F2" s="15" t="s">
        <v>601</v>
      </c>
      <c r="G2" s="15" t="s">
        <v>602</v>
      </c>
      <c r="H2" s="15" t="s">
        <v>603</v>
      </c>
      <c r="I2" s="16">
        <v>2477.11</v>
      </c>
      <c r="J2" s="15" t="s">
        <v>604</v>
      </c>
      <c r="K2" s="15" t="s">
        <v>605</v>
      </c>
      <c r="L2" s="15" t="s">
        <v>606</v>
      </c>
      <c r="M2" s="15">
        <v>129.9</v>
      </c>
      <c r="N2" s="15">
        <v>7</v>
      </c>
      <c r="O2" s="16">
        <v>35</v>
      </c>
      <c r="P2" s="15" t="s">
        <v>607</v>
      </c>
      <c r="Q2" s="15">
        <v>9.2200000000000006</v>
      </c>
      <c r="R2" s="15" t="s">
        <v>608</v>
      </c>
      <c r="S2" s="15">
        <v>40</v>
      </c>
      <c r="T2" s="15" t="s">
        <v>609</v>
      </c>
      <c r="U2" s="15">
        <v>0</v>
      </c>
      <c r="V2" s="15">
        <v>15.59</v>
      </c>
      <c r="W2" s="15">
        <v>0</v>
      </c>
      <c r="X2" s="15">
        <v>0</v>
      </c>
      <c r="Y2" s="15">
        <v>1.24</v>
      </c>
      <c r="Z2" s="15">
        <v>0</v>
      </c>
      <c r="AA2" s="15">
        <v>96.82</v>
      </c>
      <c r="AB2" s="15">
        <v>33.08</v>
      </c>
      <c r="AC2" s="15">
        <v>33.770000000000003</v>
      </c>
      <c r="AD2" s="15">
        <v>-4.12</v>
      </c>
      <c r="AE2" s="15">
        <v>0</v>
      </c>
      <c r="AF2" s="15">
        <v>-4.12</v>
      </c>
      <c r="AG2" s="17">
        <v>-3.1699999999999999E-2</v>
      </c>
      <c r="AH2" s="15"/>
    </row>
    <row r="3" spans="1:34" s="1" customFormat="1" ht="12" customHeight="1" x14ac:dyDescent="0.3">
      <c r="A3" s="13">
        <v>302021</v>
      </c>
      <c r="B3" s="12" t="s">
        <v>600</v>
      </c>
      <c r="C3" s="14">
        <v>46286</v>
      </c>
      <c r="D3" s="14">
        <v>46286</v>
      </c>
      <c r="E3" s="12"/>
      <c r="F3" s="15" t="s">
        <v>610</v>
      </c>
      <c r="G3" s="15" t="s">
        <v>611</v>
      </c>
      <c r="H3" s="15" t="s">
        <v>612</v>
      </c>
      <c r="I3" s="16">
        <v>1820157.89</v>
      </c>
      <c r="J3" s="15" t="s">
        <v>613</v>
      </c>
      <c r="K3" s="15" t="s">
        <v>605</v>
      </c>
      <c r="L3" s="15" t="s">
        <v>614</v>
      </c>
      <c r="M3" s="16">
        <v>24975</v>
      </c>
      <c r="N3" s="15">
        <v>3522</v>
      </c>
      <c r="O3" s="16">
        <v>11338.78</v>
      </c>
      <c r="P3" s="15" t="s">
        <v>615</v>
      </c>
      <c r="Q3" s="15">
        <v>0</v>
      </c>
      <c r="R3" s="15" t="s">
        <v>615</v>
      </c>
      <c r="S3" s="15">
        <v>0</v>
      </c>
      <c r="T3" s="15" t="s">
        <v>609</v>
      </c>
      <c r="U3" s="15">
        <v>0</v>
      </c>
      <c r="V3" s="15">
        <v>2997</v>
      </c>
      <c r="W3" s="15">
        <v>0</v>
      </c>
      <c r="X3" s="15">
        <v>0</v>
      </c>
      <c r="Y3" s="15">
        <v>910.08</v>
      </c>
      <c r="Z3" s="15">
        <v>0</v>
      </c>
      <c r="AA3" s="16">
        <v>13876.31</v>
      </c>
      <c r="AB3" s="16">
        <v>11098.69</v>
      </c>
      <c r="AC3" s="15">
        <v>6493.5</v>
      </c>
      <c r="AD3" s="15">
        <v>4605.1899999999996</v>
      </c>
      <c r="AE3" s="15">
        <v>0</v>
      </c>
      <c r="AF3" s="15">
        <v>4605.1899999999996</v>
      </c>
      <c r="AG3" s="17">
        <v>0.18440000000000001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25104.9</v>
      </c>
      <c r="F3" s="93"/>
      <c r="G3" s="94"/>
      <c r="H3" s="95">
        <f>'Resumo Detalhado'!C2</f>
        <v>11373.78</v>
      </c>
      <c r="I3" s="96"/>
      <c r="J3" s="97">
        <f>E3/H3</f>
        <v>2.2072609106207435</v>
      </c>
      <c r="K3" s="98"/>
      <c r="L3" s="99"/>
      <c r="M3" s="138" t="s">
        <v>41</v>
      </c>
      <c r="N3" s="93"/>
      <c r="O3" s="94"/>
      <c r="P3" s="135">
        <v>22000</v>
      </c>
      <c r="Q3" s="136"/>
      <c r="R3" s="137"/>
      <c r="S3" s="103">
        <f>MIN(H3/P3,1)</f>
        <v>0.51699000000000006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10009.219999999999</v>
      </c>
      <c r="F7" s="109"/>
      <c r="G7" s="109"/>
      <c r="H7" s="109"/>
      <c r="I7" s="109"/>
      <c r="J7" s="109">
        <f>E7/H3</f>
        <v>0.88002581375760736</v>
      </c>
      <c r="K7" s="109"/>
      <c r="L7" s="109"/>
      <c r="M7" s="110">
        <f>E7/E3</f>
        <v>0.398695872120582</v>
      </c>
      <c r="N7" s="110"/>
      <c r="O7" s="110"/>
      <c r="P7" s="109">
        <f>E11+K11+Q11+E15+K15+Q15+E19+H19+K19</f>
        <v>19958.306</v>
      </c>
      <c r="Q7" s="109"/>
      <c r="R7" s="109"/>
      <c r="S7" s="109">
        <f>P7/H3</f>
        <v>1.7547645549676536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10000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10000</v>
      </c>
      <c r="L11" s="94"/>
      <c r="M11" s="38"/>
      <c r="N11" s="92">
        <f>K11/H3</f>
        <v>0.87921517736407773</v>
      </c>
      <c r="O11" s="94"/>
      <c r="P11" s="38"/>
      <c r="Q11" s="92">
        <f>'Resumo Detalhado'!D2</f>
        <v>9.2200000000000006</v>
      </c>
      <c r="R11" s="94"/>
      <c r="S11" s="38"/>
      <c r="T11" s="92">
        <f>Q11/H3</f>
        <v>8.1063639352967965E-4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3012.59</v>
      </c>
      <c r="F15" s="113"/>
      <c r="G15" s="113"/>
      <c r="H15" s="113"/>
      <c r="I15" s="114"/>
      <c r="J15" s="38"/>
      <c r="K15" s="116">
        <f>'Resumo Detalhado'!K2+'Resumo Detalhado'!L2</f>
        <v>4016.7840000000001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911.32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2008.3920000000001</v>
      </c>
      <c r="L19" s="108"/>
      <c r="M19" s="38"/>
      <c r="N19" s="112" t="s">
        <v>595</v>
      </c>
      <c r="O19" s="113"/>
      <c r="P19" s="113"/>
      <c r="Q19" s="113"/>
      <c r="R19" s="119"/>
      <c r="S19" s="112">
        <f>_xlfn.XLOOKUP(N19,Target!C:C,Target!D:D)</f>
        <v>10000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19123.377999999997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0.76173886372779798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55468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2" width="12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616</v>
      </c>
      <c r="F1" s="29"/>
    </row>
    <row r="2" spans="1:18" x14ac:dyDescent="0.3">
      <c r="B2" s="29">
        <f>SUM(B6:B5000)</f>
        <v>25104.9</v>
      </c>
      <c r="C2" s="29">
        <f>SUM(C6:C5000)</f>
        <v>11373.78</v>
      </c>
      <c r="D2" s="29">
        <f>SUM(D6:D5000)</f>
        <v>9.2200000000000006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3012.59</v>
      </c>
      <c r="I2" s="29">
        <f t="shared" si="0"/>
        <v>911.32</v>
      </c>
      <c r="J2" s="29">
        <f t="shared" si="0"/>
        <v>0</v>
      </c>
      <c r="K2" s="29">
        <f t="shared" si="0"/>
        <v>2008.3920000000001</v>
      </c>
      <c r="L2" s="29">
        <f t="shared" si="0"/>
        <v>2008.3920000000001</v>
      </c>
      <c r="M2" s="29">
        <f t="shared" si="0"/>
        <v>0</v>
      </c>
      <c r="N2" s="29">
        <f t="shared" si="0"/>
        <v>19123.377999999997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602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301895</v>
      </c>
      <c r="B6" s="140">
        <v>129.9</v>
      </c>
      <c r="C6" s="141">
        <v>35</v>
      </c>
      <c r="D6" s="140">
        <v>9.2200000000000006</v>
      </c>
      <c r="E6" s="140">
        <v>40</v>
      </c>
      <c r="F6" s="140">
        <v>0</v>
      </c>
      <c r="G6" s="142">
        <v>0.37890685142417241</v>
      </c>
      <c r="H6" s="140">
        <v>15.59</v>
      </c>
      <c r="I6" s="140">
        <v>1.24</v>
      </c>
      <c r="J6" s="140">
        <v>0</v>
      </c>
      <c r="K6" s="140">
        <v>10.392000000000001</v>
      </c>
      <c r="L6" s="140">
        <v>10.392000000000001</v>
      </c>
      <c r="M6" s="140">
        <v>0</v>
      </c>
      <c r="N6" s="140">
        <v>53.457999999999998</v>
      </c>
      <c r="O6" s="142">
        <v>0.41153194765203999</v>
      </c>
      <c r="Q6"/>
    </row>
    <row r="7" spans="1:18" s="31" customFormat="1" x14ac:dyDescent="0.3">
      <c r="A7" s="9" t="s">
        <v>611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302021</v>
      </c>
      <c r="B8" s="140">
        <v>24975</v>
      </c>
      <c r="C8" s="141">
        <v>11338.78</v>
      </c>
      <c r="D8" s="140">
        <v>0</v>
      </c>
      <c r="E8" s="140">
        <v>0</v>
      </c>
      <c r="F8" s="140">
        <v>0</v>
      </c>
      <c r="G8" s="142">
        <v>0</v>
      </c>
      <c r="H8" s="140">
        <v>2997</v>
      </c>
      <c r="I8" s="140">
        <v>910.08</v>
      </c>
      <c r="J8" s="140">
        <v>0</v>
      </c>
      <c r="K8" s="140">
        <v>1998</v>
      </c>
      <c r="L8" s="140">
        <v>1998</v>
      </c>
      <c r="M8" s="140">
        <v>0</v>
      </c>
      <c r="N8" s="140">
        <v>19069.919999999998</v>
      </c>
      <c r="O8" s="142">
        <v>0.76356036036036024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616</v>
      </c>
    </row>
    <row r="2" spans="1:4" x14ac:dyDescent="0.3">
      <c r="B2" s="29">
        <f>SUM(B6:B5000)</f>
        <v>24975</v>
      </c>
      <c r="C2" s="29">
        <f>SUM(C6:C5000)</f>
        <v>19069.919999999998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602</v>
      </c>
      <c r="B5" s="10">
        <v>129.9</v>
      </c>
      <c r="C5" s="10">
        <v>53.457999999999998</v>
      </c>
    </row>
    <row r="6" spans="1:4" x14ac:dyDescent="0.3">
      <c r="A6" s="9" t="s">
        <v>611</v>
      </c>
      <c r="B6" s="140">
        <v>24975</v>
      </c>
      <c r="C6" s="140">
        <v>19069.919999999998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81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2026-09-24T13:20:58Z</dcterms:modified>
  <cp:category/>
  <cp:contentStatus/>
</cp:coreProperties>
</file>