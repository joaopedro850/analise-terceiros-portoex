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12E9A2D-120F-4B5B-97B6-6D0976BC9EC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<sst xmlns="http://schemas.openxmlformats.org/spreadsheetml/2006/main" count="857" uniqueCount="590">
  <si>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</si>
  <si>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</si>
  <si>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</si>
  <si>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</si>
  <si>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</si>
  <si>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</si>
  <si>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</si>
  <si>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</si>
  <si>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</si>
  <si>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</si>
  <si>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</si>
  <si>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</si>
  <si>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</si>
  <si>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</si>
  <si>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</si>
  <si>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</si>
  <si>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</si>
  <si>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</si>
  <si>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</si>
  <si>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</si>
  <si>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</si>
  <si>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</si>
  <si>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</si>
  <si>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</si>
  <si>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</si>
  <si>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</si>
  <si>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</si>
  <si>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</si>
  <si>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</si>
  <si>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</si>
  <si>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</si>
  <si>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</si>
  <si>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</si>
  <si>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</si>
  <si>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</si>
  <si>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</si>
  <si>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</si>
  <si>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</si>
  <si>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</si>
  <si>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</si>
  <si>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</si>
  <si>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</si>
  <si>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</si>
  <si>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</si>
  <si>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</si>
  <si>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</si>
  <si>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</si>
  <si>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</si>
  <si>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</si>
  <si>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</si>
  <si>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</si>
  <si>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</si>
  <si>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</si>
  <si>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</si>
  <si>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</si>
  <si>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</si>
  <si>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</si>
  <si>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</si>
  <si>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</si>
  <si>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</si>
  <si>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</si>
  <si>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</si>
  <si>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</si>
  <si>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</si>
  <si>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</si>
  <si>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</si>
  <si>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</si>
  <si>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</si>
  <si>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</si>
  <si>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</si>
  <si>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</si>
  <si>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</si>
  <si>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</si>
  <si>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</si>
  <si>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</si>
  <si>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</si>
  <si>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</si>
  <si>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</si>
  <si>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</si>
  <si>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</si>
  <si>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</si>
  <si>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</si>
  <si>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</si>
  <si>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</si>
  <si>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</si>
  <si>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</si>
  <si>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</si>
  <si>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</si>
  <si>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</si>
  <si>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</si>
  <si>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</si>
  <si>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</si>
  <si>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</si>
  <si>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</si>
  <si>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</si>
  <si>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</si>
  <si>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</si>
  <si>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</si>
  <si>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</si>
  <si>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</si>
  <si>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</si>
  <si>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</si>
  <si>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</si>
  <si>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</si>
  <si>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</si>
  <si>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</si>
  <si>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</si>
  <si>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</si>
  <si>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</si>
  <si>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</si>
  <si>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</si>
  <si>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</si>
  <si>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</si>
  <si>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</si>
  <si>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</si>
  <si>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</si>
  <si>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</si>
  <si>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</si>
  <si>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</si>
  <si>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</si>
  <si>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</si>
  <si>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</si>
  <si>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</si>
  <si>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</si>
  <si>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</si>
  <si>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</si>
  <si>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</si>
  <si>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</si>
  <si>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</si>
  <si>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</si>
  <si>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</si>
  <si>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</si>
  <si>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</si>
  <si>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</si>
  <si>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</si>
  <si>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</si>
  <si>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</si>
  <si>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</si>
  <si>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</si>
  <si>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</si>
  <si>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</si>
  <si>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</si>
  <si>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</si>
  <si>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</si>
  <si>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</si>
  <si>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</si>
  <si>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</si>
  <si>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</si>
  <si>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</si>
  <si>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</si>
  <si>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</si>
  <si>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</si>
  <si>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</si>
  <si>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</si>
  <si>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</si>
  <si>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</si>
  <si>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</si>
  <si>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</si>
  <si>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</si>
  <si>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</si>
  <si>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</si>
  <si>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</si>
  <si>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</si>
  <si>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</si>
  <si>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</si>
  <si>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</si>
  <si>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</si>
  <si>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</si>
  <si>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</si>
  <si>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</si>
  <si>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</si>
  <si>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</si>
  <si>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</si>
  <si>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</si>
  <si>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</si>
  <si>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</si>
  <si>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</si>
  <si>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</si>
  <si>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</si>
  <si>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</si>
  <si>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</si>
  <si>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</si>
  <si>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</si>
  <si>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</si>
  <si>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</si>
  <si>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</si>
  <si>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</si>
  <si>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</si>
  <si>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</si>
  <si>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</si>
  <si>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</si>
  <si>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</si>
  <si>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</si>
  <si>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</si>
  <si>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</si>
  <si>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</si>
  <si>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</si>
  <si>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</si>
  <si>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</si>
  <si>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</si>
  <si>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</si>
  <si>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</si>
  <si>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</si>
  <si>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</si>
  <si>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</si>
  <si>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</si>
  <si>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</si>
  <si>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</si>
  <si>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</si>
  <si>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</si>
  <si>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</si>
  <si>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</si>
  <si>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</si>
  <si>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</si>
  <si>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</si>
  <si>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</si>
  <si>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</si>
  <si>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</si>
  <si>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</si>
  <si>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</si>
  <si>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</si>
  <si>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</si>
  <si>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</si>
  <si>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</si>
  <si>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</si>
  <si>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</si>
  <si>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</si>
  <si>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</si>
  <si>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</si>
  <si>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</si>
  <si>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</si>
  <si>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</si>
  <si>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</si>
  <si>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</si>
  <si>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</si>
  <si>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</si>
  <si>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</si>
  <si>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</si>
  <si>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</si>
  <si>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</si>
  <si>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</si>
  <si>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</si>
  <si>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</si>
  <si>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</si>
  <si>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</si>
  <si>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</si>
  <si>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</si>
  <si>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</si>
  <si>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</si>
  <si>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</si>
  <si>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</si>
  <si>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</si>
  <si>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</si>
  <si>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</si>
  <si>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</si>
  <si>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</si>
  <si>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</si>
  <si>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</si>
  <si>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</si>
  <si>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</si>
  <si>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</si>
  <si>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</si>
  <si>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</si>
  <si>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</si>
  <si>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</si>
  <si>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</si>
  <si>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</si>
  <si>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</si>
  <si>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</si>
  <si>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</si>
  <si>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</si>
  <si>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</si>
  <si>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</si>
  <si>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</si>
  <si>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</si>
  <si>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</si>
  <si>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</si>
  <si>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</si>
  <si>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</si>
  <si>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</si>
  <si>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</si>
  <si>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</si>
  <si>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</si>
  <si>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</si>
  <si>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</si>
  <si>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</si>
  <si>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</si>
  <si>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</si>
  <si>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</si>
  <si>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</si>
  <si>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</si>
  <si>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</si>
  <si>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</si>
  <si>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</si>
  <si>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</si>
  <si>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</si>
  <si>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</si>
  <si>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</si>
  <si>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</si>
  <si>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</si>
  <si>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</si>
  <si>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</si>
  <si>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</si>
  <si>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</si>
  <si>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</si>
  <si>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</si>
  <si>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</si>
  <si>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</si>
  <si>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</si>
  <si>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</si>
  <si>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</si>
  <si>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</si>
  <si>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</si>
  <si>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</si>
  <si>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</si>
  <si>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</si>
  <si>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</si>
  <si>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</si>
  <si>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</si>
  <si>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</si>
  <si>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</si>
  <si>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</si>
  <si>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</si>
  <si>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</si>
  <si>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</si>
  <si>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</si>
  <si>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</si>
  <si>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</si>
  <si>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</si>
  <si>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</si>
  <si>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</si>
  <si>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</si>
  <si>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</si>
  <si>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</si>
  <si>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</si>
  <si>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</si>
  <si>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</si>
  <si>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</si>
  <si>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</si>
  <si>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</si>
  <si>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</si>
  <si>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</si>
  <si>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</si>
  <si>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</si>
  <si>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</si>
  <si>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</si>
  <si>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</si>
  <si>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</si>
  <si>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</si>
  <si>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</si>
  <si>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</si>
  <si>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</si>
  <si>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</si>
  <si>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</si>
  <si>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</si>
  <si>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</si>
  <si>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</si>
  <si>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</si>
  <si>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</si>
  <si>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</si>
  <si>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</si>
  <si>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</si>
  <si>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</si>
  <si>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</si>
  <si>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</si>
  <si>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</si>
  <si>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</si>
  <si>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</si>
  <si>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</si>
  <si>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</si>
  <si>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</si>
  <si>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</si>
  <si>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</si>
  <si>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</si>
  <si>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</si>
  <si>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</si>
  <si>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</si>
  <si>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</si>
  <si>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</si>
  <si>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</si>
  <si>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</si>
  <si>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</si>
  <si>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</si>
  <si>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</si>
  <si>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</si>
  <si>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</si>
  <si>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</si>
  <si>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</si>
  <si>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</si>
  <si>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</si>
  <si>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</si>
  <si>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</si>
  <si>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</si>
  <si>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</si>
  <si>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</si>
  <si>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</si>
  <si>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</si>
  <si>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</si>
  <si>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</si>
  <si>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</si>
  <si>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</si>
  <si>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</si>
  <si>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</si>
  <si>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</si>
  <si>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</si>
  <si>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</si>
  <si>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</si>
  <si>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</si>
  <si>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</si>
  <si>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</si>
  <si>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</si>
  <si>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</si>
  <si>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</si>
  <si>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</si>
  <si>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</si>
  <si>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</si>
  <si>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</si>
  <si>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</si>
  <si>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</si>
  <si>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</si>
  <si>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</si>
  <si>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</si>
  <si>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</si>
  <si>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</si>
  <si>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</si>
  <si>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</si>
  <si>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</si>
  <si>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</si>
  <si>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</si>
  <si>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</si>
  <si>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</si>
  <si>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</si>
  <si>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</si>
  <si>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</si>
  <si>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</si>
  <si>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</si>
  <si>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</si>
  <si>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</si>
  <si>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</si>
  <si>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</si>
  <si>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</si>
  <si>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</si>
  <si>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</si>
  <si>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</si>
  <si>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</si>
  <si>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</si>
  <si>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</si>
  <si>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</si>
  <si>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</si>
  <si>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</si>
  <si>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</si>
  <si>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</si>
  <si>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</si>
  <si>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</si>
  <si>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</si>
  <si>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</si>
  <si>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</si>
  <si>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</si>
  <si>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</si>
  <si>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</si>
  <si>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</si>
  <si>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</si>
  <si>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</si>
  <si>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</si>
  <si>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</si>
  <si>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</si>
  <si>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</si>
  <si>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</si>
  <si>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</si>
  <si>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</si>
  <si>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</si>
  <si>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</si>
  <si>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</si>
  <si>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</si>
  <si>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</si>
  <si>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</si>
  <si>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</si>
  <si>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</si>
  <si>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</si>
  <si>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</si>
  <si>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</si>
  <si>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</si>
  <si>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</si>
  <si>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</si>
  <si>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</si>
  <si>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</si>
  <si>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</si>
  <si>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</si>
  <si>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</si>
  <si>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</si>
  <si>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</si>
  <si>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</si>
  <si>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</si>
  <si>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</si>
  <si>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</si>
  <si>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</si>
  <si>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</si>
  <si>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</si>
  <si>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</si>
  <si>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</si>
  <si>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</si>
  <si>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</si>
  <si>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</si>
  <si>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</si>
  <si>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</si>
  <si>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</si>
  <si>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</si>
  <si>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</si>
  <si>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</si>
  <si>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</si>
  <si>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</si>
  <si>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</si>
  <si>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</si>
  <si>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</si>
  <si>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</si>
  <si>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</si>
  <si>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</si>
  <si>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</si>
  <si>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</si>
  <si>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</si>
  <si>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</si>
  <si>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</si>
  <si>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</si>
  <si>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</si>
  <si>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</si>
  <si>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</si>
  <si>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</si>
  <si>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</si>
  <si>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</si>
  <si>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</si>
  <si>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</si>
  <si>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</si>
  <si>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</si>
  <si>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</si>
  <si>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</si>
  <si>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</si>
  <si>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</si>
  <si>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</si>
  <si>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</si>
  <si>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</si>
  <si>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</si>
  <si>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</si>
  <si>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</si>
  <si>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</si>
  <si>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</si>
  <si>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</si>
  <si>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</si>
  <si>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</si>
  <si>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</si>
  <si>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</si>
  <si>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</si>
  <si>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</si>
  <si>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</si>
  <si>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</si>
  <si>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</si>
  <si>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</si>
  <si>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</si>
  <si>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</si>
  <si>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</si>
  <si>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</si>
  <si>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</si>
  <si>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</si>
  <si>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</si>
  <si>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</si>
  <si>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</si>
  <si>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</si>
  <si>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</si>
  <si>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</si>
  <si>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</si>
  <si>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</si>
  <si>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</si>
  <si>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</si>
  <si>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</si>
  <si>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</si>
  <si>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</si>
  <si>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</si>
  <si>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</si>
  <si>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</si>
  <si>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</si>
  <si>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</si>
  <si>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3011-1</t>
  </si>
  <si>
    <t>AC COMERCIAL IM</t>
  </si>
  <si>
    <t>TIAGO SANTANA</t>
  </si>
  <si>
    <t>PERSONALIZADO_L</t>
  </si>
  <si>
    <t>CTE NORMAL</t>
  </si>
  <si>
    <t>BRASILIA - DF - DF</t>
  </si>
  <si>
    <t>NANO TRANSPORTES LTDA</t>
  </si>
  <si>
    <t>INDEFINIDO</t>
  </si>
  <si>
    <t>Navegantes-Sc X Brasilia-Dfcarreta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</si>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</sst>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[Analise_ANILTON_11092026.xlsx]Resumo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19184.580000000002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2982.4136000000008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[Analise_ANILTON_11092026.xlsx]Resumo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19184.580000000002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2982.4136000000008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027824073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1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0T00:00:00" maxDate="2026-09-11T00:00:00"/>
    </cacheField>
    <cacheField name="DATA" numFmtId="14">
      <sharedItems containsNonDate="0" containsDate="1" containsString="0" containsBlank="1" minDate="2026-09-11T00:00:00" maxDate="2026-09-1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65146.24" maxValue="365146.24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9184.580000000002" maxValue="19184.580000000002"/>
    </cacheField>
    <cacheField name="VOLUMES" numFmtId="0">
      <sharedItems containsString="0" containsBlank="1" containsNumber="1" containsInteger="1" minValue="19" maxValue="19"/>
    </cacheField>
    <cacheField name="PESO" numFmtId="0">
      <sharedItems containsString="0" containsBlank="1" containsNumber="1" containsInteger="1" minValue="6840" maxValue="684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13000" maxValue="130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342.92" maxValue="1342.9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46.06" maxValue="146.0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4488.98" maxValue="14488.98"/>
    </cacheField>
    <cacheField name="RECEITA" numFmtId="0">
      <sharedItems containsString="0" containsBlank="1" containsNumber="1" minValue="4695.6000000000004" maxValue="4695.6000000000004"/>
    </cacheField>
    <cacheField name="IMPOSTO" numFmtId="0">
      <sharedItems containsString="0" containsBlank="1" containsNumber="1" minValue="3069.53" maxValue="3069.53"/>
    </cacheField>
    <cacheField name="RESULTADO" numFmtId="0">
      <sharedItems containsString="0" containsBlank="1" containsNumber="1" minValue="1626.0700000000002" maxValue="1626.0700000000002"/>
    </cacheField>
    <cacheField name="COMIS" numFmtId="0">
      <sharedItems containsString="0" containsBlank="1" containsNumber="1" minValue="178.42" maxValue="178.42"/>
    </cacheField>
    <cacheField name="LUCRO LIQ" numFmtId="0">
      <sharedItems containsString="0" containsBlank="1" containsNumber="1" minValue="1447.65" maxValue="1447.65"/>
    </cacheField>
    <cacheField name="MARGEM" numFmtId="10">
      <sharedItems containsString="0" containsBlank="1" containsNumber="1" minValue="7.5499999999999998E-2" maxValue="7.5499999999999998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0T00:00:00"/>
    <d v="2026-09-11T00:00:00"/>
    <m/>
    <s v="3011-1"/>
    <x v="0"/>
    <s v="TIAGO SANTANA"/>
    <n v="365146.24"/>
    <x v="0"/>
    <s v="CTE NORMAL"/>
    <s v="BRASILIA - DF - DF"/>
    <n v="19184.580000000002"/>
    <n v="19"/>
    <n v="6840"/>
    <s v="MATRIZ"/>
    <n v="0"/>
    <s v="NANO TRANSPORTES LTDA"/>
    <n v="13000"/>
    <s v="INDEFINIDO"/>
    <n v="0"/>
    <n v="1342.92"/>
    <n v="0"/>
    <n v="0"/>
    <n v="146.06"/>
    <n v="0"/>
    <n v="14488.98"/>
    <n v="4695.6000000000004"/>
    <n v="3069.53"/>
    <n v="1626.0700000000002"/>
    <n v="178.42"/>
    <n v="1447.65"/>
    <n v="7.5499999999999998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3111</v>
      </c>
      <c r="B2" s="12" t="s">
        <v>579</v>
      </c>
      <c r="C2" s="14">
        <v>46275</v>
      </c>
      <c r="D2" s="14">
        <v>46276</v>
      </c>
      <c r="E2" s="12"/>
      <c r="F2" s="15" t="s">
        <v>580</v>
      </c>
      <c r="G2" s="15" t="s">
        <v>581</v>
      </c>
      <c r="H2" s="15" t="s">
        <v>582</v>
      </c>
      <c r="I2" s="16">
        <v>365146.24</v>
      </c>
      <c r="J2" s="15" t="s">
        <v>583</v>
      </c>
      <c r="K2" s="15" t="s">
        <v>584</v>
      </c>
      <c r="L2" s="15" t="s">
        <v>585</v>
      </c>
      <c r="M2" s="15">
        <v>19184.580000000002</v>
      </c>
      <c r="N2" s="15">
        <v>19</v>
      </c>
      <c r="O2" s="16">
        <v>6840</v>
      </c>
      <c r="P2" s="15" t="s">
        <v>579</v>
      </c>
      <c r="Q2" s="15">
        <v>0</v>
      </c>
      <c r="R2" s="15" t="s">
        <v>586</v>
      </c>
      <c r="S2" s="15">
        <v>13000</v>
      </c>
      <c r="T2" s="15" t="s">
        <v>587</v>
      </c>
      <c r="U2" s="15">
        <v>0</v>
      </c>
      <c r="V2" s="15">
        <v>1342.92</v>
      </c>
      <c r="W2" s="15">
        <v>0</v>
      </c>
      <c r="X2" s="15">
        <v>0</v>
      </c>
      <c r="Y2" s="15">
        <v>146.06</v>
      </c>
      <c r="Z2" s="15">
        <v>0</v>
      </c>
      <c r="AA2" s="15">
        <v>14488.98</v>
      </c>
      <c r="AB2" s="15">
        <v>4695.6000000000004</v>
      </c>
      <c r="AC2" s="15">
        <v>3069.53</v>
      </c>
      <c r="AD2" s="15">
        <v>1626.0700000000002</v>
      </c>
      <c r="AE2" s="15">
        <v>178.42</v>
      </c>
      <c r="AF2" s="15">
        <v>1447.65</v>
      </c>
      <c r="AG2" s="17">
        <v>7.5499999999999998E-2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19184.580000000002</v>
      </c>
      <c r="F3" s="93"/>
      <c r="G3" s="94"/>
      <c r="H3" s="95">
        <f>'Resumo Detalhado'!C2</f>
        <v>6840</v>
      </c>
      <c r="I3" s="96"/>
      <c r="J3" s="97">
        <f>E3/H3</f>
        <v>2.8047631578947372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0.31090909090909091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13000</v>
      </c>
      <c r="F7" s="109"/>
      <c r="G7" s="109"/>
      <c r="H7" s="109"/>
      <c r="I7" s="109"/>
      <c r="J7" s="109">
        <f>E7/H3</f>
        <v>1.9005847953216375</v>
      </c>
      <c r="K7" s="109"/>
      <c r="L7" s="109"/>
      <c r="M7" s="110">
        <f>E7/E3</f>
        <v>0.67762755296180577</v>
      </c>
      <c r="N7" s="110"/>
      <c r="O7" s="110"/>
      <c r="P7" s="109">
        <f>E11+K11+Q11+E15+K15+Q15+E19+H19+K19</f>
        <v>19093.279200000001</v>
      </c>
      <c r="Q7" s="109"/>
      <c r="R7" s="109"/>
      <c r="S7" s="109">
        <f>P7/H3</f>
        <v>2.7914150877192982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13000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13000</v>
      </c>
      <c r="L11" s="94"/>
      <c r="M11" s="38"/>
      <c r="N11" s="92">
        <f>K11/H3</f>
        <v>1.9005847953216375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1342.92</v>
      </c>
      <c r="F15" s="113"/>
      <c r="G15" s="113"/>
      <c r="H15" s="113"/>
      <c r="I15" s="114"/>
      <c r="J15" s="38"/>
      <c r="K15" s="116">
        <f>'Resumo Detalhado'!K2+'Resumo Detalhado'!L2</f>
        <v>3069.5328000000004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146.06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1534.7664000000002</v>
      </c>
      <c r="L19" s="108"/>
      <c r="M19" s="38"/>
      <c r="N19" s="112" t="s">
        <v>588</v>
      </c>
      <c r="O19" s="113"/>
      <c r="P19" s="113"/>
      <c r="Q19" s="113"/>
      <c r="R19" s="119"/>
      <c r="S19" s="112" t="e">
        <f>_xlfn.XLOOKUP(N19,Target!C:C,Target!D:D)</f>
        <v>#N/A</v>
      </c>
      <c r="T19" s="113"/>
      <c r="U19" s="119"/>
      <c r="V19" s="36"/>
      <c r="W19" s="126" t="e">
        <f>IF(D11=S19,"NO TARGET",IF(D11&lt;S19,"ABAIXO DO TARGET",IF(D11&gt;S19,"FORA DO TARGET")))</f>
        <v>#N/A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2982.4136000000008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0.1554588945913854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3.1093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19184.580000000002</v>
      </c>
      <c r="C2" s="29">
        <f>SUM(C6:C5000)</f>
        <v>6840</v>
      </c>
      <c r="D2" s="29">
        <f>SUM(D6:D5000)</f>
        <v>0</v>
      </c>
      <c r="E2" s="29">
        <f>SUM(E6:E5000)</f>
        <v>13000</v>
      </c>
      <c r="F2" s="29">
        <f>SUM(F6:F5000)</f>
        <v>0</v>
      </c>
      <c r="G2" s="29"/>
      <c r="H2" s="29">
        <f t="shared" ref="H2:P2" si="0">SUM(H6:H5000)</f>
        <v>1342.92</v>
      </c>
      <c r="I2" s="29">
        <f t="shared" si="0"/>
        <v>146.06</v>
      </c>
      <c r="J2" s="29">
        <f t="shared" si="0"/>
        <v>0</v>
      </c>
      <c r="K2" s="29">
        <f t="shared" si="0"/>
        <v>1534.7664000000002</v>
      </c>
      <c r="L2" s="29">
        <f t="shared" si="0"/>
        <v>1534.7664000000002</v>
      </c>
      <c r="M2" s="29">
        <f t="shared" si="0"/>
        <v>178.42</v>
      </c>
      <c r="N2" s="29">
        <f t="shared" si="0"/>
        <v>2982.4136000000008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3111</v>
      </c>
      <c r="B6" s="140">
        <v>19184.580000000002</v>
      </c>
      <c r="C6" s="141">
        <v>6840</v>
      </c>
      <c r="D6" s="140">
        <v>0</v>
      </c>
      <c r="E6" s="140">
        <v>13000</v>
      </c>
      <c r="F6" s="140">
        <v>0</v>
      </c>
      <c r="G6" s="142">
        <v>0.67762755296180577</v>
      </c>
      <c r="H6" s="140">
        <v>1342.92</v>
      </c>
      <c r="I6" s="140">
        <v>146.06</v>
      </c>
      <c r="J6" s="140">
        <v>0</v>
      </c>
      <c r="K6" s="140">
        <v>1534.7664000000002</v>
      </c>
      <c r="L6" s="140">
        <v>1534.7664000000002</v>
      </c>
      <c r="M6" s="140">
        <v>178.42</v>
      </c>
      <c r="N6" s="140">
        <v>2982.4136000000008</v>
      </c>
      <c r="O6" s="142">
        <v>0.1554588945913854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19184.580000000002</v>
      </c>
      <c r="C5" s="10">
        <v>2982.4136000000008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2026-09-16T13:19:43Z</dcterms:modified>
  <cp:category/>
  <cp:contentStatus/>
</cp:coreProperties>
</file>