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817403D-9D4D-4CCC-A149-AB50A28F2F6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<sst xmlns="http://schemas.openxmlformats.org/spreadsheetml/2006/main" count="870" uniqueCount="594">
  <si>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</si>
  <si>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</si>
  <si>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</si>
  <si>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</si>
  <si>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</si>
  <si>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</si>
  <si>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</si>
  <si>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</si>
  <si>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</si>
  <si>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</si>
  <si>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</si>
  <si>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</si>
  <si>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</si>
  <si>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</si>
  <si>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</si>
  <si>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</si>
  <si>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</si>
  <si>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</si>
  <si>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</si>
  <si>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</si>
  <si>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</si>
  <si>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</si>
  <si>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</si>
  <si>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</si>
  <si>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</si>
  <si>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</si>
  <si>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</si>
  <si>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</si>
  <si>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</si>
  <si>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</si>
  <si>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</si>
  <si>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</si>
  <si>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</si>
  <si>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</si>
  <si>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</si>
  <si>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</si>
  <si>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</si>
  <si>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</si>
  <si>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</si>
  <si>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</si>
  <si>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</si>
  <si>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</si>
  <si>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</si>
  <si>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</si>
  <si>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</si>
  <si>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</si>
  <si>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</si>
  <si>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</si>
  <si>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</si>
  <si>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</si>
  <si>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</si>
  <si>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</si>
  <si>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</si>
  <si>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</si>
  <si>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</si>
  <si>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</si>
  <si>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</si>
  <si>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</si>
  <si>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</si>
  <si>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</si>
  <si>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</si>
  <si>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</si>
  <si>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</si>
  <si>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</si>
  <si>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</si>
  <si>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</si>
  <si>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</si>
  <si>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</si>
  <si>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</si>
  <si>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</si>
  <si>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</si>
  <si>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</si>
  <si>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</si>
  <si>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</si>
  <si>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</si>
  <si>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</si>
  <si>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</si>
  <si>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</si>
  <si>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</si>
  <si>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</si>
  <si>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</si>
  <si>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</si>
  <si>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</si>
  <si>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</si>
  <si>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</si>
  <si>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</si>
  <si>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</si>
  <si>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</si>
  <si>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</si>
  <si>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</si>
  <si>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</si>
  <si>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</si>
  <si>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</si>
  <si>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</si>
  <si>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</si>
  <si>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</si>
  <si>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</si>
  <si>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</si>
  <si>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</si>
  <si>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</si>
  <si>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</si>
  <si>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</si>
  <si>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</si>
  <si>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</si>
  <si>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</si>
  <si>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</si>
  <si>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</si>
  <si>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</si>
  <si>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</si>
  <si>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</si>
  <si>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</si>
  <si>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</si>
  <si>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</si>
  <si>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</si>
  <si>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</si>
  <si>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</si>
  <si>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</si>
  <si>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</si>
  <si>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</si>
  <si>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</si>
  <si>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</si>
  <si>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</si>
  <si>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</si>
  <si>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</si>
  <si>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</si>
  <si>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</si>
  <si>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</si>
  <si>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</si>
  <si>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</si>
  <si>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</si>
  <si>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</si>
  <si>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</si>
  <si>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</si>
  <si>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</si>
  <si>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</si>
  <si>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</si>
  <si>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</si>
  <si>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</si>
  <si>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</si>
  <si>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</si>
  <si>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</si>
  <si>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</si>
  <si>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</si>
  <si>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</si>
  <si>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</si>
  <si>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</si>
  <si>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</si>
  <si>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</si>
  <si>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</si>
  <si>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</si>
  <si>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</si>
  <si>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</si>
  <si>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</si>
  <si>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</si>
  <si>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</si>
  <si>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</si>
  <si>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</si>
  <si>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</si>
  <si>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</si>
  <si>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</si>
  <si>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</si>
  <si>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</si>
  <si>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</si>
  <si>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</si>
  <si>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</si>
  <si>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</si>
  <si>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</si>
  <si>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</si>
  <si>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</si>
  <si>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</si>
  <si>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</si>
  <si>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</si>
  <si>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</si>
  <si>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</si>
  <si>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</si>
  <si>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</si>
  <si>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</si>
  <si>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</si>
  <si>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</si>
  <si>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</si>
  <si>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</si>
  <si>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</si>
  <si>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</si>
  <si>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</si>
  <si>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</si>
  <si>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</si>
  <si>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</si>
  <si>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</si>
  <si>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</si>
  <si>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</si>
  <si>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</si>
  <si>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</si>
  <si>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</si>
  <si>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</si>
  <si>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</si>
  <si>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</si>
  <si>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</si>
  <si>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</si>
  <si>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</si>
  <si>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</si>
  <si>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</si>
  <si>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</si>
  <si>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</si>
  <si>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</si>
  <si>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</si>
  <si>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</si>
  <si>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</si>
  <si>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</si>
  <si>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</si>
  <si>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</si>
  <si>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</si>
  <si>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</si>
  <si>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</si>
  <si>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</si>
  <si>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</si>
  <si>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</si>
  <si>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</si>
  <si>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</si>
  <si>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</si>
  <si>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</si>
  <si>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</si>
  <si>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</si>
  <si>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</si>
  <si>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</si>
  <si>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</si>
  <si>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</si>
  <si>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</si>
  <si>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</si>
  <si>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</si>
  <si>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</si>
  <si>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</si>
  <si>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</si>
  <si>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</si>
  <si>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</si>
  <si>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</si>
  <si>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</si>
  <si>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</si>
  <si>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</si>
  <si>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</si>
  <si>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</si>
  <si>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</si>
  <si>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</si>
  <si>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</si>
  <si>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</si>
  <si>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</si>
  <si>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</si>
  <si>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</si>
  <si>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</si>
  <si>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</si>
  <si>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</si>
  <si>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</si>
  <si>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</si>
  <si>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</si>
  <si>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</si>
  <si>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</si>
  <si>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</si>
  <si>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</si>
  <si>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</si>
  <si>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</si>
  <si>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</si>
  <si>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</si>
  <si>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</si>
  <si>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</si>
  <si>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</si>
  <si>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</si>
  <si>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</si>
  <si>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</si>
  <si>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</si>
  <si>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</si>
  <si>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</si>
  <si>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</si>
  <si>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</si>
  <si>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</si>
  <si>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</si>
  <si>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</si>
  <si>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</si>
  <si>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</si>
  <si>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</si>
  <si>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</si>
  <si>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</si>
  <si>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</si>
  <si>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</si>
  <si>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</si>
  <si>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</si>
  <si>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</si>
  <si>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</si>
  <si>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</si>
  <si>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</si>
  <si>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</si>
  <si>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</si>
  <si>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</si>
  <si>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</si>
  <si>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</si>
  <si>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</si>
  <si>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</si>
  <si>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</si>
  <si>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</si>
  <si>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</si>
  <si>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</si>
  <si>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</si>
  <si>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</si>
  <si>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</si>
  <si>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</si>
  <si>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</si>
  <si>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</si>
  <si>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</si>
  <si>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</si>
  <si>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</si>
  <si>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</si>
  <si>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</si>
  <si>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</si>
  <si>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</si>
  <si>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</si>
  <si>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</si>
  <si>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</si>
  <si>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</si>
  <si>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</si>
  <si>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</si>
  <si>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</si>
  <si>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</si>
  <si>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</si>
  <si>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</si>
  <si>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</si>
  <si>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</si>
  <si>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</si>
  <si>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</si>
  <si>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</si>
  <si>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</si>
  <si>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</si>
  <si>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</si>
  <si>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</si>
  <si>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</si>
  <si>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</si>
  <si>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</si>
  <si>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</si>
  <si>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</si>
  <si>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</si>
  <si>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</si>
  <si>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</si>
  <si>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</si>
  <si>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</si>
  <si>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</si>
  <si>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</si>
  <si>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</si>
  <si>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</si>
  <si>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</si>
  <si>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</si>
  <si>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</si>
  <si>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</si>
  <si>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</si>
  <si>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</si>
  <si>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</si>
  <si>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</si>
  <si>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</si>
  <si>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</si>
  <si>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</si>
  <si>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</si>
  <si>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</si>
  <si>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</si>
  <si>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</si>
  <si>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</si>
  <si>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</si>
  <si>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</si>
  <si>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</si>
  <si>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</si>
  <si>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</si>
  <si>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</si>
  <si>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</si>
  <si>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</si>
  <si>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</si>
  <si>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</si>
  <si>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</si>
  <si>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</si>
  <si>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</si>
  <si>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</si>
  <si>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</si>
  <si>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</si>
  <si>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</si>
  <si>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</si>
  <si>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</si>
  <si>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</si>
  <si>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</si>
  <si>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</si>
  <si>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</si>
  <si>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</si>
  <si>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</si>
  <si>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</si>
  <si>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</si>
  <si>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</si>
  <si>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</si>
  <si>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</si>
  <si>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</si>
  <si>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</si>
  <si>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</si>
  <si>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</si>
  <si>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</si>
  <si>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</si>
  <si>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</si>
  <si>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</si>
  <si>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</si>
  <si>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</si>
  <si>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</si>
  <si>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</si>
  <si>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</si>
  <si>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</si>
  <si>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</si>
  <si>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</si>
  <si>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</si>
  <si>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</si>
  <si>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</si>
  <si>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</si>
  <si>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</si>
  <si>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</si>
  <si>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</si>
  <si>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</si>
  <si>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</si>
  <si>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</si>
  <si>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</si>
  <si>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</si>
  <si>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</si>
  <si>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</si>
  <si>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</si>
  <si>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</si>
  <si>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</si>
  <si>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</si>
  <si>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</si>
  <si>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</si>
  <si>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</si>
  <si>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</si>
  <si>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</si>
  <si>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</si>
  <si>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</si>
  <si>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</si>
  <si>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</si>
  <si>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</si>
  <si>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</si>
  <si>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</si>
  <si>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</si>
  <si>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</si>
  <si>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</si>
  <si>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</si>
  <si>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</si>
  <si>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</si>
  <si>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</si>
  <si>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</si>
  <si>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</si>
  <si>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</si>
  <si>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</si>
  <si>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</si>
  <si>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</si>
  <si>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</si>
  <si>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</si>
  <si>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</si>
  <si>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</si>
  <si>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</si>
  <si>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</si>
  <si>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</si>
  <si>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</si>
  <si>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</si>
  <si>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</si>
  <si>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</si>
  <si>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</si>
  <si>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</si>
  <si>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</si>
  <si>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</si>
  <si>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</si>
  <si>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</si>
  <si>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</si>
  <si>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</si>
  <si>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</si>
  <si>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</si>
  <si>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</si>
  <si>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</si>
  <si>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</si>
  <si>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</si>
  <si>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</si>
  <si>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</si>
  <si>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</si>
  <si>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</si>
  <si>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</si>
  <si>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</si>
  <si>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</si>
  <si>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</si>
  <si>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</si>
  <si>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</si>
  <si>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</si>
  <si>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</si>
  <si>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</si>
  <si>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</si>
  <si>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</si>
  <si>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</si>
  <si>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</si>
  <si>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</si>
  <si>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</si>
  <si>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</si>
  <si>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</si>
  <si>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</si>
  <si>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</si>
  <si>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</si>
  <si>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</si>
  <si>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</si>
  <si>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</si>
  <si>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</si>
  <si>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</si>
  <si>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</si>
  <si>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</si>
  <si>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</si>
  <si>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</si>
  <si>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</si>
  <si>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</si>
  <si>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</si>
  <si>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</si>
  <si>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</si>
  <si>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</si>
  <si>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</si>
  <si>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</si>
  <si>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</si>
  <si>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</si>
  <si>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</si>
  <si>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</si>
  <si>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</si>
  <si>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</si>
  <si>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</si>
  <si>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</si>
  <si>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</si>
  <si>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</si>
  <si>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</si>
  <si>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</si>
  <si>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</si>
  <si>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</si>
  <si>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</si>
  <si>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</si>
  <si>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</si>
  <si>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</si>
  <si>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</si>
  <si>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</si>
  <si>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</si>
  <si>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</si>
  <si>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</si>
  <si>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</si>
  <si>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</si>
  <si>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</si>
  <si>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</si>
  <si>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</si>
  <si>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</si>
  <si>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</si>
  <si>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</si>
  <si>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</si>
  <si>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</si>
  <si>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</si>
  <si>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</si>
  <si>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</si>
  <si>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</si>
  <si>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</si>
  <si>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</si>
  <si>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</si>
  <si>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</si>
  <si>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</si>
  <si>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</si>
  <si>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</si>
  <si>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</si>
  <si>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</si>
  <si>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</si>
  <si>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</si>
  <si>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</si>
  <si>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</si>
  <si>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</si>
  <si>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</si>
  <si>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</si>
  <si>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</si>
  <si>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</si>
  <si>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</si>
  <si>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</si>
  <si>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</si>
  <si>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</si>
  <si>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</si>
  <si>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</si>
  <si>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</si>
  <si>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</si>
  <si>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</si>
  <si>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2880-1</t>
  </si>
  <si>
    <t>TWO ROLAMENTOS</t>
  </si>
  <si>
    <t>URIEL CORREA</t>
  </si>
  <si>
    <t>PERSONALIZADO_L</t>
  </si>
  <si>
    <t>CTE NORMAL</t>
  </si>
  <si>
    <t>SERTAOZINHO - SP</t>
  </si>
  <si>
    <t>DARLILSON DOS SANTOS OLIV</t>
  </si>
  <si>
    <t>ARNOLDO FELIX DOS SANTOS</t>
  </si>
  <si>
    <t>INDEFINIDO</t>
  </si>
  <si>
    <t>2881-1</t>
  </si>
  <si>
    <t>TRATORCOM COMER</t>
  </si>
  <si>
    <t>PIRACICABA - SP</t>
  </si>
  <si>
    <t>Itajai-Sc X Piracicaba-Sptruck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</si>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</sst>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[Analise_ARNOLDO_03092026.xlsx]Resumo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TRATORCOM COMER</c:v>
                </c:pt>
                <c:pt idx="1">
                  <c:v>TWO ROLAMENTOS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6000</c:v>
                </c:pt>
                <c:pt idx="1">
                  <c:v>989.98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TRATORCOM COMER</c:v>
                </c:pt>
                <c:pt idx="1">
                  <c:v>TWO ROLAMENTOS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537.84000000000015</c:v>
                </c:pt>
                <c:pt idx="1">
                  <c:v>89.15160000000003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[Analise_ARNOLDO_03092026.xlsx]Resumo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TRATORCOM COMER</c:v>
                </c:pt>
                <c:pt idx="1">
                  <c:v>TWO ROLAMENTOS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6000</c:v>
                </c:pt>
                <c:pt idx="1">
                  <c:v>989.98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TRATORCOM COMER</c:v>
                </c:pt>
                <c:pt idx="1">
                  <c:v>TWO ROLAMENTOS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537.84000000000015</c:v>
                </c:pt>
                <c:pt idx="1">
                  <c:v>89.15160000000003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57800092592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975"/>
        <n v="297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4T00:00:00"/>
    </cacheField>
    <cacheField name="DATA" numFmtId="14">
      <sharedItems containsNonDate="0" containsDate="1" containsString="0" containsBlank="1" minDate="2026-09-03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7">
        <s v="TWO ROLAMENTOS"/>
        <s v="TRATORCOM COME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4070.379999999997" maxValue="197274.27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89.98" maxValue="6000"/>
    </cacheField>
    <cacheField name="VOLUMES" numFmtId="0">
      <sharedItems containsString="0" containsBlank="1" containsNumber="1" containsInteger="1" minValue="7" maxValue="8"/>
    </cacheField>
    <cacheField name="PESO" numFmtId="0">
      <sharedItems containsString="0" containsBlank="1" containsNumber="1" minValue="1152.6199999999999" maxValue="7464.9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665.65" maxValue="4034.3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18.8" maxValue="72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3.63" maxValue="78.91"/>
    </cacheField>
    <cacheField name="OUTROS" numFmtId="0">
      <sharedItems containsString="0" containsBlank="1" containsNumber="1" minValue="14.84" maxValue="96.1"/>
    </cacheField>
    <cacheField name="C.TOTAL" numFmtId="0">
      <sharedItems containsString="0" containsBlank="1" containsNumber="1" minValue="812.92" maxValue="4929.3599999999997"/>
    </cacheField>
    <cacheField name="RECEITA" numFmtId="0">
      <sharedItems containsString="0" containsBlank="1" containsNumber="1" minValue="177.06" maxValue="1070.6400000000001"/>
    </cacheField>
    <cacheField name="IMPOSTO" numFmtId="0">
      <sharedItems containsString="0" containsBlank="1" containsNumber="1" minValue="158.4" maxValue="960"/>
    </cacheField>
    <cacheField name="RESULTADO" numFmtId="0">
      <sharedItems containsString="0" containsBlank="1" containsNumber="1" minValue="18.66" maxValue="110.64"/>
    </cacheField>
    <cacheField name="COMIS" numFmtId="0">
      <sharedItems containsString="0" containsBlank="1" containsNumber="1" minValue="8.7100000000000009" maxValue="52.8"/>
    </cacheField>
    <cacheField name="LUCRO LIQ" numFmtId="0">
      <sharedItems containsString="0" containsBlank="1" containsNumber="1" minValue="9.9499999999999993" maxValue="57.84"/>
    </cacheField>
    <cacheField name="MARGEM" numFmtId="10">
      <sharedItems containsString="0" containsBlank="1" containsNumber="1" minValue="9.5999999999999992E-3" maxValue="1.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3T00:00:00"/>
    <d v="2026-09-03T00:00:00"/>
    <m/>
    <s v="2880-1"/>
    <x v="0"/>
    <s v="URIEL CORREA"/>
    <n v="34070.379999999997"/>
    <x v="0"/>
    <s v="CTE NORMAL"/>
    <s v="SERTAOZINHO - SP"/>
    <n v="989.98"/>
    <n v="8"/>
    <n v="1152.6199999999999"/>
    <s v="DARLILSON DOS SANTOS OLIV"/>
    <n v="0"/>
    <s v="ARNOLDO FELIX DOS SANTOS"/>
    <n v="665.65"/>
    <s v="INDEFINIDO"/>
    <n v="0"/>
    <n v="118.8"/>
    <n v="0"/>
    <n v="0"/>
    <n v="13.63"/>
    <n v="14.84"/>
    <n v="812.92"/>
    <n v="177.06"/>
    <n v="158.4"/>
    <n v="18.66"/>
    <n v="8.7100000000000009"/>
    <n v="9.9499999999999993"/>
    <n v="1.01E-2"/>
    <m/>
  </r>
  <r>
    <x v="1"/>
    <s v="MATRIZ"/>
    <d v="2026-09-03T00:00:00"/>
    <d v="2026-09-03T00:00:00"/>
    <m/>
    <s v="2881-1"/>
    <x v="1"/>
    <s v="URIEL CORREA"/>
    <n v="197274.27"/>
    <x v="0"/>
    <s v="CTE NORMAL"/>
    <s v="PIRACICABA - SP"/>
    <n v="6000"/>
    <n v="7"/>
    <n v="7464.99"/>
    <s v="DARLILSON DOS SANTOS OLIV"/>
    <n v="0"/>
    <s v="ARNOLDO FELIX DOS SANTOS"/>
    <n v="4034.35"/>
    <s v="INDEFINIDO"/>
    <n v="0"/>
    <n v="720"/>
    <n v="0"/>
    <n v="0"/>
    <n v="78.91"/>
    <n v="96.1"/>
    <n v="4929.3599999999997"/>
    <n v="1070.6400000000001"/>
    <n v="960"/>
    <n v="110.64"/>
    <n v="52.8"/>
    <n v="57.84"/>
    <n v="9.5999999999999992E-3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x="1"/>
        <item sd="0" m="1" x="767"/>
        <item m="1" x="415"/>
        <item sd="0" m="1" x="554"/>
        <item m="1" x="98"/>
        <item x="0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786"/>
    </i>
    <i r="1">
      <x v="7999"/>
    </i>
    <i>
      <x v="791"/>
    </i>
    <i r="1">
      <x v="7998"/>
    </i>
    <i>
      <x v="856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5"/>
            <x v="818"/>
            <x v="83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7"/>
            <x v="793"/>
            <x v="801"/>
            <x v="802"/>
            <x v="803"/>
            <x v="805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x="1"/>
        <item sd="0" m="1" x="767"/>
        <item m="1" x="415"/>
        <item sd="0" m="1" x="554"/>
        <item m="1" x="98"/>
        <item x="0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786"/>
    </i>
    <i>
      <x v="791"/>
    </i>
    <i>
      <x v="85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5"/>
            <x v="818"/>
            <x v="83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7"/>
            <x v="793"/>
            <x v="801"/>
            <x v="802"/>
            <x v="803"/>
            <x v="805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6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9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7">
        <i x="1" s="1"/>
        <i x="0" s="1"/>
        <i x="2" s="1"/>
        <i x="820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4" s="1" nd="1"/>
        <i x="21" s="1" nd="1"/>
        <i x="759" s="1" nd="1"/>
        <i x="113" s="1" nd="1"/>
        <i x="546" s="1" nd="1"/>
        <i x="830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1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2" s="1" nd="1"/>
        <i x="323" s="1" nd="1"/>
        <i x="462" s="1" nd="1"/>
        <i x="507" s="1" nd="1"/>
        <i x="555" s="1" nd="1"/>
        <i x="478" s="1" nd="1"/>
        <i x="245" s="1" nd="1"/>
        <i x="850" s="1" nd="1"/>
        <i x="834" s="1" nd="1"/>
        <i x="744" s="1" nd="1"/>
        <i x="241" s="1" nd="1"/>
        <i x="240" s="1" nd="1"/>
        <i x="463" s="1" nd="1"/>
        <i x="287" s="1" nd="1"/>
        <i x="551" s="1" nd="1"/>
        <i x="847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7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8" s="1" nd="1"/>
        <i x="249" s="1" nd="1"/>
        <i x="765" s="1" nd="1"/>
        <i x="426" s="1" nd="1"/>
        <i x="437" s="1" nd="1"/>
        <i x="168" s="1" nd="1"/>
        <i x="544" s="1" nd="1"/>
        <i x="808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6" s="1" nd="1"/>
        <i x="397" s="1" nd="1"/>
        <i x="259" s="1" nd="1"/>
        <i x="378" s="1" nd="1"/>
        <i x="851" s="1" nd="1"/>
        <i x="649" s="1" nd="1"/>
        <i x="855" s="1" nd="1"/>
        <i x="831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2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5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9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8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3" s="1" nd="1"/>
        <i x="766" s="1" nd="1"/>
        <i x="510" s="1" nd="1"/>
        <i x="823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5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4" s="1" nd="1"/>
        <i x="42" s="1" nd="1"/>
        <i x="807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1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4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7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6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9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2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9" s="1" nd="1"/>
        <i x="70" s="1" nd="1"/>
        <i x="119" s="1" nd="1"/>
        <i x="647" s="1" nd="1"/>
        <i x="412" s="1" nd="1"/>
        <i x="856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2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40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1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6" s="1" nd="1"/>
        <i x="789" s="1" nd="1"/>
        <i x="29" s="1" nd="1"/>
        <i x="784" s="1" nd="1"/>
        <i x="254" s="1" nd="1"/>
        <i x="476" s="1" nd="1"/>
        <i x="814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5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6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5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5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9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3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2" s="1" nd="1"/>
        <i x="496" s="1" nd="1"/>
        <i x="396" s="1" nd="1"/>
        <i x="672" s="1" nd="1"/>
        <i x="186" s="1" nd="1"/>
        <i x="410" s="1" nd="1"/>
        <i x="475" s="1" nd="1"/>
        <i x="839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3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10" s="1" nd="1"/>
        <i x="818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6" s="1" nd="1"/>
        <i x="36" s="1" nd="1"/>
        <i x="312" s="1" nd="1"/>
        <i x="827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3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4" s="1" nd="1"/>
        <i x="838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2975</v>
      </c>
      <c r="B2" s="12" t="s">
        <v>579</v>
      </c>
      <c r="C2" s="14">
        <v>46268</v>
      </c>
      <c r="D2" s="14">
        <v>46268</v>
      </c>
      <c r="E2" s="12"/>
      <c r="F2" s="15" t="s">
        <v>580</v>
      </c>
      <c r="G2" s="15" t="s">
        <v>581</v>
      </c>
      <c r="H2" s="15" t="s">
        <v>582</v>
      </c>
      <c r="I2" s="16">
        <v>34070.379999999997</v>
      </c>
      <c r="J2" s="15" t="s">
        <v>583</v>
      </c>
      <c r="K2" s="15" t="s">
        <v>584</v>
      </c>
      <c r="L2" s="15" t="s">
        <v>585</v>
      </c>
      <c r="M2" s="15">
        <v>989.98</v>
      </c>
      <c r="N2" s="15">
        <v>8</v>
      </c>
      <c r="O2" s="16">
        <v>1152.6199999999999</v>
      </c>
      <c r="P2" s="15" t="s">
        <v>586</v>
      </c>
      <c r="Q2" s="15">
        <v>0</v>
      </c>
      <c r="R2" s="15" t="s">
        <v>587</v>
      </c>
      <c r="S2" s="15">
        <v>665.65</v>
      </c>
      <c r="T2" s="15" t="s">
        <v>588</v>
      </c>
      <c r="U2" s="15">
        <v>0</v>
      </c>
      <c r="V2" s="15">
        <v>118.8</v>
      </c>
      <c r="W2" s="15">
        <v>0</v>
      </c>
      <c r="X2" s="15">
        <v>0</v>
      </c>
      <c r="Y2" s="15">
        <v>13.63</v>
      </c>
      <c r="Z2" s="15">
        <v>14.84</v>
      </c>
      <c r="AA2" s="15">
        <v>812.92</v>
      </c>
      <c r="AB2" s="15">
        <v>177.06</v>
      </c>
      <c r="AC2" s="15">
        <v>158.4</v>
      </c>
      <c r="AD2" s="15">
        <v>18.66</v>
      </c>
      <c r="AE2" s="15">
        <v>8.7100000000000009</v>
      </c>
      <c r="AF2" s="15">
        <v>9.9499999999999993</v>
      </c>
      <c r="AG2" s="17">
        <v>1.01E-2</v>
      </c>
      <c r="AH2" s="15"/>
    </row>
    <row r="3" spans="1:34" s="1" customFormat="1" ht="12" customHeight="1" x14ac:dyDescent="0.3">
      <c r="A3" s="13">
        <v>2976</v>
      </c>
      <c r="B3" s="12" t="s">
        <v>579</v>
      </c>
      <c r="C3" s="14">
        <v>46268</v>
      </c>
      <c r="D3" s="14">
        <v>46268</v>
      </c>
      <c r="E3" s="12"/>
      <c r="F3" s="15" t="s">
        <v>589</v>
      </c>
      <c r="G3" s="15" t="s">
        <v>590</v>
      </c>
      <c r="H3" s="15" t="s">
        <v>582</v>
      </c>
      <c r="I3" s="16">
        <v>197274.27</v>
      </c>
      <c r="J3" s="15" t="s">
        <v>583</v>
      </c>
      <c r="K3" s="15" t="s">
        <v>584</v>
      </c>
      <c r="L3" s="15" t="s">
        <v>591</v>
      </c>
      <c r="M3" s="16">
        <v>6000</v>
      </c>
      <c r="N3" s="15">
        <v>7</v>
      </c>
      <c r="O3" s="16">
        <v>7464.99</v>
      </c>
      <c r="P3" s="15" t="s">
        <v>586</v>
      </c>
      <c r="Q3" s="15">
        <v>0</v>
      </c>
      <c r="R3" s="15" t="s">
        <v>587</v>
      </c>
      <c r="S3" s="15">
        <v>4034.35</v>
      </c>
      <c r="T3" s="15" t="s">
        <v>588</v>
      </c>
      <c r="U3" s="15">
        <v>0</v>
      </c>
      <c r="V3" s="15">
        <v>720</v>
      </c>
      <c r="W3" s="15">
        <v>0</v>
      </c>
      <c r="X3" s="15">
        <v>0</v>
      </c>
      <c r="Y3" s="15">
        <v>78.91</v>
      </c>
      <c r="Z3" s="15">
        <v>96.1</v>
      </c>
      <c r="AA3" s="16">
        <v>4929.3599999999997</v>
      </c>
      <c r="AB3" s="16">
        <v>1070.6400000000001</v>
      </c>
      <c r="AC3" s="15">
        <v>960</v>
      </c>
      <c r="AD3" s="15">
        <v>110.64</v>
      </c>
      <c r="AE3" s="15">
        <v>52.8</v>
      </c>
      <c r="AF3" s="15">
        <v>57.84</v>
      </c>
      <c r="AG3" s="17">
        <v>9.5999999999999992E-3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6989.98</v>
      </c>
      <c r="F3" s="93"/>
      <c r="G3" s="94"/>
      <c r="H3" s="95">
        <f>'Resumo Detalhado'!C2</f>
        <v>8617.61</v>
      </c>
      <c r="I3" s="96"/>
      <c r="J3" s="97">
        <f>E3/H3</f>
        <v>0.81112744716922658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0.78341909090909101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4700</v>
      </c>
      <c r="F7" s="109"/>
      <c r="G7" s="109"/>
      <c r="H7" s="109"/>
      <c r="I7" s="109"/>
      <c r="J7" s="109">
        <f>E7/H3</f>
        <v>0.5453948368515168</v>
      </c>
      <c r="K7" s="109"/>
      <c r="L7" s="109"/>
      <c r="M7" s="110">
        <f>E7/E3</f>
        <v>0.67239105119041831</v>
      </c>
      <c r="N7" s="110"/>
      <c r="O7" s="110"/>
      <c r="P7" s="109">
        <f>E11+K11+Q11+E15+K15+Q15+E19+H19+K19</f>
        <v>7419.8751999999995</v>
      </c>
      <c r="Q7" s="109"/>
      <c r="R7" s="109"/>
      <c r="S7" s="109">
        <f>P7/H3</f>
        <v>0.86101311152396065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4700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4700</v>
      </c>
      <c r="L11" s="94"/>
      <c r="M11" s="38"/>
      <c r="N11" s="92">
        <f>K11/H3</f>
        <v>0.5453948368515168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838.8</v>
      </c>
      <c r="F15" s="113"/>
      <c r="G15" s="113"/>
      <c r="H15" s="113"/>
      <c r="I15" s="114"/>
      <c r="J15" s="38"/>
      <c r="K15" s="116">
        <f>'Resumo Detalhado'!K2+'Resumo Detalhado'!L2</f>
        <v>1118.3968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92.539999999999992</v>
      </c>
      <c r="F19" s="119"/>
      <c r="G19" s="38"/>
      <c r="H19" s="106">
        <f>'Resumo Detalhado'!J2</f>
        <v>110.94</v>
      </c>
      <c r="I19" s="108"/>
      <c r="J19" s="38"/>
      <c r="K19" s="106">
        <f>'Resumo Detalhado'!L2</f>
        <v>559.19839999999999</v>
      </c>
      <c r="L19" s="108"/>
      <c r="M19" s="38"/>
      <c r="N19" s="112" t="s">
        <v>592</v>
      </c>
      <c r="O19" s="113"/>
      <c r="P19" s="113"/>
      <c r="Q19" s="113"/>
      <c r="R19" s="119"/>
      <c r="S19" s="112">
        <v>4700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626.99160000000018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8.9698625747140937E-2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593</v>
      </c>
      <c r="F1" s="29"/>
    </row>
    <row r="2" spans="1:18" x14ac:dyDescent="0.3">
      <c r="B2" s="29">
        <f>SUM(B6:B5000)</f>
        <v>6989.98</v>
      </c>
      <c r="C2" s="29">
        <f>SUM(C6:C5000)</f>
        <v>8617.61</v>
      </c>
      <c r="D2" s="29">
        <f>SUM(D6:D5000)</f>
        <v>0</v>
      </c>
      <c r="E2" s="29">
        <f>SUM(E6:E5000)</f>
        <v>4700</v>
      </c>
      <c r="F2" s="29">
        <f>SUM(F6:F5000)</f>
        <v>0</v>
      </c>
      <c r="G2" s="29"/>
      <c r="H2" s="29">
        <f t="shared" ref="H2:P2" si="0">SUM(H6:H5000)</f>
        <v>838.8</v>
      </c>
      <c r="I2" s="29">
        <f t="shared" si="0"/>
        <v>92.539999999999992</v>
      </c>
      <c r="J2" s="29">
        <f t="shared" si="0"/>
        <v>110.94</v>
      </c>
      <c r="K2" s="29">
        <f t="shared" si="0"/>
        <v>559.19839999999999</v>
      </c>
      <c r="L2" s="29">
        <f t="shared" si="0"/>
        <v>559.19839999999999</v>
      </c>
      <c r="M2" s="29">
        <f t="shared" si="0"/>
        <v>61.51</v>
      </c>
      <c r="N2" s="29">
        <f t="shared" si="0"/>
        <v>626.99160000000018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2976</v>
      </c>
      <c r="B6" s="139">
        <v>6000</v>
      </c>
      <c r="C6" s="140">
        <v>7464.99</v>
      </c>
      <c r="D6" s="139">
        <v>0</v>
      </c>
      <c r="E6" s="139">
        <v>4034.35</v>
      </c>
      <c r="F6" s="139">
        <v>0</v>
      </c>
      <c r="G6" s="141">
        <v>0.67239166666666661</v>
      </c>
      <c r="H6" s="139">
        <v>720</v>
      </c>
      <c r="I6" s="139">
        <v>78.91</v>
      </c>
      <c r="J6" s="139">
        <v>96.1</v>
      </c>
      <c r="K6" s="139">
        <v>480</v>
      </c>
      <c r="L6" s="139">
        <v>480</v>
      </c>
      <c r="M6" s="139">
        <v>52.8</v>
      </c>
      <c r="N6" s="139">
        <v>537.84000000000015</v>
      </c>
      <c r="O6" s="141">
        <v>8.9640000000000025E-2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2975</v>
      </c>
      <c r="B8" s="139">
        <v>989.98</v>
      </c>
      <c r="C8" s="140">
        <v>1152.6199999999999</v>
      </c>
      <c r="D8" s="139">
        <v>0</v>
      </c>
      <c r="E8" s="139">
        <v>665.65</v>
      </c>
      <c r="F8" s="139">
        <v>0</v>
      </c>
      <c r="G8" s="141">
        <v>0.67238732095597886</v>
      </c>
      <c r="H8" s="139">
        <v>118.8</v>
      </c>
      <c r="I8" s="139">
        <v>13.63</v>
      </c>
      <c r="J8" s="139">
        <v>14.84</v>
      </c>
      <c r="K8" s="139">
        <v>79.198400000000007</v>
      </c>
      <c r="L8" s="139">
        <v>79.198400000000007</v>
      </c>
      <c r="M8" s="139">
        <v>8.7100000000000009</v>
      </c>
      <c r="N8" s="139">
        <v>89.15160000000003</v>
      </c>
      <c r="O8" s="141">
        <v>9.0053940483646164E-2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593</v>
      </c>
    </row>
    <row r="2" spans="1:4" x14ac:dyDescent="0.3">
      <c r="B2" s="29">
        <f>SUM(B6:B5000)</f>
        <v>989.98</v>
      </c>
      <c r="C2" s="29">
        <f>SUM(C6:C5000)</f>
        <v>89.15160000000003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6000</v>
      </c>
      <c r="C5" s="10">
        <v>537.84000000000015</v>
      </c>
    </row>
    <row r="6" spans="1:4" x14ac:dyDescent="0.3">
      <c r="A6" s="9" t="s">
        <v>581</v>
      </c>
      <c r="B6" s="139">
        <v>989.98</v>
      </c>
      <c r="C6" s="139">
        <v>89.15160000000003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592</v>
      </c>
      <c r="D368" s="87">
        <v>4700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2026-09-09T16:52:30Z</dcterms:modified>
  <cp:category/>
  <cp:contentStatus/>
</cp:coreProperties>
</file>