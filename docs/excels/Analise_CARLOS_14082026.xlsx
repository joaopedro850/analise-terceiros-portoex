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C0B8677-F66C-409E-BA5C-25BC125B1E5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<sst xmlns="http://schemas.openxmlformats.org/spreadsheetml/2006/main" count="855" uniqueCount="588">
  <si>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</si>
  <si>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</si>
  <si>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</si>
  <si>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</si>
  <si>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</si>
  <si>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</si>
  <si>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</si>
  <si>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</si>
  <si>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</si>
  <si>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</si>
  <si>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</si>
  <si>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</si>
  <si>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</si>
  <si>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</si>
  <si>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</si>
  <si>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</si>
  <si>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</si>
  <si>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</si>
  <si>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</si>
  <si>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</si>
  <si>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</si>
  <si>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</si>
  <si>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</si>
  <si>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</si>
  <si>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</si>
  <si>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</si>
  <si>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</si>
  <si>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</si>
  <si>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</si>
  <si>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</si>
  <si>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</si>
  <si>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</si>
  <si>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</si>
  <si>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</si>
  <si>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</si>
  <si>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</si>
  <si>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</si>
  <si>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</si>
  <si>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</si>
  <si>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</si>
  <si>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</si>
  <si>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</si>
  <si>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</si>
  <si>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</si>
  <si>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</si>
  <si>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</si>
  <si>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</si>
  <si>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</si>
  <si>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</si>
  <si>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</si>
  <si>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</si>
  <si>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</si>
  <si>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</si>
  <si>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</si>
  <si>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</si>
  <si>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</si>
  <si>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</si>
  <si>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</si>
  <si>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</si>
  <si>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</si>
  <si>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</si>
  <si>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</si>
  <si>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</si>
  <si>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</si>
  <si>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</si>
  <si>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</si>
  <si>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</si>
  <si>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</si>
  <si>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</si>
  <si>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</si>
  <si>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</si>
  <si>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</si>
  <si>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</si>
  <si>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</si>
  <si>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</si>
  <si>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</si>
  <si>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</si>
  <si>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</si>
  <si>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</si>
  <si>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</si>
  <si>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</si>
  <si>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</si>
  <si>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</si>
  <si>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</si>
  <si>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</si>
  <si>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</si>
  <si>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</si>
  <si>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</si>
  <si>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</si>
  <si>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</si>
  <si>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</si>
  <si>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</si>
  <si>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</si>
  <si>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</si>
  <si>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</si>
  <si>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</si>
  <si>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</si>
  <si>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</si>
  <si>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</si>
  <si>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</si>
  <si>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</si>
  <si>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</si>
  <si>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</si>
  <si>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</si>
  <si>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</si>
  <si>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</si>
  <si>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</si>
  <si>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</si>
  <si>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</si>
  <si>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</si>
  <si>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</si>
  <si>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</si>
  <si>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</si>
  <si>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</si>
  <si>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</si>
  <si>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</si>
  <si>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</si>
  <si>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</si>
  <si>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</si>
  <si>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</si>
  <si>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</si>
  <si>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</si>
  <si>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</si>
  <si>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</si>
  <si>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</si>
  <si>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</si>
  <si>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</si>
  <si>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</si>
  <si>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</si>
  <si>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</si>
  <si>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</si>
  <si>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</si>
  <si>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</si>
  <si>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</si>
  <si>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</si>
  <si>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</si>
  <si>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</si>
  <si>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</si>
  <si>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</si>
  <si>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</si>
  <si>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</si>
  <si>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</si>
  <si>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</si>
  <si>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</si>
  <si>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</si>
  <si>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</si>
  <si>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</si>
  <si>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</si>
  <si>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</si>
  <si>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</si>
  <si>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</si>
  <si>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</si>
  <si>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</si>
  <si>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</si>
  <si>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</si>
  <si>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</si>
  <si>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</si>
  <si>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</si>
  <si>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</si>
  <si>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</si>
  <si>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</si>
  <si>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</si>
  <si>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</si>
  <si>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</si>
  <si>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</si>
  <si>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</si>
  <si>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</si>
  <si>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</si>
  <si>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</si>
  <si>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</si>
  <si>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</si>
  <si>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</si>
  <si>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</si>
  <si>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</si>
  <si>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</si>
  <si>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</si>
  <si>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</si>
  <si>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</si>
  <si>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</si>
  <si>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</si>
  <si>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</si>
  <si>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</si>
  <si>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</si>
  <si>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</si>
  <si>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</si>
  <si>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</si>
  <si>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</si>
  <si>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</si>
  <si>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</si>
  <si>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</si>
  <si>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</si>
  <si>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</si>
  <si>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</si>
  <si>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</si>
  <si>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</si>
  <si>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</si>
  <si>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</si>
  <si>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</si>
  <si>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</si>
  <si>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</si>
  <si>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</si>
  <si>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</si>
  <si>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</si>
  <si>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</si>
  <si>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</si>
  <si>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</si>
  <si>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</si>
  <si>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</si>
  <si>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</si>
  <si>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</si>
  <si>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</si>
  <si>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</si>
  <si>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</si>
  <si>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</si>
  <si>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</si>
  <si>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</si>
  <si>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</si>
  <si>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</si>
  <si>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</si>
  <si>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</si>
  <si>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</si>
  <si>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</si>
  <si>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</si>
  <si>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</si>
  <si>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</si>
  <si>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</si>
  <si>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</si>
  <si>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</si>
  <si>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</si>
  <si>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</si>
  <si>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</si>
  <si>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</si>
  <si>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</si>
  <si>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</si>
  <si>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</si>
  <si>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</si>
  <si>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</si>
  <si>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</si>
  <si>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</si>
  <si>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</si>
  <si>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</si>
  <si>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</si>
  <si>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</si>
  <si>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</si>
  <si>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</si>
  <si>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</si>
  <si>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</si>
  <si>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</si>
  <si>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</si>
  <si>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</si>
  <si>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</si>
  <si>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</si>
  <si>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</si>
  <si>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</si>
  <si>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</si>
  <si>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</si>
  <si>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</si>
  <si>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</si>
  <si>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</si>
  <si>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</si>
  <si>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</si>
  <si>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</si>
  <si>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</si>
  <si>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</si>
  <si>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</si>
  <si>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</si>
  <si>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</si>
  <si>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</si>
  <si>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</si>
  <si>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</si>
  <si>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</si>
  <si>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</si>
  <si>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</si>
  <si>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</si>
  <si>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</si>
  <si>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</si>
  <si>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</si>
  <si>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</si>
  <si>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</si>
  <si>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</si>
  <si>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</si>
  <si>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</si>
  <si>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</si>
  <si>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</si>
  <si>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</si>
  <si>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</si>
  <si>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</si>
  <si>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</si>
  <si>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</si>
  <si>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</si>
  <si>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</si>
  <si>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</si>
  <si>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</si>
  <si>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</si>
  <si>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</si>
  <si>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</si>
  <si>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</si>
  <si>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</si>
  <si>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</si>
  <si>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</si>
  <si>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</si>
  <si>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</si>
  <si>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</si>
  <si>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</si>
  <si>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</si>
  <si>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</si>
  <si>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</si>
  <si>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</si>
  <si>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</si>
  <si>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</si>
  <si>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</si>
  <si>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</si>
  <si>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</si>
  <si>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</si>
  <si>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</si>
  <si>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</si>
  <si>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</si>
  <si>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</si>
  <si>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</si>
  <si>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</si>
  <si>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</si>
  <si>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</si>
  <si>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</si>
  <si>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</si>
  <si>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</si>
  <si>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</si>
  <si>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</si>
  <si>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</si>
  <si>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</si>
  <si>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</si>
  <si>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</si>
  <si>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</si>
  <si>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</si>
  <si>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</si>
  <si>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</si>
  <si>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</si>
  <si>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</si>
  <si>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</si>
  <si>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</si>
  <si>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</si>
  <si>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</si>
  <si>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</si>
  <si>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</si>
  <si>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</si>
  <si>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</si>
  <si>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</si>
  <si>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</si>
  <si>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</si>
  <si>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</si>
  <si>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</si>
  <si>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</si>
  <si>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</si>
  <si>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</si>
  <si>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</si>
  <si>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</si>
  <si>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</si>
  <si>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</si>
  <si>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</si>
  <si>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</si>
  <si>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</si>
  <si>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</si>
  <si>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</si>
  <si>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</si>
  <si>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</si>
  <si>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</si>
  <si>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</si>
  <si>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</si>
  <si>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</si>
  <si>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</si>
  <si>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</si>
  <si>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</si>
  <si>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</si>
  <si>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</si>
  <si>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</si>
  <si>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</si>
  <si>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</si>
  <si>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</si>
  <si>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</si>
  <si>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</si>
  <si>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</si>
  <si>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</si>
  <si>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</si>
  <si>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</si>
  <si>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</si>
  <si>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</si>
  <si>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</si>
  <si>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</si>
  <si>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</si>
  <si>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</si>
  <si>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</si>
  <si>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</si>
  <si>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</si>
  <si>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</si>
  <si>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</si>
  <si>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</si>
  <si>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</si>
  <si>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</si>
  <si>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</si>
  <si>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</si>
  <si>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</si>
  <si>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</si>
  <si>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</si>
  <si>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</si>
  <si>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</si>
  <si>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</si>
  <si>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</si>
  <si>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</si>
  <si>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</si>
  <si>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</si>
  <si>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</si>
  <si>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</si>
  <si>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</si>
  <si>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</si>
  <si>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</si>
  <si>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</si>
  <si>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</si>
  <si>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</si>
  <si>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</si>
  <si>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</si>
  <si>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</si>
  <si>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</si>
  <si>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</si>
  <si>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</si>
  <si>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</si>
  <si>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</si>
  <si>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</si>
  <si>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</si>
  <si>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</si>
  <si>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</si>
  <si>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</si>
  <si>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</si>
  <si>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</si>
  <si>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</si>
  <si>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</si>
  <si>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</si>
  <si>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</si>
  <si>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</si>
  <si>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</si>
  <si>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</si>
  <si>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</si>
  <si>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</si>
  <si>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</si>
  <si>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</si>
  <si>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</si>
  <si>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</si>
  <si>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</si>
  <si>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</si>
  <si>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</si>
  <si>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</si>
  <si>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</si>
  <si>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</si>
  <si>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</si>
  <si>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</si>
  <si>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</si>
  <si>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</si>
  <si>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</si>
  <si>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</si>
  <si>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</si>
  <si>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</si>
  <si>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</si>
  <si>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</si>
  <si>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</si>
  <si>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</si>
  <si>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</si>
  <si>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</si>
  <si>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</si>
  <si>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</si>
  <si>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</si>
  <si>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</si>
  <si>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</si>
  <si>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</si>
  <si>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</si>
  <si>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</si>
  <si>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</si>
  <si>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</si>
  <si>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</si>
  <si>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</si>
  <si>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</si>
  <si>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</si>
  <si>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</si>
  <si>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</si>
  <si>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</si>
  <si>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</si>
  <si>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</si>
  <si>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</si>
  <si>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</si>
  <si>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</si>
  <si>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</si>
  <si>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</si>
  <si>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</si>
  <si>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</si>
  <si>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</si>
  <si>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</si>
  <si>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</si>
  <si>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</si>
  <si>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</si>
  <si>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</si>
  <si>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</si>
  <si>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</si>
  <si>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</si>
  <si>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</si>
  <si>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</si>
  <si>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</si>
  <si>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</si>
  <si>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</si>
  <si>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</si>
  <si>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</si>
  <si>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</si>
  <si>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</si>
  <si>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</si>
  <si>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</si>
  <si>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</si>
  <si>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</si>
  <si>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</si>
  <si>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</si>
  <si>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</si>
  <si>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</si>
  <si>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</si>
  <si>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</si>
  <si>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</si>
  <si>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</si>
  <si>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</si>
  <si>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</si>
  <si>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</si>
  <si>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</si>
  <si>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</si>
  <si>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</si>
  <si>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</si>
  <si>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</si>
  <si>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</si>
  <si>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</si>
  <si>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</si>
  <si>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</si>
  <si>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</si>
  <si>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</si>
  <si>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</si>
  <si>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</si>
  <si>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</si>
  <si>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</si>
  <si>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</si>
  <si>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</si>
  <si>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</si>
  <si>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</si>
  <si>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</si>
  <si>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</si>
  <si>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</si>
  <si>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</si>
  <si>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</si>
  <si>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</si>
  <si>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</si>
  <si>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</si>
  <si>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</si>
  <si>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</si>
  <si>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</si>
  <si>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</si>
  <si>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</si>
  <si>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</si>
  <si>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</si>
  <si>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</si>
  <si>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</si>
  <si>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</si>
  <si>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</si>
  <si>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</si>
  <si>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</si>
  <si>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</si>
  <si>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</si>
  <si>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</si>
  <si>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</si>
  <si>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</si>
  <si>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</si>
  <si>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</si>
  <si>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</si>
  <si>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</si>
  <si>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</si>
  <si>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</si>
  <si>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</si>
  <si>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</si>
  <si>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2236-1</t>
  </si>
  <si>
    <t>VENTUNO PRODUTO</t>
  </si>
  <si>
    <t>MARLON MARQUES</t>
  </si>
  <si>
    <t>ECONOMICO_250</t>
  </si>
  <si>
    <t>CTE NORMAL</t>
  </si>
  <si>
    <t>NOVA PETROPOLIS - RS</t>
  </si>
  <si>
    <t>HELTON JOHN DA SILVA</t>
  </si>
  <si>
    <t>CARLOS ANDRIGO DOS SANTOS</t>
  </si>
  <si>
    <t>INDEFINIDO</t>
  </si>
  <si>
    <t>Caxias Do Sul-Rs X Nova Petropolis-Rsvan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</si>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</sst>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0" fillId="0" borderId="40" xfId="0" applyBorder="1" applyAlignment="1">
      <alignment horizontal="left"/>
    </xf>
    <xf numFmtId="44" fontId="0" fillId="0" borderId="0" xfId="0" applyNumberFormat="1" applyAlignment="1">
      <alignment horizont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[Analise_CARLOS_14082026.xlsx]Resumo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1363.64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400.46760000000006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[Analise_CARLOS_14082026.xlsx]Resumo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1363.64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400.46760000000006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3.45158113425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31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6T00:00:00" maxDate="2026-08-07T00:00:00"/>
    </cacheField>
    <cacheField name="DATA" numFmtId="14">
      <sharedItems containsNonDate="0" containsDate="1" containsString="0" containsBlank="1" minDate="2026-08-06T00:00:00" maxDate="2026-08-0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VENTUNO PRODUT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containsInteger="1" minValue="30210" maxValue="30210"/>
    </cacheField>
    <cacheField name="SERVICO" numFmtId="0">
      <sharedItems containsBlank="1" count="27"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363.64" maxValue="1363.64"/>
    </cacheField>
    <cacheField name="VOLUMES" numFmtId="0">
      <sharedItems containsString="0" containsBlank="1" containsNumber="1" containsInteger="1" minValue="38" maxValue="38"/>
    </cacheField>
    <cacheField name="PESO" numFmtId="0">
      <sharedItems containsString="0" containsBlank="1" containsNumber="1" minValue="1249.44" maxValue="1249.4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20" maxValue="2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500" maxValue="5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63.63999999999999" maxValue="163.6399999999999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2.08" maxValue="12.08"/>
    </cacheField>
    <cacheField name="OUTROS" numFmtId="0">
      <sharedItems containsString="0" containsBlank="1" containsNumber="1" minValue="49.27" maxValue="49.27"/>
    </cacheField>
    <cacheField name="C.TOTAL" numFmtId="0">
      <sharedItems containsString="0" containsBlank="1" containsNumber="1" minValue="744.99" maxValue="744.99"/>
    </cacheField>
    <cacheField name="RECEITA" numFmtId="0">
      <sharedItems containsString="0" containsBlank="1" containsNumber="1" minValue="618.65" maxValue="618.65"/>
    </cacheField>
    <cacheField name="IMPOSTO" numFmtId="0">
      <sharedItems containsString="0" containsBlank="1" containsNumber="1" minValue="218.18" maxValue="218.18"/>
    </cacheField>
    <cacheField name="RESULTADO" numFmtId="0">
      <sharedItems containsString="0" containsBlank="1" containsNumber="1" minValue="400.47" maxValue="400.4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400.47" maxValue="400.47"/>
    </cacheField>
    <cacheField name="MARGEM" numFmtId="10">
      <sharedItems containsString="0" containsBlank="1" containsNumber="1" minValue="0.29370000000000002" maxValue="0.2937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06T00:00:00"/>
    <d v="2026-08-06T00:00:00"/>
    <m/>
    <s v="2236-1"/>
    <x v="0"/>
    <s v="MARLON MARQUES"/>
    <n v="30210"/>
    <x v="0"/>
    <s v="CTE NORMAL"/>
    <s v="NOVA PETROPOLIS - RS"/>
    <n v="1363.64"/>
    <n v="38"/>
    <n v="1249.44"/>
    <s v="HELTON JOHN DA SILVA"/>
    <n v="20"/>
    <s v="CARLOS ANDRIGO DOS SANTOS"/>
    <n v="500"/>
    <s v="INDEFINIDO"/>
    <n v="0"/>
    <n v="163.63999999999999"/>
    <n v="0"/>
    <n v="0"/>
    <n v="12.08"/>
    <n v="49.27"/>
    <n v="744.99"/>
    <n v="618.65"/>
    <n v="218.18"/>
    <n v="400.47"/>
    <n v="0"/>
    <n v="400.47"/>
    <n v="0.2937000000000000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1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2"/>
        <item m="1" x="241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7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2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3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7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x="0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0"/>
        <item m="1" x="13"/>
        <item m="1" x="25"/>
        <item m="1" x="18"/>
        <item x="1"/>
        <item m="1" x="7"/>
        <item m="1" x="2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813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1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2"/>
        <item m="1" x="241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7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2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3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7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x="0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0"/>
        <item m="1" x="13"/>
        <item m="1" x="25"/>
        <item m="1" x="18"/>
        <item x="1"/>
        <item m="1" x="7"/>
        <item m="1" x="2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81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9" s="1" nd="1"/>
        <i x="187" s="1" nd="1"/>
        <i x="273" s="1" nd="1"/>
        <i x="11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20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8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5" s="1" nd="1"/>
        <i x="232" s="1" nd="1"/>
        <i x="241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9" s="1" nd="1"/>
        <i x="17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6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2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366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19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0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3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6" s="1" nd="1"/>
        <i x="229" s="1" nd="1"/>
        <i x="7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758" s="1" nd="1"/>
        <i x="600" s="1" nd="1"/>
        <i x="12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3" s="1" nd="1"/>
        <i x="23" s="1" nd="1"/>
        <i x="6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5" totalsRowShown="0" headerRowDxfId="92" dataDxfId="90" headerRowBorderDxfId="91" tableBorderDxfId="89" totalsRowBorderDxfId="88">
  <autoFilter ref="A1:D36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2311</v>
      </c>
      <c r="B2" s="12" t="s">
        <v>576</v>
      </c>
      <c r="C2" s="14">
        <v>46240</v>
      </c>
      <c r="D2" s="14">
        <v>46240</v>
      </c>
      <c r="E2" s="12"/>
      <c r="F2" s="15" t="s">
        <v>577</v>
      </c>
      <c r="G2" s="15" t="s">
        <v>578</v>
      </c>
      <c r="H2" s="15" t="s">
        <v>579</v>
      </c>
      <c r="I2" s="16">
        <v>30210</v>
      </c>
      <c r="J2" s="15" t="s">
        <v>580</v>
      </c>
      <c r="K2" s="15" t="s">
        <v>581</v>
      </c>
      <c r="L2" s="15" t="s">
        <v>582</v>
      </c>
      <c r="M2" s="15">
        <v>1363.64</v>
      </c>
      <c r="N2" s="15">
        <v>38</v>
      </c>
      <c r="O2" s="16">
        <v>1249.44</v>
      </c>
      <c r="P2" s="15" t="s">
        <v>583</v>
      </c>
      <c r="Q2" s="15">
        <v>20</v>
      </c>
      <c r="R2" s="15" t="s">
        <v>584</v>
      </c>
      <c r="S2" s="15">
        <v>500</v>
      </c>
      <c r="T2" s="15" t="s">
        <v>585</v>
      </c>
      <c r="U2" s="15">
        <v>0</v>
      </c>
      <c r="V2" s="15">
        <v>163.63999999999999</v>
      </c>
      <c r="W2" s="15">
        <v>0</v>
      </c>
      <c r="X2" s="15">
        <v>0</v>
      </c>
      <c r="Y2" s="15">
        <v>12.08</v>
      </c>
      <c r="Z2" s="15">
        <v>49.27</v>
      </c>
      <c r="AA2" s="15">
        <v>744.99</v>
      </c>
      <c r="AB2" s="15">
        <v>618.65</v>
      </c>
      <c r="AC2" s="15">
        <v>218.18</v>
      </c>
      <c r="AD2" s="15">
        <v>400.47</v>
      </c>
      <c r="AE2" s="15">
        <v>0</v>
      </c>
      <c r="AF2" s="15">
        <v>400.47</v>
      </c>
      <c r="AG2" s="17">
        <v>0.29370000000000002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94">
        <f>'Resumo Detalhado'!B2</f>
        <v>1363.64</v>
      </c>
      <c r="F3" s="95"/>
      <c r="G3" s="96"/>
      <c r="H3" s="97">
        <f>'Resumo Detalhado'!C2</f>
        <v>1249.44</v>
      </c>
      <c r="I3" s="98"/>
      <c r="J3" s="99">
        <f>E3/H3</f>
        <v>1.0914009476245359</v>
      </c>
      <c r="K3" s="100"/>
      <c r="L3" s="101"/>
      <c r="M3" s="137" t="s">
        <v>62</v>
      </c>
      <c r="N3" s="95"/>
      <c r="O3" s="96"/>
      <c r="P3" s="138">
        <v>1200</v>
      </c>
      <c r="Q3" s="139"/>
      <c r="R3" s="140"/>
      <c r="S3" s="105">
        <f>MIN(H3/P3,1)</f>
        <v>1</v>
      </c>
      <c r="T3" s="106"/>
      <c r="U3" s="107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36"/>
    </row>
    <row r="7" spans="4:25" ht="15" thickBot="1" x14ac:dyDescent="0.35">
      <c r="D7" s="55"/>
      <c r="E7" s="111">
        <f>E11+K11+Q11</f>
        <v>520</v>
      </c>
      <c r="F7" s="111"/>
      <c r="G7" s="111"/>
      <c r="H7" s="111"/>
      <c r="I7" s="111"/>
      <c r="J7" s="111">
        <f>E7/H3</f>
        <v>0.41618645153028555</v>
      </c>
      <c r="K7" s="111"/>
      <c r="L7" s="111"/>
      <c r="M7" s="112">
        <f>E7/E3</f>
        <v>0.38133231644715609</v>
      </c>
      <c r="N7" s="112"/>
      <c r="O7" s="112"/>
      <c r="P7" s="111">
        <f>E11+K11+Q11+E15+K15+Q15+E19+H19+K19</f>
        <v>1072.2636</v>
      </c>
      <c r="Q7" s="111"/>
      <c r="R7" s="111"/>
      <c r="S7" s="111">
        <f>P7/H3</f>
        <v>0.85819535151747983</v>
      </c>
      <c r="T7" s="111"/>
      <c r="U7" s="111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36"/>
    </row>
    <row r="11" spans="4:25" ht="15" thickBot="1" x14ac:dyDescent="0.35">
      <c r="D11" s="55">
        <f>IF(E11=0,K11,E11)</f>
        <v>500</v>
      </c>
      <c r="E11" s="127">
        <f>ROUNDUP('Resumo Detalhado'!F2,0)</f>
        <v>0</v>
      </c>
      <c r="F11" s="96"/>
      <c r="G11" s="38"/>
      <c r="H11" s="94">
        <f>E11/H3</f>
        <v>0</v>
      </c>
      <c r="I11" s="96"/>
      <c r="J11" s="38"/>
      <c r="K11" s="94">
        <v>500</v>
      </c>
      <c r="L11" s="96"/>
      <c r="M11" s="38"/>
      <c r="N11" s="94">
        <f>K11/H3</f>
        <v>0.40017928031758226</v>
      </c>
      <c r="O11" s="96"/>
      <c r="P11" s="38"/>
      <c r="Q11" s="94">
        <f>'Resumo Detalhado'!D2</f>
        <v>20</v>
      </c>
      <c r="R11" s="96"/>
      <c r="S11" s="38"/>
      <c r="T11" s="94">
        <f>Q11/H3</f>
        <v>1.600717121270329E-2</v>
      </c>
      <c r="U11" s="96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2" t="s">
        <v>59</v>
      </c>
      <c r="F14" s="103"/>
      <c r="G14" s="103"/>
      <c r="H14" s="103"/>
      <c r="I14" s="113"/>
      <c r="K14" s="117" t="s">
        <v>128</v>
      </c>
      <c r="L14" s="103"/>
      <c r="M14" s="103"/>
      <c r="N14" s="103"/>
      <c r="O14" s="113"/>
      <c r="Q14" s="117"/>
      <c r="R14" s="103"/>
      <c r="S14" s="103"/>
      <c r="T14" s="103"/>
      <c r="U14" s="104"/>
      <c r="V14" s="36"/>
      <c r="W14" s="35" t="s">
        <v>60</v>
      </c>
      <c r="Y14" s="46">
        <v>6000</v>
      </c>
    </row>
    <row r="15" spans="4:25" ht="15" thickBot="1" x14ac:dyDescent="0.35">
      <c r="D15" s="55"/>
      <c r="E15" s="114">
        <f>'Resumo Detalhado'!H2</f>
        <v>163.63999999999999</v>
      </c>
      <c r="F15" s="115"/>
      <c r="G15" s="115"/>
      <c r="H15" s="115"/>
      <c r="I15" s="116"/>
      <c r="J15" s="38"/>
      <c r="K15" s="118">
        <f>'Resumo Detalhado'!K2+'Resumo Detalhado'!L2</f>
        <v>218.18240000000003</v>
      </c>
      <c r="L15" s="109"/>
      <c r="M15" s="109"/>
      <c r="N15" s="109"/>
      <c r="O15" s="119"/>
      <c r="P15" s="38"/>
      <c r="Q15" s="120"/>
      <c r="R15" s="115"/>
      <c r="S15" s="115"/>
      <c r="T15" s="115"/>
      <c r="U15" s="121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2" t="s">
        <v>65</v>
      </c>
      <c r="F18" s="123"/>
      <c r="H18" s="122" t="s">
        <v>66</v>
      </c>
      <c r="I18" s="123"/>
      <c r="K18" s="122" t="s">
        <v>67</v>
      </c>
      <c r="L18" s="123"/>
      <c r="N18" s="124" t="s">
        <v>68</v>
      </c>
      <c r="O18" s="125"/>
      <c r="P18" s="125"/>
      <c r="Q18" s="125"/>
      <c r="R18" s="126"/>
      <c r="S18" s="124" t="s">
        <v>69</v>
      </c>
      <c r="T18" s="125"/>
      <c r="U18" s="126"/>
      <c r="V18" s="36"/>
      <c r="W18" s="94" t="s">
        <v>70</v>
      </c>
      <c r="X18" s="95"/>
      <c r="Y18" s="96"/>
    </row>
    <row r="19" spans="4:25" ht="15" thickBot="1" x14ac:dyDescent="0.35">
      <c r="D19" s="55"/>
      <c r="E19" s="114">
        <f>'Resumo Detalhado'!I2</f>
        <v>12.08</v>
      </c>
      <c r="F19" s="121"/>
      <c r="G19" s="38"/>
      <c r="H19" s="108">
        <f>'Resumo Detalhado'!J2</f>
        <v>49.27</v>
      </c>
      <c r="I19" s="110"/>
      <c r="J19" s="38"/>
      <c r="K19" s="108">
        <f>'Resumo Detalhado'!L2</f>
        <v>109.09120000000001</v>
      </c>
      <c r="L19" s="110"/>
      <c r="M19" s="38"/>
      <c r="N19" s="114" t="s">
        <v>586</v>
      </c>
      <c r="O19" s="115"/>
      <c r="P19" s="115"/>
      <c r="Q19" s="115"/>
      <c r="R19" s="121"/>
      <c r="S19" s="114">
        <v>500</v>
      </c>
      <c r="T19" s="115"/>
      <c r="U19" s="121"/>
      <c r="V19" s="36"/>
      <c r="W19" s="128" t="str">
        <f>IF(D11=S19,"NO TARGET",IF(D11&lt;S19,"ABAIXO DO TARGET",IF(D11&gt;S19,"FORA DO TARGET")))</f>
        <v>NO TARGET</v>
      </c>
      <c r="X19" s="129"/>
      <c r="Y19" s="130"/>
    </row>
    <row r="20" spans="4:25" ht="15" thickBot="1" x14ac:dyDescent="0.35">
      <c r="D20" s="55"/>
      <c r="V20" s="36"/>
      <c r="W20" s="131"/>
      <c r="X20" s="132"/>
      <c r="Y20" s="133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131"/>
      <c r="X21" s="132"/>
      <c r="Y21" s="133"/>
    </row>
    <row r="22" spans="4:25" ht="15" thickBot="1" x14ac:dyDescent="0.35">
      <c r="D22" s="55"/>
      <c r="E22" s="102" t="s">
        <v>71</v>
      </c>
      <c r="F22" s="103"/>
      <c r="G22" s="103"/>
      <c r="H22" s="103"/>
      <c r="I22" s="103"/>
      <c r="J22" s="103"/>
      <c r="K22" s="103"/>
      <c r="L22" s="104"/>
      <c r="N22" s="102" t="s">
        <v>72</v>
      </c>
      <c r="O22" s="103"/>
      <c r="P22" s="103"/>
      <c r="Q22" s="103"/>
      <c r="R22" s="103"/>
      <c r="S22" s="103"/>
      <c r="T22" s="103"/>
      <c r="U22" s="104"/>
      <c r="V22" s="36"/>
      <c r="W22" s="131"/>
      <c r="X22" s="132"/>
      <c r="Y22" s="133"/>
    </row>
    <row r="23" spans="4:25" ht="15" thickBot="1" x14ac:dyDescent="0.35">
      <c r="D23" s="55"/>
      <c r="E23" s="108">
        <f>'Resumo Detalhado'!N2</f>
        <v>400.46760000000006</v>
      </c>
      <c r="F23" s="109"/>
      <c r="G23" s="109"/>
      <c r="H23" s="109"/>
      <c r="I23" s="109"/>
      <c r="J23" s="109"/>
      <c r="K23" s="109"/>
      <c r="L23" s="110"/>
      <c r="M23" s="38"/>
      <c r="N23" s="105">
        <f>E23/E3</f>
        <v>0.29367545686544838</v>
      </c>
      <c r="O23" s="106"/>
      <c r="P23" s="106"/>
      <c r="Q23" s="106"/>
      <c r="R23" s="106"/>
      <c r="S23" s="106"/>
      <c r="T23" s="106"/>
      <c r="U23" s="107"/>
      <c r="V23" s="36"/>
      <c r="W23" s="134"/>
      <c r="X23" s="135"/>
      <c r="Y23" s="136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587</v>
      </c>
      <c r="F1" s="29"/>
    </row>
    <row r="2" spans="1:18" x14ac:dyDescent="0.3">
      <c r="B2" s="29">
        <f>SUM(B6:B5000)</f>
        <v>1363.64</v>
      </c>
      <c r="C2" s="29">
        <f>SUM(C6:C5000)</f>
        <v>1249.44</v>
      </c>
      <c r="D2" s="29">
        <f>SUM(D6:D5000)</f>
        <v>20</v>
      </c>
      <c r="E2" s="29">
        <f>SUM(E6:E5000)</f>
        <v>500</v>
      </c>
      <c r="F2" s="29">
        <f>SUM(F6:F5000)</f>
        <v>0</v>
      </c>
      <c r="G2" s="29"/>
      <c r="H2" s="29">
        <f t="shared" ref="H2:P2" si="0">SUM(H6:H5000)</f>
        <v>163.63999999999999</v>
      </c>
      <c r="I2" s="29">
        <f t="shared" si="0"/>
        <v>12.08</v>
      </c>
      <c r="J2" s="29">
        <f t="shared" si="0"/>
        <v>49.27</v>
      </c>
      <c r="K2" s="29">
        <f t="shared" si="0"/>
        <v>109.09120000000001</v>
      </c>
      <c r="L2" s="29">
        <f t="shared" si="0"/>
        <v>109.09120000000001</v>
      </c>
      <c r="M2" s="29">
        <f t="shared" si="0"/>
        <v>0</v>
      </c>
      <c r="N2" s="29">
        <f t="shared" si="0"/>
        <v>400.46760000000006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88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2311</v>
      </c>
      <c r="B6" s="89">
        <v>1363.64</v>
      </c>
      <c r="C6" s="51">
        <v>1249.44</v>
      </c>
      <c r="D6" s="89">
        <v>20</v>
      </c>
      <c r="E6" s="89">
        <v>500</v>
      </c>
      <c r="F6" s="89">
        <v>0</v>
      </c>
      <c r="G6" s="52">
        <v>0.38133231644715609</v>
      </c>
      <c r="H6" s="89">
        <v>163.63999999999999</v>
      </c>
      <c r="I6" s="89">
        <v>12.08</v>
      </c>
      <c r="J6" s="89">
        <v>49.27</v>
      </c>
      <c r="K6" s="89">
        <v>109.09120000000001</v>
      </c>
      <c r="L6" s="89">
        <v>109.09120000000001</v>
      </c>
      <c r="M6" s="89">
        <v>0</v>
      </c>
      <c r="N6" s="89">
        <v>400.46760000000006</v>
      </c>
      <c r="O6" s="52">
        <v>0.29367545686544838</v>
      </c>
      <c r="Q6"/>
    </row>
    <row r="7" spans="1:18" s="31" customFormat="1" x14ac:dyDescent="0.3">
      <c r="A7" s="9" t="s">
        <v>86</v>
      </c>
      <c r="B7" s="89"/>
      <c r="C7" s="51"/>
      <c r="D7" s="89"/>
      <c r="E7" s="89"/>
      <c r="F7" s="89"/>
      <c r="G7" s="52"/>
      <c r="H7" s="89"/>
      <c r="I7" s="89"/>
      <c r="J7" s="89"/>
      <c r="K7" s="89"/>
      <c r="L7" s="89"/>
      <c r="M7" s="89"/>
      <c r="N7" s="89"/>
      <c r="O7" s="5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587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88" t="s">
        <v>578</v>
      </c>
      <c r="B5" s="10">
        <v>1363.64</v>
      </c>
      <c r="C5" s="10">
        <v>400.46760000000006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141" t="s">
        <v>586</v>
      </c>
      <c r="D365" s="87">
        <v>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2026-08-19T14:58:52Z</dcterms:modified>
  <cp:category/>
  <cp:contentStatus/>
</cp:coreProperties>
</file>