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5F63523-962C-4A15-9359-D5C3D2DE8D2D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<sst xmlns="http://schemas.openxmlformats.org/spreadsheetml/2006/main" count="914" uniqueCount="634">
  <si>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</si>
  <si>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</si>
  <si>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</si>
  <si>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</si>
  <si>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</si>
  <si>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</si>
  <si>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</si>
  <si>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</si>
  <si>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</si>
  <si>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</si>
  <si>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</si>
  <si>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</si>
  <si>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</si>
  <si>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</si>
  <si>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</si>
  <si>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</si>
  <si>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</si>
  <si>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</si>
  <si>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</si>
  <si>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</si>
  <si>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</si>
  <si>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</si>
  <si>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</si>
  <si>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</si>
  <si>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</si>
  <si>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</si>
  <si>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</si>
  <si>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</si>
  <si>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</si>
  <si>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</si>
  <si>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</si>
  <si>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</si>
  <si>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</si>
  <si>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</si>
  <si>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</si>
  <si>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</si>
  <si>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</si>
  <si>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</si>
  <si>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</si>
  <si>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</si>
  <si>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</si>
  <si>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</si>
  <si>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</si>
  <si>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</si>
  <si>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</si>
  <si>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</si>
  <si>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</si>
  <si>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</si>
  <si>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</si>
  <si>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</si>
  <si>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</si>
  <si>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</si>
  <si>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</si>
  <si>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</si>
  <si>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</si>
  <si>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</si>
  <si>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</si>
  <si>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</si>
  <si>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</si>
  <si>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</si>
  <si>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</si>
  <si>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</si>
  <si>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</si>
  <si>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</si>
  <si>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</si>
  <si>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</si>
  <si>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</si>
  <si>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</si>
  <si>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</si>
  <si>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</si>
  <si>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</si>
  <si>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</si>
  <si>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</si>
  <si>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</si>
  <si>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</si>
  <si>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</si>
  <si>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</si>
  <si>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</si>
  <si>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</si>
  <si>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</si>
  <si>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</si>
  <si>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</si>
  <si>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</si>
  <si>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</si>
  <si>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</si>
  <si>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</si>
  <si>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</si>
  <si>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</si>
  <si>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</si>
  <si>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</si>
  <si>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</si>
  <si>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</si>
  <si>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</si>
  <si>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</si>
  <si>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</si>
  <si>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</si>
  <si>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</si>
  <si>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</si>
  <si>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</si>
  <si>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</si>
  <si>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</si>
  <si>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</si>
  <si>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</si>
  <si>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</si>
  <si>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</si>
  <si>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</si>
  <si>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</si>
  <si>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</si>
  <si>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</si>
  <si>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</si>
  <si>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</si>
  <si>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</si>
  <si>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</si>
  <si>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</si>
  <si>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</si>
  <si>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</si>
  <si>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</si>
  <si>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</si>
  <si>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</si>
  <si>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</si>
  <si>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</si>
  <si>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</si>
  <si>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</si>
  <si>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</si>
  <si>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</si>
  <si>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</si>
  <si>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</si>
  <si>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</si>
  <si>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</si>
  <si>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</si>
  <si>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</si>
  <si>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</si>
  <si>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</si>
  <si>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</si>
  <si>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</si>
  <si>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</si>
  <si>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</si>
  <si>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</si>
  <si>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</si>
  <si>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</si>
  <si>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</si>
  <si>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</si>
  <si>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</si>
  <si>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</si>
  <si>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</si>
  <si>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</si>
  <si>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</si>
  <si>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</si>
  <si>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</si>
  <si>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</si>
  <si>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</si>
  <si>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</si>
  <si>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</si>
  <si>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</si>
  <si>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</si>
  <si>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</si>
  <si>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</si>
  <si>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</si>
  <si>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</si>
  <si>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</si>
  <si>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</si>
  <si>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</si>
  <si>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</si>
  <si>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</si>
  <si>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</si>
  <si>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</si>
  <si>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</si>
  <si>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</si>
  <si>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</si>
  <si>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</si>
  <si>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</si>
  <si>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</si>
  <si>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</si>
  <si>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</si>
  <si>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</si>
  <si>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</si>
  <si>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</si>
  <si>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</si>
  <si>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</si>
  <si>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</si>
  <si>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</si>
  <si>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</si>
  <si>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</si>
  <si>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</si>
  <si>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</si>
  <si>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</si>
  <si>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</si>
  <si>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</si>
  <si>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</si>
  <si>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</si>
  <si>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</si>
  <si>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</si>
  <si>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</si>
  <si>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</si>
  <si>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</si>
  <si>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</si>
  <si>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</si>
  <si>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</si>
  <si>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</si>
  <si>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</si>
  <si>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</si>
  <si>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</si>
  <si>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</si>
  <si>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</si>
  <si>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</si>
  <si>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</si>
  <si>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</si>
  <si>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</si>
  <si>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</si>
  <si>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</si>
  <si>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</si>
  <si>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</si>
  <si>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</si>
  <si>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</si>
  <si>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</si>
  <si>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</si>
  <si>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</si>
  <si>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</si>
  <si>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</si>
  <si>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</si>
  <si>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</si>
  <si>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</si>
  <si>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</si>
  <si>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</si>
  <si>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</si>
  <si>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</si>
  <si>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</si>
  <si>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</si>
  <si>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</si>
  <si>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</si>
  <si>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</si>
  <si>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</si>
  <si>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</si>
  <si>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</si>
  <si>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</si>
  <si>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</si>
  <si>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</si>
  <si>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</si>
  <si>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</si>
  <si>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</si>
  <si>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</si>
  <si>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</si>
  <si>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</si>
  <si>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</si>
  <si>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</si>
  <si>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</si>
  <si>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</si>
  <si>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</si>
  <si>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</si>
  <si>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</si>
  <si>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</si>
  <si>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</si>
  <si>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</si>
  <si>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</si>
  <si>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</si>
  <si>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</si>
  <si>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</si>
  <si>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</si>
  <si>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</si>
  <si>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</si>
  <si>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</si>
  <si>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</si>
  <si>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</si>
  <si>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</si>
  <si>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</si>
  <si>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</si>
  <si>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</si>
  <si>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</si>
  <si>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</si>
  <si>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</si>
  <si>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</si>
  <si>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</si>
  <si>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</si>
  <si>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</si>
  <si>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</si>
  <si>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</si>
  <si>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</si>
  <si>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</si>
  <si>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</si>
  <si>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</si>
  <si>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</si>
  <si>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</si>
  <si>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</si>
  <si>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</si>
  <si>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</si>
  <si>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</si>
  <si>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</si>
  <si>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</si>
  <si>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</si>
  <si>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</si>
  <si>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</si>
  <si>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</si>
  <si>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</si>
  <si>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</si>
  <si>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</si>
  <si>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</si>
  <si>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</si>
  <si>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</si>
  <si>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</si>
  <si>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</si>
  <si>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</si>
  <si>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</si>
  <si>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</si>
  <si>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</si>
  <si>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</si>
  <si>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</si>
  <si>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</si>
  <si>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</si>
  <si>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</si>
  <si>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</si>
  <si>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</si>
  <si>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</si>
  <si>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</si>
  <si>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</si>
  <si>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</si>
  <si>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</si>
  <si>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</si>
  <si>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</si>
  <si>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</si>
  <si>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</si>
  <si>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</si>
  <si>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</si>
  <si>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</si>
  <si>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</si>
  <si>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</si>
  <si>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</si>
  <si>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</si>
  <si>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</si>
  <si>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</si>
  <si>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</si>
  <si>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</si>
  <si>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</si>
  <si>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</si>
  <si>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</si>
  <si>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</si>
  <si>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</si>
  <si>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</si>
  <si>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</si>
  <si>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</si>
  <si>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</si>
  <si>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</si>
  <si>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</si>
  <si>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</si>
  <si>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</si>
  <si>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</si>
  <si>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</si>
  <si>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</si>
  <si>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</si>
  <si>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</si>
  <si>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</si>
  <si>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</si>
  <si>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</si>
  <si>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</si>
  <si>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</si>
  <si>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</si>
  <si>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</si>
  <si>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</si>
  <si>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</si>
  <si>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</si>
  <si>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</si>
  <si>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</si>
  <si>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</si>
  <si>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</si>
  <si>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</si>
  <si>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</si>
  <si>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</si>
  <si>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</si>
  <si>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</si>
  <si>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</si>
  <si>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</si>
  <si>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</si>
  <si>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</si>
  <si>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</si>
  <si>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</si>
  <si>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</si>
  <si>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</si>
  <si>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</si>
  <si>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</si>
  <si>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</si>
  <si>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</si>
  <si>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</si>
  <si>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</si>
  <si>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</si>
  <si>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</si>
  <si>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</si>
  <si>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</si>
  <si>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</si>
  <si>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</si>
  <si>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</si>
  <si>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</si>
  <si>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</si>
  <si>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</si>
  <si>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</si>
  <si>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</si>
  <si>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</si>
  <si>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</si>
  <si>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</si>
  <si>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</si>
  <si>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</si>
  <si>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</si>
  <si>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</si>
  <si>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</si>
  <si>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</si>
  <si>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</si>
  <si>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</si>
  <si>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</si>
  <si>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</si>
  <si>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</si>
  <si>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</si>
  <si>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</si>
  <si>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</si>
  <si>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</si>
  <si>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</si>
  <si>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</si>
  <si>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</si>
  <si>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</si>
  <si>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</si>
  <si>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</si>
  <si>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</si>
  <si>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</si>
  <si>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</si>
  <si>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</si>
  <si>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</si>
  <si>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</si>
  <si>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</si>
  <si>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</si>
  <si>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</si>
  <si>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</si>
  <si>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</si>
  <si>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</si>
  <si>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</si>
  <si>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</si>
  <si>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</si>
  <si>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</si>
  <si>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</si>
  <si>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</si>
  <si>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</si>
  <si>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</si>
  <si>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</si>
  <si>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</si>
  <si>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</si>
  <si>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</si>
  <si>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</si>
  <si>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</si>
  <si>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</si>
  <si>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</si>
  <si>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</si>
  <si>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</si>
  <si>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</si>
  <si>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</si>
  <si>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</si>
  <si>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</si>
  <si>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</si>
  <si>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</si>
  <si>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</si>
  <si>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</si>
  <si>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</si>
  <si>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</si>
  <si>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</si>
  <si>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</si>
  <si>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</si>
  <si>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</si>
  <si>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</si>
  <si>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</si>
  <si>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</si>
  <si>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</si>
  <si>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</si>
  <si>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</si>
  <si>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</si>
  <si>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</si>
  <si>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</si>
  <si>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</si>
  <si>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</si>
  <si>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</si>
  <si>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</si>
  <si>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</si>
  <si>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</si>
  <si>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</si>
  <si>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</si>
  <si>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</si>
  <si>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</si>
  <si>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</si>
  <si>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</si>
  <si>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</si>
  <si>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</si>
  <si>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</si>
  <si>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</si>
  <si>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</si>
  <si>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</si>
  <si>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</si>
  <si>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</si>
  <si>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</si>
  <si>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</si>
  <si>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</si>
  <si>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</si>
  <si>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</si>
  <si>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</si>
  <si>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</si>
  <si>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</si>
  <si>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</si>
  <si>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</si>
  <si>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</si>
  <si>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</si>
  <si>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</si>
  <si>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</si>
  <si>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</si>
  <si>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</si>
  <si>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</si>
  <si>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</si>
  <si>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</si>
  <si>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</si>
  <si>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</si>
  <si>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</si>
  <si>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</si>
  <si>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</si>
  <si>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</si>
  <si>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</si>
  <si>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</si>
  <si>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</si>
  <si>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</si>
  <si>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</si>
  <si>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</si>
  <si>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</si>
  <si>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</si>
  <si>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</si>
  <si>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</si>
  <si>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</si>
  <si>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</si>
  <si>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</si>
  <si>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</si>
  <si>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</si>
  <si>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</si>
  <si>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</si>
  <si>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</si>
  <si>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</si>
  <si>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</si>
  <si>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</si>
  <si>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</si>
  <si>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</si>
  <si>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</si>
  <si>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</si>
  <si>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</si>
  <si>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</si>
  <si>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</si>
  <si>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</si>
  <si>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</si>
  <si>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</si>
  <si>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</si>
  <si>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</si>
  <si>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</si>
  <si>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</si>
  <si>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</si>
  <si>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</si>
  <si>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</si>
  <si>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</si>
  <si>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</si>
  <si>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</si>
  <si>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</si>
  <si>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</si>
  <si>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</si>
  <si>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</si>
  <si>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</si>
  <si>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</si>
  <si>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</si>
  <si>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</si>
  <si>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</si>
  <si>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</si>
  <si>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</si>
  <si>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</si>
  <si>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</si>
  <si>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</si>
  <si>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</si>
  <si>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</si>
  <si>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</si>
  <si>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</si>
  <si>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</si>
  <si>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</si>
  <si>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</si>
  <si>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</si>
  <si>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</si>
  <si>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</si>
  <si>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</si>
  <si>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</si>
  <si>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</si>
  <si>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</si>
  <si>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</si>
  <si>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</si>
  <si>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</si>
  <si>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</si>
  <si>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</si>
  <si>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</si>
  <si>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</si>
  <si>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</si>
  <si>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</si>
  <si>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</si>
  <si>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</si>
  <si>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</si>
  <si>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</si>
  <si>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</si>
  <si>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</si>
  <si>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</si>
  <si>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</si>
  <si>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</si>
  <si>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</si>
  <si>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</si>
  <si>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</si>
  <si>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</si>
  <si>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</si>
  <si>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</si>
  <si>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</si>
  <si>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</si>
  <si>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</si>
  <si>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</si>
  <si>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</si>
  <si>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</si>
  <si>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</si>
  <si>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</si>
  <si>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203983-1</t>
  </si>
  <si>
    <t>ITACORDA INDUST</t>
  </si>
  <si>
    <t>TIAGO SANTANA</t>
  </si>
  <si>
    <t>EXPRESSO_250</t>
  </si>
  <si>
    <t>CTE NORMAL</t>
  </si>
  <si>
    <t>GUARULHOS - SP</t>
  </si>
  <si>
    <t>PEX LOGISTICA INTEGRADA L</t>
  </si>
  <si>
    <t>SERGIO MURILO ANTUNES DE</t>
  </si>
  <si>
    <t>IP TRANSPORTES LTDA</t>
  </si>
  <si>
    <t>203994-1</t>
  </si>
  <si>
    <t>SEGER COMERCIAL</t>
  </si>
  <si>
    <t>MAURO MARQUES</t>
  </si>
  <si>
    <t>PERSONALIZADO_L</t>
  </si>
  <si>
    <t>SAO PAULO - SP</t>
  </si>
  <si>
    <t>N/D</t>
  </si>
  <si>
    <t>Bitruck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</si>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</sst>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[Analise_CHRISTIAN_29092026.xlsx]Resumo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99.18</c:v>
                </c:pt>
                <c:pt idx="1">
                  <c:v>8091.55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34.0456</c:v>
                </c:pt>
                <c:pt idx="1">
                  <c:v>6299.6260000000002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[Analise_CHRISTIAN_29092026.xlsx]Resumo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99.18</c:v>
                </c:pt>
                <c:pt idx="1">
                  <c:v>8091.55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34.0456</c:v>
                </c:pt>
                <c:pt idx="1">
                  <c:v>6299.6260000000002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7.41535393518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310" count="8000">
        <n v="303118"/>
        <n v="30331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09-30T00:00:00"/>
    </cacheField>
    <cacheField name="DATA" numFmtId="14">
      <sharedItems containsNonDate="0" containsDate="1" containsString="0" containsBlank="1" minDate="2026-09-29T00:00:00" maxDate="2026-09-30T00:00:00"/>
    </cacheField>
    <cacheField name="FAT" numFmtId="0">
      <sharedItems containsString="0" containsBlank="1" containsNumber="1" containsInteger="1" minValue="65980" maxValue="65992"/>
    </cacheField>
    <cacheField name="CT-E" numFmtId="0">
      <sharedItems containsBlank="1"/>
    </cacheField>
    <cacheField name="CLIENTE TOMADOR" numFmtId="0">
      <sharedItems containsBlank="1" count="855">
        <s v="ITACORDA INDUST"/>
        <s v="SEGER COMERC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99.2" maxValue="347211.56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9.18" maxValue="8091.55"/>
    </cacheField>
    <cacheField name="VOLUMES" numFmtId="0">
      <sharedItems containsString="0" containsBlank="1" containsNumber="1" containsInteger="1" minValue="10" maxValue="42"/>
    </cacheField>
    <cacheField name="PESO" numFmtId="0">
      <sharedItems containsString="0" containsBlank="1" containsNumber="1" minValue="51.65" maxValue="14280"/>
    </cacheField>
    <cacheField name="RESP. COLETA" numFmtId="0">
      <sharedItems containsBlank="1"/>
    </cacheField>
    <cacheField name="CUSTO COLETA" numFmtId="0">
      <sharedItems containsString="0" containsBlank="1" containsNumber="1" minValue="0" maxValue="3.4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1.9" maxValue="970.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" maxValue="173.6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71.11" maxValue="5229.82"/>
    </cacheField>
    <cacheField name="RECEITA" numFmtId="0">
      <sharedItems containsString="0" containsBlank="1" containsNumber="1" minValue="28.07" maxValue="2861.73"/>
    </cacheField>
    <cacheField name="IMPOSTO" numFmtId="0">
      <sharedItems containsString="0" containsBlank="1" containsNumber="1" minValue="25.79" maxValue="2103.8000000000002"/>
    </cacheField>
    <cacheField name="RESULTADO" numFmtId="0">
      <sharedItems containsString="0" containsBlank="1" containsNumber="1" minValue="2.2799999999999998" maxValue="757.93"/>
    </cacheField>
    <cacheField name="COMIS" numFmtId="0">
      <sharedItems containsString="0" containsBlank="1" containsNumber="1" minValue="0" maxValue="0.87"/>
    </cacheField>
    <cacheField name="LUCRO LIQ" numFmtId="0">
      <sharedItems containsString="0" containsBlank="1" containsNumber="1" minValue="1.41" maxValue="757.93"/>
    </cacheField>
    <cacheField name="MARGEM" numFmtId="10">
      <sharedItems containsString="0" containsBlank="1" containsNumber="1" minValue="1.4199999999999999E-2" maxValue="9.369999999999999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9T00:00:00"/>
    <d v="2026-09-29T00:00:00"/>
    <n v="65980"/>
    <s v="203983-1"/>
    <x v="0"/>
    <s v="TIAGO SANTANA"/>
    <n v="1999.2"/>
    <x v="0"/>
    <s v="CTE NORMAL"/>
    <s v="GUARULHOS - SP"/>
    <n v="99.18"/>
    <n v="10"/>
    <n v="51.65"/>
    <s v="PEX LOGISTICA INTEGRADA L"/>
    <n v="3.43"/>
    <s v="SERGIO MURILO ANTUNES DE"/>
    <n v="40"/>
    <s v="IP TRANSPORTES LTDA"/>
    <n v="0"/>
    <n v="11.9"/>
    <n v="0"/>
    <n v="0"/>
    <n v="1"/>
    <n v="0"/>
    <n v="71.11"/>
    <n v="28.07"/>
    <n v="25.79"/>
    <n v="2.2799999999999998"/>
    <n v="0.87"/>
    <n v="1.41"/>
    <n v="1.4199999999999999E-2"/>
    <m/>
  </r>
  <r>
    <x v="1"/>
    <s v="MATRIZ"/>
    <m/>
    <d v="2026-09-29T00:00:00"/>
    <n v="65992"/>
    <s v="203994-1"/>
    <x v="1"/>
    <s v="MAURO MARQUES"/>
    <n v="347211.56"/>
    <x v="1"/>
    <s v="CTE NORMAL"/>
    <s v="SAO PAULO - SP"/>
    <n v="8091.55"/>
    <n v="42"/>
    <n v="14280"/>
    <s v="N/D"/>
    <n v="0"/>
    <s v="N/D"/>
    <n v="0"/>
    <s v="IP TRANSPORTES LTDA"/>
    <n v="0"/>
    <n v="970.99"/>
    <n v="0"/>
    <n v="0"/>
    <n v="173.61"/>
    <n v="0"/>
    <n v="5229.82"/>
    <n v="2861.73"/>
    <n v="2103.8000000000002"/>
    <n v="757.93"/>
    <n v="0"/>
    <n v="757.93"/>
    <n v="9.3699999999999992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3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2"/>
        <item m="1" x="506"/>
        <item sd="0" m="1" x="553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49"/>
        <item m="1" x="845"/>
        <item m="1" x="446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4"/>
        <item m="1" x="409"/>
        <item m="1" x="516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1"/>
        <item m="1" x="373"/>
        <item m="1" x="155"/>
        <item m="1" x="252"/>
        <item m="1" x="628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4"/>
        <item m="1" x="53"/>
        <item m="1" x="649"/>
        <item m="1" x="471"/>
        <item m="1" x="250"/>
        <item m="1" x="329"/>
        <item m="1" x="438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30"/>
        <item m="1" x="714"/>
        <item m="1" x="505"/>
        <item m="1" x="174"/>
        <item m="1" x="627"/>
        <item m="1" x="376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10"/>
        <item m="1" x="118"/>
        <item sd="0" m="1" x="537"/>
        <item m="1" x="84"/>
        <item m="1" x="602"/>
        <item sd="0" m="1" x="451"/>
        <item m="1" x="350"/>
        <item m="1" x="79"/>
        <item m="1" x="582"/>
        <item m="1" x="19"/>
        <item m="1" x="161"/>
        <item m="1" x="773"/>
        <item m="1" x="579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2"/>
        <item m="1" x="556"/>
        <item m="1" x="626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09"/>
        <item m="1" x="821"/>
        <item m="1" x="342"/>
        <item m="1" x="224"/>
        <item m="1" x="65"/>
        <item m="1" x="635"/>
        <item m="1" x="459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0"/>
        <item m="1" x="354"/>
        <item m="1" x="104"/>
        <item sd="0" m="1" x="539"/>
        <item m="1" x="209"/>
        <item m="1" x="671"/>
        <item m="1" x="487"/>
        <item m="1" x="640"/>
        <item m="1" x="606"/>
        <item m="1" x="532"/>
        <item sd="0" m="1" x="563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2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8"/>
        <item m="1" x="468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x="0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7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7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5"/>
        <item m="1" x="412"/>
        <item m="1" x="854"/>
        <item m="1" x="433"/>
        <item m="1" x="569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1"/>
        <item m="1" x="810"/>
        <item m="1" x="603"/>
        <item m="1" x="32"/>
        <item m="1" x="269"/>
        <item m="1" x="751"/>
        <item m="1" x="372"/>
        <item m="1" x="247"/>
        <item m="1" x="399"/>
        <item sd="0" m="1" x="483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499"/>
        <item m="1" x="62"/>
        <item m="1" x="457"/>
        <item m="1" x="83"/>
        <item m="1" x="326"/>
        <item sd="0" m="1" x="169"/>
        <item m="1" x="333"/>
        <item m="1" x="564"/>
        <item m="1" x="504"/>
        <item m="1" x="229"/>
        <item m="1" x="282"/>
        <item m="1" x="94"/>
        <item m="1" x="408"/>
        <item m="1" x="321"/>
        <item m="1" x="710"/>
        <item m="1" x="535"/>
        <item m="1" x="644"/>
        <item m="1" x="609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6"/>
        <item m="1" x="575"/>
        <item sd="0" m="1" x="198"/>
        <item m="1" x="574"/>
        <item m="1" x="366"/>
        <item m="1" x="823"/>
        <item m="1" x="337"/>
        <item m="1" x="524"/>
        <item m="1" x="248"/>
        <item sd="0" m="1" x="11"/>
        <item m="1" x="143"/>
        <item m="1" x="651"/>
        <item m="1" x="604"/>
        <item m="1" x="442"/>
        <item m="1" x="23"/>
        <item m="1" x="594"/>
        <item m="1" x="436"/>
        <item m="1" x="68"/>
        <item m="1" x="655"/>
        <item m="1" x="677"/>
        <item m="1" x="565"/>
        <item m="1" x="515"/>
        <item m="1" x="598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6"/>
        <item m="1" x="687"/>
        <item m="1" x="281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1"/>
        <item m="1" x="511"/>
        <item m="1" x="769"/>
        <item m="1" x="719"/>
        <item m="1" x="760"/>
        <item m="1" x="520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7"/>
        <item m="1" x="706"/>
        <item m="1" x="619"/>
        <item m="1" x="731"/>
        <item m="1" x="472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x="1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3"/>
        <item m="1" x="414"/>
        <item m="1" x="702"/>
        <item m="1" x="205"/>
        <item sd="0" m="1" x="643"/>
        <item m="1" x="779"/>
        <item sd="0" m="1" x="469"/>
        <item sd="0" m="1" x="41"/>
        <item m="1" x="693"/>
        <item m="1" x="663"/>
        <item sd="0" m="1" x="808"/>
        <item m="1" x="816"/>
        <item m="1" x="624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2"/>
        <item m="1" x="514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4"/>
        <item m="1" x="67"/>
        <item m="1" x="650"/>
        <item m="1" x="490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5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2"/>
        <item m="1" x="63"/>
        <item m="1" x="568"/>
        <item m="1" x="432"/>
        <item m="1" x="427"/>
        <item m="1" x="177"/>
        <item m="1" x="367"/>
        <item m="1" x="758"/>
        <item m="1" x="600"/>
        <item m="1" x="13"/>
        <item m="1" x="93"/>
        <item m="1" x="439"/>
        <item m="1" x="435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81"/>
    </i>
    <i r="1">
      <x v="7998"/>
    </i>
    <i>
      <x v="69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3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2"/>
        <item m="1" x="506"/>
        <item sd="0" m="1" x="553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49"/>
        <item m="1" x="845"/>
        <item m="1" x="446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4"/>
        <item m="1" x="409"/>
        <item m="1" x="516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1"/>
        <item m="1" x="373"/>
        <item m="1" x="155"/>
        <item m="1" x="252"/>
        <item m="1" x="628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4"/>
        <item m="1" x="53"/>
        <item m="1" x="649"/>
        <item m="1" x="471"/>
        <item m="1" x="250"/>
        <item m="1" x="329"/>
        <item m="1" x="438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30"/>
        <item m="1" x="714"/>
        <item m="1" x="505"/>
        <item m="1" x="174"/>
        <item m="1" x="627"/>
        <item m="1" x="376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10"/>
        <item m="1" x="118"/>
        <item sd="0" m="1" x="537"/>
        <item m="1" x="84"/>
        <item m="1" x="602"/>
        <item sd="0" m="1" x="451"/>
        <item m="1" x="350"/>
        <item m="1" x="79"/>
        <item m="1" x="582"/>
        <item m="1" x="19"/>
        <item m="1" x="161"/>
        <item m="1" x="773"/>
        <item m="1" x="579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2"/>
        <item m="1" x="556"/>
        <item m="1" x="626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09"/>
        <item m="1" x="821"/>
        <item m="1" x="342"/>
        <item m="1" x="224"/>
        <item m="1" x="65"/>
        <item m="1" x="635"/>
        <item m="1" x="459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0"/>
        <item m="1" x="354"/>
        <item m="1" x="104"/>
        <item sd="0" m="1" x="539"/>
        <item m="1" x="209"/>
        <item m="1" x="671"/>
        <item m="1" x="487"/>
        <item m="1" x="640"/>
        <item m="1" x="606"/>
        <item m="1" x="532"/>
        <item sd="0" m="1" x="563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2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8"/>
        <item m="1" x="468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x="0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7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7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5"/>
        <item m="1" x="412"/>
        <item m="1" x="854"/>
        <item m="1" x="433"/>
        <item m="1" x="569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1"/>
        <item m="1" x="810"/>
        <item m="1" x="603"/>
        <item m="1" x="32"/>
        <item m="1" x="269"/>
        <item m="1" x="751"/>
        <item m="1" x="372"/>
        <item m="1" x="247"/>
        <item m="1" x="399"/>
        <item sd="0" m="1" x="483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499"/>
        <item m="1" x="62"/>
        <item m="1" x="457"/>
        <item m="1" x="83"/>
        <item m="1" x="326"/>
        <item sd="0" m="1" x="169"/>
        <item m="1" x="333"/>
        <item m="1" x="564"/>
        <item m="1" x="504"/>
        <item m="1" x="229"/>
        <item m="1" x="282"/>
        <item m="1" x="94"/>
        <item m="1" x="408"/>
        <item m="1" x="321"/>
        <item m="1" x="710"/>
        <item m="1" x="535"/>
        <item m="1" x="644"/>
        <item m="1" x="609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6"/>
        <item m="1" x="575"/>
        <item sd="0" m="1" x="198"/>
        <item m="1" x="574"/>
        <item m="1" x="366"/>
        <item m="1" x="823"/>
        <item m="1" x="337"/>
        <item m="1" x="524"/>
        <item m="1" x="248"/>
        <item sd="0" m="1" x="11"/>
        <item m="1" x="143"/>
        <item m="1" x="651"/>
        <item m="1" x="604"/>
        <item m="1" x="442"/>
        <item m="1" x="23"/>
        <item m="1" x="594"/>
        <item m="1" x="436"/>
        <item m="1" x="68"/>
        <item m="1" x="655"/>
        <item m="1" x="677"/>
        <item m="1" x="565"/>
        <item m="1" x="515"/>
        <item m="1" x="598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6"/>
        <item m="1" x="687"/>
        <item m="1" x="281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1"/>
        <item m="1" x="511"/>
        <item m="1" x="769"/>
        <item m="1" x="719"/>
        <item m="1" x="760"/>
        <item m="1" x="520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7"/>
        <item m="1" x="706"/>
        <item m="1" x="619"/>
        <item m="1" x="731"/>
        <item m="1" x="472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x="1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3"/>
        <item m="1" x="414"/>
        <item m="1" x="702"/>
        <item m="1" x="205"/>
        <item sd="0" m="1" x="643"/>
        <item m="1" x="779"/>
        <item sd="0" m="1" x="469"/>
        <item sd="0" m="1" x="41"/>
        <item m="1" x="693"/>
        <item m="1" x="663"/>
        <item sd="0" m="1" x="808"/>
        <item m="1" x="816"/>
        <item m="1" x="624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2"/>
        <item m="1" x="514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4"/>
        <item m="1" x="67"/>
        <item m="1" x="650"/>
        <item m="1" x="490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5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2"/>
        <item m="1" x="63"/>
        <item m="1" x="568"/>
        <item m="1" x="432"/>
        <item m="1" x="427"/>
        <item m="1" x="177"/>
        <item m="1" x="367"/>
        <item m="1" x="758"/>
        <item m="1" x="600"/>
        <item m="1" x="13"/>
        <item m="1" x="93"/>
        <item m="1" x="439"/>
        <item m="1" x="435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1"/>
    </i>
    <i>
      <x v="69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0" s="1" nd="1"/>
        <i x="325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5" s="1" nd="1"/>
        <i x="828" s="1" nd="1"/>
        <i x="271" s="1" nd="1"/>
        <i x="480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70" s="1" nd="1"/>
        <i x="45" s="1" nd="1"/>
        <i x="730" s="1" nd="1"/>
        <i x="689" s="1" nd="1"/>
        <i x="217" s="1" nd="1"/>
        <i x="477" s="1" nd="1"/>
        <i x="633" s="1" nd="1"/>
        <i x="447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2" s="1" nd="1"/>
        <i x="506" s="1" nd="1"/>
        <i x="553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49" s="1" nd="1"/>
        <i x="845" s="1" nd="1"/>
        <i x="446" s="1" nd="1"/>
        <i x="530" s="1" nd="1"/>
        <i x="665" s="1" nd="1"/>
        <i x="519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4" s="1" nd="1"/>
        <i x="409" s="1" nd="1"/>
        <i x="516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9" s="1" nd="1"/>
        <i x="208" s="1" nd="1"/>
        <i x="522" s="1" nd="1"/>
        <i x="464" s="1" nd="1"/>
        <i x="139" s="1" nd="1"/>
        <i x="661" s="1" nd="1"/>
        <i x="373" s="1" nd="1"/>
        <i x="155" s="1" nd="1"/>
        <i x="252" s="1" nd="1"/>
        <i x="628" s="1" nd="1"/>
        <i x="736" s="1" nd="1"/>
        <i x="422" s="1" nd="1"/>
        <i x="81" s="1" nd="1"/>
        <i x="696" s="1" nd="1"/>
        <i x="285" s="1" nd="1"/>
        <i x="846" s="1" nd="1"/>
        <i x="249" s="1" nd="1"/>
        <i x="763" s="1" nd="1"/>
        <i x="426" s="1" nd="1"/>
        <i x="437" s="1" nd="1"/>
        <i x="168" s="1" nd="1"/>
        <i x="543" s="1" nd="1"/>
        <i x="806" s="1" nd="1"/>
        <i x="620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4" s="1" nd="1"/>
        <i x="53" s="1" nd="1"/>
        <i x="649" s="1" nd="1"/>
        <i x="471" s="1" nd="1"/>
        <i x="250" s="1" nd="1"/>
        <i x="329" s="1" nd="1"/>
        <i x="438" s="1" nd="1"/>
        <i x="353" s="1" nd="1"/>
        <i x="571" s="1" nd="1"/>
        <i x="567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7" s="1" nd="1"/>
        <i x="853" s="1" nd="1"/>
        <i x="829" s="1" nd="1"/>
        <i x="107" s="1" nd="1"/>
        <i x="402" s="1" nd="1"/>
        <i x="115" s="1" nd="1"/>
        <i x="652" s="1" nd="1"/>
        <i x="656" s="1" nd="1"/>
        <i x="795" s="1" nd="1"/>
        <i x="695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0" s="1" nd="1"/>
        <i x="458" s="1" nd="1"/>
        <i x="479" s="1" nd="1"/>
        <i x="750" s="1" nd="1"/>
        <i x="638" s="1" nd="1"/>
        <i x="54" s="1" nd="1"/>
        <i x="793" s="1" nd="1"/>
        <i x="716" s="1" nd="1"/>
        <i x="418" s="1" nd="1"/>
        <i x="734" s="1" nd="1"/>
        <i x="813" s="1" nd="1"/>
        <i x="561" s="1" nd="1"/>
        <i x="558" s="1" nd="1"/>
        <i x="430" s="1" nd="1"/>
        <i x="714" s="1" nd="1"/>
        <i x="505" s="1" nd="1"/>
        <i x="174" s="1" nd="1"/>
        <i x="627" s="1" nd="1"/>
        <i x="376" s="1" nd="1"/>
        <i x="807" s="1" nd="1"/>
        <i x="60" s="1" nd="1"/>
        <i x="631" s="1" nd="1"/>
        <i x="531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2" s="1" nd="1"/>
        <i x="451" s="1" nd="1"/>
        <i x="350" s="1" nd="1"/>
        <i x="79" s="1" nd="1"/>
        <i x="582" s="1" nd="1"/>
        <i x="19" s="1" nd="1"/>
        <i x="161" s="1" nd="1"/>
        <i x="773" s="1" nd="1"/>
        <i x="579" s="1" nd="1"/>
        <i x="518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2" s="1" nd="1"/>
        <i x="556" s="1" nd="1"/>
        <i x="626" s="1" nd="1"/>
        <i x="346" s="1" nd="1"/>
        <i x="434" s="1" nd="1"/>
        <i x="708" s="1" nd="1"/>
        <i x="211" s="1" nd="1"/>
        <i x="440" s="1" nd="1"/>
        <i x="103" s="1" nd="1"/>
        <i x="197" s="1" nd="1"/>
        <i x="831" s="1" nd="1"/>
        <i x="764" s="1" nd="1"/>
        <i x="509" s="1" nd="1"/>
        <i x="821" s="1" nd="1"/>
        <i x="342" s="1" nd="1"/>
        <i x="224" s="1" nd="1"/>
        <i x="65" s="1" nd="1"/>
        <i x="635" s="1" nd="1"/>
        <i x="459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0" s="1" nd="1"/>
        <i x="354" s="1" nd="1"/>
        <i x="104" s="1" nd="1"/>
        <i x="539" s="1" nd="1"/>
        <i x="209" s="1" nd="1"/>
        <i x="671" s="1" nd="1"/>
        <i x="487" s="1" nd="1"/>
        <i x="640" s="1" nd="1"/>
        <i x="606" s="1" nd="1"/>
        <i x="532" s="1" nd="1"/>
        <i x="563" s="1" nd="1"/>
        <i x="738" s="1" nd="1"/>
        <i x="517" s="1" nd="1"/>
        <i x="387" s="1" nd="1"/>
        <i x="546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8" s="1" nd="1"/>
        <i x="154" s="1" nd="1"/>
        <i x="16" s="1" nd="1"/>
        <i x="233" s="1" nd="1"/>
        <i x="242" s="1" nd="1"/>
        <i x="6" s="1" nd="1"/>
        <i x="389" s="1" nd="1"/>
        <i x="371" s="1" nd="1"/>
        <i x="615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40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89" s="1" nd="1"/>
        <i x="747" s="1" nd="1"/>
        <i x="270" s="1" nd="1"/>
        <i x="18" s="1" nd="1"/>
        <i x="637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2" s="1" nd="1"/>
        <i x="370" s="1" nd="1"/>
        <i x="336" s="1" nd="1"/>
        <i x="176" s="1" nd="1"/>
        <i x="421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9" s="1" nd="1"/>
        <i x="815" s="1" nd="1"/>
        <i x="776" s="1" nd="1"/>
        <i x="145" s="1" nd="1"/>
        <i x="498" s="1" nd="1"/>
        <i x="468" s="1" nd="1"/>
        <i x="141" s="1" nd="1"/>
        <i x="756" s="1" nd="1"/>
        <i x="149" s="1" nd="1"/>
        <i x="225" s="1" nd="1"/>
        <i x="720" s="1" nd="1"/>
        <i x="555" s="1" nd="1"/>
        <i x="117" s="1" nd="1"/>
        <i x="377" s="1" nd="1"/>
        <i x="718" s="1" nd="1"/>
        <i x="128" s="1" nd="1"/>
        <i x="34" s="1" nd="1"/>
        <i x="303" s="1" nd="1"/>
        <i x="61" s="1" nd="1"/>
        <i x="453" s="1" nd="1"/>
        <i x="774" s="1" nd="1"/>
        <i x="486" s="1" nd="1"/>
        <i x="740" s="1" nd="1"/>
        <i x="455" s="1" nd="1"/>
        <i x="521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1" s="1" nd="1"/>
        <i x="664" s="1" nd="1"/>
        <i x="494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6" s="1" nd="1"/>
        <i x="700" s="1" nd="1"/>
        <i x="429" s="1" nd="1"/>
        <i x="364" s="1" nd="1"/>
        <i x="101" s="1" nd="1"/>
        <i x="482" s="1" nd="1"/>
        <i x="607" s="1" nd="1"/>
        <i x="715" s="1" nd="1"/>
        <i x="55" s="1" nd="1"/>
        <i x="299" s="1" nd="1"/>
        <i x="682" s="1" nd="1"/>
        <i x="136" s="1" nd="1"/>
        <i x="331" s="1" nd="1"/>
        <i x="536" s="1" nd="1"/>
        <i x="238" s="1" nd="1"/>
        <i x="557" s="1" nd="1"/>
        <i x="547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3" s="1" nd="1"/>
        <i x="799" s="1" nd="1"/>
        <i x="218" s="1" nd="1"/>
        <i x="827" s="1" nd="1"/>
        <i x="70" s="1" nd="1"/>
        <i x="119" s="1" nd="1"/>
        <i x="645" s="1" nd="1"/>
        <i x="412" s="1" nd="1"/>
        <i x="854" s="1" nd="1"/>
        <i x="433" s="1" nd="1"/>
        <i x="569" s="1" nd="1"/>
        <i x="489" s="1" nd="1"/>
        <i x="183" s="1" nd="1"/>
        <i x="375" s="1" nd="1"/>
        <i x="243" s="1" nd="1"/>
        <i x="338" s="1" nd="1"/>
        <i x="528" s="1" nd="1"/>
        <i x="424" s="1" nd="1"/>
        <i x="788" s="1" nd="1"/>
        <i x="302" s="1" nd="1"/>
        <i x="310" s="1" nd="1"/>
        <i x="368" s="1" nd="1"/>
        <i x="492" s="1" nd="1"/>
        <i x="662" s="1" nd="1"/>
        <i x="189" s="1" nd="1"/>
        <i x="659" s="1" nd="1"/>
        <i x="222" s="1" nd="1"/>
        <i x="450" s="1" nd="1"/>
        <i x="148" s="1" nd="1"/>
        <i x="363" s="1" nd="1"/>
        <i x="264" s="1" nd="1"/>
        <i x="292" s="1" nd="1"/>
        <i x="541" s="1" nd="1"/>
        <i x="810" s="1" nd="1"/>
        <i x="603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6" s="1" nd="1"/>
        <i x="507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2" s="1" nd="1"/>
        <i x="657" s="1" nd="1"/>
        <i x="311" s="1" nd="1"/>
        <i x="75" s="1" nd="1"/>
        <i x="669" s="1" nd="1"/>
        <i x="95" s="1" nd="1"/>
        <i x="441" s="1" nd="1"/>
        <i x="352" s="1" nd="1"/>
        <i x="784" s="1" nd="1"/>
        <i x="499" s="1" nd="1"/>
        <i x="62" s="1" nd="1"/>
        <i x="457" s="1" nd="1"/>
        <i x="83" s="1" nd="1"/>
        <i x="326" s="1" nd="1"/>
        <i x="169" s="1" nd="1"/>
        <i x="333" s="1" nd="1"/>
        <i x="564" s="1" nd="1"/>
        <i x="504" s="1" nd="1"/>
        <i x="229" s="1" nd="1"/>
        <i x="282" s="1" nd="1"/>
        <i x="94" s="1" nd="1"/>
        <i x="408" s="1" nd="1"/>
        <i x="321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2" s="1" nd="1"/>
        <i x="96" s="1" nd="1"/>
        <i x="523" s="1" nd="1"/>
        <i x="789" s="1" nd="1"/>
        <i x="20" s="1" nd="1"/>
        <i x="538" s="1" nd="1"/>
        <i x="636" s="1" nd="1"/>
        <i x="575" s="1" nd="1"/>
        <i x="198" s="1" nd="1"/>
        <i x="574" s="1" nd="1"/>
        <i x="366" s="1" nd="1"/>
        <i x="823" s="1" nd="1"/>
        <i x="337" s="1" nd="1"/>
        <i x="524" s="1" nd="1"/>
        <i x="248" s="1" nd="1"/>
        <i x="11" s="1" nd="1"/>
        <i x="143" s="1" nd="1"/>
        <i x="651" s="1" nd="1"/>
        <i x="604" s="1" nd="1"/>
        <i x="442" s="1" nd="1"/>
        <i x="23" s="1" nd="1"/>
        <i x="594" s="1" nd="1"/>
        <i x="436" s="1" nd="1"/>
        <i x="68" s="1" nd="1"/>
        <i x="655" s="1" nd="1"/>
        <i x="677" s="1" nd="1"/>
        <i x="565" s="1" nd="1"/>
        <i x="515" s="1" nd="1"/>
        <i x="598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6" s="1" nd="1"/>
        <i x="687" s="1" nd="1"/>
        <i x="281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3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3" s="1" nd="1"/>
        <i x="26" s="1" nd="1"/>
        <i x="343" s="1" nd="1"/>
        <i x="491" s="1" nd="1"/>
        <i x="511" s="1" nd="1"/>
        <i x="769" s="1" nd="1"/>
        <i x="719" s="1" nd="1"/>
        <i x="760" s="1" nd="1"/>
        <i x="520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7" s="1" nd="1"/>
        <i x="706" s="1" nd="1"/>
        <i x="619" s="1" nd="1"/>
        <i x="731" s="1" nd="1"/>
        <i x="472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7" s="1" nd="1"/>
        <i x="613" s="1" nd="1"/>
        <i x="777" s="1" nd="1"/>
        <i x="395" s="1" nd="1"/>
        <i x="401" s="1" nd="1"/>
        <i x="704" s="1" nd="1"/>
        <i x="404" s="1" nd="1"/>
        <i x="830" s="1" nd="1"/>
        <i x="396" s="1" nd="1"/>
        <i x="670" s="1" nd="1"/>
        <i x="186" s="1" nd="1"/>
        <i x="410" s="1" nd="1"/>
        <i x="475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6" s="1" nd="1"/>
        <i x="744" s="1" nd="1"/>
        <i x="80" s="1" nd="1"/>
        <i x="52" s="1" nd="1"/>
        <i x="851" s="1" nd="1"/>
        <i x="30" s="1" nd="1"/>
        <i x="570" s="1" nd="1"/>
        <i x="513" s="1" nd="1"/>
        <i x="414" s="1" nd="1"/>
        <i x="702" s="1" nd="1"/>
        <i x="205" s="1" nd="1"/>
        <i x="643" s="1" nd="1"/>
        <i x="779" s="1" nd="1"/>
        <i x="469" s="1" nd="1"/>
        <i x="41" s="1" nd="1"/>
        <i x="693" s="1" nd="1"/>
        <i x="663" s="1" nd="1"/>
        <i x="808" s="1" nd="1"/>
        <i x="816" s="1" nd="1"/>
        <i x="624" s="1" nd="1"/>
        <i x="460" s="1" nd="1"/>
        <i x="691" s="1" nd="1"/>
        <i x="135" s="1" nd="1"/>
        <i x="411" s="1" nd="1"/>
        <i x="692" s="1" nd="1"/>
        <i x="443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6" s="1" nd="1"/>
        <i x="361" s="1" nd="1"/>
        <i x="452" s="1" nd="1"/>
        <i x="514" s="1" nd="1"/>
        <i x="123" s="1" nd="1"/>
        <i x="646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90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5" s="1" nd="1"/>
        <i x="27" s="1" nd="1"/>
        <i x="765" s="1" nd="1"/>
        <i x="415" s="1" nd="1"/>
        <i x="552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2" s="1" nd="1"/>
        <i x="63" s="1" nd="1"/>
        <i x="568" s="1" nd="1"/>
        <i x="432" s="1" nd="1"/>
        <i x="427" s="1" nd="1"/>
        <i x="177" s="1" nd="1"/>
        <i x="367" s="1" nd="1"/>
        <i x="758" s="1" nd="1"/>
        <i x="600" s="1" nd="1"/>
        <i x="13" s="1" nd="1"/>
        <i x="93" s="1" nd="1"/>
        <i x="439" s="1" nd="1"/>
        <i x="435" s="1" nd="1"/>
        <i x="122" s="1" nd="1"/>
        <i x="630" s="1" nd="1"/>
        <i x="202" s="1" nd="1"/>
        <i x="157" s="1" nd="1"/>
        <i x="56" s="1" nd="1"/>
        <i x="548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3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303118</v>
      </c>
      <c r="B2" s="12" t="s">
        <v>616</v>
      </c>
      <c r="C2" s="14">
        <v>46294</v>
      </c>
      <c r="D2" s="14">
        <v>46294</v>
      </c>
      <c r="E2" s="12">
        <v>65980</v>
      </c>
      <c r="F2" s="15" t="s">
        <v>617</v>
      </c>
      <c r="G2" s="15" t="s">
        <v>618</v>
      </c>
      <c r="H2" s="15" t="s">
        <v>619</v>
      </c>
      <c r="I2" s="16">
        <v>1999.2</v>
      </c>
      <c r="J2" s="15" t="s">
        <v>620</v>
      </c>
      <c r="K2" s="15" t="s">
        <v>621</v>
      </c>
      <c r="L2" s="15" t="s">
        <v>622</v>
      </c>
      <c r="M2" s="15">
        <v>99.18</v>
      </c>
      <c r="N2" s="15">
        <v>10</v>
      </c>
      <c r="O2" s="16">
        <v>51.65</v>
      </c>
      <c r="P2" s="15" t="s">
        <v>623</v>
      </c>
      <c r="Q2" s="15">
        <v>3.43</v>
      </c>
      <c r="R2" s="15" t="s">
        <v>624</v>
      </c>
      <c r="S2" s="15">
        <v>40</v>
      </c>
      <c r="T2" s="15" t="s">
        <v>625</v>
      </c>
      <c r="U2" s="15">
        <v>0</v>
      </c>
      <c r="V2" s="15">
        <v>11.9</v>
      </c>
      <c r="W2" s="15">
        <v>0</v>
      </c>
      <c r="X2" s="15">
        <v>0</v>
      </c>
      <c r="Y2" s="15">
        <v>1</v>
      </c>
      <c r="Z2" s="15">
        <v>0</v>
      </c>
      <c r="AA2" s="15">
        <v>71.11</v>
      </c>
      <c r="AB2" s="15">
        <v>28.07</v>
      </c>
      <c r="AC2" s="15">
        <v>25.79</v>
      </c>
      <c r="AD2" s="15">
        <v>2.2799999999999998</v>
      </c>
      <c r="AE2" s="15">
        <v>0.87</v>
      </c>
      <c r="AF2" s="15">
        <v>1.41</v>
      </c>
      <c r="AG2" s="17">
        <v>1.4199999999999999E-2</v>
      </c>
      <c r="AH2" s="15"/>
    </row>
    <row r="3" spans="1:34" s="1" customFormat="1" ht="12" customHeight="1" x14ac:dyDescent="0.3">
      <c r="A3" s="13">
        <v>303310</v>
      </c>
      <c r="B3" s="12" t="s">
        <v>616</v>
      </c>
      <c r="C3" s="14"/>
      <c r="D3" s="14">
        <v>46294</v>
      </c>
      <c r="E3" s="12">
        <v>65992</v>
      </c>
      <c r="F3" s="15" t="s">
        <v>626</v>
      </c>
      <c r="G3" s="15" t="s">
        <v>627</v>
      </c>
      <c r="H3" s="15" t="s">
        <v>628</v>
      </c>
      <c r="I3" s="16">
        <v>347211.56</v>
      </c>
      <c r="J3" s="15" t="s">
        <v>629</v>
      </c>
      <c r="K3" s="15" t="s">
        <v>621</v>
      </c>
      <c r="L3" s="15" t="s">
        <v>630</v>
      </c>
      <c r="M3" s="16">
        <v>8091.55</v>
      </c>
      <c r="N3" s="15">
        <v>42</v>
      </c>
      <c r="O3" s="16">
        <v>14280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970.99</v>
      </c>
      <c r="W3" s="15">
        <v>0</v>
      </c>
      <c r="X3" s="15">
        <v>0</v>
      </c>
      <c r="Y3" s="15">
        <v>173.61</v>
      </c>
      <c r="Z3" s="15">
        <v>0</v>
      </c>
      <c r="AA3" s="16">
        <v>5229.82</v>
      </c>
      <c r="AB3" s="16">
        <v>2861.73</v>
      </c>
      <c r="AC3" s="15">
        <v>2103.8000000000002</v>
      </c>
      <c r="AD3" s="15">
        <v>757.93</v>
      </c>
      <c r="AE3" s="15">
        <v>0</v>
      </c>
      <c r="AF3" s="15">
        <v>757.93</v>
      </c>
      <c r="AG3" s="17">
        <v>9.3699999999999992E-2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8190.7300000000005</v>
      </c>
      <c r="F3" s="89"/>
      <c r="G3" s="90"/>
      <c r="H3" s="133">
        <f>'Resumo Detalhado'!C2</f>
        <v>14331.65</v>
      </c>
      <c r="I3" s="134"/>
      <c r="J3" s="135">
        <f>E3/H3</f>
        <v>0.57151339866658768</v>
      </c>
      <c r="K3" s="136"/>
      <c r="L3" s="137"/>
      <c r="M3" s="138" t="s">
        <v>632</v>
      </c>
      <c r="N3" s="89"/>
      <c r="O3" s="90"/>
      <c r="P3" s="106">
        <v>22000</v>
      </c>
      <c r="Q3" s="107"/>
      <c r="R3" s="108"/>
      <c r="S3" s="103">
        <f>MIN(H3/P3,1)</f>
        <v>0.6514386363636363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4103.43</v>
      </c>
      <c r="F7" s="112"/>
      <c r="G7" s="112"/>
      <c r="H7" s="112"/>
      <c r="I7" s="112"/>
      <c r="J7" s="112">
        <f>E7/H3</f>
        <v>0.28631943984119068</v>
      </c>
      <c r="K7" s="112"/>
      <c r="L7" s="112"/>
      <c r="M7" s="130">
        <f>E7/E3</f>
        <v>0.50098464971986623</v>
      </c>
      <c r="N7" s="130"/>
      <c r="O7" s="130"/>
      <c r="P7" s="112">
        <f>E11+K11+Q11+E15+K15+Q15+E19+H19+K19</f>
        <v>7226.7052000000003</v>
      </c>
      <c r="Q7" s="112"/>
      <c r="R7" s="112"/>
      <c r="S7" s="112">
        <f>P7/H3</f>
        <v>0.50424795470165684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0.28608010940819795</v>
      </c>
      <c r="O11" s="90"/>
      <c r="P11" s="38"/>
      <c r="Q11" s="88">
        <f>'Resumo Detalhado'!D2</f>
        <v>3.43</v>
      </c>
      <c r="R11" s="90"/>
      <c r="S11" s="38"/>
      <c r="T11" s="88">
        <f>Q11/H3</f>
        <v>2.3933043299271194E-4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982.89</v>
      </c>
      <c r="F15" s="119"/>
      <c r="G15" s="119"/>
      <c r="H15" s="119"/>
      <c r="I15" s="132"/>
      <c r="J15" s="38"/>
      <c r="K15" s="113">
        <f>'Resumo Detalhado'!K2+'Resumo Detalhado'!L2</f>
        <v>1310.5168000000001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174.61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655.25840000000005</v>
      </c>
      <c r="L19" s="123"/>
      <c r="M19" s="38"/>
      <c r="N19" s="121" t="s">
        <v>130</v>
      </c>
      <c r="O19" s="119"/>
      <c r="P19" s="119"/>
      <c r="Q19" s="119"/>
      <c r="R19" s="120"/>
      <c r="S19" s="121">
        <f>_xlfn.XLOOKUP(N19,Target!C:C,Target!D:D)</f>
        <v>4500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6333.6716000000006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0.77327315147734088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8190.7300000000005</v>
      </c>
      <c r="C2" s="29">
        <f>SUM(C6:C5000)</f>
        <v>14331.65</v>
      </c>
      <c r="D2" s="29">
        <f>SUM(D6:D5000)</f>
        <v>3.43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982.89</v>
      </c>
      <c r="I2" s="29">
        <f t="shared" si="0"/>
        <v>174.61</v>
      </c>
      <c r="J2" s="29">
        <f t="shared" si="0"/>
        <v>0</v>
      </c>
      <c r="K2" s="29">
        <f t="shared" si="0"/>
        <v>655.25840000000005</v>
      </c>
      <c r="L2" s="29">
        <f t="shared" si="0"/>
        <v>655.25840000000005</v>
      </c>
      <c r="M2" s="29">
        <f t="shared" si="0"/>
        <v>0.87</v>
      </c>
      <c r="N2" s="29">
        <f t="shared" si="0"/>
        <v>6333.6716000000006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303118</v>
      </c>
      <c r="B6" s="140">
        <v>99.18</v>
      </c>
      <c r="C6" s="141">
        <v>51.65</v>
      </c>
      <c r="D6" s="140">
        <v>3.43</v>
      </c>
      <c r="E6" s="140">
        <v>40</v>
      </c>
      <c r="F6" s="140">
        <v>0</v>
      </c>
      <c r="G6" s="142">
        <v>0.43789070377092154</v>
      </c>
      <c r="H6" s="140">
        <v>11.9</v>
      </c>
      <c r="I6" s="140">
        <v>1</v>
      </c>
      <c r="J6" s="140">
        <v>0</v>
      </c>
      <c r="K6" s="140">
        <v>7.934400000000001</v>
      </c>
      <c r="L6" s="140">
        <v>7.934400000000001</v>
      </c>
      <c r="M6" s="140">
        <v>0.87</v>
      </c>
      <c r="N6" s="140">
        <v>34.0456</v>
      </c>
      <c r="O6" s="142">
        <v>0.34327082072998588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303310</v>
      </c>
      <c r="B8" s="140">
        <v>8091.55</v>
      </c>
      <c r="C8" s="141">
        <v>14280</v>
      </c>
      <c r="D8" s="140">
        <v>0</v>
      </c>
      <c r="E8" s="140">
        <v>0</v>
      </c>
      <c r="F8" s="140">
        <v>0</v>
      </c>
      <c r="G8" s="142">
        <v>0</v>
      </c>
      <c r="H8" s="140">
        <v>970.99</v>
      </c>
      <c r="I8" s="140">
        <v>173.61</v>
      </c>
      <c r="J8" s="140">
        <v>0</v>
      </c>
      <c r="K8" s="140">
        <v>647.32400000000007</v>
      </c>
      <c r="L8" s="140">
        <v>647.32400000000007</v>
      </c>
      <c r="M8" s="140">
        <v>0</v>
      </c>
      <c r="N8" s="140">
        <v>6299.6260000000002</v>
      </c>
      <c r="O8" s="142">
        <v>0.77854378950880854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8091.55</v>
      </c>
      <c r="C2" s="29">
        <f>SUM(C6:C5000)</f>
        <v>6299.6260000000002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99.18</v>
      </c>
      <c r="C5" s="10">
        <v>34.0456</v>
      </c>
    </row>
    <row r="6" spans="1:4" x14ac:dyDescent="0.3">
      <c r="A6" s="139" t="s">
        <v>627</v>
      </c>
      <c r="B6" s="140">
        <v>8091.55</v>
      </c>
      <c r="C6" s="140">
        <v>6299.6260000000002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2026-10-02T12:58:14Z</dcterms:modified>
  <cp:category/>
  <cp:contentStatus/>
</cp:coreProperties>
</file>