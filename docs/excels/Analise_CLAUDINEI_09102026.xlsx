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B0C4EE3-6B0A-4846-9E2C-09AE2A1AF23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<sst xmlns="http://schemas.openxmlformats.org/spreadsheetml/2006/main" count="914" uniqueCount="632">
  <si>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</si>
  <si>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</si>
  <si>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</si>
  <si>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</si>
  <si>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</si>
  <si>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</si>
  <si>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</si>
  <si>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</si>
  <si>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</si>
  <si>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</si>
  <si>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</si>
  <si>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</si>
  <si>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</si>
  <si>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</si>
  <si>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</si>
  <si>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</si>
  <si>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</si>
  <si>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</si>
  <si>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</si>
  <si>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</si>
  <si>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</si>
  <si>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</si>
  <si>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</si>
  <si>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</si>
  <si>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</si>
  <si>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</si>
  <si>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</si>
  <si>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</si>
  <si>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</si>
  <si>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</si>
  <si>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</si>
  <si>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</si>
  <si>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</si>
  <si>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</si>
  <si>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</si>
  <si>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</si>
  <si>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</si>
  <si>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</si>
  <si>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</si>
  <si>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</si>
  <si>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</si>
  <si>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</si>
  <si>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</si>
  <si>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</si>
  <si>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</si>
  <si>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</si>
  <si>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</si>
  <si>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</si>
  <si>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</si>
  <si>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</si>
  <si>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</si>
  <si>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</si>
  <si>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</si>
  <si>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</si>
  <si>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</si>
  <si>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</si>
  <si>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</si>
  <si>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</si>
  <si>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</si>
  <si>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</si>
  <si>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</si>
  <si>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</si>
  <si>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</si>
  <si>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</si>
  <si>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</si>
  <si>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</si>
  <si>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</si>
  <si>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</si>
  <si>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</si>
  <si>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</si>
  <si>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</si>
  <si>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</si>
  <si>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</si>
  <si>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</si>
  <si>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</si>
  <si>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</si>
  <si>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</si>
  <si>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</si>
  <si>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</si>
  <si>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</si>
  <si>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</si>
  <si>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</si>
  <si>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</si>
  <si>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</si>
  <si>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</si>
  <si>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</si>
  <si>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</si>
  <si>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</si>
  <si>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</si>
  <si>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</si>
  <si>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</si>
  <si>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</si>
  <si>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</si>
  <si>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</si>
  <si>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</si>
  <si>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</si>
  <si>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</si>
  <si>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</si>
  <si>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</si>
  <si>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</si>
  <si>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</si>
  <si>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</si>
  <si>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</si>
  <si>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</si>
  <si>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</si>
  <si>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</si>
  <si>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</si>
  <si>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</si>
  <si>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</si>
  <si>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</si>
  <si>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</si>
  <si>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</si>
  <si>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</si>
  <si>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</si>
  <si>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</si>
  <si>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</si>
  <si>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</si>
  <si>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</si>
  <si>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</si>
  <si>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</si>
  <si>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</si>
  <si>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</si>
  <si>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</si>
  <si>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</si>
  <si>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</si>
  <si>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</si>
  <si>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</si>
  <si>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</si>
  <si>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</si>
  <si>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</si>
  <si>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</si>
  <si>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</si>
  <si>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</si>
  <si>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</si>
  <si>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</si>
  <si>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</si>
  <si>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</si>
  <si>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</si>
  <si>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</si>
  <si>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</si>
  <si>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</si>
  <si>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</si>
  <si>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</si>
  <si>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</si>
  <si>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</si>
  <si>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</si>
  <si>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</si>
  <si>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</si>
  <si>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</si>
  <si>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</si>
  <si>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</si>
  <si>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</si>
  <si>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</si>
  <si>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</si>
  <si>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</si>
  <si>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</si>
  <si>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</si>
  <si>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</si>
  <si>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</si>
  <si>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</si>
  <si>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</si>
  <si>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</si>
  <si>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</si>
  <si>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</si>
  <si>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</si>
  <si>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</si>
  <si>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</si>
  <si>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</si>
  <si>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</si>
  <si>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</si>
  <si>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</si>
  <si>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</si>
  <si>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</si>
  <si>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</si>
  <si>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</si>
  <si>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</si>
  <si>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</si>
  <si>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</si>
  <si>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</si>
  <si>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</si>
  <si>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</si>
  <si>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</si>
  <si>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</si>
  <si>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</si>
  <si>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</si>
  <si>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</si>
  <si>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</si>
  <si>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</si>
  <si>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</si>
  <si>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</si>
  <si>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</si>
  <si>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</si>
  <si>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</si>
  <si>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</si>
  <si>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</si>
  <si>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</si>
  <si>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</si>
  <si>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</si>
  <si>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</si>
  <si>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</si>
  <si>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</si>
  <si>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</si>
  <si>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</si>
  <si>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</si>
  <si>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</si>
  <si>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</si>
  <si>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</si>
  <si>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</si>
  <si>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</si>
  <si>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</si>
  <si>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</si>
  <si>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</si>
  <si>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</si>
  <si>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</si>
  <si>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</si>
  <si>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</si>
  <si>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</si>
  <si>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</si>
  <si>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</si>
  <si>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</si>
  <si>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</si>
  <si>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</si>
  <si>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</si>
  <si>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</si>
  <si>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</si>
  <si>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</si>
  <si>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</si>
  <si>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</si>
  <si>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</si>
  <si>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</si>
  <si>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</si>
  <si>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</si>
  <si>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</si>
  <si>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</si>
  <si>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</si>
  <si>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</si>
  <si>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</si>
  <si>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</si>
  <si>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</si>
  <si>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</si>
  <si>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</si>
  <si>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</si>
  <si>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</si>
  <si>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</si>
  <si>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</si>
  <si>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</si>
  <si>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</si>
  <si>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</si>
  <si>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</si>
  <si>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</si>
  <si>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</si>
  <si>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</si>
  <si>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</si>
  <si>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</si>
  <si>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</si>
  <si>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</si>
  <si>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</si>
  <si>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</si>
  <si>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</si>
  <si>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</si>
  <si>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</si>
  <si>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</si>
  <si>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</si>
  <si>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</si>
  <si>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</si>
  <si>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</si>
  <si>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</si>
  <si>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</si>
  <si>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</si>
  <si>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</si>
  <si>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</si>
  <si>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</si>
  <si>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</si>
  <si>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</si>
  <si>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</si>
  <si>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</si>
  <si>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</si>
  <si>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</si>
  <si>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</si>
  <si>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</si>
  <si>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</si>
  <si>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</si>
  <si>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</si>
  <si>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</si>
  <si>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</si>
  <si>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</si>
  <si>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</si>
  <si>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</si>
  <si>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</si>
  <si>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</si>
  <si>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</si>
  <si>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</si>
  <si>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</si>
  <si>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</si>
  <si>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</si>
  <si>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</si>
  <si>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</si>
  <si>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</si>
  <si>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</si>
  <si>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</si>
  <si>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</si>
  <si>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</si>
  <si>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</si>
  <si>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</si>
  <si>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</si>
  <si>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</si>
  <si>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</si>
  <si>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</si>
  <si>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</si>
  <si>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</si>
  <si>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</si>
  <si>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</si>
  <si>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</si>
  <si>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</si>
  <si>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</si>
  <si>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</si>
  <si>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</si>
  <si>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</si>
  <si>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</si>
  <si>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</si>
  <si>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</si>
  <si>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</si>
  <si>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</si>
  <si>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</si>
  <si>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</si>
  <si>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</si>
  <si>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</si>
  <si>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</si>
  <si>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</si>
  <si>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</si>
  <si>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</si>
  <si>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</si>
  <si>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</si>
  <si>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</si>
  <si>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</si>
  <si>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</si>
  <si>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</si>
  <si>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</si>
  <si>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</si>
  <si>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</si>
  <si>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</si>
  <si>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</si>
  <si>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</si>
  <si>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</si>
  <si>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</si>
  <si>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</si>
  <si>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</si>
  <si>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</si>
  <si>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</si>
  <si>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</si>
  <si>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</si>
  <si>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</si>
  <si>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</si>
  <si>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</si>
  <si>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</si>
  <si>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</si>
  <si>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</si>
  <si>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</si>
  <si>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</si>
  <si>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</si>
  <si>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</si>
  <si>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</si>
  <si>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</si>
  <si>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</si>
  <si>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</si>
  <si>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</si>
  <si>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</si>
  <si>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</si>
  <si>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</si>
  <si>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</si>
  <si>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</si>
  <si>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</si>
  <si>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</si>
  <si>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</si>
  <si>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</si>
  <si>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</si>
  <si>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</si>
  <si>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</si>
  <si>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</si>
  <si>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</si>
  <si>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</si>
  <si>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</si>
  <si>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</si>
  <si>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</si>
  <si>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</si>
  <si>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</si>
  <si>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</si>
  <si>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</si>
  <si>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</si>
  <si>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</si>
  <si>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</si>
  <si>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</si>
  <si>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</si>
  <si>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</si>
  <si>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</si>
  <si>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</si>
  <si>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</si>
  <si>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</si>
  <si>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</si>
  <si>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</si>
  <si>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</si>
  <si>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</si>
  <si>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</si>
  <si>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</si>
  <si>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</si>
  <si>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</si>
  <si>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</si>
  <si>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</si>
  <si>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</si>
  <si>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</si>
  <si>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</si>
  <si>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</si>
  <si>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</si>
  <si>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</si>
  <si>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</si>
  <si>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</si>
  <si>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</si>
  <si>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</si>
  <si>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</si>
  <si>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</si>
  <si>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</si>
  <si>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</si>
  <si>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</si>
  <si>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</si>
  <si>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</si>
  <si>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</si>
  <si>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</si>
  <si>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</si>
  <si>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</si>
  <si>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</si>
  <si>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</si>
  <si>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</si>
  <si>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</si>
  <si>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</si>
  <si>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</si>
  <si>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</si>
  <si>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</si>
  <si>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</si>
  <si>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</si>
  <si>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</si>
  <si>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</si>
  <si>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</si>
  <si>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</si>
  <si>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</si>
  <si>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</si>
  <si>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</si>
  <si>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</si>
  <si>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</si>
  <si>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</si>
  <si>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</si>
  <si>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</si>
  <si>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</si>
  <si>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</si>
  <si>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</si>
  <si>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</si>
  <si>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</si>
  <si>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</si>
  <si>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</si>
  <si>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</si>
  <si>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</si>
  <si>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</si>
  <si>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</si>
  <si>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</si>
  <si>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</si>
  <si>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</si>
  <si>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</si>
  <si>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</si>
  <si>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</si>
  <si>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</si>
  <si>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</si>
  <si>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</si>
  <si>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</si>
  <si>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</si>
  <si>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</si>
  <si>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</si>
  <si>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</si>
  <si>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</si>
  <si>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</si>
  <si>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</si>
  <si>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</si>
  <si>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</si>
  <si>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</si>
  <si>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</si>
  <si>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</si>
  <si>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</si>
  <si>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</si>
  <si>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</si>
  <si>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</si>
  <si>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</si>
  <si>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</si>
  <si>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</si>
  <si>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</si>
  <si>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</si>
  <si>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</si>
  <si>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</si>
  <si>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</si>
  <si>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</si>
  <si>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</si>
  <si>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</si>
  <si>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</si>
  <si>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</si>
  <si>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</si>
  <si>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</si>
  <si>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</si>
  <si>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</si>
  <si>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</si>
  <si>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</si>
  <si>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</si>
  <si>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</si>
  <si>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</si>
  <si>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</si>
  <si>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</si>
  <si>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</si>
  <si>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</si>
  <si>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</si>
  <si>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</si>
  <si>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</si>
  <si>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</si>
  <si>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</si>
  <si>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</si>
  <si>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</si>
  <si>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</si>
  <si>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</si>
  <si>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</si>
  <si>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</si>
  <si>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</si>
  <si>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</si>
  <si>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</si>
  <si>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</si>
  <si>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</si>
  <si>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</si>
  <si>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</si>
  <si>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</si>
  <si>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</si>
  <si>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</si>
  <si>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</si>
  <si>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</si>
  <si>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</si>
  <si>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</si>
  <si>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</si>
  <si>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</si>
  <si>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</si>
  <si>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</si>
  <si>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</si>
  <si>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</si>
  <si>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</si>
  <si>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</si>
  <si>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</si>
  <si>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</si>
  <si>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</si>
  <si>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</si>
  <si>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</si>
  <si>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</si>
  <si>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</si>
  <si>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</si>
  <si>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</si>
  <si>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</si>
  <si>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</si>
  <si>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</si>
  <si>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</si>
  <si>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</si>
  <si>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</si>
  <si>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</si>
  <si>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</si>
  <si>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</si>
  <si>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</si>
  <si>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</si>
  <si>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</si>
  <si>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</si>
  <si>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</si>
  <si>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</si>
  <si>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</si>
  <si>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</si>
  <si>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</si>
  <si>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</si>
  <si>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</si>
  <si>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</si>
  <si>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</si>
  <si>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</si>
  <si>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</si>
  <si>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</si>
  <si>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</si>
  <si>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</si>
  <si>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</si>
  <si>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</si>
  <si>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</si>
  <si>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</si>
  <si>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</si>
  <si>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</si>
  <si>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</si>
  <si>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</si>
  <si>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</si>
  <si>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</si>
  <si>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</si>
  <si>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</si>
  <si>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</si>
  <si>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</si>
  <si>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</si>
  <si>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</si>
  <si>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</si>
  <si>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</si>
  <si>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</si>
  <si>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</si>
  <si>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</si>
  <si>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</si>
  <si>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</si>
  <si>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</si>
  <si>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</si>
  <si>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</si>
  <si>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</si>
  <si>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</si>
  <si>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</si>
  <si>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</si>
  <si>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</si>
  <si>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</si>
  <si>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</si>
  <si>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</si>
  <si>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204671-1</t>
  </si>
  <si>
    <t>BATIKI COM IMPO</t>
  </si>
  <si>
    <t>TIAGO SANTANA</t>
  </si>
  <si>
    <t>ECONOMICO_250</t>
  </si>
  <si>
    <t>CTE NORMAL</t>
  </si>
  <si>
    <t>GUARULHOS - SP</t>
  </si>
  <si>
    <t>GILBERTO DE OLIVEIRA</t>
  </si>
  <si>
    <t>JOSE EMILTON DA COSTA - O</t>
  </si>
  <si>
    <t>G.S CITRUS COMERCIO ATACA</t>
  </si>
  <si>
    <t>204676-1</t>
  </si>
  <si>
    <t>ESAB INDUSTRIA</t>
  </si>
  <si>
    <t>MAURO MARQUES</t>
  </si>
  <si>
    <t>PERSONALIZADO_L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</si>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</sst>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[Analise_CLAUDINEI_09102026.xlsx]Resumo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374.11</c:v>
                </c:pt>
                <c:pt idx="1">
                  <c:v>10354.379999999999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-4738.7888000000003</c:v>
                </c:pt>
                <c:pt idx="1">
                  <c:v>8223.5295999999998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[Analise_CLAUDINEI_09102026.xlsx]Resumo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374.11</c:v>
                </c:pt>
                <c:pt idx="1">
                  <c:v>10354.379999999999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-4738.7888000000003</c:v>
                </c:pt>
                <c:pt idx="1">
                  <c:v>8223.5295999999998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1128217592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111" count="8000">
        <n v="305086"/>
        <n v="30511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9T00:00:00" maxDate="2026-10-10T00:00:00"/>
    </cacheField>
    <cacheField name="DATA" numFmtId="14">
      <sharedItems containsNonDate="0" containsDate="1" containsString="0" containsBlank="1" minDate="2026-10-09T00:00:00" maxDate="2026-10-10T00:00:00"/>
    </cacheField>
    <cacheField name="FAT" numFmtId="0">
      <sharedItems containsString="0" containsBlank="1" containsNumber="1" containsInteger="1" minValue="66499" maxValue="66499"/>
    </cacheField>
    <cacheField name="CT-E" numFmtId="0">
      <sharedItems containsBlank="1"/>
    </cacheField>
    <cacheField name="CLIENTE TOMADOR" numFmtId="0">
      <sharedItems containsBlank="1" count="855">
        <s v="BATIKI COM IMPO"/>
        <s v="ESAB INDUSTRI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313.5499999999993" maxValue="119956.8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74.11" maxValue="10354.379999999999"/>
    </cacheField>
    <cacheField name="VOLUMES" numFmtId="0">
      <sharedItems containsString="0" containsBlank="1" containsNumber="1" containsInteger="1" minValue="20" maxValue="804"/>
    </cacheField>
    <cacheField name="PESO" numFmtId="0">
      <sharedItems containsString="0" containsBlank="1" containsNumber="1" minValue="100" maxValue="16401.599999999999"/>
    </cacheField>
    <cacheField name="RESP. COLETA" numFmtId="0">
      <sharedItems containsBlank="1"/>
    </cacheField>
    <cacheField name="CUSTO COLETA" numFmtId="0">
      <sharedItems containsString="0" containsBlank="1" containsNumber="1" minValue="0" maxValue="24.0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5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4.89" maxValue="1242.5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.16" maxValue="59.9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02.16" maxValue="6272.2"/>
    </cacheField>
    <cacheField name="RECEITA" numFmtId="0">
      <sharedItems containsString="0" containsBlank="1" containsNumber="1" minValue="171.95" maxValue="4082.18"/>
    </cacheField>
    <cacheField name="IMPOSTO" numFmtId="0">
      <sharedItems containsString="0" containsBlank="1" containsNumber="1" minValue="97.27" maxValue="2692.14"/>
    </cacheField>
    <cacheField name="RESULTADO" numFmtId="0">
      <sharedItems containsString="0" containsBlank="1" containsNumber="1" minValue="74.679999999999993" maxValue="1390.04"/>
    </cacheField>
    <cacheField name="COMIS" numFmtId="0">
      <sharedItems containsString="0" containsBlank="1" containsNumber="1" minValue="0" maxValue="9.8800000000000008"/>
    </cacheField>
    <cacheField name="LUCRO LIQ" numFmtId="0">
      <sharedItems containsString="0" containsBlank="1" containsNumber="1" minValue="64.8" maxValue="1390.04"/>
    </cacheField>
    <cacheField name="MARGEM" numFmtId="10">
      <sharedItems containsString="0" containsBlank="1" containsNumber="1" minValue="0.13419999999999999" maxValue="0.1731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9T00:00:00"/>
    <d v="2026-10-09T00:00:00"/>
    <m/>
    <s v="204671-1"/>
    <x v="0"/>
    <s v="TIAGO SANTANA"/>
    <n v="8313.5499999999993"/>
    <x v="0"/>
    <s v="CTE NORMAL"/>
    <s v="GUARULHOS - SP"/>
    <n v="374.11"/>
    <n v="20"/>
    <n v="100"/>
    <s v="GILBERTO DE OLIVEIRA"/>
    <n v="24.04"/>
    <s v="JOSE EMILTON DA COSTA - O"/>
    <n v="5000"/>
    <s v="G.S CITRUS COMERCIO ATACA"/>
    <n v="0"/>
    <n v="44.89"/>
    <n v="0"/>
    <n v="0"/>
    <n v="4.16"/>
    <n v="0"/>
    <n v="202.16"/>
    <n v="171.95"/>
    <n v="97.27"/>
    <n v="74.679999999999993"/>
    <n v="9.8800000000000008"/>
    <n v="64.8"/>
    <n v="0.17319999999999999"/>
    <m/>
  </r>
  <r>
    <x v="1"/>
    <s v="MATRIZ"/>
    <m/>
    <d v="2026-10-09T00:00:00"/>
    <n v="66499"/>
    <s v="204676-1"/>
    <x v="1"/>
    <s v="MAURO MARQUES"/>
    <n v="119956.8"/>
    <x v="1"/>
    <s v="CTE NORMAL"/>
    <s v="GUARULHOS - SP"/>
    <n v="10354.379999999999"/>
    <n v="804"/>
    <n v="16401.599999999999"/>
    <s v="N/D"/>
    <n v="0"/>
    <s v="N/D"/>
    <n v="0"/>
    <s v="G.S CITRUS COMERCIO ATACA"/>
    <n v="0"/>
    <n v="1242.52"/>
    <n v="0"/>
    <n v="0"/>
    <n v="59.98"/>
    <n v="0"/>
    <n v="6272.2"/>
    <n v="4082.18"/>
    <n v="2692.14"/>
    <n v="1390.04"/>
    <n v="0"/>
    <n v="1390.04"/>
    <n v="0.1341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247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24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24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2" s="1" nd="1"/>
        <i x="21" s="1" nd="1"/>
        <i x="757" s="1" nd="1"/>
        <i x="113" s="1" nd="1"/>
        <i x="545" s="1" nd="1"/>
        <i x="828" s="1" nd="1"/>
        <i x="271" s="1" nd="1"/>
        <i x="480" s="1" nd="1"/>
        <i x="772" s="1" nd="1"/>
        <i x="267" s="1" nd="1"/>
        <i x="344" s="1" nd="1"/>
        <i x="677" s="1" nd="1"/>
        <i x="800" s="1" nd="1"/>
        <i x="77" s="1" nd="1"/>
        <i x="48" s="1" nd="1"/>
        <i x="669" s="1" nd="1"/>
        <i x="661" s="1" nd="1"/>
        <i x="470" s="1" nd="1"/>
        <i x="45" s="1" nd="1"/>
        <i x="730" s="1" nd="1"/>
        <i x="690" s="1" nd="1"/>
        <i x="217" s="1" nd="1"/>
        <i x="477" s="1" nd="1"/>
        <i x="634" s="1" nd="1"/>
        <i x="447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2" s="1" nd="1"/>
        <i x="507" s="1" nd="1"/>
        <i x="554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50" s="1" nd="1"/>
        <i x="845" s="1" nd="1"/>
        <i x="446" s="1" nd="1"/>
        <i x="530" s="1" nd="1"/>
        <i x="666" s="1" nd="1"/>
        <i x="519" s="1" nd="1"/>
        <i x="792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6" s="1" nd="1"/>
        <i x="422" s="1" nd="1"/>
        <i x="81" s="1" nd="1"/>
        <i x="697" s="1" nd="1"/>
        <i x="285" s="1" nd="1"/>
        <i x="846" s="1" nd="1"/>
        <i x="249" s="1" nd="1"/>
        <i x="763" s="1" nd="1"/>
        <i x="426" s="1" nd="1"/>
        <i x="437" s="1" nd="1"/>
        <i x="168" s="1" nd="1"/>
        <i x="543" s="1" nd="1"/>
        <i x="806" s="1" nd="1"/>
        <i x="621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7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5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0" s="1" nd="1"/>
        <i x="639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30" s="1" nd="1"/>
        <i x="714" s="1" nd="1"/>
        <i x="506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3" s="1" nd="1"/>
        <i x="580" s="1" nd="1"/>
        <i x="518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211" s="1" nd="1"/>
        <i x="440" s="1" nd="1"/>
        <i x="103" s="1" nd="1"/>
        <i x="197" s="1" nd="1"/>
        <i x="831" s="1" nd="1"/>
        <i x="764" s="1" nd="1"/>
        <i x="510" s="1" nd="1"/>
        <i x="821" s="1" nd="1"/>
        <i x="342" s="1" nd="1"/>
        <i x="224" s="1" nd="1"/>
        <i x="65" s="1" nd="1"/>
        <i x="636" s="1" nd="1"/>
        <i x="459" s="1" nd="1"/>
        <i x="790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7" s="1" nd="1"/>
        <i x="839" s="1" nd="1"/>
        <i x="39" s="1" nd="1"/>
        <i x="384" s="1" nd="1"/>
        <i x="590" s="1" nd="1"/>
        <i x="747" s="1" nd="1"/>
        <i x="270" s="1" nd="1"/>
        <i x="18" s="1" nd="1"/>
        <i x="638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59" s="1" nd="1"/>
        <i x="691" s="1" nd="1"/>
        <i x="22" s="1" nd="1"/>
        <i x="727" s="1" nd="1"/>
        <i x="780" s="1" nd="1"/>
        <i x="640" s="1" nd="1"/>
        <i x="330" s="1" nd="1"/>
        <i x="369" s="1" nd="1"/>
        <i x="815" s="1" nd="1"/>
        <i x="776" s="1" nd="1"/>
        <i x="145" s="1" nd="1"/>
        <i x="499" s="1" nd="1"/>
        <i x="468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549" s="1" nd="1"/>
        <i x="61" s="1" nd="1"/>
        <i x="453" s="1" nd="1"/>
        <i x="774" s="1" nd="1"/>
        <i x="486" s="1" nd="1"/>
        <i x="740" s="1" nd="1"/>
        <i x="455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5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1" s="1" nd="1"/>
        <i x="642" s="1" nd="1"/>
        <i x="232" s="1" nd="1"/>
        <i x="374" s="1" nd="1"/>
        <i x="735" s="1" nd="1"/>
        <i x="133" s="1" nd="1"/>
        <i x="87" s="1" nd="1"/>
        <i x="210" s="1" nd="1"/>
        <i x="682" s="1" nd="1"/>
        <i x="276" s="1" nd="1"/>
        <i x="473" s="1" nd="1"/>
        <i x="799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8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4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0" s="1" nd="1"/>
        <i x="535" s="1" nd="1"/>
        <i x="645" s="1" nd="1"/>
        <i x="610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9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3" s="1" nd="1"/>
        <i x="96" s="1" nd="1"/>
        <i x="523" s="1" nd="1"/>
        <i x="789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6" s="1" nd="1"/>
        <i x="599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4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1" s="1" nd="1"/>
        <i x="512" s="1" nd="1"/>
        <i x="769" s="1" nd="1"/>
        <i x="719" s="1" nd="1"/>
        <i x="760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7" s="1" nd="1"/>
        <i x="707" s="1" nd="1"/>
        <i x="620" s="1" nd="1"/>
        <i x="731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7" s="1" nd="1"/>
        <i x="395" s="1" nd="1"/>
        <i x="401" s="1" nd="1"/>
        <i x="705" s="1" nd="1"/>
        <i x="404" s="1" nd="1"/>
        <i x="830" s="1" nd="1"/>
        <i x="496" s="1" nd="1"/>
        <i x="396" s="1" nd="1"/>
        <i x="671" s="1" nd="1"/>
        <i x="186" s="1" nd="1"/>
        <i x="410" s="1" nd="1"/>
        <i x="475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4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4" s="1" nd="1"/>
        <i x="414" s="1" nd="1"/>
        <i x="703" s="1" nd="1"/>
        <i x="205" s="1" nd="1"/>
        <i x="644" s="1" nd="1"/>
        <i x="779" s="1" nd="1"/>
        <i x="469" s="1" nd="1"/>
        <i x="41" s="1" nd="1"/>
        <i x="694" s="1" nd="1"/>
        <i x="664" s="1" nd="1"/>
        <i x="808" s="1" nd="1"/>
        <i x="816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3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8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305086</v>
      </c>
      <c r="B2" s="12" t="s">
        <v>616</v>
      </c>
      <c r="C2" s="14">
        <v>46304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8313.5499999999993</v>
      </c>
      <c r="J2" s="15" t="s">
        <v>620</v>
      </c>
      <c r="K2" s="15" t="s">
        <v>621</v>
      </c>
      <c r="L2" s="15" t="s">
        <v>622</v>
      </c>
      <c r="M2" s="15">
        <v>374.11</v>
      </c>
      <c r="N2" s="15">
        <v>20</v>
      </c>
      <c r="O2" s="16">
        <v>100</v>
      </c>
      <c r="P2" s="15" t="s">
        <v>623</v>
      </c>
      <c r="Q2" s="15">
        <v>24.04</v>
      </c>
      <c r="R2" s="15" t="s">
        <v>624</v>
      </c>
      <c r="S2" s="15">
        <v>5000</v>
      </c>
      <c r="T2" s="15" t="s">
        <v>625</v>
      </c>
      <c r="U2" s="15">
        <v>0</v>
      </c>
      <c r="V2" s="15">
        <v>44.89</v>
      </c>
      <c r="W2" s="15">
        <v>0</v>
      </c>
      <c r="X2" s="15">
        <v>0</v>
      </c>
      <c r="Y2" s="15">
        <v>4.16</v>
      </c>
      <c r="Z2" s="15">
        <v>0</v>
      </c>
      <c r="AA2" s="15">
        <v>202.16</v>
      </c>
      <c r="AB2" s="15">
        <v>171.95</v>
      </c>
      <c r="AC2" s="15">
        <v>97.27</v>
      </c>
      <c r="AD2" s="15">
        <v>74.679999999999993</v>
      </c>
      <c r="AE2" s="15">
        <v>9.8800000000000008</v>
      </c>
      <c r="AF2" s="15">
        <v>64.8</v>
      </c>
      <c r="AG2" s="17">
        <v>0.17319999999999999</v>
      </c>
      <c r="AH2" s="15"/>
    </row>
    <row r="3" spans="1:34" s="1" customFormat="1" ht="12" customHeight="1" x14ac:dyDescent="0.3">
      <c r="A3" s="13">
        <v>305111</v>
      </c>
      <c r="B3" s="12" t="s">
        <v>616</v>
      </c>
      <c r="C3" s="14"/>
      <c r="D3" s="14">
        <v>46304</v>
      </c>
      <c r="E3" s="12">
        <v>66499</v>
      </c>
      <c r="F3" s="15" t="s">
        <v>626</v>
      </c>
      <c r="G3" s="15" t="s">
        <v>627</v>
      </c>
      <c r="H3" s="15" t="s">
        <v>628</v>
      </c>
      <c r="I3" s="16">
        <v>119956.8</v>
      </c>
      <c r="J3" s="15" t="s">
        <v>629</v>
      </c>
      <c r="K3" s="15" t="s">
        <v>621</v>
      </c>
      <c r="L3" s="15" t="s">
        <v>622</v>
      </c>
      <c r="M3" s="16">
        <v>10354.379999999999</v>
      </c>
      <c r="N3" s="15">
        <v>804</v>
      </c>
      <c r="O3" s="16">
        <v>16401.599999999999</v>
      </c>
      <c r="P3" s="15" t="s">
        <v>630</v>
      </c>
      <c r="Q3" s="15">
        <v>0</v>
      </c>
      <c r="R3" s="15" t="s">
        <v>630</v>
      </c>
      <c r="S3" s="15">
        <v>0</v>
      </c>
      <c r="T3" s="15" t="s">
        <v>625</v>
      </c>
      <c r="U3" s="15">
        <v>0</v>
      </c>
      <c r="V3" s="15">
        <v>1242.52</v>
      </c>
      <c r="W3" s="15">
        <v>0</v>
      </c>
      <c r="X3" s="15">
        <v>0</v>
      </c>
      <c r="Y3" s="15">
        <v>59.98</v>
      </c>
      <c r="Z3" s="15">
        <v>0</v>
      </c>
      <c r="AA3" s="16">
        <v>6272.2</v>
      </c>
      <c r="AB3" s="16">
        <v>4082.18</v>
      </c>
      <c r="AC3" s="15">
        <v>2692.14</v>
      </c>
      <c r="AD3" s="15">
        <v>1390.04</v>
      </c>
      <c r="AE3" s="15">
        <v>0</v>
      </c>
      <c r="AF3" s="15">
        <v>1390.04</v>
      </c>
      <c r="AG3" s="17">
        <v>0.13419999999999999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10728.49</v>
      </c>
      <c r="F3" s="89"/>
      <c r="G3" s="90"/>
      <c r="H3" s="133">
        <f>'Resumo Detalhado'!C2</f>
        <v>16501.599999999999</v>
      </c>
      <c r="I3" s="134"/>
      <c r="J3" s="135">
        <f>E3/H3</f>
        <v>0.65014847045135027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5024.04</v>
      </c>
      <c r="F7" s="112"/>
      <c r="G7" s="112"/>
      <c r="H7" s="112"/>
      <c r="I7" s="112"/>
      <c r="J7" s="112">
        <f>E7/H3</f>
        <v>0.30445774955155869</v>
      </c>
      <c r="K7" s="112"/>
      <c r="L7" s="112"/>
      <c r="M7" s="130">
        <f>E7/E3</f>
        <v>0.46828957290354933</v>
      </c>
      <c r="N7" s="130"/>
      <c r="O7" s="130"/>
      <c r="P7" s="112">
        <f>E11+K11+Q11+E15+K15+Q15+E19+H19+K19</f>
        <v>8950.4275999999991</v>
      </c>
      <c r="Q7" s="112"/>
      <c r="R7" s="112"/>
      <c r="S7" s="112">
        <f>P7/H3</f>
        <v>0.54239756144858675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5000</v>
      </c>
      <c r="L11" s="90"/>
      <c r="M11" s="38"/>
      <c r="N11" s="88">
        <f>K11/H3</f>
        <v>0.30300092112280025</v>
      </c>
      <c r="O11" s="90"/>
      <c r="P11" s="38"/>
      <c r="Q11" s="88">
        <f>'Resumo Detalhado'!D2</f>
        <v>24.04</v>
      </c>
      <c r="R11" s="90"/>
      <c r="S11" s="38"/>
      <c r="T11" s="88">
        <f>Q11/H3</f>
        <v>1.4568284287584236E-3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1287.4100000000001</v>
      </c>
      <c r="F15" s="119"/>
      <c r="G15" s="119"/>
      <c r="H15" s="119"/>
      <c r="I15" s="132"/>
      <c r="J15" s="38"/>
      <c r="K15" s="113">
        <f>'Resumo Detalhado'!K2+'Resumo Detalhado'!L2</f>
        <v>1716.5583999999999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64.14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858.27919999999995</v>
      </c>
      <c r="L19" s="123"/>
      <c r="M19" s="38"/>
      <c r="N19" s="121" t="s">
        <v>207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3484.7407999999996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0.32481186075580065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631</v>
      </c>
      <c r="F1" s="29"/>
    </row>
    <row r="2" spans="1:18" x14ac:dyDescent="0.3">
      <c r="B2" s="29">
        <f>SUM(B6:B5000)</f>
        <v>10728.49</v>
      </c>
      <c r="C2" s="29">
        <f>SUM(C6:C5000)</f>
        <v>16501.599999999999</v>
      </c>
      <c r="D2" s="29">
        <f>SUM(D6:D5000)</f>
        <v>24.04</v>
      </c>
      <c r="E2" s="29">
        <f>SUM(E6:E5000)</f>
        <v>5000</v>
      </c>
      <c r="F2" s="29">
        <f>SUM(F6:F5000)</f>
        <v>0</v>
      </c>
      <c r="G2" s="29"/>
      <c r="H2" s="29">
        <f t="shared" ref="H2:P2" si="0">SUM(H6:H5000)</f>
        <v>1287.4100000000001</v>
      </c>
      <c r="I2" s="29">
        <f t="shared" si="0"/>
        <v>64.14</v>
      </c>
      <c r="J2" s="29">
        <f t="shared" si="0"/>
        <v>0</v>
      </c>
      <c r="K2" s="29">
        <f t="shared" si="0"/>
        <v>858.27919999999995</v>
      </c>
      <c r="L2" s="29">
        <f t="shared" si="0"/>
        <v>858.27919999999995</v>
      </c>
      <c r="M2" s="29">
        <f t="shared" si="0"/>
        <v>9.8800000000000008</v>
      </c>
      <c r="N2" s="29">
        <f t="shared" si="0"/>
        <v>3484.7407999999996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305086</v>
      </c>
      <c r="B6" s="140">
        <v>374.11</v>
      </c>
      <c r="C6" s="141">
        <v>100</v>
      </c>
      <c r="D6" s="140">
        <v>24.04</v>
      </c>
      <c r="E6" s="140">
        <v>5000</v>
      </c>
      <c r="F6" s="140">
        <v>0</v>
      </c>
      <c r="G6" s="142">
        <v>13.42931223436957</v>
      </c>
      <c r="H6" s="140">
        <v>44.89</v>
      </c>
      <c r="I6" s="140">
        <v>4.16</v>
      </c>
      <c r="J6" s="140">
        <v>0</v>
      </c>
      <c r="K6" s="140">
        <v>29.928800000000003</v>
      </c>
      <c r="L6" s="140">
        <v>29.928800000000003</v>
      </c>
      <c r="M6" s="140">
        <v>9.8800000000000008</v>
      </c>
      <c r="N6" s="140">
        <v>-4738.7888000000003</v>
      </c>
      <c r="O6" s="142">
        <v>-12.666832749726016</v>
      </c>
      <c r="Q6"/>
    </row>
    <row r="7" spans="1:18" s="31" customFormat="1" x14ac:dyDescent="0.3">
      <c r="A7" s="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305111</v>
      </c>
      <c r="B8" s="140">
        <v>10354.379999999999</v>
      </c>
      <c r="C8" s="141">
        <v>16401.599999999999</v>
      </c>
      <c r="D8" s="140">
        <v>0</v>
      </c>
      <c r="E8" s="140">
        <v>0</v>
      </c>
      <c r="F8" s="140">
        <v>0</v>
      </c>
      <c r="G8" s="142">
        <v>0</v>
      </c>
      <c r="H8" s="140">
        <v>1242.52</v>
      </c>
      <c r="I8" s="140">
        <v>59.98</v>
      </c>
      <c r="J8" s="140">
        <v>0</v>
      </c>
      <c r="K8" s="140">
        <v>828.35039999999992</v>
      </c>
      <c r="L8" s="140">
        <v>828.35039999999992</v>
      </c>
      <c r="M8" s="140">
        <v>0</v>
      </c>
      <c r="N8" s="140">
        <v>8223.5295999999998</v>
      </c>
      <c r="O8" s="142">
        <v>0.79420782316275818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631</v>
      </c>
    </row>
    <row r="2" spans="1:4" x14ac:dyDescent="0.3">
      <c r="B2" s="29">
        <f>SUM(B6:B5000)</f>
        <v>10354.379999999999</v>
      </c>
      <c r="C2" s="29">
        <f>SUM(C6:C5000)</f>
        <v>8223.5295999999998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618</v>
      </c>
      <c r="B5" s="10">
        <v>374.11</v>
      </c>
      <c r="C5" s="10">
        <v>-4738.7888000000003</v>
      </c>
    </row>
    <row r="6" spans="1:4" x14ac:dyDescent="0.3">
      <c r="A6" s="9" t="s">
        <v>627</v>
      </c>
      <c r="B6" s="140">
        <v>10354.379999999999</v>
      </c>
      <c r="C6" s="140">
        <v>8223.5295999999998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2026-10-15T15:16:21Z</dcterms:modified>
  <cp:category/>
  <cp:contentStatus/>
</cp:coreProperties>
</file>