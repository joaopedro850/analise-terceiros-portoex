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6CDAE35-FC97-4971-BA12-346C505932C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<sst xmlns="http://schemas.openxmlformats.org/spreadsheetml/2006/main" count="914" uniqueCount="633">
  <si>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</si>
  <si>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</si>
  <si>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</si>
  <si>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</si>
  <si>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</si>
  <si>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</si>
  <si>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</si>
  <si>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</si>
  <si>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</si>
  <si>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</si>
  <si>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</si>
  <si>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</si>
  <si>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</si>
  <si>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</si>
  <si>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</si>
  <si>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</si>
  <si>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</si>
  <si>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</si>
  <si>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</si>
  <si>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</si>
  <si>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</si>
  <si>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</si>
  <si>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</si>
  <si>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</si>
  <si>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</si>
  <si>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</si>
  <si>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</si>
  <si>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</si>
  <si>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</si>
  <si>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</si>
  <si>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</si>
  <si>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</si>
  <si>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</si>
  <si>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</si>
  <si>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</si>
  <si>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</si>
  <si>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</si>
  <si>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</si>
  <si>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</si>
  <si>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</si>
  <si>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</si>
  <si>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</si>
  <si>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</si>
  <si>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</si>
  <si>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</si>
  <si>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</si>
  <si>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</si>
  <si>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</si>
  <si>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</si>
  <si>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</si>
  <si>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</si>
  <si>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</si>
  <si>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</si>
  <si>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</si>
  <si>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</si>
  <si>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</si>
  <si>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</si>
  <si>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</si>
  <si>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</si>
  <si>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</si>
  <si>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</si>
  <si>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</si>
  <si>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</si>
  <si>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</si>
  <si>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</si>
  <si>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</si>
  <si>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</si>
  <si>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</si>
  <si>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</si>
  <si>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</si>
  <si>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</si>
  <si>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</si>
  <si>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</si>
  <si>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</si>
  <si>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</si>
  <si>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</si>
  <si>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</si>
  <si>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</si>
  <si>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</si>
  <si>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</si>
  <si>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</si>
  <si>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</si>
  <si>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</si>
  <si>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</si>
  <si>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</si>
  <si>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</si>
  <si>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</si>
  <si>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</si>
  <si>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</si>
  <si>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</si>
  <si>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</si>
  <si>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</si>
  <si>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</si>
  <si>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</si>
  <si>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</si>
  <si>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</si>
  <si>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</si>
  <si>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</si>
  <si>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</si>
  <si>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</si>
  <si>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</si>
  <si>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</si>
  <si>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</si>
  <si>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</si>
  <si>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</si>
  <si>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</si>
  <si>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</si>
  <si>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</si>
  <si>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</si>
  <si>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</si>
  <si>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</si>
  <si>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</si>
  <si>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</si>
  <si>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</si>
  <si>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</si>
  <si>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</si>
  <si>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</si>
  <si>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</si>
  <si>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</si>
  <si>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</si>
  <si>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</si>
  <si>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</si>
  <si>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</si>
  <si>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</si>
  <si>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</si>
  <si>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</si>
  <si>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</si>
  <si>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</si>
  <si>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</si>
  <si>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</si>
  <si>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</si>
  <si>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</si>
  <si>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</si>
  <si>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</si>
  <si>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</si>
  <si>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</si>
  <si>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</si>
  <si>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</si>
  <si>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</si>
  <si>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</si>
  <si>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</si>
  <si>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</si>
  <si>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</si>
  <si>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</si>
  <si>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</si>
  <si>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</si>
  <si>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</si>
  <si>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</si>
  <si>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</si>
  <si>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</si>
  <si>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</si>
  <si>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</si>
  <si>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</si>
  <si>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</si>
  <si>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</si>
  <si>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</si>
  <si>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</si>
  <si>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</si>
  <si>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</si>
  <si>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</si>
  <si>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</si>
  <si>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</si>
  <si>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</si>
  <si>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</si>
  <si>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</si>
  <si>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</si>
  <si>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</si>
  <si>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</si>
  <si>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</si>
  <si>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</si>
  <si>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</si>
  <si>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</si>
  <si>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</si>
  <si>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</si>
  <si>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</si>
  <si>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</si>
  <si>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</si>
  <si>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</si>
  <si>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</si>
  <si>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</si>
  <si>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</si>
  <si>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</si>
  <si>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</si>
  <si>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</si>
  <si>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</si>
  <si>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</si>
  <si>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</si>
  <si>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</si>
  <si>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</si>
  <si>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</si>
  <si>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</si>
  <si>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</si>
  <si>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</si>
  <si>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</si>
  <si>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</si>
  <si>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</si>
  <si>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</si>
  <si>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</si>
  <si>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</si>
  <si>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</si>
  <si>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</si>
  <si>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</si>
  <si>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</si>
  <si>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</si>
  <si>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</si>
  <si>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</si>
  <si>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</si>
  <si>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</si>
  <si>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</si>
  <si>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</si>
  <si>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</si>
  <si>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</si>
  <si>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</si>
  <si>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</si>
  <si>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</si>
  <si>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</si>
  <si>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</si>
  <si>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</si>
  <si>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</si>
  <si>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</si>
  <si>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</si>
  <si>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</si>
  <si>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</si>
  <si>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</si>
  <si>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</si>
  <si>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</si>
  <si>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</si>
  <si>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</si>
  <si>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</si>
  <si>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</si>
  <si>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</si>
  <si>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</si>
  <si>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</si>
  <si>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</si>
  <si>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</si>
  <si>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</si>
  <si>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</si>
  <si>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</si>
  <si>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</si>
  <si>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</si>
  <si>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</si>
  <si>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</si>
  <si>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</si>
  <si>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</si>
  <si>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</si>
  <si>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</si>
  <si>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</si>
  <si>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</si>
  <si>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</si>
  <si>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</si>
  <si>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</si>
  <si>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</si>
  <si>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</si>
  <si>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</si>
  <si>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</si>
  <si>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</si>
  <si>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</si>
  <si>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</si>
  <si>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</si>
  <si>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</si>
  <si>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</si>
  <si>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</si>
  <si>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</si>
  <si>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</si>
  <si>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</si>
  <si>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</si>
  <si>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</si>
  <si>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</si>
  <si>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</si>
  <si>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</si>
  <si>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</si>
  <si>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</si>
  <si>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</si>
  <si>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</si>
  <si>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</si>
  <si>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</si>
  <si>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</si>
  <si>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</si>
  <si>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</si>
  <si>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</si>
  <si>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</si>
  <si>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</si>
  <si>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</si>
  <si>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</si>
  <si>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</si>
  <si>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</si>
  <si>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</si>
  <si>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</si>
  <si>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</si>
  <si>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</si>
  <si>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</si>
  <si>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</si>
  <si>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</si>
  <si>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</si>
  <si>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</si>
  <si>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</si>
  <si>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</si>
  <si>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</si>
  <si>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</si>
  <si>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</si>
  <si>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</si>
  <si>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</si>
  <si>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</si>
  <si>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</si>
  <si>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</si>
  <si>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</si>
  <si>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</si>
  <si>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</si>
  <si>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</si>
  <si>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</si>
  <si>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</si>
  <si>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</si>
  <si>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</si>
  <si>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</si>
  <si>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</si>
  <si>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</si>
  <si>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</si>
  <si>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</si>
  <si>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</si>
  <si>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</si>
  <si>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</si>
  <si>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</si>
  <si>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</si>
  <si>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</si>
  <si>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</si>
  <si>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</si>
  <si>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</si>
  <si>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</si>
  <si>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</si>
  <si>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</si>
  <si>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</si>
  <si>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</si>
  <si>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</si>
  <si>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</si>
  <si>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</si>
  <si>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</si>
  <si>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</si>
  <si>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</si>
  <si>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</si>
  <si>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</si>
  <si>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</si>
  <si>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</si>
  <si>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</si>
  <si>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</si>
  <si>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</si>
  <si>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</si>
  <si>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</si>
  <si>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</si>
  <si>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</si>
  <si>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</si>
  <si>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</si>
  <si>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</si>
  <si>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</si>
  <si>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</si>
  <si>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</si>
  <si>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</si>
  <si>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</si>
  <si>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</si>
  <si>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</si>
  <si>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</si>
  <si>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</si>
  <si>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</si>
  <si>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</si>
  <si>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</si>
  <si>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</si>
  <si>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</si>
  <si>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</si>
  <si>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</si>
  <si>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</si>
  <si>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</si>
  <si>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</si>
  <si>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</si>
  <si>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</si>
  <si>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</si>
  <si>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</si>
  <si>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</si>
  <si>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</si>
  <si>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</si>
  <si>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</si>
  <si>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</si>
  <si>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</si>
  <si>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</si>
  <si>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</si>
  <si>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</si>
  <si>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</si>
  <si>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</si>
  <si>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</si>
  <si>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</si>
  <si>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</si>
  <si>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</si>
  <si>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</si>
  <si>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</si>
  <si>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</si>
  <si>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</si>
  <si>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</si>
  <si>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</si>
  <si>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</si>
  <si>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</si>
  <si>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</si>
  <si>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</si>
  <si>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</si>
  <si>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</si>
  <si>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</si>
  <si>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</si>
  <si>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</si>
  <si>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</si>
  <si>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</si>
  <si>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</si>
  <si>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</si>
  <si>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</si>
  <si>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</si>
  <si>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</si>
  <si>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</si>
  <si>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</si>
  <si>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</si>
  <si>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</si>
  <si>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</si>
  <si>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</si>
  <si>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</si>
  <si>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</si>
  <si>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</si>
  <si>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</si>
  <si>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</si>
  <si>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</si>
  <si>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</si>
  <si>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</si>
  <si>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</si>
  <si>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</si>
  <si>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</si>
  <si>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</si>
  <si>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</si>
  <si>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</si>
  <si>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</si>
  <si>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</si>
  <si>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</si>
  <si>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</si>
  <si>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</si>
  <si>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</si>
  <si>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</si>
  <si>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</si>
  <si>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</si>
  <si>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</si>
  <si>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</si>
  <si>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</si>
  <si>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</si>
  <si>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</si>
  <si>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</si>
  <si>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</si>
  <si>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</si>
  <si>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</si>
  <si>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</si>
  <si>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</si>
  <si>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</si>
  <si>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</si>
  <si>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</si>
  <si>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</si>
  <si>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</si>
  <si>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</si>
  <si>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</si>
  <si>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</si>
  <si>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</si>
  <si>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</si>
  <si>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</si>
  <si>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</si>
  <si>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</si>
  <si>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</si>
  <si>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</si>
  <si>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</si>
  <si>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</si>
  <si>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</si>
  <si>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</si>
  <si>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</si>
  <si>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</si>
  <si>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</si>
  <si>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</si>
  <si>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</si>
  <si>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</si>
  <si>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</si>
  <si>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</si>
  <si>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</si>
  <si>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</si>
  <si>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</si>
  <si>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</si>
  <si>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</si>
  <si>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</si>
  <si>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</si>
  <si>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</si>
  <si>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</si>
  <si>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</si>
  <si>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</si>
  <si>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</si>
  <si>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</si>
  <si>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</si>
  <si>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</si>
  <si>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</si>
  <si>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</si>
  <si>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</si>
  <si>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</si>
  <si>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</si>
  <si>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</si>
  <si>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</si>
  <si>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</si>
  <si>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</si>
  <si>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</si>
  <si>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</si>
  <si>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</si>
  <si>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</si>
  <si>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</si>
  <si>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</si>
  <si>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</si>
  <si>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</si>
  <si>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</si>
  <si>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</si>
  <si>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</si>
  <si>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</si>
  <si>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</si>
  <si>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</si>
  <si>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</si>
  <si>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</si>
  <si>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</si>
  <si>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</si>
  <si>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</si>
  <si>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</si>
  <si>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</si>
  <si>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</si>
  <si>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</si>
  <si>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</si>
  <si>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</si>
  <si>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</si>
  <si>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</si>
  <si>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</si>
  <si>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</si>
  <si>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</si>
  <si>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</si>
  <si>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</si>
  <si>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</si>
  <si>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</si>
  <si>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</si>
  <si>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</si>
  <si>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</si>
  <si>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</si>
  <si>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</si>
  <si>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</si>
  <si>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</si>
  <si>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</si>
  <si>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</si>
  <si>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</si>
  <si>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</si>
  <si>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</si>
  <si>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</si>
  <si>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</si>
  <si>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</si>
  <si>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</si>
  <si>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</si>
  <si>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</si>
  <si>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</si>
  <si>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</si>
  <si>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</si>
  <si>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</si>
  <si>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</si>
  <si>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</si>
  <si>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</si>
  <si>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</si>
  <si>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</si>
  <si>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</si>
  <si>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</si>
  <si>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</si>
  <si>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</si>
  <si>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</si>
  <si>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</si>
  <si>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</si>
  <si>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</si>
  <si>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</si>
  <si>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</si>
  <si>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</si>
  <si>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</si>
  <si>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</si>
  <si>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</si>
  <si>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</si>
  <si>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</si>
  <si>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</si>
  <si>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</si>
  <si>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</si>
  <si>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</si>
  <si>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</si>
  <si>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</si>
  <si>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</si>
  <si>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</si>
  <si>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</si>
  <si>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</si>
  <si>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</si>
  <si>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</si>
  <si>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</si>
  <si>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</si>
  <si>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</si>
  <si>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</si>
  <si>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</si>
  <si>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</si>
  <si>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</si>
  <si>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</si>
  <si>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</si>
  <si>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</si>
  <si>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</si>
  <si>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</si>
  <si>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</si>
  <si>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</si>
  <si>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</si>
  <si>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</si>
  <si>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</si>
  <si>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</si>
  <si>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</si>
  <si>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</si>
  <si>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</si>
  <si>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</si>
  <si>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</si>
  <si>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</si>
  <si>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</si>
  <si>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3444-1</t>
  </si>
  <si>
    <t>STRATUS COMERCI</t>
  </si>
  <si>
    <t>MICHELL MARQUES</t>
  </si>
  <si>
    <t>ECONOMICO_250</t>
  </si>
  <si>
    <t>CTE NORMAL</t>
  </si>
  <si>
    <t>JANDIRA - SP</t>
  </si>
  <si>
    <t>PORTOEXPRESS LOGISTICA LT</t>
  </si>
  <si>
    <t>ANDRE LUIS DE OLIVEIRA</t>
  </si>
  <si>
    <t>ANINHA TRANSPORTES LTDA</t>
  </si>
  <si>
    <t>3445-1</t>
  </si>
  <si>
    <t>VENTUNO PRODUTO</t>
  </si>
  <si>
    <t>MARLON MARQUES</t>
  </si>
  <si>
    <t>PERSONALIZADO_L</t>
  </si>
  <si>
    <t>CAPIVARI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</si>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</sst>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282.63</c:v>
                </c:pt>
                <c:pt idx="1">
                  <c:v>9342.0499999999993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58.819600000000023</c:v>
                </c:pt>
                <c:pt idx="1">
                  <c:v>6805.8460000000005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[Analise_CRISTIANO_05102026.xlsx]Resumo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282.63</c:v>
                </c:pt>
                <c:pt idx="1">
                  <c:v>9342.0499999999993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58.819600000000023</c:v>
                </c:pt>
                <c:pt idx="1">
                  <c:v>6805.8460000000005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1513194444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561"/>
        <n v="356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5T00:00:00" maxDate="2026-10-06T00:00:00"/>
    </cacheField>
    <cacheField name="DATA" numFmtId="14">
      <sharedItems containsNonDate="0" containsDate="1" containsString="0" containsBlank="1" minDate="2026-10-05T00:00:00" maxDate="2026-10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ATUS COMERCI"/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524.32" maxValue="419476.5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82.63" maxValue="9342.0499999999993"/>
    </cacheField>
    <cacheField name="VOLUMES" numFmtId="0">
      <sharedItems containsString="0" containsBlank="1" containsNumber="1" containsInteger="1" minValue="16" maxValue="218"/>
    </cacheField>
    <cacheField name="PESO" numFmtId="0">
      <sharedItems containsString="0" containsBlank="1" containsNumber="1" minValue="354.88" maxValue="16078.59"/>
    </cacheField>
    <cacheField name="RESP. COLETA" numFmtId="0">
      <sharedItems containsBlank="1"/>
    </cacheField>
    <cacheField name="CUSTO COLETA" numFmtId="0">
      <sharedItems containsString="0" containsBlank="1" containsNumber="1" minValue="0" maxValue="89.2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4.61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3.909999999999997" maxValue="1121.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3.41" maxValue="167.79"/>
    </cacheField>
    <cacheField name="OUTROS" numFmtId="0">
      <sharedItems containsString="0" containsBlank="1" containsNumber="1" containsInteger="1" minValue="0" maxValue="500"/>
    </cacheField>
    <cacheField name="C.TOTAL" numFmtId="0">
      <sharedItems containsString="0" containsBlank="1" containsNumber="1" minValue="371.52" maxValue="7418.52"/>
    </cacheField>
    <cacheField name="RECEITA" numFmtId="0">
      <sharedItems containsString="0" containsBlank="1" containsNumber="1" minValue="-88.89" maxValue="1923.53"/>
    </cacheField>
    <cacheField name="IMPOSTO" numFmtId="0">
      <sharedItems containsString="0" containsBlank="1" containsNumber="1" minValue="73.48" maxValue="2428.9299999999998"/>
    </cacheField>
    <cacheField name="RESULTADO" numFmtId="0">
      <sharedItems containsString="0" containsBlank="1" containsNumber="1" minValue="-505.4" maxValue="-162.3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505.4" maxValue="-162.37"/>
    </cacheField>
    <cacheField name="MARGEM" numFmtId="10">
      <sharedItems containsString="0" containsBlank="1" containsNumber="1" minValue="-0.57450000000000001" maxValue="-5.410000000000000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5T00:00:00"/>
    <d v="2026-10-05T00:00:00"/>
    <m/>
    <s v="3444-1"/>
    <x v="0"/>
    <s v="MICHELL MARQUES"/>
    <n v="8524.32"/>
    <x v="0"/>
    <s v="CTE NORMAL"/>
    <s v="JANDIRA - SP"/>
    <n v="282.63"/>
    <n v="16"/>
    <n v="354.88"/>
    <s v="PORTOEXPRESS LOGISTICA LT"/>
    <n v="89.27"/>
    <s v="ANDRE LUIS DE OLIVEIRA"/>
    <n v="74.61"/>
    <s v="ANINHA TRANSPORTES LTDA"/>
    <n v="0"/>
    <n v="33.909999999999997"/>
    <n v="0"/>
    <n v="0"/>
    <n v="3.41"/>
    <n v="0"/>
    <n v="371.52"/>
    <n v="-88.89"/>
    <n v="73.48"/>
    <n v="-162.37"/>
    <n v="0"/>
    <n v="-162.37"/>
    <n v="-0.57450000000000001"/>
    <m/>
  </r>
  <r>
    <x v="1"/>
    <s v="MATRIZ"/>
    <m/>
    <d v="2026-10-05T00:00:00"/>
    <m/>
    <s v="3445-1"/>
    <x v="1"/>
    <s v="MARLON MARQUES"/>
    <n v="419476.5"/>
    <x v="1"/>
    <s v="CTE NORMAL"/>
    <s v="CAPIVARI - SP"/>
    <n v="9342.0499999999993"/>
    <n v="218"/>
    <n v="16078.59"/>
    <s v="N/D"/>
    <n v="0"/>
    <s v="N/D"/>
    <n v="0"/>
    <s v="ANINHA TRANSPORTES LTDA"/>
    <n v="0"/>
    <n v="1121.05"/>
    <n v="0"/>
    <n v="0"/>
    <n v="167.79"/>
    <n v="500"/>
    <n v="7418.52"/>
    <n v="1923.53"/>
    <n v="2428.9299999999998"/>
    <n v="-505.4"/>
    <n v="0"/>
    <n v="-505.4"/>
    <n v="-5.4100000000000002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2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8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8"/>
        <item m="1" x="208"/>
        <item sd="0" m="1" x="521"/>
        <item m="1" x="462"/>
        <item m="1" x="139"/>
        <item m="1" x="661"/>
        <item m="1" x="372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3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4"/>
        <item m="1" x="381"/>
        <item m="1" x="447"/>
        <item m="1" x="160"/>
        <item m="1" x="278"/>
        <item sd="0" m="1" x="204"/>
        <item m="1" x="493"/>
        <item m="1" x="290"/>
        <item m="1" x="526"/>
        <item m="1" x="258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4"/>
        <item m="1" x="627"/>
        <item m="1" x="375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4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4"/>
        <item m="1" x="16"/>
        <item m="1" x="233"/>
        <item m="1" x="242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6"/>
        <item m="1" x="317"/>
        <item m="1" x="380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70"/>
        <item m="1" x="18"/>
        <item m="1" x="637"/>
        <item m="1" x="389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9"/>
        <item sd="0" m="1" x="336"/>
        <item sd="0" m="1" x="176"/>
        <item m="1" x="420"/>
        <item m="1" x="701"/>
        <item m="1" x="697"/>
        <item m="1" x="379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8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6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4"/>
        <item m="1" x="741"/>
        <item m="1" x="195"/>
        <item m="1" x="746"/>
        <item m="1" x="384"/>
        <item sd="0" m="1" x="138"/>
        <item m="1" x="658"/>
        <item m="1" x="430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8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3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1"/>
        <item m="1" x="854"/>
        <item m="1" x="432"/>
        <item m="1" x="569"/>
        <item m="1" x="487"/>
        <item m="1" x="183"/>
        <item sd="0" m="1" x="374"/>
        <item m="1" x="243"/>
        <item m="1" x="338"/>
        <item m="1" x="527"/>
        <item m="1" x="423"/>
        <item m="1" x="788"/>
        <item m="1" x="302"/>
        <item m="1" x="310"/>
        <item m="1" x="367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1"/>
        <item m="1" x="247"/>
        <item m="1" x="398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1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7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2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6"/>
        <item sd="0" m="1" x="409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10"/>
        <item m="1" x="692"/>
        <item x="0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5"/>
        <item m="1" x="576"/>
        <item m="1" x="361"/>
        <item m="1" x="450"/>
        <item m="1" x="513"/>
        <item m="1" x="123"/>
        <item m="1" x="646"/>
        <item m="1" x="49"/>
        <item m="1" x="416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7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x="1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734"/>
    </i>
    <i r="1">
      <x v="7998"/>
    </i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2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8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8"/>
        <item m="1" x="208"/>
        <item sd="0" m="1" x="521"/>
        <item m="1" x="462"/>
        <item m="1" x="139"/>
        <item m="1" x="661"/>
        <item m="1" x="372"/>
        <item m="1" x="155"/>
        <item m="1" x="252"/>
        <item m="1" x="628"/>
        <item m="1" x="736"/>
        <item m="1" x="421"/>
        <item m="1" x="81"/>
        <item m="1" x="696"/>
        <item m="1" x="285"/>
        <item m="1" x="846"/>
        <item m="1" x="249"/>
        <item sd="0" m="1" x="763"/>
        <item m="1" x="425"/>
        <item m="1" x="436"/>
        <item m="1" x="168"/>
        <item m="1" x="542"/>
        <item m="1" x="806"/>
        <item sd="0" m="1" x="620"/>
        <item m="1" x="5"/>
        <item m="1" x="770"/>
        <item m="1" x="15"/>
        <item m="1" x="739"/>
        <item m="1" x="393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7"/>
        <item m="1" x="353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9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4"/>
        <item m="1" x="381"/>
        <item m="1" x="447"/>
        <item m="1" x="160"/>
        <item m="1" x="278"/>
        <item sd="0" m="1" x="204"/>
        <item m="1" x="493"/>
        <item m="1" x="290"/>
        <item m="1" x="526"/>
        <item m="1" x="258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4"/>
        <item m="1" x="627"/>
        <item m="1" x="375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6"/>
        <item m="1" x="433"/>
        <item m="1" x="708"/>
        <item m="1" x="211"/>
        <item m="1" x="439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4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4"/>
        <item m="1" x="16"/>
        <item m="1" x="233"/>
        <item m="1" x="242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6"/>
        <item m="1" x="317"/>
        <item m="1" x="380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70"/>
        <item m="1" x="18"/>
        <item m="1" x="637"/>
        <item m="1" x="389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9"/>
        <item sd="0" m="1" x="336"/>
        <item sd="0" m="1" x="176"/>
        <item m="1" x="420"/>
        <item m="1" x="701"/>
        <item m="1" x="697"/>
        <item m="1" x="379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8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6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4"/>
        <item m="1" x="741"/>
        <item m="1" x="195"/>
        <item m="1" x="746"/>
        <item m="1" x="384"/>
        <item sd="0" m="1" x="138"/>
        <item m="1" x="658"/>
        <item m="1" x="430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8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3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1"/>
        <item m="1" x="854"/>
        <item m="1" x="432"/>
        <item m="1" x="569"/>
        <item m="1" x="487"/>
        <item m="1" x="183"/>
        <item sd="0" m="1" x="374"/>
        <item m="1" x="243"/>
        <item m="1" x="338"/>
        <item m="1" x="527"/>
        <item m="1" x="423"/>
        <item m="1" x="788"/>
        <item m="1" x="302"/>
        <item m="1" x="310"/>
        <item m="1" x="367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1"/>
        <item m="1" x="247"/>
        <item m="1" x="398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1"/>
        <item m="1" x="657"/>
        <item m="1" x="311"/>
        <item m="1" x="75"/>
        <item sd="0" m="1" x="669"/>
        <item m="1" x="95"/>
        <item m="1" x="440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7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7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2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6"/>
        <item sd="0" m="1" x="409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10"/>
        <item m="1" x="692"/>
        <item x="0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5"/>
        <item m="1" x="576"/>
        <item m="1" x="361"/>
        <item m="1" x="450"/>
        <item m="1" x="513"/>
        <item m="1" x="123"/>
        <item m="1" x="646"/>
        <item m="1" x="49"/>
        <item m="1" x="416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7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1"/>
        <item m="1" x="426"/>
        <item m="1" x="177"/>
        <item x="1"/>
        <item m="1" x="758"/>
        <item m="1" x="600"/>
        <item m="1" x="13"/>
        <item m="1" x="93"/>
        <item m="1" x="438"/>
        <item m="1" x="434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734"/>
    </i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2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8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7" s="1" nd="1"/>
        <i x="475" s="1" nd="1"/>
        <i x="633" s="1" nd="1"/>
        <i x="445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0" s="1" nd="1"/>
        <i x="505" s="1" nd="1"/>
        <i x="553" s="1" nd="1"/>
        <i x="476" s="1" nd="1"/>
        <i x="245" s="1" nd="1"/>
        <i x="848" s="1" nd="1"/>
        <i x="832" s="1" nd="1"/>
        <i x="742" s="1" nd="1"/>
        <i x="241" s="1" nd="1"/>
        <i x="240" s="1" nd="1"/>
        <i x="461" s="1" nd="1"/>
        <i x="287" s="1" nd="1"/>
        <i x="549" s="1" nd="1"/>
        <i x="845" s="1" nd="1"/>
        <i x="444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2" s="1" nd="1"/>
        <i x="408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8" s="1" nd="1"/>
        <i x="208" s="1" nd="1"/>
        <i x="521" s="1" nd="1"/>
        <i x="462" s="1" nd="1"/>
        <i x="139" s="1" nd="1"/>
        <i x="661" s="1" nd="1"/>
        <i x="372" s="1" nd="1"/>
        <i x="155" s="1" nd="1"/>
        <i x="252" s="1" nd="1"/>
        <i x="628" s="1" nd="1"/>
        <i x="736" s="1" nd="1"/>
        <i x="421" s="1" nd="1"/>
        <i x="81" s="1" nd="1"/>
        <i x="696" s="1" nd="1"/>
        <i x="285" s="1" nd="1"/>
        <i x="846" s="1" nd="1"/>
        <i x="249" s="1" nd="1"/>
        <i x="763" s="1" nd="1"/>
        <i x="425" s="1" nd="1"/>
        <i x="436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2" s="1" nd="1"/>
        <i x="53" s="1" nd="1"/>
        <i x="649" s="1" nd="1"/>
        <i x="469" s="1" nd="1"/>
        <i x="250" s="1" nd="1"/>
        <i x="329" s="1" nd="1"/>
        <i x="437" s="1" nd="1"/>
        <i x="353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9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4" s="1" nd="1"/>
        <i x="381" s="1" nd="1"/>
        <i x="447" s="1" nd="1"/>
        <i x="160" s="1" nd="1"/>
        <i x="278" s="1" nd="1"/>
        <i x="204" s="1" nd="1"/>
        <i x="493" s="1" nd="1"/>
        <i x="290" s="1" nd="1"/>
        <i x="526" s="1" nd="1"/>
        <i x="258" s="1" nd="1"/>
        <i x="406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4" s="1" nd="1"/>
        <i x="627" s="1" nd="1"/>
        <i x="375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49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6" s="1" nd="1"/>
        <i x="433" s="1" nd="1"/>
        <i x="708" s="1" nd="1"/>
        <i x="211" s="1" nd="1"/>
        <i x="439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7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59" s="1" nd="1"/>
        <i x="580" s="1" nd="1"/>
        <i x="354" s="1" nd="1"/>
        <i x="104" s="1" nd="1"/>
        <i x="538" s="1" nd="1"/>
        <i x="209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4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4" s="1" nd="1"/>
        <i x="16" s="1" nd="1"/>
        <i x="233" s="1" nd="1"/>
        <i x="242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6" s="1" nd="1"/>
        <i x="317" s="1" nd="1"/>
        <i x="380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70" s="1" nd="1"/>
        <i x="18" s="1" nd="1"/>
        <i x="637" s="1" nd="1"/>
        <i x="389" s="1" nd="1"/>
        <i x="479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69" s="1" nd="1"/>
        <i x="336" s="1" nd="1"/>
        <i x="176" s="1" nd="1"/>
        <i x="420" s="1" nd="1"/>
        <i x="701" s="1" nd="1"/>
        <i x="697" s="1" nd="1"/>
        <i x="379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8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5" s="1" nd="1"/>
        <i x="720" s="1" nd="1"/>
        <i x="555" s="1" nd="1"/>
        <i x="117" s="1" nd="1"/>
        <i x="376" s="1" nd="1"/>
        <i x="718" s="1" nd="1"/>
        <i x="128" s="1" nd="1"/>
        <i x="34" s="1" nd="1"/>
        <i x="303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4" s="1" nd="1"/>
        <i x="741" s="1" nd="1"/>
        <i x="195" s="1" nd="1"/>
        <i x="746" s="1" nd="1"/>
        <i x="384" s="1" nd="1"/>
        <i x="138" s="1" nd="1"/>
        <i x="658" s="1" nd="1"/>
        <i x="430" s="1" nd="1"/>
        <i x="664" s="1" nd="1"/>
        <i x="492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8" s="1" nd="1"/>
        <i x="364" s="1" nd="1"/>
        <i x="101" s="1" nd="1"/>
        <i x="480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3" s="1" nd="1"/>
        <i x="735" s="1" nd="1"/>
        <i x="133" s="1" nd="1"/>
        <i x="87" s="1" nd="1"/>
        <i x="210" s="1" nd="1"/>
        <i x="681" s="1" nd="1"/>
        <i x="276" s="1" nd="1"/>
        <i x="471" s="1" nd="1"/>
        <i x="799" s="1" nd="1"/>
        <i x="218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7" s="1" nd="1"/>
        <i x="183" s="1" nd="1"/>
        <i x="374" s="1" nd="1"/>
        <i x="243" s="1" nd="1"/>
        <i x="338" s="1" nd="1"/>
        <i x="527" s="1" nd="1"/>
        <i x="423" s="1" nd="1"/>
        <i x="788" s="1" nd="1"/>
        <i x="302" s="1" nd="1"/>
        <i x="310" s="1" nd="1"/>
        <i x="367" s="1" nd="1"/>
        <i x="490" s="1" nd="1"/>
        <i x="662" s="1" nd="1"/>
        <i x="189" s="1" nd="1"/>
        <i x="659" s="1" nd="1"/>
        <i x="222" s="1" nd="1"/>
        <i x="448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1" s="1" nd="1"/>
        <i x="247" s="1" nd="1"/>
        <i x="398" s="1" nd="1"/>
        <i x="481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6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1" s="1" nd="1"/>
        <i x="657" s="1" nd="1"/>
        <i x="311" s="1" nd="1"/>
        <i x="75" s="1" nd="1"/>
        <i x="669" s="1" nd="1"/>
        <i x="95" s="1" nd="1"/>
        <i x="440" s="1" nd="1"/>
        <i x="352" s="1" nd="1"/>
        <i x="784" s="1" nd="1"/>
        <i x="498" s="1" nd="1"/>
        <i x="62" s="1" nd="1"/>
        <i x="455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7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3" s="1" nd="1"/>
        <i x="314" s="1" nd="1"/>
        <i x="348" s="1" nd="1"/>
        <i x="283" s="1" nd="1"/>
        <i x="324" s="1" nd="1"/>
        <i x="844" s="1" nd="1"/>
        <i x="359" s="1" nd="1"/>
        <i x="387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2" s="1" nd="1"/>
        <i x="26" s="1" nd="1"/>
        <i x="343" s="1" nd="1"/>
        <i x="489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5" s="1" nd="1"/>
        <i x="706" s="1" nd="1"/>
        <i x="619" s="1" nd="1"/>
        <i x="731" s="1" nd="1"/>
        <i x="470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3" s="1" nd="1"/>
        <i x="194" s="1" nd="1"/>
        <i x="307" s="1" nd="1"/>
        <i x="341" s="1" nd="1"/>
        <i x="97" s="1" nd="1"/>
        <i x="694" s="1" nd="1"/>
        <i x="306" s="1" nd="1"/>
        <i x="356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6" s="1" nd="1"/>
        <i x="409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2" s="1" nd="1"/>
        <i x="413" s="1" nd="1"/>
        <i x="702" s="1" nd="1"/>
        <i x="205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10" s="1" nd="1"/>
        <i x="692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5" s="1" nd="1"/>
        <i x="576" s="1" nd="1"/>
        <i x="361" s="1" nd="1"/>
        <i x="450" s="1" nd="1"/>
        <i x="513" s="1" nd="1"/>
        <i x="123" s="1" nd="1"/>
        <i x="646" s="1" nd="1"/>
        <i x="49" s="1" nd="1"/>
        <i x="416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7" s="1" nd="1"/>
        <i x="230" s="1" nd="1"/>
        <i x="8" s="1" nd="1"/>
        <i x="472" s="1" nd="1"/>
        <i x="824" s="1" nd="1"/>
        <i x="36" s="1" nd="1"/>
        <i x="312" s="1" nd="1"/>
        <i x="825" s="1" nd="1"/>
        <i x="562" s="1" nd="1"/>
        <i x="63" s="1" nd="1"/>
        <i x="568" s="1" nd="1"/>
        <i x="431" s="1" nd="1"/>
        <i x="426" s="1" nd="1"/>
        <i x="177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1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3561</v>
      </c>
      <c r="B2" s="12" t="s">
        <v>616</v>
      </c>
      <c r="C2" s="14">
        <v>46300</v>
      </c>
      <c r="D2" s="14">
        <v>46300</v>
      </c>
      <c r="E2" s="12"/>
      <c r="F2" s="15" t="s">
        <v>617</v>
      </c>
      <c r="G2" s="15" t="s">
        <v>618</v>
      </c>
      <c r="H2" s="15" t="s">
        <v>619</v>
      </c>
      <c r="I2" s="16">
        <v>8524.32</v>
      </c>
      <c r="J2" s="15" t="s">
        <v>620</v>
      </c>
      <c r="K2" s="15" t="s">
        <v>621</v>
      </c>
      <c r="L2" s="15" t="s">
        <v>622</v>
      </c>
      <c r="M2" s="15">
        <v>282.63</v>
      </c>
      <c r="N2" s="15">
        <v>16</v>
      </c>
      <c r="O2" s="16">
        <v>354.88</v>
      </c>
      <c r="P2" s="15" t="s">
        <v>623</v>
      </c>
      <c r="Q2" s="15">
        <v>89.27</v>
      </c>
      <c r="R2" s="15" t="s">
        <v>624</v>
      </c>
      <c r="S2" s="15">
        <v>74.61</v>
      </c>
      <c r="T2" s="15" t="s">
        <v>625</v>
      </c>
      <c r="U2" s="15">
        <v>0</v>
      </c>
      <c r="V2" s="15">
        <v>33.909999999999997</v>
      </c>
      <c r="W2" s="15">
        <v>0</v>
      </c>
      <c r="X2" s="15">
        <v>0</v>
      </c>
      <c r="Y2" s="15">
        <v>3.41</v>
      </c>
      <c r="Z2" s="15">
        <v>0</v>
      </c>
      <c r="AA2" s="15">
        <v>371.52</v>
      </c>
      <c r="AB2" s="15">
        <v>-88.89</v>
      </c>
      <c r="AC2" s="15">
        <v>73.48</v>
      </c>
      <c r="AD2" s="15">
        <v>-162.37</v>
      </c>
      <c r="AE2" s="15">
        <v>0</v>
      </c>
      <c r="AF2" s="15">
        <v>-162.37</v>
      </c>
      <c r="AG2" s="17">
        <v>-0.57450000000000001</v>
      </c>
      <c r="AH2" s="15"/>
    </row>
    <row r="3" spans="1:34" s="1" customFormat="1" ht="12" customHeight="1" x14ac:dyDescent="0.3">
      <c r="A3" s="13">
        <v>3562</v>
      </c>
      <c r="B3" s="12" t="s">
        <v>616</v>
      </c>
      <c r="C3" s="14"/>
      <c r="D3" s="14">
        <v>46300</v>
      </c>
      <c r="E3" s="12"/>
      <c r="F3" s="15" t="s">
        <v>626</v>
      </c>
      <c r="G3" s="15" t="s">
        <v>627</v>
      </c>
      <c r="H3" s="15" t="s">
        <v>628</v>
      </c>
      <c r="I3" s="16">
        <v>419476.5</v>
      </c>
      <c r="J3" s="15" t="s">
        <v>629</v>
      </c>
      <c r="K3" s="15" t="s">
        <v>621</v>
      </c>
      <c r="L3" s="15" t="s">
        <v>630</v>
      </c>
      <c r="M3" s="16">
        <v>9342.0499999999993</v>
      </c>
      <c r="N3" s="15">
        <v>218</v>
      </c>
      <c r="O3" s="16">
        <v>16078.59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1121.05</v>
      </c>
      <c r="W3" s="15">
        <v>0</v>
      </c>
      <c r="X3" s="15">
        <v>0</v>
      </c>
      <c r="Y3" s="15">
        <v>167.79</v>
      </c>
      <c r="Z3" s="15">
        <v>500</v>
      </c>
      <c r="AA3" s="16">
        <v>7418.52</v>
      </c>
      <c r="AB3" s="16">
        <v>1923.53</v>
      </c>
      <c r="AC3" s="15">
        <v>2428.9299999999998</v>
      </c>
      <c r="AD3" s="15">
        <v>-505.4</v>
      </c>
      <c r="AE3" s="15">
        <v>0</v>
      </c>
      <c r="AF3" s="15">
        <v>-505.4</v>
      </c>
      <c r="AG3" s="17">
        <v>-5.4100000000000002E-2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9624.6799999999985</v>
      </c>
      <c r="F3" s="89"/>
      <c r="G3" s="90"/>
      <c r="H3" s="133">
        <f>'Resumo Detalhado'!C2</f>
        <v>16433.47</v>
      </c>
      <c r="I3" s="134"/>
      <c r="J3" s="135">
        <f>E3/H3</f>
        <v>0.58567545381468411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0.74697590909090916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5889.27</v>
      </c>
      <c r="F7" s="112"/>
      <c r="G7" s="112"/>
      <c r="H7" s="112"/>
      <c r="I7" s="112"/>
      <c r="J7" s="112">
        <f>E7/H3</f>
        <v>0.35837044762913739</v>
      </c>
      <c r="K7" s="112"/>
      <c r="L7" s="112"/>
      <c r="M7" s="130">
        <f>E7/E3</f>
        <v>0.61189255123287234</v>
      </c>
      <c r="N7" s="130"/>
      <c r="O7" s="130"/>
      <c r="P7" s="112">
        <f>E11+K11+Q11+E15+K15+Q15+E19+H19+K19</f>
        <v>10025.3532</v>
      </c>
      <c r="Q7" s="112"/>
      <c r="R7" s="112"/>
      <c r="S7" s="112">
        <f>P7/H3</f>
        <v>0.61005698735568314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5800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5800</v>
      </c>
      <c r="L11" s="90"/>
      <c r="M11" s="38"/>
      <c r="N11" s="88">
        <f>K11/H3</f>
        <v>0.3529382412844031</v>
      </c>
      <c r="O11" s="90"/>
      <c r="P11" s="38"/>
      <c r="Q11" s="88">
        <f>'Resumo Detalhado'!D2</f>
        <v>89.27</v>
      </c>
      <c r="R11" s="90"/>
      <c r="S11" s="38"/>
      <c r="T11" s="88">
        <f>Q11/H3</f>
        <v>5.4322063447342517E-3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1154.96</v>
      </c>
      <c r="F15" s="119"/>
      <c r="G15" s="119"/>
      <c r="H15" s="119"/>
      <c r="I15" s="132"/>
      <c r="J15" s="38"/>
      <c r="K15" s="113">
        <f>'Resumo Detalhado'!K2+'Resumo Detalhado'!L2</f>
        <v>1539.9487999999999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171.2</v>
      </c>
      <c r="F19" s="120"/>
      <c r="G19" s="38"/>
      <c r="H19" s="122">
        <f>'Resumo Detalhado'!J2</f>
        <v>500</v>
      </c>
      <c r="I19" s="123"/>
      <c r="J19" s="38"/>
      <c r="K19" s="122">
        <f>'Resumo Detalhado'!L2</f>
        <v>769.97439999999995</v>
      </c>
      <c r="L19" s="123"/>
      <c r="M19" s="38"/>
      <c r="N19" s="121" t="s">
        <v>151</v>
      </c>
      <c r="O19" s="119"/>
      <c r="P19" s="119"/>
      <c r="Q19" s="119"/>
      <c r="R19" s="120"/>
      <c r="S19" s="121">
        <f>_xlfn.XLOOKUP(N19,Target!C:C,Target!D:D)</f>
        <v>5800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6864.6656000000003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0.71323572316170525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9624.6799999999985</v>
      </c>
      <c r="C2" s="29">
        <f>SUM(C6:C5000)</f>
        <v>16433.47</v>
      </c>
      <c r="D2" s="29">
        <f>SUM(D6:D5000)</f>
        <v>89.27</v>
      </c>
      <c r="E2" s="29">
        <f>SUM(E6:E5000)</f>
        <v>74.61</v>
      </c>
      <c r="F2" s="29">
        <f>SUM(F6:F5000)</f>
        <v>0</v>
      </c>
      <c r="G2" s="29"/>
      <c r="H2" s="29">
        <f t="shared" ref="H2:P2" si="0">SUM(H6:H5000)</f>
        <v>1154.96</v>
      </c>
      <c r="I2" s="29">
        <f t="shared" si="0"/>
        <v>171.2</v>
      </c>
      <c r="J2" s="29">
        <f t="shared" si="0"/>
        <v>500</v>
      </c>
      <c r="K2" s="29">
        <f t="shared" si="0"/>
        <v>769.97439999999995</v>
      </c>
      <c r="L2" s="29">
        <f t="shared" si="0"/>
        <v>769.97439999999995</v>
      </c>
      <c r="M2" s="29">
        <f t="shared" si="0"/>
        <v>0</v>
      </c>
      <c r="N2" s="29">
        <f t="shared" si="0"/>
        <v>6864.6656000000003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3561</v>
      </c>
      <c r="B6" s="140">
        <v>282.63</v>
      </c>
      <c r="C6" s="141">
        <v>354.88</v>
      </c>
      <c r="D6" s="140">
        <v>89.27</v>
      </c>
      <c r="E6" s="140">
        <v>74.61</v>
      </c>
      <c r="F6" s="140">
        <v>0</v>
      </c>
      <c r="G6" s="142">
        <v>0.57983936595548946</v>
      </c>
      <c r="H6" s="140">
        <v>33.909999999999997</v>
      </c>
      <c r="I6" s="140">
        <v>3.41</v>
      </c>
      <c r="J6" s="140">
        <v>0</v>
      </c>
      <c r="K6" s="140">
        <v>22.610399999999998</v>
      </c>
      <c r="L6" s="140">
        <v>22.610399999999998</v>
      </c>
      <c r="M6" s="140">
        <v>0</v>
      </c>
      <c r="N6" s="140">
        <v>58.819600000000023</v>
      </c>
      <c r="O6" s="142">
        <v>0.20811520362311156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3562</v>
      </c>
      <c r="B8" s="140">
        <v>9342.0499999999993</v>
      </c>
      <c r="C8" s="141">
        <v>16078.59</v>
      </c>
      <c r="D8" s="140">
        <v>0</v>
      </c>
      <c r="E8" s="140">
        <v>0</v>
      </c>
      <c r="F8" s="140">
        <v>0</v>
      </c>
      <c r="G8" s="142">
        <v>0</v>
      </c>
      <c r="H8" s="140">
        <v>1121.05</v>
      </c>
      <c r="I8" s="140">
        <v>167.79</v>
      </c>
      <c r="J8" s="140">
        <v>500</v>
      </c>
      <c r="K8" s="140">
        <v>747.36399999999992</v>
      </c>
      <c r="L8" s="140">
        <v>747.36399999999992</v>
      </c>
      <c r="M8" s="140">
        <v>0</v>
      </c>
      <c r="N8" s="140">
        <v>6805.8460000000005</v>
      </c>
      <c r="O8" s="142">
        <v>0.72851740249731067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9342.0499999999993</v>
      </c>
      <c r="C2" s="29">
        <f>SUM(C6:C5000)</f>
        <v>6805.8460000000005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618</v>
      </c>
      <c r="B5" s="10">
        <v>282.63</v>
      </c>
      <c r="C5" s="10">
        <v>58.819600000000023</v>
      </c>
    </row>
    <row r="6" spans="1:4" x14ac:dyDescent="0.3">
      <c r="A6" s="144" t="s">
        <v>627</v>
      </c>
      <c r="B6" s="140">
        <v>9342.0499999999993</v>
      </c>
      <c r="C6" s="140">
        <v>6805.8460000000005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2026-10-08T12:57:54Z</dcterms:modified>
  <cp:category/>
  <cp:contentStatus/>
</cp:coreProperties>
</file>