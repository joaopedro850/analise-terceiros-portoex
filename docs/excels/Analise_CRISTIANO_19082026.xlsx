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23B113C-E1BE-49A1-AE42-0EC126A6562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<sst xmlns="http://schemas.openxmlformats.org/spreadsheetml/2006/main" count="868" uniqueCount="595">
  <si>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</si>
  <si>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</si>
  <si>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</si>
  <si>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</si>
  <si>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</si>
  <si>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</si>
  <si>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</si>
  <si>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</si>
  <si>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</si>
  <si>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</si>
  <si>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</si>
  <si>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</si>
  <si>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</si>
  <si>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</si>
  <si>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</si>
  <si>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</si>
  <si>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</si>
  <si>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</si>
  <si>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</si>
  <si>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</si>
  <si>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</si>
  <si>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</si>
  <si>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</si>
  <si>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</si>
  <si>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</si>
  <si>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</si>
  <si>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</si>
  <si>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</si>
  <si>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</si>
  <si>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</si>
  <si>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</si>
  <si>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</si>
  <si>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</si>
  <si>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</si>
  <si>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</si>
  <si>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</si>
  <si>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</si>
  <si>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</si>
  <si>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</si>
  <si>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</si>
  <si>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</si>
  <si>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</si>
  <si>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</si>
  <si>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</si>
  <si>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</si>
  <si>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</si>
  <si>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</si>
  <si>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</si>
  <si>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</si>
  <si>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</si>
  <si>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</si>
  <si>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</si>
  <si>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</si>
  <si>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</si>
  <si>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</si>
  <si>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</si>
  <si>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</si>
  <si>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</si>
  <si>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</si>
  <si>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</si>
  <si>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</si>
  <si>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</si>
  <si>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</si>
  <si>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</si>
  <si>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</si>
  <si>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</si>
  <si>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</si>
  <si>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</si>
  <si>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</si>
  <si>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</si>
  <si>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</si>
  <si>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</si>
  <si>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</si>
  <si>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</si>
  <si>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</si>
  <si>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</si>
  <si>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</si>
  <si>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</si>
  <si>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</si>
  <si>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</si>
  <si>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</si>
  <si>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</si>
  <si>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</si>
  <si>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</si>
  <si>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</si>
  <si>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</si>
  <si>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</si>
  <si>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</si>
  <si>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</si>
  <si>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</si>
  <si>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</si>
  <si>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</si>
  <si>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</si>
  <si>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</si>
  <si>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</si>
  <si>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</si>
  <si>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</si>
  <si>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</si>
  <si>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</si>
  <si>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</si>
  <si>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</si>
  <si>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</si>
  <si>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</si>
  <si>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</si>
  <si>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</si>
  <si>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</si>
  <si>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</si>
  <si>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</si>
  <si>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</si>
  <si>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</si>
  <si>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</si>
  <si>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</si>
  <si>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</si>
  <si>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</si>
  <si>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</si>
  <si>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</si>
  <si>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</si>
  <si>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</si>
  <si>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</si>
  <si>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</si>
  <si>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</si>
  <si>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</si>
  <si>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</si>
  <si>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</si>
  <si>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</si>
  <si>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</si>
  <si>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</si>
  <si>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</si>
  <si>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</si>
  <si>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</si>
  <si>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</si>
  <si>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</si>
  <si>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</si>
  <si>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</si>
  <si>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</si>
  <si>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</si>
  <si>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</si>
  <si>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</si>
  <si>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</si>
  <si>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</si>
  <si>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</si>
  <si>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</si>
  <si>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</si>
  <si>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</si>
  <si>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</si>
  <si>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</si>
  <si>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</si>
  <si>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</si>
  <si>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</si>
  <si>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</si>
  <si>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</si>
  <si>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</si>
  <si>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</si>
  <si>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</si>
  <si>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</si>
  <si>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</si>
  <si>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</si>
  <si>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</si>
  <si>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</si>
  <si>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</si>
  <si>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</si>
  <si>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</si>
  <si>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</si>
  <si>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</si>
  <si>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</si>
  <si>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</si>
  <si>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</si>
  <si>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</si>
  <si>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</si>
  <si>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</si>
  <si>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</si>
  <si>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</si>
  <si>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</si>
  <si>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</si>
  <si>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</si>
  <si>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</si>
  <si>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</si>
  <si>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</si>
  <si>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</si>
  <si>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</si>
  <si>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</si>
  <si>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</si>
  <si>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</si>
  <si>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</si>
  <si>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</si>
  <si>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</si>
  <si>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</si>
  <si>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</si>
  <si>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</si>
  <si>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</si>
  <si>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</si>
  <si>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</si>
  <si>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</si>
  <si>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</si>
  <si>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</si>
  <si>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</si>
  <si>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</si>
  <si>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</si>
  <si>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</si>
  <si>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</si>
  <si>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</si>
  <si>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</si>
  <si>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</si>
  <si>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</si>
  <si>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</si>
  <si>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</si>
  <si>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</si>
  <si>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</si>
  <si>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</si>
  <si>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</si>
  <si>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</si>
  <si>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</si>
  <si>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</si>
  <si>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</si>
  <si>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</si>
  <si>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</si>
  <si>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</si>
  <si>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</si>
  <si>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</si>
  <si>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</si>
  <si>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</si>
  <si>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</si>
  <si>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</si>
  <si>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</si>
  <si>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</si>
  <si>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</si>
  <si>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</si>
  <si>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</si>
  <si>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</si>
  <si>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</si>
  <si>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</si>
  <si>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</si>
  <si>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</si>
  <si>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</si>
  <si>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</si>
  <si>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</si>
  <si>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</si>
  <si>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</si>
  <si>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</si>
  <si>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</si>
  <si>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</si>
  <si>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</si>
  <si>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</si>
  <si>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</si>
  <si>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</si>
  <si>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</si>
  <si>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</si>
  <si>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</si>
  <si>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</si>
  <si>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</si>
  <si>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</si>
  <si>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</si>
  <si>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</si>
  <si>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</si>
  <si>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</si>
  <si>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</si>
  <si>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</si>
  <si>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</si>
  <si>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</si>
  <si>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</si>
  <si>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</si>
  <si>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</si>
  <si>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</si>
  <si>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</si>
  <si>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</si>
  <si>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</si>
  <si>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</si>
  <si>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</si>
  <si>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</si>
  <si>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</si>
  <si>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</si>
  <si>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</si>
  <si>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</si>
  <si>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</si>
  <si>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</si>
  <si>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</si>
  <si>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</si>
  <si>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</si>
  <si>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</si>
  <si>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</si>
  <si>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</si>
  <si>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</si>
  <si>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</si>
  <si>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</si>
  <si>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</si>
  <si>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</si>
  <si>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</si>
  <si>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</si>
  <si>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</si>
  <si>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</si>
  <si>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</si>
  <si>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</si>
  <si>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</si>
  <si>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</si>
  <si>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</si>
  <si>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</si>
  <si>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</si>
  <si>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</si>
  <si>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</si>
  <si>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</si>
  <si>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</si>
  <si>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</si>
  <si>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</si>
  <si>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</si>
  <si>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</si>
  <si>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</si>
  <si>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</si>
  <si>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</si>
  <si>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</si>
  <si>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</si>
  <si>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</si>
  <si>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</si>
  <si>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</si>
  <si>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</si>
  <si>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</si>
  <si>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</si>
  <si>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</si>
  <si>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</si>
  <si>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</si>
  <si>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</si>
  <si>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</si>
  <si>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</si>
  <si>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</si>
  <si>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</si>
  <si>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</si>
  <si>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</si>
  <si>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</si>
  <si>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</si>
  <si>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</si>
  <si>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</si>
  <si>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</si>
  <si>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</si>
  <si>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</si>
  <si>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</si>
  <si>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</si>
  <si>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</si>
  <si>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</si>
  <si>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</si>
  <si>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</si>
  <si>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</si>
  <si>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</si>
  <si>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</si>
  <si>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</si>
  <si>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</si>
  <si>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</si>
  <si>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</si>
  <si>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</si>
  <si>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</si>
  <si>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</si>
  <si>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</si>
  <si>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</si>
  <si>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</si>
  <si>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</si>
  <si>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</si>
  <si>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</si>
  <si>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</si>
  <si>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</si>
  <si>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</si>
  <si>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</si>
  <si>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</si>
  <si>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</si>
  <si>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</si>
  <si>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</si>
  <si>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</si>
  <si>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</si>
  <si>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</si>
  <si>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</si>
  <si>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</si>
  <si>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</si>
  <si>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</si>
  <si>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</si>
  <si>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</si>
  <si>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</si>
  <si>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</si>
  <si>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</si>
  <si>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</si>
  <si>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</si>
  <si>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</si>
  <si>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</si>
  <si>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</si>
  <si>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</si>
  <si>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</si>
  <si>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</si>
  <si>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</si>
  <si>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</si>
  <si>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</si>
  <si>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</si>
  <si>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</si>
  <si>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</si>
  <si>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</si>
  <si>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</si>
  <si>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</si>
  <si>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</si>
  <si>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</si>
  <si>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</si>
  <si>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</si>
  <si>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</si>
  <si>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</si>
  <si>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</si>
  <si>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</si>
  <si>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</si>
  <si>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</si>
  <si>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</si>
  <si>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</si>
  <si>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</si>
  <si>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</si>
  <si>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</si>
  <si>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</si>
  <si>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</si>
  <si>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</si>
  <si>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</si>
  <si>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</si>
  <si>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</si>
  <si>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</si>
  <si>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</si>
  <si>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</si>
  <si>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</si>
  <si>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</si>
  <si>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</si>
  <si>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</si>
  <si>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</si>
  <si>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</si>
  <si>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</si>
  <si>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</si>
  <si>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</si>
  <si>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</si>
  <si>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</si>
  <si>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</si>
  <si>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</si>
  <si>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</si>
  <si>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</si>
  <si>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</si>
  <si>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</si>
  <si>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</si>
  <si>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</si>
  <si>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</si>
  <si>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</si>
  <si>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</si>
  <si>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</si>
  <si>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</si>
  <si>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</si>
  <si>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</si>
  <si>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</si>
  <si>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</si>
  <si>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</si>
  <si>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</si>
  <si>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</si>
  <si>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</si>
  <si>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</si>
  <si>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</si>
  <si>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</si>
  <si>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</si>
  <si>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</si>
  <si>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</si>
  <si>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</si>
  <si>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</si>
  <si>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</si>
  <si>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</si>
  <si>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</si>
  <si>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</si>
  <si>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</si>
  <si>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</si>
  <si>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</si>
  <si>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</si>
  <si>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</si>
  <si>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</si>
  <si>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</si>
  <si>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</si>
  <si>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</si>
  <si>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</si>
  <si>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</si>
  <si>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</si>
  <si>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</si>
  <si>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</si>
  <si>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</si>
  <si>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</si>
  <si>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</si>
  <si>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</si>
  <si>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</si>
  <si>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</si>
  <si>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</si>
  <si>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</si>
  <si>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</si>
  <si>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</si>
  <si>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</si>
  <si>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</si>
  <si>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</si>
  <si>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</si>
  <si>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</si>
  <si>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</si>
  <si>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</si>
  <si>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</si>
  <si>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</si>
  <si>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</si>
  <si>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</si>
  <si>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</si>
  <si>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</si>
  <si>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</si>
  <si>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</si>
  <si>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</si>
  <si>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</si>
  <si>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</si>
  <si>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</si>
  <si>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</si>
  <si>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</si>
  <si>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</si>
  <si>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</si>
  <si>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</si>
  <si>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</si>
  <si>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</si>
  <si>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</si>
  <si>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</si>
  <si>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</si>
  <si>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</si>
  <si>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</si>
  <si>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</si>
  <si>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</si>
  <si>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</si>
  <si>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</si>
  <si>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</si>
  <si>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</si>
  <si>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</si>
  <si>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</si>
  <si>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</si>
  <si>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</si>
  <si>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</si>
  <si>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</si>
  <si>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</si>
  <si>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</si>
  <si>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</si>
  <si>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</si>
  <si>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</si>
  <si>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</si>
  <si>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</si>
  <si>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</si>
  <si>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</si>
  <si>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</si>
  <si>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</si>
  <si>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</si>
  <si>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</si>
  <si>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</si>
  <si>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</si>
  <si>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</si>
  <si>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</si>
  <si>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</si>
  <si>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</si>
  <si>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</si>
  <si>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</si>
  <si>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</si>
  <si>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</si>
  <si>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</si>
  <si>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</si>
  <si>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</si>
  <si>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</si>
  <si>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</si>
  <si>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</si>
  <si>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</si>
  <si>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</si>
  <si>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</si>
  <si>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</si>
  <si>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</si>
  <si>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</si>
  <si>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</si>
  <si>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</si>
  <si>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</si>
  <si>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</si>
  <si>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</si>
  <si>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</si>
  <si>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</si>
  <si>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</si>
  <si>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</si>
  <si>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</si>
  <si>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</si>
  <si>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</si>
  <si>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</si>
  <si>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</si>
  <si>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</si>
  <si>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</si>
  <si>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MATRIZ</t>
  </si>
  <si>
    <t>201453-1</t>
  </si>
  <si>
    <t>SAMSONITE BRASI</t>
  </si>
  <si>
    <t>MARLON MARQUES</t>
  </si>
  <si>
    <t>EXPRESSO_200</t>
  </si>
  <si>
    <t>CTE NORMAL</t>
  </si>
  <si>
    <t>SAO PAULO - SP</t>
  </si>
  <si>
    <t>EDSON SANTOS DA SILVA</t>
  </si>
  <si>
    <t>FRATUS &amp;AMP; FRATUS TRANSPORT</t>
  </si>
  <si>
    <t>201603-1</t>
  </si>
  <si>
    <t>LOJAS AVENIDA S</t>
  </si>
  <si>
    <t>SABRINA SANTOS</t>
  </si>
  <si>
    <t>PERSONALIZADO_L</t>
  </si>
  <si>
    <t>CAMPO GRANDE - MS</t>
  </si>
  <si>
    <t>ROBSON BARBOSA FERREIRA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</si>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</sst>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[Analise_CRISTIANO_19082026.xlsx]Resumo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LOJAS AVENIDA S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9419.86</c:v>
                </c:pt>
                <c:pt idx="1">
                  <c:v>84.89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LOJAS AVENIDA S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6839.9624000000003</c:v>
                </c:pt>
                <c:pt idx="1">
                  <c:v>20.7376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[Analise_CRISTIANO_19082026.xlsx]Resumo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LOJAS AVENIDA S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9419.86</c:v>
                </c:pt>
                <c:pt idx="1">
                  <c:v>84.89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LOJAS AVENIDA S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6839.9624000000003</c:v>
                </c:pt>
                <c:pt idx="1">
                  <c:v>20.7376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8.404262962962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7284" count="8000">
        <n v="296952"/>
        <n v="297284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8T00:00:00" maxDate="2026-08-20T00:00:00"/>
    </cacheField>
    <cacheField name="DATA" numFmtId="14">
      <sharedItems containsNonDate="0" containsDate="1" containsString="0" containsBlank="1" minDate="2026-08-18T00:00:00" maxDate="2026-08-20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AMSONITE BRASI"/>
        <s v="LOJAS AVENIDA S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756.72" maxValue="169839.58"/>
    </cacheField>
    <cacheField name="SERVICO" numFmtId="0">
      <sharedItems containsBlank="1" count="27">
        <s v="EXPRESSO_20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84.89" maxValue="9419.86"/>
    </cacheField>
    <cacheField name="VOLUMES" numFmtId="0">
      <sharedItems containsString="0" containsBlank="1" containsNumber="1" containsInteger="1" minValue="1" maxValue="6"/>
    </cacheField>
    <cacheField name="PESO" numFmtId="0">
      <sharedItems containsString="0" containsBlank="1" containsNumber="1" minValue="12.6" maxValue="2119.5"/>
    </cacheField>
    <cacheField name="RESP. COLETA" numFmtId="0">
      <sharedItems containsBlank="1"/>
    </cacheField>
    <cacheField name="CUSTO COLETA" numFmtId="0">
      <sharedItems containsString="0" containsBlank="1" containsNumber="1" minValue="0" maxValue="328.41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0.19" maxValue="659.3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38" maxValue="84.92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91.35" maxValue="7931.94"/>
    </cacheField>
    <cacheField name="RECEITA" numFmtId="0">
      <sharedItems containsString="0" containsBlank="1" containsNumber="1" minValue="-6.46" maxValue="1487.92"/>
    </cacheField>
    <cacheField name="IMPOSTO" numFmtId="0">
      <sharedItems containsString="0" containsBlank="1" containsNumber="1" minValue="22.07" maxValue="2449.16"/>
    </cacheField>
    <cacheField name="RESULTADO" numFmtId="0">
      <sharedItems containsString="0" containsBlank="1" containsNumber="1" minValue="-961.24" maxValue="-28.53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961.24" maxValue="-28.53"/>
    </cacheField>
    <cacheField name="MARGEM" numFmtId="10">
      <sharedItems containsString="0" containsBlank="1" containsNumber="1" minValue="-0.33610000000000001" maxValue="-0.1019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8T00:00:00"/>
    <d v="2026-08-18T00:00:00"/>
    <m/>
    <s v="201453-1"/>
    <x v="0"/>
    <s v="MARLON MARQUES"/>
    <n v="756.72"/>
    <x v="0"/>
    <s v="CTE NORMAL"/>
    <s v="SAO PAULO - SP"/>
    <n v="84.89"/>
    <n v="1"/>
    <n v="12.6"/>
    <s v="MATRIZ"/>
    <n v="0"/>
    <s v="EDSON SANTOS DA SILVA"/>
    <n v="40"/>
    <s v="FRATUS &amp;AMP; FRATUS TRANSPORT"/>
    <n v="0"/>
    <n v="10.19"/>
    <n v="0"/>
    <n v="0"/>
    <n v="0.38"/>
    <n v="0"/>
    <n v="91.35"/>
    <n v="-6.46"/>
    <n v="22.07"/>
    <n v="-28.53"/>
    <n v="0"/>
    <n v="-28.53"/>
    <n v="-0.33610000000000001"/>
    <m/>
  </r>
  <r>
    <x v="1"/>
    <s v="MATRIZ"/>
    <d v="2026-08-19T00:00:00"/>
    <d v="2026-08-19T00:00:00"/>
    <m/>
    <s v="201603-1"/>
    <x v="1"/>
    <s v="SABRINA SANTOS"/>
    <n v="169839.58"/>
    <x v="1"/>
    <s v="CTE NORMAL"/>
    <s v="CAMPO GRANDE - MS"/>
    <n v="9419.86"/>
    <n v="6"/>
    <n v="2119.5"/>
    <s v="ROBSON BARBOSA FERREIRA"/>
    <n v="328.41"/>
    <s v="N/D"/>
    <n v="0"/>
    <s v="FRATUS &amp;AMP; FRATUS TRANSPORT"/>
    <n v="0"/>
    <n v="659.39"/>
    <n v="0"/>
    <n v="0"/>
    <n v="84.92"/>
    <n v="0"/>
    <n v="7931.94"/>
    <n v="1487.92"/>
    <n v="2449.16"/>
    <n v="-961.24"/>
    <n v="0"/>
    <n v="-961.24"/>
    <n v="-0.10199999999999999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3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9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1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5"/>
        <item m="1" x="332"/>
        <item m="1" x="219"/>
        <item m="1" x="509"/>
        <item m="1" x="117"/>
        <item sd="0" m="1" x="536"/>
        <item m="1" x="83"/>
        <item m="1" x="602"/>
        <item sd="0" m="1" x="449"/>
        <item m="1" x="348"/>
        <item m="1" x="78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10"/>
        <item m="1" x="421"/>
        <item m="1" x="426"/>
        <item sd="0" m="1" x="10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2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6"/>
        <item m="1" x="375"/>
        <item m="1" x="718"/>
        <item m="1" x="126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6"/>
        <item m="1" x="208"/>
        <item m="1" x="681"/>
        <item m="1" x="274"/>
        <item m="1" x="471"/>
        <item m="1" x="799"/>
        <item m="1" x="216"/>
        <item m="1" x="827"/>
        <item m="1" x="69"/>
        <item x="1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4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4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1"/>
        <item m="1" x="253"/>
        <item m="1" x="511"/>
        <item m="1" x="95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x="0"/>
        <item m="1" x="224"/>
        <item m="1" x="783"/>
        <item m="1" x="724"/>
        <item m="1" x="841"/>
        <item m="1" x="443"/>
        <item m="1" x="192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9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2"/>
        <item m="1" x="194"/>
        <item sd="0" m="1" x="496"/>
        <item m="1" x="261"/>
        <item m="1" x="30"/>
        <item m="1" x="105"/>
        <item m="1" x="533"/>
        <item sd="0" m="1" x="296"/>
        <item sd="0" m="1" x="396"/>
        <item sd="0" m="1" x="228"/>
        <item sd="0" m="1" x="8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3"/>
        <item m="1" x="92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9"/>
        <item m="1" x="766"/>
        <item m="1" x="125"/>
        <item m="1" x="217"/>
        <item m="1" x="811"/>
        <item m="1" x="278"/>
        <item m="1" x="107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4"/>
        <item m="1" x="49"/>
        <item m="1" x="90"/>
        <item sd="0" m="1" x="201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4"/>
        <item m="1" x="12"/>
        <item m="1" x="15"/>
        <item m="1" x="25"/>
        <item m="1" x="20"/>
        <item x="2"/>
        <item m="1" x="8"/>
        <item m="1" x="3"/>
        <item m="1" x="11"/>
        <item m="1" x="22"/>
        <item m="1" x="5"/>
        <item m="1" x="7"/>
        <item m="1" x="17"/>
        <item m="1" x="16"/>
        <item m="1" x="24"/>
        <item m="1" x="21"/>
        <item m="1" x="23"/>
        <item m="1" x="6"/>
        <item m="1" x="14"/>
        <item m="1" x="26"/>
        <item m="1" x="9"/>
        <item m="1" x="18"/>
        <item m="1" x="13"/>
        <item x="0"/>
        <item m="1" x="19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52"/>
    </i>
    <i r="1">
      <x v="7999"/>
    </i>
    <i>
      <x v="671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3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9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1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5"/>
        <item m="1" x="332"/>
        <item m="1" x="219"/>
        <item m="1" x="509"/>
        <item m="1" x="117"/>
        <item sd="0" m="1" x="536"/>
        <item m="1" x="83"/>
        <item m="1" x="602"/>
        <item sd="0" m="1" x="449"/>
        <item m="1" x="348"/>
        <item m="1" x="78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10"/>
        <item m="1" x="421"/>
        <item m="1" x="426"/>
        <item sd="0" m="1" x="10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2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sd="0"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6"/>
        <item m="1" x="375"/>
        <item m="1" x="718"/>
        <item m="1" x="126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6"/>
        <item m="1" x="208"/>
        <item m="1" x="681"/>
        <item m="1" x="274"/>
        <item m="1" x="471"/>
        <item m="1" x="799"/>
        <item m="1" x="216"/>
        <item m="1" x="827"/>
        <item m="1" x="69"/>
        <item x="1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4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4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1"/>
        <item m="1" x="253"/>
        <item m="1" x="511"/>
        <item m="1" x="95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x="0"/>
        <item m="1" x="224"/>
        <item m="1" x="783"/>
        <item m="1" x="724"/>
        <item m="1" x="841"/>
        <item m="1" x="443"/>
        <item m="1" x="192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9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2"/>
        <item m="1" x="194"/>
        <item sd="0" m="1" x="496"/>
        <item m="1" x="261"/>
        <item m="1" x="30"/>
        <item m="1" x="105"/>
        <item m="1" x="533"/>
        <item sd="0" m="1" x="296"/>
        <item sd="0" m="1" x="396"/>
        <item sd="0" m="1" x="228"/>
        <item sd="0" m="1" x="8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3"/>
        <item m="1" x="92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9"/>
        <item m="1" x="766"/>
        <item m="1" x="125"/>
        <item m="1" x="217"/>
        <item m="1" x="811"/>
        <item m="1" x="278"/>
        <item m="1" x="107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4"/>
        <item m="1" x="49"/>
        <item m="1" x="90"/>
        <item sd="0" m="1" x="201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4"/>
        <item m="1" x="12"/>
        <item m="1" x="15"/>
        <item m="1" x="25"/>
        <item m="1" x="20"/>
        <item x="2"/>
        <item m="1" x="8"/>
        <item m="1" x="3"/>
        <item m="1" x="11"/>
        <item m="1" x="22"/>
        <item m="1" x="5"/>
        <item m="1" x="7"/>
        <item m="1" x="17"/>
        <item m="1" x="16"/>
        <item m="1" x="24"/>
        <item m="1" x="21"/>
        <item m="1" x="23"/>
        <item m="1" x="6"/>
        <item m="1" x="14"/>
        <item m="1" x="26"/>
        <item m="1" x="9"/>
        <item m="1" x="18"/>
        <item m="1" x="13"/>
        <item x="0"/>
        <item m="1" x="19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52"/>
    </i>
    <i>
      <x v="67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8" s="1" nd="1"/>
        <i x="186" s="1" nd="1"/>
        <i x="272" s="1" nd="1"/>
        <i x="12" s="1" nd="1"/>
        <i x="761" s="1" nd="1"/>
        <i x="391" s="1" nd="1"/>
        <i x="712" s="1" nd="1"/>
        <i x="295" s="1" nd="1"/>
        <i x="113" s="1" nd="1"/>
        <i x="270" s="1" nd="1"/>
        <i x="590" s="1" nd="1"/>
        <i x="323" s="1" nd="1"/>
        <i x="675" s="1" nd="1"/>
        <i x="501" s="1" nd="1"/>
        <i x="24" s="1" nd="1"/>
        <i x="581" s="1" nd="1"/>
        <i x="852" s="1" nd="1"/>
        <i x="20" s="1" nd="1"/>
        <i x="757" s="1" nd="1"/>
        <i x="112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9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8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80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5" s="1" nd="1"/>
        <i x="770" s="1" nd="1"/>
        <i x="14" s="1" nd="1"/>
        <i x="739" s="1" nd="1"/>
        <i x="392" s="1" nd="1"/>
        <i x="275" s="1" nd="1"/>
        <i x="65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2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8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9" s="1" nd="1"/>
        <i x="631" s="1" nd="1"/>
        <i x="530" s="1" nd="1"/>
        <i x="294" s="1" nd="1"/>
        <i x="303" s="1" nd="1"/>
        <i x="173" s="1" nd="1"/>
        <i x="101" s="1" nd="1"/>
        <i x="70" s="1" nd="1"/>
        <i x="578" s="1" nd="1"/>
        <i x="798" s="1" nd="1"/>
        <i x="32" s="1" nd="1"/>
        <i x="673" s="1" nd="1"/>
        <i x="286" s="1" nd="1"/>
        <i x="629" s="1" nd="1"/>
        <i x="264" s="1" nd="1"/>
        <i x="115" s="1" nd="1"/>
        <i x="332" s="1" nd="1"/>
        <i x="219" s="1" nd="1"/>
        <i x="509" s="1" nd="1"/>
        <i x="117" s="1" nd="1"/>
        <i x="536" s="1" nd="1"/>
        <i x="83" s="1" nd="1"/>
        <i x="602" s="1" nd="1"/>
        <i x="449" s="1" nd="1"/>
        <i x="348" s="1" nd="1"/>
        <i x="78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10" s="1" nd="1"/>
        <i x="421" s="1" nd="1"/>
        <i x="426" s="1" nd="1"/>
        <i x="10" s="1" nd="1"/>
        <i x="42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2" s="1" nd="1"/>
        <i x="195" s="1" nd="1"/>
        <i x="831" s="1" nd="1"/>
        <i x="764" s="1" nd="1"/>
        <i x="508" s="1" nd="1"/>
        <i x="821" s="1" nd="1"/>
        <i x="340" s="1" nd="1"/>
        <i x="222" s="1" nd="1"/>
        <i x="64" s="1" nd="1"/>
        <i x="635" s="1" nd="1"/>
        <i x="457" s="1" nd="1"/>
        <i x="790" s="1" nd="1"/>
        <i x="703" s="1" nd="1"/>
        <i x="233" s="1" nd="1"/>
        <i x="597" s="1" nd="1"/>
        <i x="43" s="1" nd="1"/>
        <i x="843" s="1" nd="1"/>
        <i x="122" s="1" nd="1"/>
        <i x="266" s="1" nd="1"/>
        <i x="291" s="1" nd="1"/>
        <i x="353" s="1" nd="1"/>
        <i x="98" s="1" nd="1"/>
        <i x="459" s="1" nd="1"/>
        <i x="580" s="1" nd="1"/>
        <i x="352" s="1" nd="1"/>
        <i x="103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6" s="1" nd="1"/>
        <i x="387" s="1" nd="1"/>
        <i x="369" s="1" nd="1"/>
        <i x="615" s="1" nd="1"/>
        <i x="57" s="1" nd="1"/>
        <i x="707" s="1" nd="1"/>
        <i x="23" s="1" nd="1"/>
        <i x="36" s="1" nd="1"/>
        <i x="9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8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7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1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6" s="1" nd="1"/>
        <i x="375" s="1" nd="1"/>
        <i x="718" s="1" nd="1"/>
        <i x="126" s="1" nd="1"/>
        <i x="33" s="1" nd="1"/>
        <i x="301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1" s="1" nd="1"/>
        <i x="572" s="1" nd="1"/>
        <i x="156" s="1" nd="1"/>
        <i x="560" s="1" nd="1"/>
        <i x="45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100" s="1" nd="1"/>
        <i x="480" s="1" nd="1"/>
        <i x="607" s="1" nd="1"/>
        <i x="715" s="1" nd="1"/>
        <i x="54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3" s="1" nd="1"/>
        <i x="271" s="1" nd="1"/>
        <i x="75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6" s="1" nd="1"/>
        <i x="208" s="1" nd="1"/>
        <i x="681" s="1" nd="1"/>
        <i x="274" s="1" nd="1"/>
        <i x="471" s="1" nd="1"/>
        <i x="799" s="1" nd="1"/>
        <i x="216" s="1" nd="1"/>
        <i x="827" s="1" nd="1"/>
        <i x="69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1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0" s="1" nd="1"/>
        <i x="605" s="1" nd="1"/>
        <i x="84" s="1" nd="1"/>
        <i x="325" s="1" nd="1"/>
        <i x="34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4" s="1" nd="1"/>
        <i x="669" s="1" nd="1"/>
        <i x="94" s="1" nd="1"/>
        <i x="439" s="1" nd="1"/>
        <i x="350" s="1" nd="1"/>
        <i x="784" s="1" nd="1"/>
        <i x="498" s="1" nd="1"/>
        <i x="61" s="1" nd="1"/>
        <i x="455" s="1" nd="1"/>
        <i x="82" s="1" nd="1"/>
        <i x="324" s="1" nd="1"/>
        <i x="167" s="1" nd="1"/>
        <i x="331" s="1" nd="1"/>
        <i x="564" s="1" nd="1"/>
        <i x="503" s="1" nd="1"/>
        <i x="227" s="1" nd="1"/>
        <i x="280" s="1" nd="1"/>
        <i x="93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3" s="1" nd="1"/>
        <i x="717" s="1" nd="1"/>
        <i x="111" s="1" nd="1"/>
        <i x="253" s="1" nd="1"/>
        <i x="511" s="1" nd="1"/>
        <i x="95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1" s="1" nd="1"/>
        <i x="141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2" s="1" nd="1"/>
        <i x="77" s="1" nd="1"/>
        <i x="528" s="1" nd="1"/>
        <i x="566" s="1" nd="1"/>
        <i x="687" s="1" nd="1"/>
        <i x="279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5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4" s="1" nd="1"/>
        <i x="87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6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8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9" s="1" nd="1"/>
        <i x="27" s="1" nd="1"/>
        <i x="277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3" s="1" nd="1"/>
        <i x="423" s="1" nd="1"/>
        <i x="26" s="1" nd="1"/>
        <i x="765" s="1" nd="1"/>
        <i x="413" s="1" nd="1"/>
        <i x="552" s="1" nd="1"/>
        <i x="97" s="1" nd="1"/>
        <i x="85" s="1" nd="1"/>
        <i x="292" s="1" nd="1"/>
        <i x="194" s="1" nd="1"/>
        <i x="496" s="1" nd="1"/>
        <i x="261" s="1" nd="1"/>
        <i x="30" s="1" nd="1"/>
        <i x="105" s="1" nd="1"/>
        <i x="533" s="1" nd="1"/>
        <i x="296" s="1" nd="1"/>
        <i x="396" s="1" nd="1"/>
        <i x="228" s="1" nd="1"/>
        <i x="8" s="1" nd="1"/>
        <i x="472" s="1" nd="1"/>
        <i x="824" s="1" nd="1"/>
        <i x="35" s="1" nd="1"/>
        <i x="310" s="1" nd="1"/>
        <i x="825" s="1" nd="1"/>
        <i x="562" s="1" nd="1"/>
        <i x="62" s="1" nd="1"/>
        <i x="568" s="1" nd="1"/>
        <i x="430" s="1" nd="1"/>
        <i x="425" s="1" nd="1"/>
        <i x="175" s="1" nd="1"/>
        <i x="365" s="1" nd="1"/>
        <i x="758" s="1" nd="1"/>
        <i x="600" s="1" nd="1"/>
        <i x="13" s="1" nd="1"/>
        <i x="92" s="1" nd="1"/>
        <i x="437" s="1" nd="1"/>
        <i x="433" s="1" nd="1"/>
        <i x="120" s="1" nd="1"/>
        <i x="630" s="1" nd="1"/>
        <i x="200" s="1" nd="1"/>
        <i x="155" s="1" nd="1"/>
        <i x="55" s="1" nd="1"/>
        <i x="547" s="1" nd="1"/>
        <i x="618" s="1" nd="1"/>
        <i x="99" s="1" nd="1"/>
        <i x="766" s="1" nd="1"/>
        <i x="125" s="1" nd="1"/>
        <i x="217" s="1" nd="1"/>
        <i x="811" s="1" nd="1"/>
        <i x="278" s="1" nd="1"/>
        <i x="107" s="1" nd="1"/>
        <i x="197" s="1" nd="1"/>
        <i x="213" s="1" nd="1"/>
        <i x="180" s="1" nd="1"/>
        <i x="73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6" s="1" nd="1"/>
        <i x="128" s="1" nd="1"/>
        <i x="4" s="1" nd="1"/>
        <i x="49" s="1" nd="1"/>
        <i x="90" s="1" nd="1"/>
        <i x="201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6" s="1" nd="1"/>
        <i x="17" s="1" nd="1"/>
        <i x="24" s="1" nd="1"/>
        <i x="5" s="1" nd="1"/>
        <i x="8" s="1" nd="1"/>
        <i x="10" s="1" nd="1"/>
        <i x="14" s="1" nd="1"/>
        <i x="20" s="1" nd="1"/>
        <i x="4" s="1" nd="1"/>
        <i x="23" s="1" nd="1"/>
        <i x="7" s="1" nd="1"/>
        <i x="22" s="1" nd="1"/>
        <i x="21" s="1" nd="1"/>
        <i x="13" s="1" nd="1"/>
        <i x="19" s="1" nd="1"/>
        <i x="3" s="1" nd="1"/>
        <i x="25" s="1" nd="1"/>
        <i x="12" s="1" nd="1"/>
        <i x="15" s="1" nd="1"/>
        <i x="11" s="1" nd="1"/>
        <i x="9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6" totalsRowShown="0" headerRowDxfId="92" dataDxfId="90" headerRowBorderDxfId="91" tableBorderDxfId="89" totalsRowBorderDxfId="88">
  <autoFilter ref="A1:D366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296952</v>
      </c>
      <c r="B2" s="12" t="s">
        <v>578</v>
      </c>
      <c r="C2" s="14">
        <v>46252</v>
      </c>
      <c r="D2" s="14">
        <v>46252</v>
      </c>
      <c r="E2" s="12"/>
      <c r="F2" s="15" t="s">
        <v>579</v>
      </c>
      <c r="G2" s="15" t="s">
        <v>580</v>
      </c>
      <c r="H2" s="15" t="s">
        <v>581</v>
      </c>
      <c r="I2" s="16">
        <v>756.72</v>
      </c>
      <c r="J2" s="15" t="s">
        <v>582</v>
      </c>
      <c r="K2" s="15" t="s">
        <v>583</v>
      </c>
      <c r="L2" s="15" t="s">
        <v>584</v>
      </c>
      <c r="M2" s="15">
        <v>84.89</v>
      </c>
      <c r="N2" s="15">
        <v>1</v>
      </c>
      <c r="O2" s="16">
        <v>12.6</v>
      </c>
      <c r="P2" s="15" t="s">
        <v>578</v>
      </c>
      <c r="Q2" s="15">
        <v>0</v>
      </c>
      <c r="R2" s="15" t="s">
        <v>585</v>
      </c>
      <c r="S2" s="15">
        <v>40</v>
      </c>
      <c r="T2" s="15" t="s">
        <v>586</v>
      </c>
      <c r="U2" s="15">
        <v>0</v>
      </c>
      <c r="V2" s="15">
        <v>10.19</v>
      </c>
      <c r="W2" s="15">
        <v>0</v>
      </c>
      <c r="X2" s="15">
        <v>0</v>
      </c>
      <c r="Y2" s="15">
        <v>0.38</v>
      </c>
      <c r="Z2" s="15">
        <v>0</v>
      </c>
      <c r="AA2" s="15">
        <v>91.35</v>
      </c>
      <c r="AB2" s="15">
        <v>-6.46</v>
      </c>
      <c r="AC2" s="15">
        <v>22.07</v>
      </c>
      <c r="AD2" s="15">
        <v>-28.53</v>
      </c>
      <c r="AE2" s="15">
        <v>0</v>
      </c>
      <c r="AF2" s="15">
        <v>-28.53</v>
      </c>
      <c r="AG2" s="17">
        <v>-0.33610000000000001</v>
      </c>
      <c r="AH2" s="15"/>
    </row>
    <row r="3" spans="1:34" s="1" customFormat="1" ht="12" customHeight="1" x14ac:dyDescent="0.3">
      <c r="A3" s="13">
        <v>297284</v>
      </c>
      <c r="B3" s="12" t="s">
        <v>578</v>
      </c>
      <c r="C3" s="14">
        <v>46253</v>
      </c>
      <c r="D3" s="14">
        <v>46253</v>
      </c>
      <c r="E3" s="12"/>
      <c r="F3" s="15" t="s">
        <v>587</v>
      </c>
      <c r="G3" s="15" t="s">
        <v>588</v>
      </c>
      <c r="H3" s="15" t="s">
        <v>589</v>
      </c>
      <c r="I3" s="16">
        <v>169839.58</v>
      </c>
      <c r="J3" s="15" t="s">
        <v>590</v>
      </c>
      <c r="K3" s="15" t="s">
        <v>583</v>
      </c>
      <c r="L3" s="15" t="s">
        <v>591</v>
      </c>
      <c r="M3" s="16">
        <v>9419.86</v>
      </c>
      <c r="N3" s="15">
        <v>6</v>
      </c>
      <c r="O3" s="16">
        <v>2119.5</v>
      </c>
      <c r="P3" s="15" t="s">
        <v>592</v>
      </c>
      <c r="Q3" s="15">
        <v>328.41</v>
      </c>
      <c r="R3" s="15" t="s">
        <v>593</v>
      </c>
      <c r="S3" s="15">
        <v>0</v>
      </c>
      <c r="T3" s="15" t="s">
        <v>586</v>
      </c>
      <c r="U3" s="15">
        <v>0</v>
      </c>
      <c r="V3" s="15">
        <v>659.39</v>
      </c>
      <c r="W3" s="15">
        <v>0</v>
      </c>
      <c r="X3" s="15">
        <v>0</v>
      </c>
      <c r="Y3" s="15">
        <v>84.92</v>
      </c>
      <c r="Z3" s="15">
        <v>0</v>
      </c>
      <c r="AA3" s="16">
        <v>7931.94</v>
      </c>
      <c r="AB3" s="16">
        <v>1487.92</v>
      </c>
      <c r="AC3" s="15">
        <v>2449.16</v>
      </c>
      <c r="AD3" s="15">
        <v>-961.24</v>
      </c>
      <c r="AE3" s="15">
        <v>0</v>
      </c>
      <c r="AF3" s="15">
        <v>-961.24</v>
      </c>
      <c r="AG3" s="17">
        <v>-0.10199999999999999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9504.75</v>
      </c>
      <c r="F3" s="93"/>
      <c r="G3" s="94"/>
      <c r="H3" s="95">
        <f>'Resumo Detalhado'!C2</f>
        <v>2132.1</v>
      </c>
      <c r="I3" s="96"/>
      <c r="J3" s="97">
        <f>E3/H3</f>
        <v>4.4579288025889969</v>
      </c>
      <c r="K3" s="98"/>
      <c r="L3" s="99"/>
      <c r="M3" s="138" t="s">
        <v>236</v>
      </c>
      <c r="N3" s="93"/>
      <c r="O3" s="94"/>
      <c r="P3" s="135">
        <v>3500</v>
      </c>
      <c r="Q3" s="136"/>
      <c r="R3" s="137"/>
      <c r="S3" s="103">
        <f>MIN(H3/P3,1)</f>
        <v>0.60917142857142859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7228.41</v>
      </c>
      <c r="F7" s="109"/>
      <c r="G7" s="109"/>
      <c r="H7" s="109"/>
      <c r="I7" s="109"/>
      <c r="J7" s="109">
        <f>E7/H3</f>
        <v>3.3902771915013368</v>
      </c>
      <c r="K7" s="109"/>
      <c r="L7" s="109"/>
      <c r="M7" s="110">
        <f>E7/E3</f>
        <v>0.76050501065256848</v>
      </c>
      <c r="N7" s="110"/>
      <c r="O7" s="110"/>
      <c r="P7" s="109">
        <f>E11+K11+Q11+E15+K15+Q15+E19+H19+K19</f>
        <v>10264.43</v>
      </c>
      <c r="Q7" s="109"/>
      <c r="R7" s="109"/>
      <c r="S7" s="109">
        <f>P7/H3</f>
        <v>4.8142347919891186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6900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6900</v>
      </c>
      <c r="L11" s="94"/>
      <c r="M11" s="38"/>
      <c r="N11" s="92">
        <f>K11/H3</f>
        <v>3.2362459546925568</v>
      </c>
      <c r="O11" s="94"/>
      <c r="P11" s="38"/>
      <c r="Q11" s="92">
        <f>'Resumo Detalhado'!D2</f>
        <v>328.41</v>
      </c>
      <c r="R11" s="94"/>
      <c r="S11" s="38"/>
      <c r="T11" s="92">
        <f>Q11/H3</f>
        <v>0.15403123680878009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669.58</v>
      </c>
      <c r="F15" s="113"/>
      <c r="G15" s="113"/>
      <c r="H15" s="113"/>
      <c r="I15" s="114"/>
      <c r="J15" s="38"/>
      <c r="K15" s="116">
        <f>'Resumo Detalhado'!K2+'Resumo Detalhado'!L2</f>
        <v>1520.7600000000002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85.3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760.38000000000011</v>
      </c>
      <c r="L19" s="108"/>
      <c r="M19" s="38"/>
      <c r="N19" s="112" t="s">
        <v>316</v>
      </c>
      <c r="O19" s="113"/>
      <c r="P19" s="113"/>
      <c r="Q19" s="113"/>
      <c r="R19" s="119"/>
      <c r="S19" s="112">
        <f>_xlfn.XLOOKUP(N19,Target!C:C,Target!D:D)</f>
        <v>7200</v>
      </c>
      <c r="T19" s="113"/>
      <c r="U19" s="119"/>
      <c r="V19" s="36"/>
      <c r="W19" s="126" t="str">
        <f>IF(D11=S19,"NO TARGET",IF(D11&lt;S19,"ABAIXO DO TARGET",IF(D11&gt;S19,"FORA DO TARGET")))</f>
        <v>ABAIXO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6860.7000000000007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0.72181803834924652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594</v>
      </c>
      <c r="F1" s="29"/>
    </row>
    <row r="2" spans="1:18" x14ac:dyDescent="0.3">
      <c r="B2" s="29">
        <f>SUM(B6:B5000)</f>
        <v>9504.75</v>
      </c>
      <c r="C2" s="29">
        <f>SUM(C6:C5000)</f>
        <v>2132.1</v>
      </c>
      <c r="D2" s="29">
        <f>SUM(D6:D5000)</f>
        <v>328.41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669.58</v>
      </c>
      <c r="I2" s="29">
        <f t="shared" si="0"/>
        <v>85.3</v>
      </c>
      <c r="J2" s="29">
        <f t="shared" si="0"/>
        <v>0</v>
      </c>
      <c r="K2" s="29">
        <f t="shared" si="0"/>
        <v>760.38000000000011</v>
      </c>
      <c r="L2" s="29">
        <f t="shared" si="0"/>
        <v>760.38000000000011</v>
      </c>
      <c r="M2" s="29">
        <f t="shared" si="0"/>
        <v>0</v>
      </c>
      <c r="N2" s="29">
        <f t="shared" si="0"/>
        <v>6860.7000000000007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297284</v>
      </c>
      <c r="B6" s="140">
        <v>9419.86</v>
      </c>
      <c r="C6" s="141">
        <v>2119.5</v>
      </c>
      <c r="D6" s="140">
        <v>328.41</v>
      </c>
      <c r="E6" s="140">
        <v>0</v>
      </c>
      <c r="F6" s="140">
        <v>0</v>
      </c>
      <c r="G6" s="142">
        <v>3.4863575467151318E-2</v>
      </c>
      <c r="H6" s="140">
        <v>659.39</v>
      </c>
      <c r="I6" s="140">
        <v>84.92</v>
      </c>
      <c r="J6" s="140">
        <v>0</v>
      </c>
      <c r="K6" s="140">
        <v>753.58880000000011</v>
      </c>
      <c r="L6" s="140">
        <v>753.58880000000011</v>
      </c>
      <c r="M6" s="140">
        <v>0</v>
      </c>
      <c r="N6" s="140">
        <v>6839.9624000000003</v>
      </c>
      <c r="O6" s="142">
        <v>0.72612144978800108</v>
      </c>
      <c r="Q6"/>
    </row>
    <row r="7" spans="1:18" s="31" customFormat="1" x14ac:dyDescent="0.3">
      <c r="A7" s="139" t="s">
        <v>580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296952</v>
      </c>
      <c r="B8" s="140">
        <v>84.89</v>
      </c>
      <c r="C8" s="141">
        <v>12.6</v>
      </c>
      <c r="D8" s="140">
        <v>0</v>
      </c>
      <c r="E8" s="140">
        <v>40</v>
      </c>
      <c r="F8" s="140">
        <v>0</v>
      </c>
      <c r="G8" s="142">
        <v>0.47119802096831193</v>
      </c>
      <c r="H8" s="140">
        <v>10.19</v>
      </c>
      <c r="I8" s="140">
        <v>0.38</v>
      </c>
      <c r="J8" s="140">
        <v>0</v>
      </c>
      <c r="K8" s="140">
        <v>6.7911999999999999</v>
      </c>
      <c r="L8" s="140">
        <v>6.7911999999999999</v>
      </c>
      <c r="M8" s="140">
        <v>0</v>
      </c>
      <c r="N8" s="140">
        <v>20.7376</v>
      </c>
      <c r="O8" s="142">
        <v>0.24428790199081163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109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594</v>
      </c>
    </row>
    <row r="2" spans="1:4" x14ac:dyDescent="0.3">
      <c r="B2" s="29">
        <f>SUM(B6:B5000)</f>
        <v>84.89</v>
      </c>
      <c r="C2" s="29">
        <f>SUM(C6:C5000)</f>
        <v>20.7376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588</v>
      </c>
      <c r="B5" s="10">
        <v>9419.86</v>
      </c>
      <c r="C5" s="10">
        <v>6839.9624000000003</v>
      </c>
    </row>
    <row r="6" spans="1:4" x14ac:dyDescent="0.3">
      <c r="A6" s="139" t="s">
        <v>580</v>
      </c>
      <c r="B6" s="140">
        <v>84.89</v>
      </c>
      <c r="C6" s="140">
        <v>20.7376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6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2026-08-24T12:42:15Z</dcterms:modified>
  <cp:category/>
  <cp:contentStatus/>
</cp:coreProperties>
</file>