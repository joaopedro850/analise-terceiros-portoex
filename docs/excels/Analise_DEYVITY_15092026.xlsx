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8A927DD-6EA0-4CDD-9B87-411FBF4953B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<sst xmlns="http://schemas.openxmlformats.org/spreadsheetml/2006/main" count="863" uniqueCount="595">
  <si>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</si>
  <si>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</si>
  <si>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</si>
  <si>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</si>
  <si>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</si>
  <si>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</si>
  <si>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</si>
  <si>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</si>
  <si>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</si>
  <si>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</si>
  <si>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</si>
  <si>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</si>
  <si>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</si>
  <si>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</si>
  <si>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</si>
  <si>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</si>
  <si>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</si>
  <si>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</si>
  <si>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</si>
  <si>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</si>
  <si>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</si>
  <si>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</si>
  <si>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</si>
  <si>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</si>
  <si>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</si>
  <si>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</si>
  <si>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</si>
  <si>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</si>
  <si>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</si>
  <si>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</si>
  <si>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</si>
  <si>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</si>
  <si>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</si>
  <si>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</si>
  <si>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</si>
  <si>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</si>
  <si>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</si>
  <si>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</si>
  <si>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</si>
  <si>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</si>
  <si>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</si>
  <si>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</si>
  <si>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</si>
  <si>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</si>
  <si>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</si>
  <si>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</si>
  <si>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</si>
  <si>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</si>
  <si>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</si>
  <si>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</si>
  <si>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</si>
  <si>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</si>
  <si>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</si>
  <si>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</si>
  <si>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</si>
  <si>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</si>
  <si>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</si>
  <si>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</si>
  <si>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</si>
  <si>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</si>
  <si>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</si>
  <si>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</si>
  <si>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</si>
  <si>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</si>
  <si>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</si>
  <si>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</si>
  <si>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</si>
  <si>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</si>
  <si>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</si>
  <si>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</si>
  <si>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</si>
  <si>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</si>
  <si>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</si>
  <si>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</si>
  <si>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</si>
  <si>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</si>
  <si>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</si>
  <si>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</si>
  <si>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</si>
  <si>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</si>
  <si>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</si>
  <si>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</si>
  <si>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</si>
  <si>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</si>
  <si>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</si>
  <si>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</si>
  <si>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</si>
  <si>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</si>
  <si>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</si>
  <si>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</si>
  <si>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</si>
  <si>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</si>
  <si>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</si>
  <si>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</si>
  <si>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</si>
  <si>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</si>
  <si>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</si>
  <si>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</si>
  <si>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</si>
  <si>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</si>
  <si>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</si>
  <si>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</si>
  <si>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</si>
  <si>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</si>
  <si>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</si>
  <si>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</si>
  <si>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</si>
  <si>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</si>
  <si>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</si>
  <si>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</si>
  <si>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</si>
  <si>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</si>
  <si>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</si>
  <si>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</si>
  <si>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</si>
  <si>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</si>
  <si>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</si>
  <si>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</si>
  <si>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</si>
  <si>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</si>
  <si>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</si>
  <si>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</si>
  <si>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</si>
  <si>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</si>
  <si>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</si>
  <si>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</si>
  <si>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</si>
  <si>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</si>
  <si>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</si>
  <si>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</si>
  <si>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</si>
  <si>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</si>
  <si>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</si>
  <si>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</si>
  <si>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</si>
  <si>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</si>
  <si>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</si>
  <si>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</si>
  <si>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</si>
  <si>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</si>
  <si>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</si>
  <si>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</si>
  <si>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</si>
  <si>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</si>
  <si>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</si>
  <si>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</si>
  <si>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</si>
  <si>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</si>
  <si>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</si>
  <si>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</si>
  <si>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</si>
  <si>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</si>
  <si>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</si>
  <si>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</si>
  <si>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</si>
  <si>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</si>
  <si>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</si>
  <si>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</si>
  <si>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</si>
  <si>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</si>
  <si>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</si>
  <si>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</si>
  <si>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</si>
  <si>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</si>
  <si>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</si>
  <si>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</si>
  <si>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</si>
  <si>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</si>
  <si>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</si>
  <si>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</si>
  <si>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</si>
  <si>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</si>
  <si>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</si>
  <si>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</si>
  <si>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</si>
  <si>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</si>
  <si>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</si>
  <si>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</si>
  <si>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</si>
  <si>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</si>
  <si>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</si>
  <si>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</si>
  <si>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</si>
  <si>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</si>
  <si>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</si>
  <si>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</si>
  <si>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</si>
  <si>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</si>
  <si>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</si>
  <si>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</si>
  <si>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</si>
  <si>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</si>
  <si>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</si>
  <si>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</si>
  <si>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</si>
  <si>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</si>
  <si>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</si>
  <si>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</si>
  <si>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</si>
  <si>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</si>
  <si>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</si>
  <si>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</si>
  <si>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</si>
  <si>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</si>
  <si>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</si>
  <si>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</si>
  <si>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</si>
  <si>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</si>
  <si>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</si>
  <si>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</si>
  <si>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</si>
  <si>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</si>
  <si>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</si>
  <si>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</si>
  <si>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</si>
  <si>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</si>
  <si>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</si>
  <si>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</si>
  <si>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</si>
  <si>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</si>
  <si>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</si>
  <si>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</si>
  <si>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</si>
  <si>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</si>
  <si>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</si>
  <si>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</si>
  <si>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</si>
  <si>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</si>
  <si>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</si>
  <si>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</si>
  <si>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</si>
  <si>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</si>
  <si>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</si>
  <si>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</si>
  <si>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</si>
  <si>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</si>
  <si>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</si>
  <si>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</si>
  <si>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</si>
  <si>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</si>
  <si>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</si>
  <si>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</si>
  <si>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</si>
  <si>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</si>
  <si>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</si>
  <si>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</si>
  <si>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</si>
  <si>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</si>
  <si>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</si>
  <si>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</si>
  <si>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</si>
  <si>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</si>
  <si>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</si>
  <si>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</si>
  <si>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</si>
  <si>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</si>
  <si>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</si>
  <si>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</si>
  <si>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</si>
  <si>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</si>
  <si>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</si>
  <si>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</si>
  <si>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</si>
  <si>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</si>
  <si>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</si>
  <si>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</si>
  <si>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</si>
  <si>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</si>
  <si>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</si>
  <si>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</si>
  <si>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</si>
  <si>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</si>
  <si>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</si>
  <si>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</si>
  <si>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</si>
  <si>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</si>
  <si>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</si>
  <si>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</si>
  <si>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</si>
  <si>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</si>
  <si>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</si>
  <si>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</si>
  <si>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</si>
  <si>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</si>
  <si>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</si>
  <si>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</si>
  <si>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</si>
  <si>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</si>
  <si>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</si>
  <si>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</si>
  <si>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</si>
  <si>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</si>
  <si>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</si>
  <si>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</si>
  <si>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</si>
  <si>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</si>
  <si>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</si>
  <si>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</si>
  <si>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</si>
  <si>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</si>
  <si>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</si>
  <si>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</si>
  <si>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</si>
  <si>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</si>
  <si>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</si>
  <si>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</si>
  <si>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</si>
  <si>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</si>
  <si>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</si>
  <si>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</si>
  <si>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</si>
  <si>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</si>
  <si>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</si>
  <si>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</si>
  <si>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</si>
  <si>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</si>
  <si>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</si>
  <si>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</si>
  <si>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</si>
  <si>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</si>
  <si>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</si>
  <si>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</si>
  <si>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</si>
  <si>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</si>
  <si>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</si>
  <si>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</si>
  <si>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</si>
  <si>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</si>
  <si>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</si>
  <si>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</si>
  <si>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</si>
  <si>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</si>
  <si>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</si>
  <si>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</si>
  <si>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</si>
  <si>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</si>
  <si>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</si>
  <si>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</si>
  <si>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</si>
  <si>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</si>
  <si>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</si>
  <si>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</si>
  <si>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</si>
  <si>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</si>
  <si>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</si>
  <si>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</si>
  <si>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</si>
  <si>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</si>
  <si>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</si>
  <si>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</si>
  <si>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</si>
  <si>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</si>
  <si>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</si>
  <si>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</si>
  <si>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</si>
  <si>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</si>
  <si>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</si>
  <si>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</si>
  <si>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</si>
  <si>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</si>
  <si>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</si>
  <si>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</si>
  <si>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</si>
  <si>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</si>
  <si>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</si>
  <si>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</si>
  <si>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</si>
  <si>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</si>
  <si>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</si>
  <si>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</si>
  <si>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</si>
  <si>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</si>
  <si>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</si>
  <si>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</si>
  <si>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</si>
  <si>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</si>
  <si>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</si>
  <si>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</si>
  <si>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</si>
  <si>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</si>
  <si>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</si>
  <si>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</si>
  <si>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</si>
  <si>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</si>
  <si>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</si>
  <si>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</si>
  <si>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</si>
  <si>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</si>
  <si>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</si>
  <si>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</si>
  <si>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</si>
  <si>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</si>
  <si>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</si>
  <si>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</si>
  <si>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</si>
  <si>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</si>
  <si>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</si>
  <si>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</si>
  <si>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</si>
  <si>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</si>
  <si>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</si>
  <si>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</si>
  <si>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</si>
  <si>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</si>
  <si>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</si>
  <si>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</si>
  <si>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</si>
  <si>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</si>
  <si>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</si>
  <si>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</si>
  <si>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</si>
  <si>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</si>
  <si>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</si>
  <si>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</si>
  <si>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</si>
  <si>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</si>
  <si>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</si>
  <si>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</si>
  <si>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</si>
  <si>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</si>
  <si>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</si>
  <si>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</si>
  <si>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</si>
  <si>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</si>
  <si>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</si>
  <si>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</si>
  <si>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</si>
  <si>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</si>
  <si>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</si>
  <si>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</si>
  <si>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</si>
  <si>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</si>
  <si>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</si>
  <si>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</si>
  <si>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</si>
  <si>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</si>
  <si>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</si>
  <si>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</si>
  <si>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</si>
  <si>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</si>
  <si>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</si>
  <si>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</si>
  <si>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</si>
  <si>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</si>
  <si>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</si>
  <si>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</si>
  <si>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</si>
  <si>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</si>
  <si>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</si>
  <si>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</si>
  <si>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</si>
  <si>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</si>
  <si>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</si>
  <si>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</si>
  <si>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</si>
  <si>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</si>
  <si>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</si>
  <si>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</si>
  <si>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</si>
  <si>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</si>
  <si>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</si>
  <si>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</si>
  <si>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</si>
  <si>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</si>
  <si>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</si>
  <si>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</si>
  <si>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</si>
  <si>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</si>
  <si>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</si>
  <si>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</si>
  <si>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</si>
  <si>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</si>
  <si>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</si>
  <si>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</si>
  <si>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</si>
  <si>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</si>
  <si>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</si>
  <si>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</si>
  <si>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</si>
  <si>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</si>
  <si>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</si>
  <si>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</si>
  <si>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</si>
  <si>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</si>
  <si>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</si>
  <si>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</si>
  <si>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</si>
  <si>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</si>
  <si>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</si>
  <si>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</si>
  <si>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</si>
  <si>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</si>
  <si>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</si>
  <si>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</si>
  <si>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</si>
  <si>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</si>
  <si>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</si>
  <si>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</si>
  <si>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</si>
  <si>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</si>
  <si>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</si>
  <si>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</si>
  <si>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</si>
  <si>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</si>
  <si>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</si>
  <si>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</si>
  <si>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</si>
  <si>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</si>
  <si>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</si>
  <si>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</si>
  <si>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</si>
  <si>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</si>
  <si>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</si>
  <si>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</si>
  <si>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</si>
  <si>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</si>
  <si>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</si>
  <si>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</si>
  <si>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</si>
  <si>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</si>
  <si>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</si>
  <si>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</si>
  <si>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</si>
  <si>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</si>
  <si>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</si>
  <si>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</si>
  <si>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</si>
  <si>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</si>
  <si>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</si>
  <si>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</si>
  <si>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</si>
  <si>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</si>
  <si>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</si>
  <si>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</si>
  <si>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</si>
  <si>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</si>
  <si>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</si>
  <si>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</si>
  <si>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</si>
  <si>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</si>
  <si>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</si>
  <si>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</si>
  <si>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</si>
  <si>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</si>
  <si>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</si>
  <si>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</si>
  <si>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</si>
  <si>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</si>
  <si>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</si>
  <si>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</si>
  <si>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</si>
  <si>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</si>
  <si>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</si>
  <si>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</si>
  <si>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</si>
  <si>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</si>
  <si>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</si>
  <si>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</si>
  <si>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</si>
  <si>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</si>
  <si>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</si>
  <si>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</si>
  <si>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</si>
  <si>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</si>
  <si>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</si>
  <si>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</si>
  <si>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</si>
  <si>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</si>
  <si>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</si>
  <si>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</si>
  <si>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</si>
  <si>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</si>
  <si>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</si>
  <si>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</si>
  <si>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</si>
  <si>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</si>
  <si>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</si>
  <si>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</si>
  <si>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</si>
  <si>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</si>
  <si>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</si>
  <si>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</si>
  <si>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</si>
  <si>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</si>
  <si>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</si>
  <si>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3049-1</t>
  </si>
  <si>
    <t>AC COMERCIAL IM</t>
  </si>
  <si>
    <t>TIAGO SANTANA</t>
  </si>
  <si>
    <t>PERSONALIZADO</t>
  </si>
  <si>
    <t>CTE NORMAL</t>
  </si>
  <si>
    <t>RIO DE JANEIRO - RJ</t>
  </si>
  <si>
    <t>DEYVITY MARCELO AUGUSTYNC</t>
  </si>
  <si>
    <t>INDEFINIDO</t>
  </si>
  <si>
    <t>Navegantes-Sc X Rio de Janeiro-Rjcarreta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</si>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</sst>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[Analise_DEYVITY_15092026.xlsx]Resumo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14407.72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1747.8623999999991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[Analise_DEYVITY_15092026.xlsx]Resumo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14407.72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1747.8623999999991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08854166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4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6T00:00:00"/>
    </cacheField>
    <cacheField name="DATA" numFmtId="14">
      <sharedItems containsNonDate="0" containsDate="1" containsString="0" containsBlank="1" minDate="2026-09-15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78795.98" maxValue="378795.98"/>
    </cacheField>
    <cacheField name="SERVICO" numFmtId="0">
      <sharedItems containsBlank="1" count="27"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407.72" maxValue="14407.72"/>
    </cacheField>
    <cacheField name="VOLUMES" numFmtId="0">
      <sharedItems containsString="0" containsBlank="1" containsNumber="1" containsInteger="1" minValue="20" maxValue="20"/>
    </cacheField>
    <cacheField name="PESO" numFmtId="0">
      <sharedItems containsString="0" containsBlank="1" containsNumber="1" containsInteger="1" minValue="7122" maxValue="712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9500" maxValue="95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28.93" maxValue="1728.9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51.52000000000001" maxValue="151.5200000000000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380.45" maxValue="11380.45"/>
    </cacheField>
    <cacheField name="RECEITA" numFmtId="0">
      <sharedItems containsString="0" containsBlank="1" containsNumber="1" minValue="3027.27" maxValue="3027.27"/>
    </cacheField>
    <cacheField name="IMPOSTO" numFmtId="0">
      <sharedItems containsString="0" containsBlank="1" containsNumber="1" minValue="2305.2399999999998" maxValue="2305.2399999999998"/>
    </cacheField>
    <cacheField name="RESULTADO" numFmtId="0">
      <sharedItems containsString="0" containsBlank="1" containsNumber="1" minValue="722.03" maxValue="722.03"/>
    </cacheField>
    <cacheField name="COMIS" numFmtId="0">
      <sharedItems containsString="0" containsBlank="1" containsNumber="1" minValue="126.79" maxValue="126.79"/>
    </cacheField>
    <cacheField name="LUCRO LIQ" numFmtId="0">
      <sharedItems containsString="0" containsBlank="1" containsNumber="1" minValue="595.24" maxValue="595.24"/>
    </cacheField>
    <cacheField name="MARGEM" numFmtId="10">
      <sharedItems containsString="0" containsBlank="1" containsNumber="1" minValue="4.1299999999999996E-2" maxValue="4.1299999999999996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5T00:00:00"/>
    <d v="2026-09-15T00:00:00"/>
    <m/>
    <s v="3049-1"/>
    <x v="0"/>
    <s v="TIAGO SANTANA"/>
    <n v="378795.98"/>
    <x v="0"/>
    <s v="CTE NORMAL"/>
    <s v="RIO DE JANEIRO - RJ"/>
    <n v="14407.72"/>
    <n v="20"/>
    <n v="7122"/>
    <s v="MATRIZ"/>
    <n v="0"/>
    <s v="DEYVITY MARCELO AUGUSTYNC"/>
    <n v="9500"/>
    <s v="INDEFINIDO"/>
    <n v="0"/>
    <n v="1728.93"/>
    <n v="0"/>
    <n v="0"/>
    <n v="151.52000000000001"/>
    <n v="0"/>
    <n v="11380.45"/>
    <n v="3027.27"/>
    <n v="2305.2399999999998"/>
    <n v="722.03"/>
    <n v="126.79"/>
    <n v="595.24"/>
    <n v="4.1299999999999996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7" s="1" nd="1"/>
        <i x="20" s="1" nd="1"/>
        <i x="2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3" totalsRowShown="0" headerRowDxfId="92" dataDxfId="90" headerRowBorderDxfId="91" tableBorderDxfId="89" totalsRowBorderDxfId="88">
  <autoFilter ref="A1:D373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3149</v>
      </c>
      <c r="B2" s="12" t="s">
        <v>584</v>
      </c>
      <c r="C2" s="14">
        <v>46280</v>
      </c>
      <c r="D2" s="14">
        <v>46280</v>
      </c>
      <c r="E2" s="12"/>
      <c r="F2" s="15" t="s">
        <v>585</v>
      </c>
      <c r="G2" s="15" t="s">
        <v>586</v>
      </c>
      <c r="H2" s="15" t="s">
        <v>587</v>
      </c>
      <c r="I2" s="16">
        <v>378795.98</v>
      </c>
      <c r="J2" s="15" t="s">
        <v>588</v>
      </c>
      <c r="K2" s="15" t="s">
        <v>589</v>
      </c>
      <c r="L2" s="15" t="s">
        <v>590</v>
      </c>
      <c r="M2" s="15">
        <v>14407.72</v>
      </c>
      <c r="N2" s="15">
        <v>20</v>
      </c>
      <c r="O2" s="16">
        <v>7122</v>
      </c>
      <c r="P2" s="15" t="s">
        <v>584</v>
      </c>
      <c r="Q2" s="15">
        <v>0</v>
      </c>
      <c r="R2" s="15" t="s">
        <v>591</v>
      </c>
      <c r="S2" s="15">
        <v>9500</v>
      </c>
      <c r="T2" s="15" t="s">
        <v>592</v>
      </c>
      <c r="U2" s="15">
        <v>0</v>
      </c>
      <c r="V2" s="15">
        <v>1728.93</v>
      </c>
      <c r="W2" s="15">
        <v>0</v>
      </c>
      <c r="X2" s="15">
        <v>0</v>
      </c>
      <c r="Y2" s="15">
        <v>151.52000000000001</v>
      </c>
      <c r="Z2" s="15">
        <v>0</v>
      </c>
      <c r="AA2" s="15">
        <v>11380.45</v>
      </c>
      <c r="AB2" s="15">
        <v>3027.27</v>
      </c>
      <c r="AC2" s="15">
        <v>2305.2399999999998</v>
      </c>
      <c r="AD2" s="15">
        <v>722.03</v>
      </c>
      <c r="AE2" s="15">
        <v>126.79</v>
      </c>
      <c r="AF2" s="15">
        <v>595.24</v>
      </c>
      <c r="AG2" s="17">
        <v>4.1299999999999996E-2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14407.72</v>
      </c>
      <c r="F3" s="89"/>
      <c r="G3" s="90"/>
      <c r="H3" s="133">
        <f>'Resumo Detalhado'!C2</f>
        <v>7122</v>
      </c>
      <c r="I3" s="134"/>
      <c r="J3" s="135">
        <f>E3/H3</f>
        <v>2.0229879247402414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0.32372727272727275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9500</v>
      </c>
      <c r="F7" s="112"/>
      <c r="G7" s="112"/>
      <c r="H7" s="112"/>
      <c r="I7" s="112"/>
      <c r="J7" s="112">
        <f>E7/H3</f>
        <v>1.3338949733221006</v>
      </c>
      <c r="K7" s="112"/>
      <c r="L7" s="112"/>
      <c r="M7" s="130">
        <f>E7/E3</f>
        <v>0.65936872732118612</v>
      </c>
      <c r="N7" s="130"/>
      <c r="O7" s="130"/>
      <c r="P7" s="112">
        <f>E11+K11+Q11+E15+K15+Q15+E19+H19+K19</f>
        <v>14838.302799999999</v>
      </c>
      <c r="Q7" s="112"/>
      <c r="R7" s="112"/>
      <c r="S7" s="112">
        <f>P7/H3</f>
        <v>2.0834460544790789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9500</v>
      </c>
      <c r="L11" s="90"/>
      <c r="M11" s="38"/>
      <c r="N11" s="88">
        <f>K11/H3</f>
        <v>1.3338949733221006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1728.93</v>
      </c>
      <c r="F15" s="119"/>
      <c r="G15" s="119"/>
      <c r="H15" s="119"/>
      <c r="I15" s="132"/>
      <c r="J15" s="38"/>
      <c r="K15" s="113">
        <f>'Resumo Detalhado'!K2+'Resumo Detalhado'!L2</f>
        <v>2305.2352000000001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151.52000000000001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1152.6176</v>
      </c>
      <c r="L19" s="123"/>
      <c r="M19" s="38"/>
      <c r="N19" s="121" t="s">
        <v>593</v>
      </c>
      <c r="O19" s="119"/>
      <c r="P19" s="119"/>
      <c r="Q19" s="119"/>
      <c r="R19" s="120"/>
      <c r="S19" s="121">
        <v>9500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1747.8623999999991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0.1213142953916372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594</v>
      </c>
      <c r="F1" s="29"/>
    </row>
    <row r="2" spans="1:18" x14ac:dyDescent="0.3">
      <c r="B2" s="29">
        <f>SUM(B6:B5000)</f>
        <v>14407.72</v>
      </c>
      <c r="C2" s="29">
        <f>SUM(C6:C5000)</f>
        <v>7122</v>
      </c>
      <c r="D2" s="29">
        <f>SUM(D6:D5000)</f>
        <v>0</v>
      </c>
      <c r="E2" s="29">
        <f>SUM(E6:E5000)</f>
        <v>9500</v>
      </c>
      <c r="F2" s="29">
        <f>SUM(F6:F5000)</f>
        <v>0</v>
      </c>
      <c r="G2" s="29"/>
      <c r="H2" s="29">
        <f t="shared" ref="H2:P2" si="0">SUM(H6:H5000)</f>
        <v>1728.93</v>
      </c>
      <c r="I2" s="29">
        <f t="shared" si="0"/>
        <v>151.52000000000001</v>
      </c>
      <c r="J2" s="29">
        <f t="shared" si="0"/>
        <v>0</v>
      </c>
      <c r="K2" s="29">
        <f t="shared" si="0"/>
        <v>1152.6176</v>
      </c>
      <c r="L2" s="29">
        <f t="shared" si="0"/>
        <v>1152.6176</v>
      </c>
      <c r="M2" s="29">
        <f t="shared" si="0"/>
        <v>126.79</v>
      </c>
      <c r="N2" s="29">
        <f t="shared" si="0"/>
        <v>1747.8623999999991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3149</v>
      </c>
      <c r="B6" s="140">
        <v>14407.72</v>
      </c>
      <c r="C6" s="141">
        <v>7122</v>
      </c>
      <c r="D6" s="140">
        <v>0</v>
      </c>
      <c r="E6" s="140">
        <v>9500</v>
      </c>
      <c r="F6" s="140">
        <v>0</v>
      </c>
      <c r="G6" s="142">
        <v>0.65936872732118612</v>
      </c>
      <c r="H6" s="140">
        <v>1728.93</v>
      </c>
      <c r="I6" s="140">
        <v>151.52000000000001</v>
      </c>
      <c r="J6" s="140">
        <v>0</v>
      </c>
      <c r="K6" s="140">
        <v>1152.6176</v>
      </c>
      <c r="L6" s="140">
        <v>1152.6176</v>
      </c>
      <c r="M6" s="140">
        <v>126.79</v>
      </c>
      <c r="N6" s="140">
        <v>1747.8623999999991</v>
      </c>
      <c r="O6" s="142">
        <v>0.1213142953916372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594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586</v>
      </c>
      <c r="B5" s="10">
        <v>14407.72</v>
      </c>
      <c r="C5" s="10">
        <v>1747.8623999999991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3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/>
      <c r="B373" s="68"/>
      <c r="C373" s="143" t="s">
        <v>593</v>
      </c>
      <c r="D373" s="87">
        <v>9500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2026-09-18T14:01:15Z</dcterms:modified>
  <cp:category/>
  <cp:contentStatus/>
</cp:coreProperties>
</file>