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3F4C059-9643-49CF-ACCF-E54876E7F83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<sst xmlns="http://schemas.openxmlformats.org/spreadsheetml/2006/main" count="914" uniqueCount="632">
  <si>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</si>
  <si>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</si>
  <si>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</si>
  <si>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</si>
  <si>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</si>
  <si>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</si>
  <si>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</si>
  <si>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</si>
  <si>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</si>
  <si>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</si>
  <si>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</si>
  <si>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</si>
  <si>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</si>
  <si>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</si>
  <si>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</si>
  <si>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</si>
  <si>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</si>
  <si>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</si>
  <si>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</si>
  <si>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</si>
  <si>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</si>
  <si>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</si>
  <si>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</si>
  <si>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</si>
  <si>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</si>
  <si>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</si>
  <si>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</si>
  <si>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</si>
  <si>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</si>
  <si>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</si>
  <si>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</si>
  <si>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</si>
  <si>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</si>
  <si>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</si>
  <si>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</si>
  <si>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</si>
  <si>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</si>
  <si>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</si>
  <si>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</si>
  <si>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</si>
  <si>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</si>
  <si>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</si>
  <si>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</si>
  <si>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</si>
  <si>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</si>
  <si>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</si>
  <si>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</si>
  <si>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</si>
  <si>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</si>
  <si>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</si>
  <si>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</si>
  <si>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</si>
  <si>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</si>
  <si>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</si>
  <si>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</si>
  <si>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</si>
  <si>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</si>
  <si>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</si>
  <si>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</si>
  <si>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</si>
  <si>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</si>
  <si>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</si>
  <si>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</si>
  <si>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</si>
  <si>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</si>
  <si>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</si>
  <si>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</si>
  <si>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</si>
  <si>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</si>
  <si>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</si>
  <si>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</si>
  <si>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</si>
  <si>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</si>
  <si>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</si>
  <si>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</si>
  <si>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</si>
  <si>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</si>
  <si>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</si>
  <si>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</si>
  <si>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</si>
  <si>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</si>
  <si>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</si>
  <si>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</si>
  <si>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</si>
  <si>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</si>
  <si>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</si>
  <si>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</si>
  <si>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</si>
  <si>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</si>
  <si>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</si>
  <si>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</si>
  <si>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</si>
  <si>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</si>
  <si>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</si>
  <si>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</si>
  <si>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</si>
  <si>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</si>
  <si>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</si>
  <si>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</si>
  <si>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</si>
  <si>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</si>
  <si>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</si>
  <si>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</si>
  <si>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</si>
  <si>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</si>
  <si>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</si>
  <si>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</si>
  <si>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</si>
  <si>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</si>
  <si>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</si>
  <si>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</si>
  <si>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</si>
  <si>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</si>
  <si>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</si>
  <si>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</si>
  <si>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</si>
  <si>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</si>
  <si>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</si>
  <si>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</si>
  <si>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</si>
  <si>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</si>
  <si>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</si>
  <si>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</si>
  <si>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</si>
  <si>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</si>
  <si>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</si>
  <si>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</si>
  <si>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</si>
  <si>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</si>
  <si>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</si>
  <si>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</si>
  <si>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</si>
  <si>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</si>
  <si>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</si>
  <si>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</si>
  <si>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</si>
  <si>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</si>
  <si>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</si>
  <si>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</si>
  <si>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</si>
  <si>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</si>
  <si>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</si>
  <si>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</si>
  <si>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</si>
  <si>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</si>
  <si>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</si>
  <si>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</si>
  <si>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</si>
  <si>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</si>
  <si>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</si>
  <si>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</si>
  <si>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</si>
  <si>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</si>
  <si>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</si>
  <si>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</si>
  <si>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</si>
  <si>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</si>
  <si>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</si>
  <si>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</si>
  <si>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</si>
  <si>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</si>
  <si>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</si>
  <si>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</si>
  <si>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</si>
  <si>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</si>
  <si>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</si>
  <si>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</si>
  <si>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</si>
  <si>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</si>
  <si>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</si>
  <si>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</si>
  <si>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</si>
  <si>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</si>
  <si>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</si>
  <si>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</si>
  <si>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</si>
  <si>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</si>
  <si>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</si>
  <si>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</si>
  <si>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</si>
  <si>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</si>
  <si>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</si>
  <si>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</si>
  <si>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</si>
  <si>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</si>
  <si>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</si>
  <si>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</si>
  <si>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</si>
  <si>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</si>
  <si>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</si>
  <si>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</si>
  <si>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</si>
  <si>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</si>
  <si>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</si>
  <si>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</si>
  <si>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</si>
  <si>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</si>
  <si>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</si>
  <si>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</si>
  <si>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</si>
  <si>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</si>
  <si>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</si>
  <si>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</si>
  <si>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</si>
  <si>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</si>
  <si>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</si>
  <si>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</si>
  <si>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</si>
  <si>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</si>
  <si>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</si>
  <si>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</si>
  <si>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</si>
  <si>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</si>
  <si>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</si>
  <si>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</si>
  <si>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</si>
  <si>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</si>
  <si>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</si>
  <si>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</si>
  <si>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</si>
  <si>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</si>
  <si>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</si>
  <si>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</si>
  <si>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</si>
  <si>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</si>
  <si>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</si>
  <si>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</si>
  <si>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</si>
  <si>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</si>
  <si>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</si>
  <si>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</si>
  <si>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</si>
  <si>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</si>
  <si>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</si>
  <si>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</si>
  <si>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</si>
  <si>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</si>
  <si>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</si>
  <si>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</si>
  <si>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</si>
  <si>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</si>
  <si>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</si>
  <si>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</si>
  <si>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</si>
  <si>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</si>
  <si>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</si>
  <si>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</si>
  <si>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</si>
  <si>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</si>
  <si>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</si>
  <si>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</si>
  <si>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</si>
  <si>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</si>
  <si>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</si>
  <si>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</si>
  <si>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</si>
  <si>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</si>
  <si>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</si>
  <si>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</si>
  <si>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</si>
  <si>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</si>
  <si>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</si>
  <si>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</si>
  <si>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</si>
  <si>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</si>
  <si>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</si>
  <si>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</si>
  <si>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</si>
  <si>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</si>
  <si>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</si>
  <si>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</si>
  <si>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</si>
  <si>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</si>
  <si>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</si>
  <si>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</si>
  <si>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</si>
  <si>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</si>
  <si>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</si>
  <si>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</si>
  <si>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</si>
  <si>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</si>
  <si>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</si>
  <si>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</si>
  <si>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</si>
  <si>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</si>
  <si>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</si>
  <si>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</si>
  <si>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</si>
  <si>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</si>
  <si>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</si>
  <si>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</si>
  <si>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</si>
  <si>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</si>
  <si>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</si>
  <si>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</si>
  <si>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</si>
  <si>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</si>
  <si>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</si>
  <si>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</si>
  <si>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</si>
  <si>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</si>
  <si>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</si>
  <si>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</si>
  <si>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</si>
  <si>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</si>
  <si>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</si>
  <si>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</si>
  <si>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</si>
  <si>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</si>
  <si>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</si>
  <si>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</si>
  <si>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</si>
  <si>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</si>
  <si>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</si>
  <si>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</si>
  <si>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</si>
  <si>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</si>
  <si>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</si>
  <si>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</si>
  <si>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</si>
  <si>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</si>
  <si>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</si>
  <si>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</si>
  <si>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</si>
  <si>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</si>
  <si>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</si>
  <si>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</si>
  <si>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</si>
  <si>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</si>
  <si>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</si>
  <si>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</si>
  <si>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</si>
  <si>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</si>
  <si>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</si>
  <si>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</si>
  <si>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</si>
  <si>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</si>
  <si>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</si>
  <si>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</si>
  <si>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</si>
  <si>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</si>
  <si>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</si>
  <si>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</si>
  <si>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</si>
  <si>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</si>
  <si>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</si>
  <si>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</si>
  <si>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</si>
  <si>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</si>
  <si>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</si>
  <si>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</si>
  <si>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</si>
  <si>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</si>
  <si>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</si>
  <si>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</si>
  <si>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</si>
  <si>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</si>
  <si>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</si>
  <si>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</si>
  <si>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</si>
  <si>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</si>
  <si>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</si>
  <si>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</si>
  <si>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</si>
  <si>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</si>
  <si>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</si>
  <si>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</si>
  <si>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</si>
  <si>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</si>
  <si>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</si>
  <si>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</si>
  <si>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</si>
  <si>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</si>
  <si>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</si>
  <si>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</si>
  <si>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</si>
  <si>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</si>
  <si>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</si>
  <si>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</si>
  <si>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</si>
  <si>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</si>
  <si>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</si>
  <si>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</si>
  <si>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</si>
  <si>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</si>
  <si>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</si>
  <si>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</si>
  <si>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</si>
  <si>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</si>
  <si>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</si>
  <si>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</si>
  <si>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</si>
  <si>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</si>
  <si>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</si>
  <si>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</si>
  <si>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</si>
  <si>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</si>
  <si>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</si>
  <si>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</si>
  <si>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</si>
  <si>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</si>
  <si>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</si>
  <si>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</si>
  <si>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</si>
  <si>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</si>
  <si>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</si>
  <si>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</si>
  <si>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</si>
  <si>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</si>
  <si>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</si>
  <si>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</si>
  <si>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</si>
  <si>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</si>
  <si>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</si>
  <si>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</si>
  <si>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</si>
  <si>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</si>
  <si>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</si>
  <si>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</si>
  <si>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</si>
  <si>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</si>
  <si>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</si>
  <si>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</si>
  <si>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</si>
  <si>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</si>
  <si>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</si>
  <si>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</si>
  <si>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</si>
  <si>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</si>
  <si>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</si>
  <si>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</si>
  <si>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</si>
  <si>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</si>
  <si>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</si>
  <si>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</si>
  <si>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</si>
  <si>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</si>
  <si>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</si>
  <si>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</si>
  <si>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</si>
  <si>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</si>
  <si>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</si>
  <si>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</si>
  <si>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</si>
  <si>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</si>
  <si>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</si>
  <si>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</si>
  <si>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</si>
  <si>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</si>
  <si>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</si>
  <si>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</si>
  <si>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</si>
  <si>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</si>
  <si>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</si>
  <si>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</si>
  <si>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</si>
  <si>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</si>
  <si>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</si>
  <si>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</si>
  <si>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</si>
  <si>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</si>
  <si>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</si>
  <si>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</si>
  <si>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</si>
  <si>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</si>
  <si>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</si>
  <si>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</si>
  <si>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</si>
  <si>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</si>
  <si>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</si>
  <si>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</si>
  <si>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</si>
  <si>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</si>
  <si>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</si>
  <si>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</si>
  <si>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</si>
  <si>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</si>
  <si>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</si>
  <si>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</si>
  <si>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</si>
  <si>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</si>
  <si>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</si>
  <si>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</si>
  <si>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</si>
  <si>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</si>
  <si>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</si>
  <si>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</si>
  <si>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</si>
  <si>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</si>
  <si>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</si>
  <si>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</si>
  <si>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</si>
  <si>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</si>
  <si>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</si>
  <si>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</si>
  <si>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</si>
  <si>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</si>
  <si>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</si>
  <si>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</si>
  <si>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</si>
  <si>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</si>
  <si>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</si>
  <si>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</si>
  <si>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</si>
  <si>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</si>
  <si>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</si>
  <si>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</si>
  <si>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</si>
  <si>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</si>
  <si>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</si>
  <si>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</si>
  <si>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</si>
  <si>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</si>
  <si>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</si>
  <si>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</si>
  <si>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</si>
  <si>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</si>
  <si>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</si>
  <si>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</si>
  <si>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</si>
  <si>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</si>
  <si>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</si>
  <si>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</si>
  <si>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</si>
  <si>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</si>
  <si>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</si>
  <si>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</si>
  <si>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</si>
  <si>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</si>
  <si>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</si>
  <si>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</si>
  <si>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</si>
  <si>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</si>
  <si>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</si>
  <si>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</si>
  <si>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</si>
  <si>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</si>
  <si>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</si>
  <si>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</si>
  <si>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</si>
  <si>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</si>
  <si>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</si>
  <si>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</si>
  <si>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</si>
  <si>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</si>
  <si>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</si>
  <si>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</si>
  <si>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</si>
  <si>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</si>
  <si>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</si>
  <si>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</si>
  <si>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</si>
  <si>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</si>
  <si>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</si>
  <si>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</si>
  <si>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</si>
  <si>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</si>
  <si>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</si>
  <si>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</si>
  <si>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</si>
  <si>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</si>
  <si>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</si>
  <si>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</si>
  <si>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</si>
  <si>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</si>
  <si>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</si>
  <si>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</si>
  <si>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</si>
  <si>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</si>
  <si>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</si>
  <si>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</si>
  <si>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</si>
  <si>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</si>
  <si>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</si>
  <si>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</si>
  <si>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</si>
  <si>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</si>
  <si>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</si>
  <si>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</si>
  <si>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</si>
  <si>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</si>
  <si>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</si>
  <si>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</si>
  <si>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</si>
  <si>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</si>
  <si>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</si>
  <si>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</si>
  <si>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</si>
  <si>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</si>
  <si>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</si>
  <si>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</si>
  <si>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</si>
  <si>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</si>
  <si>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</si>
  <si>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</si>
  <si>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</si>
  <si>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</si>
  <si>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</si>
  <si>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</si>
  <si>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</si>
  <si>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</si>
  <si>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</si>
  <si>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</si>
  <si>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</si>
  <si>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</si>
  <si>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</si>
  <si>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</si>
  <si>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</si>
  <si>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</si>
  <si>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</si>
  <si>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</si>
  <si>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</si>
  <si>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</si>
  <si>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</si>
  <si>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</si>
  <si>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</si>
  <si>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</si>
  <si>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3376-1</t>
  </si>
  <si>
    <t>STRATUS COMERCI</t>
  </si>
  <si>
    <t>MICHELL MARQUES</t>
  </si>
  <si>
    <t>ECONOMICO_250</t>
  </si>
  <si>
    <t>CTE NORMAL</t>
  </si>
  <si>
    <t>GUARULHOS - SP</t>
  </si>
  <si>
    <t>PORTOEXPRESS LOGISTICA LT</t>
  </si>
  <si>
    <t>JURACI FERREIRA DOS SANTO</t>
  </si>
  <si>
    <t>NHC TRANSPORTES LTDA</t>
  </si>
  <si>
    <t>3409-1</t>
  </si>
  <si>
    <t>CRONOS LOGISTIC</t>
  </si>
  <si>
    <t>URIEL CORREA</t>
  </si>
  <si>
    <t>PERSONALIZADO_L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</si>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</sst>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[Analise_DIEGO_02102026.xlsx]Resumo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6462.92</c:v>
                </c:pt>
                <c:pt idx="1">
                  <c:v>142.83000000000001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5345.7164000000002</c:v>
                </c:pt>
                <c:pt idx="1">
                  <c:v>57.173600000000008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[Analise_DIEGO_02102026.xlsx]Resumo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6462.92</c:v>
                </c:pt>
                <c:pt idx="1">
                  <c:v>142.83000000000001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5345.7164000000002</c:v>
                </c:pt>
                <c:pt idx="1">
                  <c:v>57.173600000000008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68078704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488"/>
        <n v="352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1T00:00:00" maxDate="2026-10-02T00:00:00"/>
    </cacheField>
    <cacheField name="DATA" numFmtId="14">
      <sharedItems containsNonDate="0" containsDate="1" containsString="0" containsBlank="1" minDate="2026-10-01T00:00:00" maxDate="2026-10-03T00:00:00"/>
    </cacheField>
    <cacheField name="FAT" numFmtId="0">
      <sharedItems containsString="0" containsBlank="1" containsNumber="1" containsInteger="1" minValue="743" maxValue="743"/>
    </cacheField>
    <cacheField name="CT-E" numFmtId="0">
      <sharedItems containsBlank="1"/>
    </cacheField>
    <cacheField name="CLIENTE TOMADOR" numFmtId="0">
      <sharedItems containsBlank="1" count="855">
        <s v="STRATUS COMERCI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23.96" maxValue="362924.21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2.83000000000001" maxValue="6462.92"/>
    </cacheField>
    <cacheField name="VOLUMES" numFmtId="0">
      <sharedItems containsString="0" containsBlank="1" containsNumber="1" containsInteger="1" minValue="6" maxValue="27"/>
    </cacheField>
    <cacheField name="PESO" numFmtId="0">
      <sharedItems containsString="0" containsBlank="1" containsNumber="1" minValue="107.3" maxValue="6024.32"/>
    </cacheField>
    <cacheField name="RESP. COLETA" numFmtId="0">
      <sharedItems containsBlank="1"/>
    </cacheField>
    <cacheField name="CUSTO COLETA" numFmtId="0">
      <sharedItems containsString="0" containsBlank="1" containsNumber="1" minValue="0" maxValue="16.399999999999999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7.1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69" maxValue="145.16999999999999"/>
    </cacheField>
    <cacheField name="OUTROS" numFmtId="0">
      <sharedItems containsString="0" containsBlank="1" containsNumber="1" containsInteger="1" minValue="0" maxValue="455"/>
    </cacheField>
    <cacheField name="C.TOTAL" numFmtId="0">
      <sharedItems containsString="0" containsBlank="1" containsNumber="1" minValue="162.88" maxValue="4611.5200000000004"/>
    </cacheField>
    <cacheField name="RECEITA" numFmtId="0">
      <sharedItems containsString="0" containsBlank="1" containsNumber="1" minValue="-20.05" maxValue="1851.4"/>
    </cacheField>
    <cacheField name="IMPOSTO" numFmtId="0">
      <sharedItems containsString="0" containsBlank="1" containsNumber="1" minValue="37.14" maxValue="1680.36"/>
    </cacheField>
    <cacheField name="RESULTADO" numFmtId="0">
      <sharedItems containsString="0" containsBlank="1" containsNumber="1" minValue="-57.19" maxValue="-22.8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57.19" maxValue="-22.85"/>
    </cacheField>
    <cacheField name="MARGEM" numFmtId="10">
      <sharedItems containsString="0" containsBlank="1" containsNumber="1" minValue="-0.40039999999999998" maxValue="-3.4999999999999996E-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1T00:00:00"/>
    <d v="2026-10-01T00:00:00"/>
    <m/>
    <s v="3376-1"/>
    <x v="0"/>
    <s v="MICHELL MARQUES"/>
    <n v="1723.96"/>
    <x v="0"/>
    <s v="CTE NORMAL"/>
    <s v="GUARULHOS - SP"/>
    <n v="142.83000000000001"/>
    <n v="6"/>
    <n v="107.3"/>
    <s v="PORTOEXPRESS LOGISTICA LT"/>
    <n v="16.399999999999999"/>
    <s v="JURACI FERREIRA DOS SANTO"/>
    <n v="40"/>
    <s v="NHC TRANSPORTES LTDA"/>
    <n v="0"/>
    <n v="17.14"/>
    <n v="0"/>
    <n v="0"/>
    <n v="0.69"/>
    <n v="0"/>
    <n v="162.88"/>
    <n v="-20.05"/>
    <n v="37.14"/>
    <n v="-57.19"/>
    <n v="0"/>
    <n v="-57.19"/>
    <n v="-0.40039999999999998"/>
    <m/>
  </r>
  <r>
    <x v="1"/>
    <s v="MATRIZ"/>
    <d v="2026-10-01T00:00:00"/>
    <d v="2026-10-02T00:00:00"/>
    <n v="743"/>
    <s v="3409-1"/>
    <x v="1"/>
    <s v="URIEL CORREA"/>
    <n v="362924.21"/>
    <x v="1"/>
    <s v="CTE NORMAL"/>
    <s v="GUARULHOS - SP"/>
    <n v="6462.92"/>
    <n v="27"/>
    <n v="6024.32"/>
    <s v="N/D"/>
    <n v="0"/>
    <s v="N/D"/>
    <n v="0"/>
    <s v="NHC TRANSPORTES LTDA"/>
    <n v="0"/>
    <n v="0"/>
    <n v="0"/>
    <n v="0"/>
    <n v="145.16999999999999"/>
    <n v="455"/>
    <n v="4611.5200000000004"/>
    <n v="1851.4"/>
    <n v="1680.36"/>
    <n v="-22.85"/>
    <n v="0"/>
    <n v="-22.85"/>
    <n v="-3.4999999999999996E-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1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9"/>
    </i>
    <i>
      <x v="734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1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3488</v>
      </c>
      <c r="B2" s="12" t="s">
        <v>616</v>
      </c>
      <c r="C2" s="14">
        <v>46296</v>
      </c>
      <c r="D2" s="14">
        <v>46296</v>
      </c>
      <c r="E2" s="12"/>
      <c r="F2" s="15" t="s">
        <v>617</v>
      </c>
      <c r="G2" s="15" t="s">
        <v>618</v>
      </c>
      <c r="H2" s="15" t="s">
        <v>619</v>
      </c>
      <c r="I2" s="16">
        <v>1723.96</v>
      </c>
      <c r="J2" s="15" t="s">
        <v>620</v>
      </c>
      <c r="K2" s="15" t="s">
        <v>621</v>
      </c>
      <c r="L2" s="15" t="s">
        <v>622</v>
      </c>
      <c r="M2" s="15">
        <v>142.83000000000001</v>
      </c>
      <c r="N2" s="15">
        <v>6</v>
      </c>
      <c r="O2" s="16">
        <v>107.3</v>
      </c>
      <c r="P2" s="15" t="s">
        <v>623</v>
      </c>
      <c r="Q2" s="15">
        <v>16.399999999999999</v>
      </c>
      <c r="R2" s="15" t="s">
        <v>624</v>
      </c>
      <c r="S2" s="15">
        <v>40</v>
      </c>
      <c r="T2" s="15" t="s">
        <v>625</v>
      </c>
      <c r="U2" s="15">
        <v>0</v>
      </c>
      <c r="V2" s="15">
        <v>17.14</v>
      </c>
      <c r="W2" s="15">
        <v>0</v>
      </c>
      <c r="X2" s="15">
        <v>0</v>
      </c>
      <c r="Y2" s="15">
        <v>0.69</v>
      </c>
      <c r="Z2" s="15">
        <v>0</v>
      </c>
      <c r="AA2" s="15">
        <v>162.88</v>
      </c>
      <c r="AB2" s="15">
        <v>-20.05</v>
      </c>
      <c r="AC2" s="15">
        <v>37.14</v>
      </c>
      <c r="AD2" s="15">
        <v>-57.19</v>
      </c>
      <c r="AE2" s="15">
        <v>0</v>
      </c>
      <c r="AF2" s="15">
        <v>-57.19</v>
      </c>
      <c r="AG2" s="17">
        <v>-0.40039999999999998</v>
      </c>
      <c r="AH2" s="15"/>
    </row>
    <row r="3" spans="1:34" s="1" customFormat="1" ht="12" customHeight="1" x14ac:dyDescent="0.3">
      <c r="A3" s="13">
        <v>3522</v>
      </c>
      <c r="B3" s="12" t="s">
        <v>616</v>
      </c>
      <c r="C3" s="14">
        <v>46296</v>
      </c>
      <c r="D3" s="14">
        <v>46297</v>
      </c>
      <c r="E3" s="12">
        <v>743</v>
      </c>
      <c r="F3" s="15" t="s">
        <v>626</v>
      </c>
      <c r="G3" s="15" t="s">
        <v>627</v>
      </c>
      <c r="H3" s="15" t="s">
        <v>628</v>
      </c>
      <c r="I3" s="16">
        <v>362924.21</v>
      </c>
      <c r="J3" s="15" t="s">
        <v>629</v>
      </c>
      <c r="K3" s="15" t="s">
        <v>621</v>
      </c>
      <c r="L3" s="15" t="s">
        <v>622</v>
      </c>
      <c r="M3" s="16">
        <v>6462.92</v>
      </c>
      <c r="N3" s="15">
        <v>27</v>
      </c>
      <c r="O3" s="16">
        <v>6024.32</v>
      </c>
      <c r="P3" s="15" t="s">
        <v>630</v>
      </c>
      <c r="Q3" s="15">
        <v>0</v>
      </c>
      <c r="R3" s="15" t="s">
        <v>630</v>
      </c>
      <c r="S3" s="15">
        <v>0</v>
      </c>
      <c r="T3" s="15" t="s">
        <v>625</v>
      </c>
      <c r="U3" s="15">
        <v>0</v>
      </c>
      <c r="V3" s="15">
        <v>0</v>
      </c>
      <c r="W3" s="15">
        <v>0</v>
      </c>
      <c r="X3" s="15">
        <v>0</v>
      </c>
      <c r="Y3" s="15">
        <v>145.16999999999999</v>
      </c>
      <c r="Z3" s="15">
        <v>455</v>
      </c>
      <c r="AA3" s="16">
        <v>4611.5200000000004</v>
      </c>
      <c r="AB3" s="16">
        <v>1851.4</v>
      </c>
      <c r="AC3" s="15">
        <v>1680.36</v>
      </c>
      <c r="AD3" s="15">
        <v>-22.85</v>
      </c>
      <c r="AE3" s="15">
        <v>0</v>
      </c>
      <c r="AF3" s="15">
        <v>-22.85</v>
      </c>
      <c r="AG3" s="17">
        <v>-3.4999999999999996E-3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6605.75</v>
      </c>
      <c r="F3" s="89"/>
      <c r="G3" s="90"/>
      <c r="H3" s="133">
        <f>'Resumo Detalhado'!C2</f>
        <v>6131.62</v>
      </c>
      <c r="I3" s="134"/>
      <c r="J3" s="135">
        <f>E3/H3</f>
        <v>1.077325405031623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0.55742000000000003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4116.3999999999996</v>
      </c>
      <c r="F7" s="112"/>
      <c r="G7" s="112"/>
      <c r="H7" s="112"/>
      <c r="I7" s="112"/>
      <c r="J7" s="112">
        <f>E7/H3</f>
        <v>0.67133971120193359</v>
      </c>
      <c r="K7" s="112"/>
      <c r="L7" s="112"/>
      <c r="M7" s="130">
        <f>E7/E3</f>
        <v>0.62315407031752634</v>
      </c>
      <c r="N7" s="130"/>
      <c r="O7" s="130"/>
      <c r="P7" s="112">
        <f>E11+K11+Q11+E15+K15+Q15+E19+H19+K19</f>
        <v>6319.78</v>
      </c>
      <c r="Q7" s="112"/>
      <c r="R7" s="112"/>
      <c r="S7" s="112">
        <f>P7/H3</f>
        <v>1.0306868331697006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0.66866505099794182</v>
      </c>
      <c r="O11" s="90"/>
      <c r="P11" s="38"/>
      <c r="Q11" s="88">
        <f>'Resumo Detalhado'!D2</f>
        <v>16.399999999999999</v>
      </c>
      <c r="R11" s="90"/>
      <c r="S11" s="38"/>
      <c r="T11" s="88">
        <f>Q11/H3</f>
        <v>2.6746602039917672E-3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17.14</v>
      </c>
      <c r="F15" s="119"/>
      <c r="G15" s="119"/>
      <c r="H15" s="119"/>
      <c r="I15" s="132"/>
      <c r="J15" s="38"/>
      <c r="K15" s="113">
        <f>'Resumo Detalhado'!K2+'Resumo Detalhado'!L2</f>
        <v>1056.92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145.85999999999999</v>
      </c>
      <c r="F19" s="120"/>
      <c r="G19" s="38"/>
      <c r="H19" s="122">
        <f>'Resumo Detalhado'!J2</f>
        <v>455</v>
      </c>
      <c r="I19" s="123"/>
      <c r="J19" s="38"/>
      <c r="K19" s="122">
        <f>'Resumo Detalhado'!L2</f>
        <v>528.46</v>
      </c>
      <c r="L19" s="123"/>
      <c r="M19" s="38"/>
      <c r="N19" s="121" t="s">
        <v>285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5402.89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0.8179071263671801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631</v>
      </c>
      <c r="F1" s="29"/>
    </row>
    <row r="2" spans="1:18" x14ac:dyDescent="0.3">
      <c r="B2" s="29">
        <f>SUM(B6:B5000)</f>
        <v>6605.75</v>
      </c>
      <c r="C2" s="29">
        <f>SUM(C6:C5000)</f>
        <v>6131.62</v>
      </c>
      <c r="D2" s="29">
        <f>SUM(D6:D5000)</f>
        <v>16.399999999999999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17.14</v>
      </c>
      <c r="I2" s="29">
        <f t="shared" si="0"/>
        <v>145.85999999999999</v>
      </c>
      <c r="J2" s="29">
        <f t="shared" si="0"/>
        <v>455</v>
      </c>
      <c r="K2" s="29">
        <f t="shared" si="0"/>
        <v>528.46</v>
      </c>
      <c r="L2" s="29">
        <f t="shared" si="0"/>
        <v>528.46</v>
      </c>
      <c r="M2" s="29">
        <f t="shared" si="0"/>
        <v>0</v>
      </c>
      <c r="N2" s="29">
        <f t="shared" si="0"/>
        <v>5402.89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3522</v>
      </c>
      <c r="B6" s="140">
        <v>6462.92</v>
      </c>
      <c r="C6" s="141">
        <v>6024.32</v>
      </c>
      <c r="D6" s="140">
        <v>0</v>
      </c>
      <c r="E6" s="140">
        <v>0</v>
      </c>
      <c r="F6" s="140">
        <v>0</v>
      </c>
      <c r="G6" s="142">
        <v>0</v>
      </c>
      <c r="H6" s="140">
        <v>0</v>
      </c>
      <c r="I6" s="140">
        <v>145.16999999999999</v>
      </c>
      <c r="J6" s="140">
        <v>455</v>
      </c>
      <c r="K6" s="140">
        <v>517.03359999999998</v>
      </c>
      <c r="L6" s="140">
        <v>517.03359999999998</v>
      </c>
      <c r="M6" s="140">
        <v>0</v>
      </c>
      <c r="N6" s="140">
        <v>5345.7164000000002</v>
      </c>
      <c r="O6" s="142">
        <v>0.82713640274055689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3488</v>
      </c>
      <c r="B8" s="140">
        <v>142.83000000000001</v>
      </c>
      <c r="C8" s="141">
        <v>107.3</v>
      </c>
      <c r="D8" s="140">
        <v>16.399999999999999</v>
      </c>
      <c r="E8" s="140">
        <v>40</v>
      </c>
      <c r="F8" s="140">
        <v>0</v>
      </c>
      <c r="G8" s="142">
        <v>0.39487502625498838</v>
      </c>
      <c r="H8" s="140">
        <v>17.14</v>
      </c>
      <c r="I8" s="140">
        <v>0.69</v>
      </c>
      <c r="J8" s="140">
        <v>0</v>
      </c>
      <c r="K8" s="140">
        <v>11.426400000000001</v>
      </c>
      <c r="L8" s="140">
        <v>11.426400000000001</v>
      </c>
      <c r="M8" s="140">
        <v>0</v>
      </c>
      <c r="N8" s="140">
        <v>57.173600000000008</v>
      </c>
      <c r="O8" s="142">
        <v>0.40029125533851434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631</v>
      </c>
    </row>
    <row r="2" spans="1:4" x14ac:dyDescent="0.3">
      <c r="B2" s="29">
        <f>SUM(B6:B5000)</f>
        <v>142.83000000000001</v>
      </c>
      <c r="C2" s="29">
        <f>SUM(C6:C5000)</f>
        <v>57.173600000000008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6462.92</v>
      </c>
      <c r="C5" s="10">
        <v>5345.7164000000002</v>
      </c>
    </row>
    <row r="6" spans="1:4" x14ac:dyDescent="0.3">
      <c r="A6" s="139" t="s">
        <v>618</v>
      </c>
      <c r="B6" s="140">
        <v>142.83000000000001</v>
      </c>
      <c r="C6" s="140">
        <v>57.173600000000008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2026-10-07T15:21:15Z</dcterms:modified>
  <cp:category/>
  <cp:contentStatus/>
</cp:coreProperties>
</file>