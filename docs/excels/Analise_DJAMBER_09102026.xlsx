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3A4E837-E015-4E9D-A3ED-615B5139B0A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<sst xmlns="http://schemas.openxmlformats.org/spreadsheetml/2006/main" count="914" uniqueCount="632">
  <si>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</si>
  <si>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</si>
  <si>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</si>
  <si>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</si>
  <si>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</si>
  <si>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</si>
  <si>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</si>
  <si>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</si>
  <si>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</si>
  <si>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</si>
  <si>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</si>
  <si>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</si>
  <si>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</si>
  <si>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</si>
  <si>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</si>
  <si>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</si>
  <si>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</si>
  <si>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</si>
  <si>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</si>
  <si>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</si>
  <si>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</si>
  <si>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</si>
  <si>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</si>
  <si>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</si>
  <si>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</si>
  <si>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</si>
  <si>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</si>
  <si>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</si>
  <si>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</si>
  <si>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</si>
  <si>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</si>
  <si>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</si>
  <si>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</si>
  <si>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</si>
  <si>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</si>
  <si>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</si>
  <si>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</si>
  <si>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</si>
  <si>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</si>
  <si>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</si>
  <si>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</si>
  <si>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</si>
  <si>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</si>
  <si>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</si>
  <si>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</si>
  <si>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</si>
  <si>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</si>
  <si>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</si>
  <si>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</si>
  <si>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</si>
  <si>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</si>
  <si>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</si>
  <si>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</si>
  <si>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</si>
  <si>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</si>
  <si>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</si>
  <si>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</si>
  <si>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</si>
  <si>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</si>
  <si>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</si>
  <si>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</si>
  <si>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</si>
  <si>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</si>
  <si>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</si>
  <si>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</si>
  <si>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</si>
  <si>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</si>
  <si>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</si>
  <si>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</si>
  <si>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</si>
  <si>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</si>
  <si>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</si>
  <si>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</si>
  <si>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</si>
  <si>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</si>
  <si>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</si>
  <si>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</si>
  <si>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</si>
  <si>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</si>
  <si>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</si>
  <si>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</si>
  <si>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</si>
  <si>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</si>
  <si>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</si>
  <si>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</si>
  <si>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</si>
  <si>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</si>
  <si>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</si>
  <si>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</si>
  <si>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</si>
  <si>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</si>
  <si>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</si>
  <si>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</si>
  <si>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</si>
  <si>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</si>
  <si>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</si>
  <si>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</si>
  <si>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</si>
  <si>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</si>
  <si>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</si>
  <si>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</si>
  <si>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</si>
  <si>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</si>
  <si>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</si>
  <si>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</si>
  <si>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</si>
  <si>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</si>
  <si>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</si>
  <si>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</si>
  <si>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</si>
  <si>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</si>
  <si>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</si>
  <si>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</si>
  <si>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</si>
  <si>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</si>
  <si>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</si>
  <si>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</si>
  <si>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</si>
  <si>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</si>
  <si>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</si>
  <si>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</si>
  <si>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</si>
  <si>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</si>
  <si>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</si>
  <si>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</si>
  <si>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</si>
  <si>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</si>
  <si>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</si>
  <si>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</si>
  <si>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</si>
  <si>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</si>
  <si>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</si>
  <si>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</si>
  <si>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</si>
  <si>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</si>
  <si>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</si>
  <si>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</si>
  <si>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</si>
  <si>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</si>
  <si>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</si>
  <si>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</si>
  <si>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</si>
  <si>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</si>
  <si>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</si>
  <si>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</si>
  <si>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</si>
  <si>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</si>
  <si>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</si>
  <si>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</si>
  <si>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</si>
  <si>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</si>
  <si>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</si>
  <si>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</si>
  <si>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</si>
  <si>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</si>
  <si>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</si>
  <si>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</si>
  <si>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</si>
  <si>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</si>
  <si>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</si>
  <si>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</si>
  <si>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</si>
  <si>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</si>
  <si>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</si>
  <si>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</si>
  <si>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</si>
  <si>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</si>
  <si>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</si>
  <si>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</si>
  <si>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</si>
  <si>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</si>
  <si>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</si>
  <si>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</si>
  <si>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</si>
  <si>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</si>
  <si>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</si>
  <si>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</si>
  <si>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</si>
  <si>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</si>
  <si>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</si>
  <si>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</si>
  <si>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</si>
  <si>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</si>
  <si>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</si>
  <si>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</si>
  <si>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</si>
  <si>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</si>
  <si>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</si>
  <si>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</si>
  <si>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</si>
  <si>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</si>
  <si>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</si>
  <si>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</si>
  <si>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</si>
  <si>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</si>
  <si>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</si>
  <si>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</si>
  <si>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</si>
  <si>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</si>
  <si>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</si>
  <si>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</si>
  <si>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</si>
  <si>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</si>
  <si>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</si>
  <si>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</si>
  <si>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</si>
  <si>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</si>
  <si>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</si>
  <si>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</si>
  <si>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</si>
  <si>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</si>
  <si>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</si>
  <si>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</si>
  <si>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</si>
  <si>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</si>
  <si>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</si>
  <si>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</si>
  <si>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</si>
  <si>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</si>
  <si>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</si>
  <si>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</si>
  <si>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</si>
  <si>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</si>
  <si>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</si>
  <si>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</si>
  <si>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</si>
  <si>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</si>
  <si>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</si>
  <si>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</si>
  <si>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</si>
  <si>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</si>
  <si>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</si>
  <si>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</si>
  <si>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</si>
  <si>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</si>
  <si>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</si>
  <si>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</si>
  <si>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</si>
  <si>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</si>
  <si>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</si>
  <si>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</si>
  <si>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</si>
  <si>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</si>
  <si>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</si>
  <si>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</si>
  <si>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</si>
  <si>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</si>
  <si>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</si>
  <si>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</si>
  <si>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</si>
  <si>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</si>
  <si>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</si>
  <si>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</si>
  <si>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</si>
  <si>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</si>
  <si>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</si>
  <si>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</si>
  <si>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</si>
  <si>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</si>
  <si>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</si>
  <si>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</si>
  <si>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</si>
  <si>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</si>
  <si>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</si>
  <si>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</si>
  <si>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</si>
  <si>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</si>
  <si>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</si>
  <si>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</si>
  <si>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</si>
  <si>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</si>
  <si>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</si>
  <si>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</si>
  <si>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</si>
  <si>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</si>
  <si>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</si>
  <si>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</si>
  <si>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</si>
  <si>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</si>
  <si>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</si>
  <si>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</si>
  <si>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</si>
  <si>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</si>
  <si>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</si>
  <si>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</si>
  <si>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</si>
  <si>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</si>
  <si>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</si>
  <si>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</si>
  <si>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</si>
  <si>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</si>
  <si>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</si>
  <si>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</si>
  <si>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</si>
  <si>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</si>
  <si>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</si>
  <si>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</si>
  <si>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</si>
  <si>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</si>
  <si>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</si>
  <si>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</si>
  <si>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</si>
  <si>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</si>
  <si>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</si>
  <si>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</si>
  <si>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</si>
  <si>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</si>
  <si>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</si>
  <si>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</si>
  <si>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</si>
  <si>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</si>
  <si>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</si>
  <si>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</si>
  <si>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</si>
  <si>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</si>
  <si>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</si>
  <si>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</si>
  <si>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</si>
  <si>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</si>
  <si>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</si>
  <si>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</si>
  <si>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</si>
  <si>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</si>
  <si>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</si>
  <si>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</si>
  <si>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</si>
  <si>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</si>
  <si>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</si>
  <si>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</si>
  <si>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</si>
  <si>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</si>
  <si>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</si>
  <si>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</si>
  <si>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</si>
  <si>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</si>
  <si>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</si>
  <si>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</si>
  <si>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</si>
  <si>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</si>
  <si>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</si>
  <si>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</si>
  <si>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</si>
  <si>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</si>
  <si>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</si>
  <si>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</si>
  <si>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</si>
  <si>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</si>
  <si>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</si>
  <si>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</si>
  <si>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</si>
  <si>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</si>
  <si>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</si>
  <si>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</si>
  <si>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</si>
  <si>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</si>
  <si>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</si>
  <si>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</si>
  <si>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</si>
  <si>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</si>
  <si>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</si>
  <si>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</si>
  <si>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</si>
  <si>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</si>
  <si>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</si>
  <si>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</si>
  <si>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</si>
  <si>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</si>
  <si>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</si>
  <si>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</si>
  <si>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</si>
  <si>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</si>
  <si>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</si>
  <si>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</si>
  <si>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</si>
  <si>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</si>
  <si>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</si>
  <si>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</si>
  <si>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</si>
  <si>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</si>
  <si>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</si>
  <si>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</si>
  <si>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</si>
  <si>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</si>
  <si>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</si>
  <si>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</si>
  <si>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</si>
  <si>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</si>
  <si>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</si>
  <si>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</si>
  <si>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</si>
  <si>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</si>
  <si>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</si>
  <si>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</si>
  <si>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</si>
  <si>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</si>
  <si>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</si>
  <si>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</si>
  <si>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</si>
  <si>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</si>
  <si>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</si>
  <si>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</si>
  <si>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</si>
  <si>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</si>
  <si>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</si>
  <si>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</si>
  <si>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</si>
  <si>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</si>
  <si>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</si>
  <si>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</si>
  <si>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</si>
  <si>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</si>
  <si>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</si>
  <si>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</si>
  <si>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</si>
  <si>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</si>
  <si>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</si>
  <si>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</si>
  <si>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</si>
  <si>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</si>
  <si>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</si>
  <si>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</si>
  <si>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</si>
  <si>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</si>
  <si>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</si>
  <si>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</si>
  <si>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</si>
  <si>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</si>
  <si>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</si>
  <si>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</si>
  <si>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</si>
  <si>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</si>
  <si>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</si>
  <si>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</si>
  <si>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</si>
  <si>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</si>
  <si>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</si>
  <si>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</si>
  <si>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</si>
  <si>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</si>
  <si>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</si>
  <si>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</si>
  <si>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</si>
  <si>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</si>
  <si>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</si>
  <si>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</si>
  <si>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</si>
  <si>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</si>
  <si>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</si>
  <si>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</si>
  <si>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</si>
  <si>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</si>
  <si>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</si>
  <si>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</si>
  <si>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</si>
  <si>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</si>
  <si>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</si>
  <si>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</si>
  <si>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</si>
  <si>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</si>
  <si>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</si>
  <si>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</si>
  <si>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</si>
  <si>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</si>
  <si>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</si>
  <si>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</si>
  <si>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</si>
  <si>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</si>
  <si>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</si>
  <si>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</si>
  <si>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</si>
  <si>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</si>
  <si>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</si>
  <si>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</si>
  <si>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</si>
  <si>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</si>
  <si>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</si>
  <si>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</si>
  <si>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</si>
  <si>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</si>
  <si>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</si>
  <si>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</si>
  <si>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</si>
  <si>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</si>
  <si>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</si>
  <si>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</si>
  <si>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</si>
  <si>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</si>
  <si>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</si>
  <si>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</si>
  <si>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</si>
  <si>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</si>
  <si>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</si>
  <si>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</si>
  <si>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</si>
  <si>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</si>
  <si>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</si>
  <si>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</si>
  <si>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</si>
  <si>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</si>
  <si>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</si>
  <si>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</si>
  <si>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</si>
  <si>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</si>
  <si>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</si>
  <si>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</si>
  <si>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</si>
  <si>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</si>
  <si>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</si>
  <si>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</si>
  <si>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</si>
  <si>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</si>
  <si>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</si>
  <si>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</si>
  <si>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</si>
  <si>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</si>
  <si>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</si>
  <si>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</si>
  <si>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</si>
  <si>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</si>
  <si>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</si>
  <si>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</si>
  <si>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</si>
  <si>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</si>
  <si>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</si>
  <si>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</si>
  <si>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</si>
  <si>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</si>
  <si>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</si>
  <si>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</si>
  <si>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</si>
  <si>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</si>
  <si>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</si>
  <si>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</si>
  <si>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</si>
  <si>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</si>
  <si>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</si>
  <si>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</si>
  <si>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</si>
  <si>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</si>
  <si>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</si>
  <si>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</si>
  <si>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</si>
  <si>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</si>
  <si>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</si>
  <si>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</si>
  <si>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</si>
  <si>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</si>
  <si>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</si>
  <si>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</si>
  <si>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</si>
  <si>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</si>
  <si>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</si>
  <si>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</si>
  <si>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</si>
  <si>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</si>
  <si>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</si>
  <si>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</si>
  <si>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</si>
  <si>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</si>
  <si>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</si>
  <si>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</si>
  <si>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</si>
  <si>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</si>
  <si>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</si>
  <si>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</si>
  <si>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</si>
  <si>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</si>
  <si>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</si>
  <si>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</si>
  <si>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</si>
  <si>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</si>
  <si>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</si>
  <si>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</si>
  <si>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</si>
  <si>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</si>
  <si>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</si>
  <si>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</si>
  <si>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</si>
  <si>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</si>
  <si>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</si>
  <si>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</si>
  <si>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</si>
  <si>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</si>
  <si>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</si>
  <si>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</si>
  <si>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</si>
  <si>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</si>
  <si>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</si>
  <si>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</si>
  <si>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</si>
  <si>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</si>
  <si>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</si>
  <si>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</si>
  <si>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</si>
  <si>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</si>
  <si>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</si>
  <si>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</si>
  <si>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</si>
  <si>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</si>
  <si>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</si>
  <si>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</si>
  <si>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</si>
  <si>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</si>
  <si>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</si>
  <si>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</si>
  <si>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</si>
  <si>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</si>
  <si>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</si>
  <si>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</si>
  <si>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</si>
  <si>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</si>
  <si>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</si>
  <si>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</si>
  <si>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</si>
  <si>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</si>
  <si>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</si>
  <si>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</si>
  <si>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204656-1</t>
  </si>
  <si>
    <t>ITACORDA INDUST</t>
  </si>
  <si>
    <t>TIAGO SANTANA</t>
  </si>
  <si>
    <t>EXPRESSO_250</t>
  </si>
  <si>
    <t>CTE NORMAL</t>
  </si>
  <si>
    <t>GUARULHOS - SP</t>
  </si>
  <si>
    <t>LUIZ FELIPE FERNANDES DA</t>
  </si>
  <si>
    <t>KAINAN DE PAULA FLAVIO</t>
  </si>
  <si>
    <t>PRAZITO TRANSPORTES LTDA</t>
  </si>
  <si>
    <t>2319-6</t>
  </si>
  <si>
    <t>MATTEL DO BRASI</t>
  </si>
  <si>
    <t>MARLON MARQUES</t>
  </si>
  <si>
    <t>CAJAMAR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</si>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</sst>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[Analise_DJAMBER_09102026.xlsx]Resumo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197.1</c:v>
                </c:pt>
                <c:pt idx="1">
                  <c:v>8625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-4053.2280000000001</c:v>
                </c:pt>
                <c:pt idx="1">
                  <c:v>5823.69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[Analise_DJAMBER_09102026.xlsx]Resumo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197.1</c:v>
                </c:pt>
                <c:pt idx="1">
                  <c:v>8625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-4053.2280000000001</c:v>
                </c:pt>
                <c:pt idx="1">
                  <c:v>5823.69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0.51119583333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5222" count="8000">
        <n v="304922"/>
        <n v="30522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9T00:00:00" maxDate="2026-10-10T00:00:00"/>
    </cacheField>
    <cacheField name="DATA" numFmtId="14">
      <sharedItems containsNonDate="0" containsDate="1" containsString="0" containsBlank="1" minDate="2026-10-09T00:00:00" maxDate="2026-10-1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ITACORDA INDUST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841.19" maxValue="952626.7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97.1" maxValue="8625"/>
    </cacheField>
    <cacheField name="VOLUMES" numFmtId="0">
      <sharedItems containsString="0" containsBlank="1" containsNumber="1" containsInteger="1" minValue="9" maxValue="2557"/>
    </cacheField>
    <cacheField name="PESO" numFmtId="0">
      <sharedItems containsString="0" containsBlank="1" containsNumber="1" minValue="182.75" maxValue="5285.45"/>
    </cacheField>
    <cacheField name="RESP. COLETA" numFmtId="0">
      <sharedItems containsBlank="1"/>
    </cacheField>
    <cacheField name="CUSTO COLETA" numFmtId="0">
      <sharedItems containsString="0" containsBlank="1" containsNumber="1" minValue="0" maxValue="108.99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1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3.65" maxValue="103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92" maxValue="476.31"/>
    </cacheField>
    <cacheField name="OUTROS" numFmtId="0">
      <sharedItems containsString="0" containsBlank="1" containsNumber="1" containsInteger="1" minValue="0" maxValue="600"/>
    </cacheField>
    <cacheField name="C.TOTAL" numFmtId="0">
      <sharedItems containsString="0" containsBlank="1" containsNumber="1" minValue="323.61" maxValue="6074.29"/>
    </cacheField>
    <cacheField name="RECEITA" numFmtId="0">
      <sharedItems containsString="0" containsBlank="1" containsNumber="1" minValue="-126.51" maxValue="2550.71"/>
    </cacheField>
    <cacheField name="IMPOSTO" numFmtId="0">
      <sharedItems containsString="0" containsBlank="1" containsNumber="1" minValue="51.25" maxValue="2242.5"/>
    </cacheField>
    <cacheField name="RESULTADO" numFmtId="0">
      <sharedItems containsString="0" containsBlank="1" containsNumber="1" minValue="-177.76" maxValue="308.20999999999998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77.76" maxValue="308.20999999999998"/>
    </cacheField>
    <cacheField name="MARGEM" numFmtId="10">
      <sharedItems containsString="0" containsBlank="1" containsNumber="1" minValue="-0.90189999999999992" maxValue="3.5699999999999996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9T00:00:00"/>
    <d v="2026-10-09T00:00:00"/>
    <m/>
    <s v="204656-1"/>
    <x v="0"/>
    <s v="TIAGO SANTANA"/>
    <n v="3841.19"/>
    <x v="0"/>
    <s v="CTE NORMAL"/>
    <s v="GUARULHOS - SP"/>
    <n v="197.1"/>
    <n v="9"/>
    <n v="182.75"/>
    <s v="LUIZ FELIPE FERNANDES DA"/>
    <n v="108.99"/>
    <s v="KAINAN DE PAULA FLAVIO"/>
    <n v="4100"/>
    <s v="PRAZITO TRANSPORTES LTDA"/>
    <n v="0"/>
    <n v="23.65"/>
    <n v="0"/>
    <n v="0"/>
    <n v="1.92"/>
    <n v="0"/>
    <n v="323.61"/>
    <n v="-126.51"/>
    <n v="51.25"/>
    <n v="-177.76"/>
    <n v="0"/>
    <n v="-177.76"/>
    <n v="-0.90189999999999992"/>
    <m/>
  </r>
  <r>
    <x v="1"/>
    <s v="MATRIZ"/>
    <d v="2026-10-09T00:00:00"/>
    <d v="2026-10-09T00:00:00"/>
    <m/>
    <s v="2319-6"/>
    <x v="1"/>
    <s v="MARLON MARQUES"/>
    <n v="952626.7"/>
    <x v="0"/>
    <s v="CTE NORMAL"/>
    <s v="CAJAMAR - SP"/>
    <n v="8625"/>
    <n v="2557"/>
    <n v="5285.45"/>
    <s v="N/D"/>
    <n v="0"/>
    <s v="N/D"/>
    <n v="0"/>
    <s v="PRAZITO TRANSPORTES LTDA"/>
    <n v="0"/>
    <n v="1035"/>
    <n v="0"/>
    <n v="0"/>
    <n v="476.31"/>
    <n v="600"/>
    <n v="6074.29"/>
    <n v="2550.71"/>
    <n v="2242.5"/>
    <n v="308.20999999999998"/>
    <n v="0"/>
    <n v="308.20999999999998"/>
    <n v="3.5699999999999996E-2"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30"/>
        <item m="1" x="665"/>
        <item m="1" x="519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1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7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9"/>
        <item m="1" x="208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x="0"/>
        <item m="1" x="61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6"/>
        <item sd="0" m="1" x="237"/>
        <item m="1" x="557"/>
        <item m="1" x="547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1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5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2"/>
        <item m="1" x="95"/>
        <item m="1" x="523"/>
        <item m="1" x="789"/>
        <item m="1" x="20"/>
        <item m="1" x="538"/>
        <item m="1" x="636"/>
        <item m="1" x="575"/>
        <item sd="0" m="1" x="197"/>
        <item m="1" x="574"/>
        <item m="1" x="365"/>
        <item m="1" x="823"/>
        <item m="1" x="336"/>
        <item m="1" x="524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6"/>
        <item m="1" x="687"/>
        <item m="1" x="280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8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81"/>
    </i>
    <i r="1">
      <x v="7998"/>
    </i>
    <i>
      <x v="495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30"/>
        <item m="1" x="665"/>
        <item m="1" x="519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1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7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9"/>
        <item m="1" x="208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x="0"/>
        <item m="1" x="61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6"/>
        <item sd="0" m="1" x="237"/>
        <item m="1" x="557"/>
        <item m="1" x="547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1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5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2"/>
        <item m="1" x="95"/>
        <item m="1" x="523"/>
        <item m="1" x="789"/>
        <item m="1" x="20"/>
        <item m="1" x="538"/>
        <item m="1" x="636"/>
        <item m="1" x="575"/>
        <item sd="0" m="1" x="197"/>
        <item m="1" x="574"/>
        <item m="1" x="365"/>
        <item m="1" x="823"/>
        <item m="1" x="336"/>
        <item m="1" x="524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6"/>
        <item m="1" x="687"/>
        <item m="1" x="280"/>
        <item m="1" x="525"/>
        <item m="1" x="526"/>
        <item m="1" x="38"/>
        <item m="1" x="592"/>
        <item m="1" x="801"/>
        <item m="1" x="583"/>
        <item m="1" x="749"/>
        <item m="1" x="722"/>
        <item m="1" x="533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8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81"/>
    </i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4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2" s="1" nd="1"/>
        <i x="545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30" s="1" nd="1"/>
        <i x="665" s="1" nd="1"/>
        <i x="519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516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1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10" s="1" nd="1"/>
        <i x="117" s="1" nd="1"/>
        <i x="537" s="1" nd="1"/>
        <i x="84" s="1" nd="1"/>
        <i x="602" s="1" nd="1"/>
        <i x="450" s="1" nd="1"/>
        <i x="349" s="1" nd="1"/>
        <i x="79" s="1" nd="1"/>
        <i x="582" s="1" nd="1"/>
        <i x="19" s="1" nd="1"/>
        <i x="160" s="1" nd="1"/>
        <i x="773" s="1" nd="1"/>
        <i x="579" s="1" nd="1"/>
        <i x="518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9" s="1" nd="1"/>
        <i x="208" s="1" nd="1"/>
        <i x="671" s="1" nd="1"/>
        <i x="486" s="1" nd="1"/>
        <i x="640" s="1" nd="1"/>
        <i x="606" s="1" nd="1"/>
        <i x="532" s="1" nd="1"/>
        <i x="563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2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61" s="1" nd="1"/>
        <i x="452" s="1" nd="1"/>
        <i x="774" s="1" nd="1"/>
        <i x="485" s="1" nd="1"/>
        <i x="740" s="1" nd="1"/>
        <i x="454" s="1" nd="1"/>
        <i x="521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5" s="1" nd="1"/>
        <i x="298" s="1" nd="1"/>
        <i x="682" s="1" nd="1"/>
        <i x="135" s="1" nd="1"/>
        <i x="330" s="1" nd="1"/>
        <i x="536" s="1" nd="1"/>
        <i x="237" s="1" nd="1"/>
        <i x="557" s="1" nd="1"/>
        <i x="547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4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3" s="1" nd="1"/>
        <i x="407" s="1" nd="1"/>
        <i x="320" s="1" nd="1"/>
        <i x="710" s="1" nd="1"/>
        <i x="535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2" s="1" nd="1"/>
        <i x="95" s="1" nd="1"/>
        <i x="523" s="1" nd="1"/>
        <i x="789" s="1" nd="1"/>
        <i x="20" s="1" nd="1"/>
        <i x="538" s="1" nd="1"/>
        <i x="636" s="1" nd="1"/>
        <i x="575" s="1" nd="1"/>
        <i x="197" s="1" nd="1"/>
        <i x="574" s="1" nd="1"/>
        <i x="365" s="1" nd="1"/>
        <i x="823" s="1" nd="1"/>
        <i x="336" s="1" nd="1"/>
        <i x="524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9" s="1" nd="1"/>
        <i x="566" s="1" nd="1"/>
        <i x="687" s="1" nd="1"/>
        <i x="280" s="1" nd="1"/>
        <i x="525" s="1" nd="1"/>
        <i x="526" s="1" nd="1"/>
        <i x="38" s="1" nd="1"/>
        <i x="592" s="1" nd="1"/>
        <i x="801" s="1" nd="1"/>
        <i x="583" s="1" nd="1"/>
        <i x="749" s="1" nd="1"/>
        <i x="722" s="1" nd="1"/>
        <i x="533" s="1" nd="1"/>
        <i x="47" s="1" nd="1"/>
        <i x="554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20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6" s="1" nd="1"/>
        <i x="548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304922</v>
      </c>
      <c r="B2" s="12" t="s">
        <v>616</v>
      </c>
      <c r="C2" s="14">
        <v>46304</v>
      </c>
      <c r="D2" s="14">
        <v>46304</v>
      </c>
      <c r="E2" s="12"/>
      <c r="F2" s="15" t="s">
        <v>617</v>
      </c>
      <c r="G2" s="15" t="s">
        <v>618</v>
      </c>
      <c r="H2" s="15" t="s">
        <v>619</v>
      </c>
      <c r="I2" s="16">
        <v>3841.19</v>
      </c>
      <c r="J2" s="15" t="s">
        <v>620</v>
      </c>
      <c r="K2" s="15" t="s">
        <v>621</v>
      </c>
      <c r="L2" s="15" t="s">
        <v>622</v>
      </c>
      <c r="M2" s="15">
        <v>197.1</v>
      </c>
      <c r="N2" s="15">
        <v>9</v>
      </c>
      <c r="O2" s="16">
        <v>182.75</v>
      </c>
      <c r="P2" s="15" t="s">
        <v>623</v>
      </c>
      <c r="Q2" s="15">
        <v>108.99</v>
      </c>
      <c r="R2" s="15" t="s">
        <v>624</v>
      </c>
      <c r="S2" s="15">
        <v>4100</v>
      </c>
      <c r="T2" s="15" t="s">
        <v>625</v>
      </c>
      <c r="U2" s="15">
        <v>0</v>
      </c>
      <c r="V2" s="15">
        <v>23.65</v>
      </c>
      <c r="W2" s="15">
        <v>0</v>
      </c>
      <c r="X2" s="15">
        <v>0</v>
      </c>
      <c r="Y2" s="15">
        <v>1.92</v>
      </c>
      <c r="Z2" s="15">
        <v>0</v>
      </c>
      <c r="AA2" s="15">
        <v>323.61</v>
      </c>
      <c r="AB2" s="15">
        <v>-126.51</v>
      </c>
      <c r="AC2" s="15">
        <v>51.25</v>
      </c>
      <c r="AD2" s="15">
        <v>-177.76</v>
      </c>
      <c r="AE2" s="15">
        <v>0</v>
      </c>
      <c r="AF2" s="15">
        <v>-177.76</v>
      </c>
      <c r="AG2" s="17">
        <v>-0.90189999999999992</v>
      </c>
      <c r="AH2" s="15"/>
    </row>
    <row r="3" spans="1:34" s="1" customFormat="1" ht="12" customHeight="1" x14ac:dyDescent="0.3">
      <c r="A3" s="13">
        <v>305222</v>
      </c>
      <c r="B3" s="12" t="s">
        <v>616</v>
      </c>
      <c r="C3" s="14">
        <v>46304</v>
      </c>
      <c r="D3" s="14">
        <v>46304</v>
      </c>
      <c r="E3" s="12"/>
      <c r="F3" s="15" t="s">
        <v>626</v>
      </c>
      <c r="G3" s="15" t="s">
        <v>627</v>
      </c>
      <c r="H3" s="15" t="s">
        <v>628</v>
      </c>
      <c r="I3" s="16">
        <v>952626.7</v>
      </c>
      <c r="J3" s="15" t="s">
        <v>620</v>
      </c>
      <c r="K3" s="15" t="s">
        <v>621</v>
      </c>
      <c r="L3" s="15" t="s">
        <v>629</v>
      </c>
      <c r="M3" s="16">
        <v>8625</v>
      </c>
      <c r="N3" s="15">
        <v>2557</v>
      </c>
      <c r="O3" s="16">
        <v>5285.45</v>
      </c>
      <c r="P3" s="15" t="s">
        <v>630</v>
      </c>
      <c r="Q3" s="15">
        <v>0</v>
      </c>
      <c r="R3" s="15" t="s">
        <v>630</v>
      </c>
      <c r="S3" s="15">
        <v>0</v>
      </c>
      <c r="T3" s="15" t="s">
        <v>625</v>
      </c>
      <c r="U3" s="15">
        <v>0</v>
      </c>
      <c r="V3" s="15">
        <v>1035</v>
      </c>
      <c r="W3" s="15">
        <v>0</v>
      </c>
      <c r="X3" s="15">
        <v>0</v>
      </c>
      <c r="Y3" s="15">
        <v>476.31</v>
      </c>
      <c r="Z3" s="15">
        <v>600</v>
      </c>
      <c r="AA3" s="16">
        <v>6074.29</v>
      </c>
      <c r="AB3" s="16">
        <v>2550.71</v>
      </c>
      <c r="AC3" s="15">
        <v>2242.5</v>
      </c>
      <c r="AD3" s="15">
        <v>308.20999999999998</v>
      </c>
      <c r="AE3" s="15">
        <v>0</v>
      </c>
      <c r="AF3" s="15">
        <v>308.20999999999998</v>
      </c>
      <c r="AG3" s="17">
        <v>3.5699999999999996E-2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8822.1</v>
      </c>
      <c r="F3" s="89"/>
      <c r="G3" s="90"/>
      <c r="H3" s="133">
        <f>'Resumo Detalhado'!C2</f>
        <v>5468.2</v>
      </c>
      <c r="I3" s="134"/>
      <c r="J3" s="135">
        <f>E3/H3</f>
        <v>1.6133462565378005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0.49710909090909089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4208.99</v>
      </c>
      <c r="F7" s="112"/>
      <c r="G7" s="112"/>
      <c r="H7" s="112"/>
      <c r="I7" s="112"/>
      <c r="J7" s="112">
        <f>E7/H3</f>
        <v>0.76972129768479569</v>
      </c>
      <c r="K7" s="112"/>
      <c r="L7" s="112"/>
      <c r="M7" s="130">
        <f>E7/E3</f>
        <v>0.47709615624397816</v>
      </c>
      <c r="N7" s="130"/>
      <c r="O7" s="130"/>
      <c r="P7" s="112">
        <f>E11+K11+Q11+E15+K15+Q15+E19+H19+K19</f>
        <v>8463.1739999999991</v>
      </c>
      <c r="Q7" s="112"/>
      <c r="R7" s="112"/>
      <c r="S7" s="112">
        <f>P7/H3</f>
        <v>1.5477074722943562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0.74978969313485244</v>
      </c>
      <c r="O11" s="90"/>
      <c r="P11" s="38"/>
      <c r="Q11" s="88">
        <f>'Resumo Detalhado'!D2</f>
        <v>108.99</v>
      </c>
      <c r="R11" s="90"/>
      <c r="S11" s="38"/>
      <c r="T11" s="88">
        <f>Q11/H3</f>
        <v>1.9931604549943308E-2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1058.6500000000001</v>
      </c>
      <c r="F15" s="119"/>
      <c r="G15" s="119"/>
      <c r="H15" s="119"/>
      <c r="I15" s="132"/>
      <c r="J15" s="38"/>
      <c r="K15" s="113">
        <f>'Resumo Detalhado'!K2+'Resumo Detalhado'!L2</f>
        <v>1411.5360000000001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478.23</v>
      </c>
      <c r="F19" s="120"/>
      <c r="G19" s="38"/>
      <c r="H19" s="122">
        <f>'Resumo Detalhado'!J2</f>
        <v>600</v>
      </c>
      <c r="I19" s="123"/>
      <c r="J19" s="38"/>
      <c r="K19" s="122">
        <f>'Resumo Detalhado'!L2</f>
        <v>705.76800000000003</v>
      </c>
      <c r="L19" s="123"/>
      <c r="M19" s="38"/>
      <c r="N19" s="121" t="s">
        <v>460</v>
      </c>
      <c r="O19" s="119"/>
      <c r="P19" s="119"/>
      <c r="Q19" s="119"/>
      <c r="R19" s="120"/>
      <c r="S19" s="121">
        <f>_xlfn.XLOOKUP(N19,Target!C:C,Target!D:D)</f>
        <v>4000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1770.4619999999995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0.20068487094909368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631</v>
      </c>
      <c r="F1" s="29"/>
    </row>
    <row r="2" spans="1:18" x14ac:dyDescent="0.3">
      <c r="B2" s="29">
        <f>SUM(B6:B5000)</f>
        <v>8822.1</v>
      </c>
      <c r="C2" s="29">
        <f>SUM(C6:C5000)</f>
        <v>5468.2</v>
      </c>
      <c r="D2" s="29">
        <f>SUM(D6:D5000)</f>
        <v>108.99</v>
      </c>
      <c r="E2" s="29">
        <f>SUM(E6:E5000)</f>
        <v>4100</v>
      </c>
      <c r="F2" s="29">
        <f>SUM(F6:F5000)</f>
        <v>0</v>
      </c>
      <c r="G2" s="29"/>
      <c r="H2" s="29">
        <f t="shared" ref="H2:P2" si="0">SUM(H6:H5000)</f>
        <v>1058.6500000000001</v>
      </c>
      <c r="I2" s="29">
        <f t="shared" si="0"/>
        <v>478.23</v>
      </c>
      <c r="J2" s="29">
        <f t="shared" si="0"/>
        <v>600</v>
      </c>
      <c r="K2" s="29">
        <f t="shared" si="0"/>
        <v>705.76800000000003</v>
      </c>
      <c r="L2" s="29">
        <f t="shared" si="0"/>
        <v>705.76800000000003</v>
      </c>
      <c r="M2" s="29">
        <f t="shared" si="0"/>
        <v>0</v>
      </c>
      <c r="N2" s="29">
        <f t="shared" si="0"/>
        <v>1770.4619999999995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304922</v>
      </c>
      <c r="B6" s="139">
        <v>197.1</v>
      </c>
      <c r="C6" s="140">
        <v>182.75</v>
      </c>
      <c r="D6" s="139">
        <v>108.99</v>
      </c>
      <c r="E6" s="139">
        <v>4100</v>
      </c>
      <c r="F6" s="139">
        <v>0</v>
      </c>
      <c r="G6" s="141">
        <v>21.354591577879248</v>
      </c>
      <c r="H6" s="139">
        <v>23.65</v>
      </c>
      <c r="I6" s="139">
        <v>1.92</v>
      </c>
      <c r="J6" s="139">
        <v>0</v>
      </c>
      <c r="K6" s="139">
        <v>15.768000000000001</v>
      </c>
      <c r="L6" s="139">
        <v>15.768000000000001</v>
      </c>
      <c r="M6" s="139">
        <v>0</v>
      </c>
      <c r="N6" s="139">
        <v>-4053.2280000000001</v>
      </c>
      <c r="O6" s="141">
        <v>-20.564322678843229</v>
      </c>
      <c r="Q6"/>
    </row>
    <row r="7" spans="1:18" s="31" customFormat="1" x14ac:dyDescent="0.3">
      <c r="A7" s="9" t="s">
        <v>627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305222</v>
      </c>
      <c r="B8" s="139">
        <v>8625</v>
      </c>
      <c r="C8" s="140">
        <v>5285.45</v>
      </c>
      <c r="D8" s="139">
        <v>0</v>
      </c>
      <c r="E8" s="139">
        <v>0</v>
      </c>
      <c r="F8" s="139">
        <v>0</v>
      </c>
      <c r="G8" s="141">
        <v>0</v>
      </c>
      <c r="H8" s="139">
        <v>1035</v>
      </c>
      <c r="I8" s="139">
        <v>476.31</v>
      </c>
      <c r="J8" s="139">
        <v>600</v>
      </c>
      <c r="K8" s="139">
        <v>690</v>
      </c>
      <c r="L8" s="139">
        <v>690</v>
      </c>
      <c r="M8" s="139">
        <v>0</v>
      </c>
      <c r="N8" s="139">
        <v>5823.69</v>
      </c>
      <c r="O8" s="141">
        <v>0.67521043478260867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631</v>
      </c>
    </row>
    <row r="2" spans="1:4" x14ac:dyDescent="0.3">
      <c r="B2" s="29">
        <f>SUM(B6:B5000)</f>
        <v>8625</v>
      </c>
      <c r="C2" s="29">
        <f>SUM(C6:C5000)</f>
        <v>5823.69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197.1</v>
      </c>
      <c r="C5" s="10">
        <v>-4053.2280000000001</v>
      </c>
    </row>
    <row r="6" spans="1:4" x14ac:dyDescent="0.3">
      <c r="A6" s="9" t="s">
        <v>627</v>
      </c>
      <c r="B6" s="139">
        <v>8625</v>
      </c>
      <c r="C6" s="139">
        <v>5823.69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2026-10-15T15:16:14Z</dcterms:modified>
  <cp:category/>
  <cp:contentStatus/>
</cp:coreProperties>
</file>