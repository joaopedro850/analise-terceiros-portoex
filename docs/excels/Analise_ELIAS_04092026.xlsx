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5A9F16C-0082-4B1D-B7BA-BAD2D29B54D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<sst xmlns="http://schemas.openxmlformats.org/spreadsheetml/2006/main" count="870" uniqueCount="597">
  <si>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</si>
  <si>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</si>
  <si>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</si>
  <si>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</si>
  <si>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</si>
  <si>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</si>
  <si>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</si>
  <si>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</si>
  <si>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</si>
  <si>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</si>
  <si>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</si>
  <si>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</si>
  <si>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</si>
  <si>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</si>
  <si>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</si>
  <si>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</si>
  <si>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</si>
  <si>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</si>
  <si>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</si>
  <si>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</si>
  <si>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</si>
  <si>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</si>
  <si>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</si>
  <si>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</si>
  <si>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</si>
  <si>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</si>
  <si>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</si>
  <si>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</si>
  <si>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</si>
  <si>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</si>
  <si>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</si>
  <si>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</si>
  <si>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</si>
  <si>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</si>
  <si>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</si>
  <si>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</si>
  <si>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</si>
  <si>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</si>
  <si>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</si>
  <si>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</si>
  <si>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</si>
  <si>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</si>
  <si>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</si>
  <si>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</si>
  <si>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</si>
  <si>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</si>
  <si>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</si>
  <si>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</si>
  <si>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</si>
  <si>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</si>
  <si>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</si>
  <si>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</si>
  <si>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</si>
  <si>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</si>
  <si>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</si>
  <si>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</si>
  <si>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</si>
  <si>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</si>
  <si>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</si>
  <si>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</si>
  <si>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</si>
  <si>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</si>
  <si>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</si>
  <si>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</si>
  <si>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</si>
  <si>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</si>
  <si>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</si>
  <si>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</si>
  <si>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</si>
  <si>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</si>
  <si>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</si>
  <si>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</si>
  <si>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</si>
  <si>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</si>
  <si>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</si>
  <si>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</si>
  <si>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</si>
  <si>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</si>
  <si>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</si>
  <si>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</si>
  <si>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</si>
  <si>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</si>
  <si>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</si>
  <si>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</si>
  <si>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</si>
  <si>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</si>
  <si>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</si>
  <si>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</si>
  <si>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</si>
  <si>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</si>
  <si>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</si>
  <si>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</si>
  <si>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</si>
  <si>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</si>
  <si>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</si>
  <si>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</si>
  <si>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</si>
  <si>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</si>
  <si>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</si>
  <si>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</si>
  <si>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</si>
  <si>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</si>
  <si>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</si>
  <si>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</si>
  <si>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</si>
  <si>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</si>
  <si>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</si>
  <si>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</si>
  <si>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</si>
  <si>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</si>
  <si>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</si>
  <si>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</si>
  <si>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</si>
  <si>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</si>
  <si>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</si>
  <si>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</si>
  <si>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</si>
  <si>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</si>
  <si>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</si>
  <si>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</si>
  <si>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</si>
  <si>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</si>
  <si>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</si>
  <si>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</si>
  <si>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</si>
  <si>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</si>
  <si>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</si>
  <si>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</si>
  <si>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</si>
  <si>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</si>
  <si>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</si>
  <si>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</si>
  <si>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</si>
  <si>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</si>
  <si>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</si>
  <si>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</si>
  <si>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</si>
  <si>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</si>
  <si>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</si>
  <si>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</si>
  <si>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</si>
  <si>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</si>
  <si>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</si>
  <si>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</si>
  <si>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</si>
  <si>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</si>
  <si>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</si>
  <si>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</si>
  <si>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</si>
  <si>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</si>
  <si>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</si>
  <si>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</si>
  <si>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</si>
  <si>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</si>
  <si>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</si>
  <si>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</si>
  <si>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</si>
  <si>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</si>
  <si>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</si>
  <si>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</si>
  <si>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</si>
  <si>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</si>
  <si>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</si>
  <si>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</si>
  <si>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</si>
  <si>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</si>
  <si>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</si>
  <si>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</si>
  <si>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</si>
  <si>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</si>
  <si>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</si>
  <si>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</si>
  <si>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</si>
  <si>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</si>
  <si>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</si>
  <si>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</si>
  <si>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</si>
  <si>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</si>
  <si>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</si>
  <si>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</si>
  <si>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</si>
  <si>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</si>
  <si>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</si>
  <si>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</si>
  <si>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</si>
  <si>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</si>
  <si>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</si>
  <si>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</si>
  <si>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</si>
  <si>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</si>
  <si>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</si>
  <si>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</si>
  <si>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</si>
  <si>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</si>
  <si>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</si>
  <si>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</si>
  <si>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</si>
  <si>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</si>
  <si>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</si>
  <si>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</si>
  <si>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</si>
  <si>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</si>
  <si>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</si>
  <si>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</si>
  <si>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</si>
  <si>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</si>
  <si>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</si>
  <si>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</si>
  <si>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</si>
  <si>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</si>
  <si>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</si>
  <si>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</si>
  <si>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</si>
  <si>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</si>
  <si>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</si>
  <si>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</si>
  <si>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</si>
  <si>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</si>
  <si>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</si>
  <si>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</si>
  <si>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</si>
  <si>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</si>
  <si>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</si>
  <si>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</si>
  <si>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</si>
  <si>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</si>
  <si>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</si>
  <si>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</si>
  <si>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</si>
  <si>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</si>
  <si>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</si>
  <si>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</si>
  <si>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</si>
  <si>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</si>
  <si>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</si>
  <si>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</si>
  <si>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</si>
  <si>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</si>
  <si>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</si>
  <si>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</si>
  <si>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</si>
  <si>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</si>
  <si>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</si>
  <si>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</si>
  <si>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</si>
  <si>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</si>
  <si>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</si>
  <si>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</si>
  <si>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</si>
  <si>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</si>
  <si>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</si>
  <si>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</si>
  <si>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</si>
  <si>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</si>
  <si>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</si>
  <si>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</si>
  <si>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</si>
  <si>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</si>
  <si>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</si>
  <si>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</si>
  <si>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</si>
  <si>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</si>
  <si>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</si>
  <si>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</si>
  <si>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</si>
  <si>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</si>
  <si>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</si>
  <si>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</si>
  <si>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</si>
  <si>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</si>
  <si>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</si>
  <si>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</si>
  <si>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</si>
  <si>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</si>
  <si>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</si>
  <si>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</si>
  <si>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</si>
  <si>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</si>
  <si>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</si>
  <si>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</si>
  <si>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</si>
  <si>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</si>
  <si>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</si>
  <si>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</si>
  <si>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</si>
  <si>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</si>
  <si>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</si>
  <si>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</si>
  <si>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</si>
  <si>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</si>
  <si>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</si>
  <si>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</si>
  <si>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</si>
  <si>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</si>
  <si>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</si>
  <si>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</si>
  <si>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</si>
  <si>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</si>
  <si>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</si>
  <si>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</si>
  <si>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</si>
  <si>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</si>
  <si>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</si>
  <si>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</si>
  <si>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</si>
  <si>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</si>
  <si>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</si>
  <si>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</si>
  <si>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</si>
  <si>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</si>
  <si>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</si>
  <si>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</si>
  <si>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</si>
  <si>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</si>
  <si>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</si>
  <si>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</si>
  <si>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</si>
  <si>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</si>
  <si>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</si>
  <si>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</si>
  <si>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</si>
  <si>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</si>
  <si>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</si>
  <si>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</si>
  <si>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</si>
  <si>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</si>
  <si>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</si>
  <si>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</si>
  <si>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</si>
  <si>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</si>
  <si>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</si>
  <si>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</si>
  <si>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</si>
  <si>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</si>
  <si>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</si>
  <si>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</si>
  <si>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</si>
  <si>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</si>
  <si>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</si>
  <si>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</si>
  <si>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</si>
  <si>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</si>
  <si>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</si>
  <si>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</si>
  <si>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</si>
  <si>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</si>
  <si>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</si>
  <si>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</si>
  <si>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</si>
  <si>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</si>
  <si>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</si>
  <si>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</si>
  <si>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</si>
  <si>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</si>
  <si>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</si>
  <si>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</si>
  <si>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</si>
  <si>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</si>
  <si>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</si>
  <si>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</si>
  <si>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</si>
  <si>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</si>
  <si>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</si>
  <si>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</si>
  <si>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</si>
  <si>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</si>
  <si>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</si>
  <si>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</si>
  <si>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</si>
  <si>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</si>
  <si>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</si>
  <si>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</si>
  <si>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</si>
  <si>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</si>
  <si>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</si>
  <si>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</si>
  <si>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</si>
  <si>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</si>
  <si>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</si>
  <si>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</si>
  <si>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</si>
  <si>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</si>
  <si>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</si>
  <si>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</si>
  <si>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</si>
  <si>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</si>
  <si>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</si>
  <si>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</si>
  <si>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</si>
  <si>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</si>
  <si>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</si>
  <si>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</si>
  <si>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</si>
  <si>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</si>
  <si>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</si>
  <si>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</si>
  <si>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</si>
  <si>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</si>
  <si>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</si>
  <si>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</si>
  <si>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</si>
  <si>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</si>
  <si>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</si>
  <si>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</si>
  <si>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</si>
  <si>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</si>
  <si>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</si>
  <si>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</si>
  <si>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</si>
  <si>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</si>
  <si>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</si>
  <si>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</si>
  <si>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</si>
  <si>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</si>
  <si>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</si>
  <si>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</si>
  <si>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</si>
  <si>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</si>
  <si>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</si>
  <si>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</si>
  <si>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</si>
  <si>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</si>
  <si>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</si>
  <si>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</si>
  <si>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</si>
  <si>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</si>
  <si>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</si>
  <si>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</si>
  <si>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</si>
  <si>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</si>
  <si>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</si>
  <si>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</si>
  <si>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</si>
  <si>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</si>
  <si>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</si>
  <si>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</si>
  <si>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</si>
  <si>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</si>
  <si>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</si>
  <si>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</si>
  <si>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</si>
  <si>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</si>
  <si>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</si>
  <si>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</si>
  <si>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</si>
  <si>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</si>
  <si>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</si>
  <si>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</si>
  <si>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</si>
  <si>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</si>
  <si>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</si>
  <si>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</si>
  <si>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</si>
  <si>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</si>
  <si>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</si>
  <si>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</si>
  <si>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</si>
  <si>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</si>
  <si>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</si>
  <si>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</si>
  <si>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</si>
  <si>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</si>
  <si>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</si>
  <si>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</si>
  <si>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</si>
  <si>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</si>
  <si>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</si>
  <si>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</si>
  <si>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</si>
  <si>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</si>
  <si>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</si>
  <si>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</si>
  <si>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</si>
  <si>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</si>
  <si>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</si>
  <si>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</si>
  <si>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</si>
  <si>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</si>
  <si>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</si>
  <si>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</si>
  <si>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</si>
  <si>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</si>
  <si>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</si>
  <si>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</si>
  <si>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</si>
  <si>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</si>
  <si>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</si>
  <si>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</si>
  <si>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</si>
  <si>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</si>
  <si>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</si>
  <si>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</si>
  <si>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</si>
  <si>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</si>
  <si>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</si>
  <si>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</si>
  <si>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</si>
  <si>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</si>
  <si>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</si>
  <si>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</si>
  <si>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</si>
  <si>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</si>
  <si>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</si>
  <si>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</si>
  <si>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</si>
  <si>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</si>
  <si>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</si>
  <si>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</si>
  <si>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</si>
  <si>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</si>
  <si>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</si>
  <si>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</si>
  <si>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</si>
  <si>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</si>
  <si>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</si>
  <si>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</si>
  <si>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</si>
  <si>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</si>
  <si>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</si>
  <si>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</si>
  <si>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</si>
  <si>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</si>
  <si>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</si>
  <si>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</si>
  <si>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</si>
  <si>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</si>
  <si>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</si>
  <si>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</si>
  <si>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</si>
  <si>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</si>
  <si>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</si>
  <si>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</si>
  <si>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</si>
  <si>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</si>
  <si>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</si>
  <si>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</si>
  <si>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</si>
  <si>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</si>
  <si>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</si>
  <si>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</si>
  <si>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</si>
  <si>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</si>
  <si>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</si>
  <si>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</si>
  <si>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</si>
  <si>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</si>
  <si>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</si>
  <si>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</si>
  <si>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</si>
  <si>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</si>
  <si>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</si>
  <si>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</si>
  <si>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</si>
  <si>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</si>
  <si>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</si>
  <si>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</si>
  <si>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</si>
  <si>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</si>
  <si>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</si>
  <si>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</si>
  <si>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</si>
  <si>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</si>
  <si>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</si>
  <si>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</si>
  <si>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</si>
  <si>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</si>
  <si>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</si>
  <si>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</si>
  <si>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</si>
  <si>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</si>
  <si>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</si>
  <si>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</si>
  <si>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</si>
  <si>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</si>
  <si>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</si>
  <si>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</si>
  <si>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</si>
  <si>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</si>
  <si>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</si>
  <si>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</si>
  <si>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202704-1</t>
  </si>
  <si>
    <t>BRAVA COMERCIO</t>
  </si>
  <si>
    <t>URIEL CORREA</t>
  </si>
  <si>
    <t>PERSONALIZADO_L</t>
  </si>
  <si>
    <t>CTE NORMAL</t>
  </si>
  <si>
    <t>NITEROI - RJ</t>
  </si>
  <si>
    <t>MARCIO DA SILVA PARAIBA</t>
  </si>
  <si>
    <t>INDEFINIDO</t>
  </si>
  <si>
    <t>202710-1</t>
  </si>
  <si>
    <t>CLICK HOME COME</t>
  </si>
  <si>
    <t>ASIA/MAURO MARQUES</t>
  </si>
  <si>
    <t>ECONOMICO_250</t>
  </si>
  <si>
    <t>GUARULHOS - SP</t>
  </si>
  <si>
    <t>PEX LOGISTICA INTEGRADA L</t>
  </si>
  <si>
    <t>Fiorino</t>
  </si>
  <si>
    <t>Florianopolis-Sc X Niteroi-Rjfiorino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</si>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</sst>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[Analise_ELIAS_04092026.xlsx]Resumo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BRAVA COMERCIO</c:v>
                </c:pt>
                <c:pt idx="1">
                  <c:v>CLICK HOME COME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5850</c:v>
                </c:pt>
                <c:pt idx="1">
                  <c:v>256.60000000000002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BRAVA COMERCIO</c:v>
                </c:pt>
                <c:pt idx="1">
                  <c:v>CLICK HOME COME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3347.82</c:v>
                </c:pt>
                <c:pt idx="1">
                  <c:v>-2535.3079999999995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[Analise_ELIAS_04092026.xlsx]Resumo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BRAVA COMERCIO</c:v>
                </c:pt>
                <c:pt idx="1">
                  <c:v>CLICK HOME COME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5850</c:v>
                </c:pt>
                <c:pt idx="1">
                  <c:v>256.60000000000002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BRAVA COMERCIO</c:v>
                </c:pt>
                <c:pt idx="1">
                  <c:v>CLICK HOME COME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3347.82</c:v>
                </c:pt>
                <c:pt idx="1">
                  <c:v>-2535.3079999999995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5.48979594907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796" count="8000">
        <n v="299787"/>
        <n v="29979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3T00:00:00" maxDate="2026-09-04T00:00:00"/>
    </cacheField>
    <cacheField name="DATA" numFmtId="14">
      <sharedItems containsNonDate="0" containsDate="1" containsString="0" containsBlank="1" minDate="2026-09-04T00:00:00" maxDate="2026-09-0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7">
        <s v="BRAVA COMERCIO"/>
        <s v="CLICK HOME COM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707.9" maxValue="45162.62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56.60000000000002" maxValue="5850"/>
    </cacheField>
    <cacheField name="VOLUMES" numFmtId="0">
      <sharedItems containsString="0" containsBlank="1" containsNumber="1" containsInteger="1" minValue="4" maxValue="50"/>
    </cacheField>
    <cacheField name="PESO" numFmtId="0">
      <sharedItems containsString="0" containsBlank="1" containsNumber="1" minValue="69.3" maxValue="317.5"/>
    </cacheField>
    <cacheField name="RESP. COLETA" numFmtId="0">
      <sharedItems containsBlank="1"/>
    </cacheField>
    <cacheField name="CUSTO COLETA" numFmtId="0">
      <sharedItems containsString="0" containsBlank="1" containsNumber="1" minValue="85.27" maxValue="577.37"/>
    </cacheField>
    <cacheField name="RESP. ENTREGA" numFmtId="0">
      <sharedItems containsBlank="1"/>
    </cacheField>
    <cacheField name="CUSTO ENTREGA" numFmtId="0">
      <sharedItems containsString="0" containsBlank="1" containsNumber="1" minValue="577.37" maxValue="2645.25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0.79" maxValue="70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35" maxValue="22.58"/>
    </cacheField>
    <cacheField name="OUTROS" numFmtId="0">
      <sharedItems containsString="0" containsBlank="1" containsNumber="1" minValue="0.42" maxValue="1.95"/>
    </cacheField>
    <cacheField name="C.TOTAL" numFmtId="0">
      <sharedItems containsString="0" containsBlank="1" containsNumber="1" minValue="1879.74" maxValue="2764.61"/>
    </cacheField>
    <cacheField name="RECEITA" numFmtId="0">
      <sharedItems containsString="0" containsBlank="1" containsNumber="1" minValue="-2508.0100000000002" maxValue="3970.26"/>
    </cacheField>
    <cacheField name="IMPOSTO" numFmtId="0">
      <sharedItems containsString="0" containsBlank="1" containsNumber="1" minValue="66.72" maxValue="1521"/>
    </cacheField>
    <cacheField name="RESULTADO" numFmtId="0">
      <sharedItems containsString="0" containsBlank="1" containsNumber="1" minValue="-2574.73" maxValue="2449.2600000000002"/>
    </cacheField>
    <cacheField name="COMIS" numFmtId="0">
      <sharedItems containsString="0" containsBlank="1" containsNumber="1" minValue="6.77" maxValue="154.44"/>
    </cacheField>
    <cacheField name="LUCRO LIQ" numFmtId="0">
      <sharedItems containsString="0" containsBlank="1" containsNumber="1" minValue="-2581.5" maxValue="2294.8200000000002"/>
    </cacheField>
    <cacheField name="MARGEM" numFmtId="10">
      <sharedItems containsString="0" containsBlank="1" containsNumber="1" minValue="-10.0604" maxValue="0.3922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3T00:00:00"/>
    <d v="2026-09-04T00:00:00"/>
    <m/>
    <s v="202704-1"/>
    <x v="0"/>
    <s v="URIEL CORREA"/>
    <n v="45162.62"/>
    <x v="0"/>
    <s v="CTE NORMAL"/>
    <s v="NITEROI - RJ"/>
    <n v="5850"/>
    <n v="4"/>
    <n v="69.3"/>
    <s v="MARCIO DA SILVA PARAIBA"/>
    <n v="577.37"/>
    <s v="MARCIO DA SILVA PARAIBA"/>
    <n v="577.37"/>
    <s v="INDEFINIDO"/>
    <n v="0"/>
    <n v="702"/>
    <n v="0"/>
    <n v="0"/>
    <n v="22.58"/>
    <n v="0.42"/>
    <n v="1879.74"/>
    <n v="3970.26"/>
    <n v="1521"/>
    <n v="2449.2600000000002"/>
    <n v="154.44"/>
    <n v="2294.8200000000002"/>
    <n v="0.39229999999999998"/>
    <m/>
  </r>
  <r>
    <x v="1"/>
    <s v="MATRIZ"/>
    <d v="2026-09-03T00:00:00"/>
    <d v="2026-09-04T00:00:00"/>
    <m/>
    <s v="202710-1"/>
    <x v="1"/>
    <s v="ASIA/MAURO MARQUES"/>
    <n v="2707.9"/>
    <x v="1"/>
    <s v="CTE NORMAL"/>
    <s v="GUARULHOS - SP"/>
    <n v="256.60000000000002"/>
    <n v="50"/>
    <n v="317.5"/>
    <s v="PEX LOGISTICA INTEGRADA L"/>
    <n v="85.27"/>
    <s v="MARCIO DA SILVA PARAIBA"/>
    <n v="2645.25"/>
    <s v="INDEFINIDO"/>
    <n v="0"/>
    <n v="30.79"/>
    <n v="0"/>
    <n v="0"/>
    <n v="1.35"/>
    <n v="1.95"/>
    <n v="2764.61"/>
    <n v="-2508.0100000000002"/>
    <n v="66.72"/>
    <n v="-2574.73"/>
    <n v="6.77"/>
    <n v="-2581.5"/>
    <n v="-10.0604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7">
        <item sd="0" m="1" x="820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4"/>
        <item m="1" x="21"/>
        <item m="1" x="759"/>
        <item m="1" x="113"/>
        <item m="1" x="546"/>
        <item m="1" x="830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1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2"/>
        <item m="1" x="323"/>
        <item m="1" x="462"/>
        <item m="1" x="507"/>
        <item sd="0" m="1" x="555"/>
        <item m="1" x="478"/>
        <item sd="0" m="1" x="245"/>
        <item m="1" x="850"/>
        <item m="1" x="834"/>
        <item m="1" x="744"/>
        <item m="1" x="241"/>
        <item m="1" x="240"/>
        <item m="1" x="463"/>
        <item m="1" x="287"/>
        <item m="1" x="551"/>
        <item m="1" x="847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7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8"/>
        <item m="1" x="249"/>
        <item sd="0" m="1" x="765"/>
        <item m="1" x="426"/>
        <item m="1" x="437"/>
        <item m="1" x="168"/>
        <item m="1" x="544"/>
        <item m="1" x="808"/>
        <item sd="0" m="1" x="622"/>
        <item m="1" x="5"/>
        <item m="1" x="772"/>
        <item x="0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6"/>
        <item m="1" x="397"/>
        <item m="1" x="259"/>
        <item m="1" x="378"/>
        <item m="1" x="851"/>
        <item x="1"/>
        <item sd="0" m="1" x="649"/>
        <item m="1" x="855"/>
        <item sd="0" m="1" x="831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2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5"/>
        <item m="1" x="563"/>
        <item m="1" x="560"/>
        <item m="1" x="430"/>
        <item m="1" x="716"/>
        <item m="1" x="506"/>
        <item m="1" x="174"/>
        <item m="1" x="629"/>
        <item m="1" x="376"/>
        <item m="1" x="809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8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3"/>
        <item m="1" x="766"/>
        <item m="1" x="510"/>
        <item m="1" x="823"/>
        <item m="1" x="342"/>
        <item m="1" x="224"/>
        <item m="1" x="65"/>
        <item m="1" x="637"/>
        <item m="1" x="459"/>
        <item m="1" x="792"/>
        <item m="1" x="705"/>
        <item m="1" x="235"/>
        <item m="1" x="599"/>
        <item m="1" x="44"/>
        <item sd="0" m="1" x="845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1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4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7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9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2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9"/>
        <item m="1" x="70"/>
        <item m="1" x="119"/>
        <item m="1" x="647"/>
        <item m="1" x="412"/>
        <item m="1" x="856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2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40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1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6"/>
        <item m="1" x="789"/>
        <item m="1" x="29"/>
        <item m="1" x="784"/>
        <item m="1" x="254"/>
        <item m="1" x="476"/>
        <item m="1" x="814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5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6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5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9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3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2"/>
        <item m="1" x="496"/>
        <item m="1" x="396"/>
        <item m="1" x="672"/>
        <item m="1" x="186"/>
        <item sd="0" m="1" x="410"/>
        <item m="1" x="475"/>
        <item m="1" x="839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3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10"/>
        <item m="1" x="818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6"/>
        <item m="1" x="36"/>
        <item m="1" x="312"/>
        <item m="1" x="827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3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4"/>
        <item m="1" x="838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27"/>
    </i>
    <i r="1">
      <x v="7998"/>
    </i>
    <i>
      <x v="161"/>
    </i>
    <i r="1">
      <x v="7999"/>
    </i>
    <i>
      <x v="856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8"/>
            <x v="148"/>
            <x v="169"/>
            <x v="195"/>
            <x v="254"/>
            <x v="260"/>
            <x v="264"/>
            <x v="292"/>
            <x v="294"/>
            <x v="296"/>
            <x v="310"/>
            <x v="311"/>
            <x v="343"/>
            <x v="344"/>
            <x v="352"/>
            <x v="403"/>
            <x v="437"/>
            <x v="462"/>
            <x v="486"/>
            <x v="507"/>
            <x v="531"/>
            <x v="535"/>
            <x v="578"/>
            <x v="631"/>
            <x v="641"/>
            <x v="673"/>
            <x v="682"/>
            <x v="695"/>
            <x v="713"/>
            <x v="720"/>
            <x v="722"/>
            <x v="736"/>
            <x v="738"/>
            <x v="748"/>
            <x v="758"/>
            <x v="760"/>
            <x v="766"/>
            <x v="778"/>
            <x v="815"/>
            <x v="818"/>
            <x v="83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5"/>
            <x v="240"/>
            <x v="241"/>
            <x v="269"/>
            <x v="278"/>
            <x v="288"/>
            <x v="295"/>
            <x v="299"/>
            <x v="307"/>
            <x v="331"/>
            <x v="339"/>
            <x v="349"/>
            <x v="371"/>
            <x v="389"/>
            <x v="392"/>
            <x v="395"/>
            <x v="409"/>
            <x v="423"/>
            <x v="444"/>
            <x v="490"/>
            <x v="494"/>
            <x v="501"/>
            <x v="542"/>
            <x v="550"/>
            <x v="565"/>
            <x v="612"/>
            <x v="615"/>
            <x v="624"/>
            <x v="636"/>
            <x v="652"/>
            <x v="699"/>
            <x v="703"/>
            <x v="723"/>
            <x v="763"/>
            <x v="783"/>
            <x v="785"/>
            <x v="788"/>
            <x v="793"/>
            <x v="801"/>
            <x v="802"/>
            <x v="803"/>
            <x v="805"/>
          </reference>
        </references>
      </pivotArea>
    </format>
    <format dxfId="24">
      <pivotArea dataOnly="0" labelOnly="1" fieldPosition="0">
        <references count="1">
          <reference field="6" count="2">
            <x v="135"/>
            <x v="177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7">
        <item sd="0" m="1" x="820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4"/>
        <item m="1" x="21"/>
        <item m="1" x="759"/>
        <item m="1" x="113"/>
        <item m="1" x="546"/>
        <item m="1" x="830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1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2"/>
        <item m="1" x="323"/>
        <item m="1" x="462"/>
        <item m="1" x="507"/>
        <item sd="0" m="1" x="555"/>
        <item m="1" x="478"/>
        <item sd="0" m="1" x="245"/>
        <item m="1" x="850"/>
        <item m="1" x="834"/>
        <item m="1" x="744"/>
        <item m="1" x="241"/>
        <item m="1" x="240"/>
        <item m="1" x="463"/>
        <item m="1" x="287"/>
        <item m="1" x="551"/>
        <item m="1" x="847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7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8"/>
        <item m="1" x="249"/>
        <item sd="0" m="1" x="765"/>
        <item m="1" x="426"/>
        <item m="1" x="437"/>
        <item m="1" x="168"/>
        <item m="1" x="544"/>
        <item m="1" x="808"/>
        <item sd="0" m="1" x="622"/>
        <item m="1" x="5"/>
        <item m="1" x="772"/>
        <item x="0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6"/>
        <item m="1" x="397"/>
        <item m="1" x="259"/>
        <item m="1" x="378"/>
        <item m="1" x="851"/>
        <item x="1"/>
        <item sd="0" m="1" x="649"/>
        <item m="1" x="855"/>
        <item sd="0" m="1" x="831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2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5"/>
        <item m="1" x="563"/>
        <item m="1" x="560"/>
        <item m="1" x="430"/>
        <item m="1" x="716"/>
        <item m="1" x="506"/>
        <item m="1" x="174"/>
        <item m="1" x="629"/>
        <item m="1" x="376"/>
        <item m="1" x="809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8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3"/>
        <item m="1" x="766"/>
        <item m="1" x="510"/>
        <item m="1" x="823"/>
        <item m="1" x="342"/>
        <item m="1" x="224"/>
        <item m="1" x="65"/>
        <item m="1" x="637"/>
        <item m="1" x="459"/>
        <item m="1" x="792"/>
        <item sd="0" m="1" x="705"/>
        <item m="1" x="235"/>
        <item m="1" x="599"/>
        <item m="1" x="44"/>
        <item sd="0" m="1" x="845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1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4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7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9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2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9"/>
        <item m="1" x="70"/>
        <item m="1" x="119"/>
        <item m="1" x="647"/>
        <item m="1" x="412"/>
        <item m="1" x="856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2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40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1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6"/>
        <item m="1" x="789"/>
        <item m="1" x="29"/>
        <item m="1" x="784"/>
        <item m="1" x="254"/>
        <item m="1" x="476"/>
        <item m="1" x="814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5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6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5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9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3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2"/>
        <item m="1" x="496"/>
        <item m="1" x="396"/>
        <item m="1" x="672"/>
        <item m="1" x="186"/>
        <item sd="0" m="1" x="410"/>
        <item m="1" x="475"/>
        <item m="1" x="839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3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10"/>
        <item m="1" x="818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6"/>
        <item m="1" x="36"/>
        <item m="1" x="312"/>
        <item m="1" x="827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3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4"/>
        <item m="1" x="838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7"/>
    </i>
    <i>
      <x v="161"/>
    </i>
    <i>
      <x v="85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8"/>
            <x v="148"/>
            <x v="169"/>
            <x v="195"/>
            <x v="254"/>
            <x v="260"/>
            <x v="264"/>
            <x v="292"/>
            <x v="294"/>
            <x v="296"/>
            <x v="310"/>
            <x v="311"/>
            <x v="343"/>
            <x v="344"/>
            <x v="352"/>
            <x v="403"/>
            <x v="437"/>
            <x v="462"/>
            <x v="486"/>
            <x v="507"/>
            <x v="531"/>
            <x v="535"/>
            <x v="578"/>
            <x v="631"/>
            <x v="641"/>
            <x v="673"/>
            <x v="682"/>
            <x v="695"/>
            <x v="713"/>
            <x v="720"/>
            <x v="722"/>
            <x v="736"/>
            <x v="738"/>
            <x v="748"/>
            <x v="758"/>
            <x v="760"/>
            <x v="766"/>
            <x v="778"/>
            <x v="815"/>
            <x v="818"/>
            <x v="83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5"/>
            <x v="240"/>
            <x v="241"/>
            <x v="269"/>
            <x v="278"/>
            <x v="288"/>
            <x v="295"/>
            <x v="299"/>
            <x v="307"/>
            <x v="331"/>
            <x v="339"/>
            <x v="349"/>
            <x v="371"/>
            <x v="389"/>
            <x v="392"/>
            <x v="395"/>
            <x v="409"/>
            <x v="423"/>
            <x v="444"/>
            <x v="490"/>
            <x v="494"/>
            <x v="501"/>
            <x v="542"/>
            <x v="550"/>
            <x v="565"/>
            <x v="612"/>
            <x v="615"/>
            <x v="624"/>
            <x v="636"/>
            <x v="652"/>
            <x v="699"/>
            <x v="703"/>
            <x v="723"/>
            <x v="763"/>
            <x v="783"/>
            <x v="785"/>
            <x v="788"/>
            <x v="793"/>
            <x v="801"/>
            <x v="802"/>
            <x v="803"/>
            <x v="805"/>
          </reference>
        </references>
      </pivotArea>
    </format>
    <format dxfId="12">
      <pivotArea dataOnly="0" labelOnly="1" fieldPosition="0">
        <references count="1">
          <reference field="6" count="2">
            <x v="135"/>
            <x v="177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5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8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6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9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7">
        <i x="0" s="1"/>
        <i x="1" s="1"/>
        <i x="2" s="1"/>
        <i x="820" s="1" nd="1"/>
        <i x="764" s="1" nd="1"/>
        <i x="796" s="1" nd="1"/>
        <i x="545" s="1" nd="1"/>
        <i x="150" s="1" nd="1"/>
        <i x="188" s="1" nd="1"/>
        <i x="274" s="1" nd="1"/>
        <i x="12" s="1" nd="1"/>
        <i x="763" s="1" nd="1"/>
        <i x="393" s="1" nd="1"/>
        <i x="714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4" s="1" nd="1"/>
        <i x="21" s="1" nd="1"/>
        <i x="759" s="1" nd="1"/>
        <i x="113" s="1" nd="1"/>
        <i x="546" s="1" nd="1"/>
        <i x="830" s="1" nd="1"/>
        <i x="271" s="1" nd="1"/>
        <i x="480" s="1" nd="1"/>
        <i x="774" s="1" nd="1"/>
        <i x="267" s="1" nd="1"/>
        <i x="344" s="1" nd="1"/>
        <i x="678" s="1" nd="1"/>
        <i x="802" s="1" nd="1"/>
        <i x="77" s="1" nd="1"/>
        <i x="48" s="1" nd="1"/>
        <i x="670" s="1" nd="1"/>
        <i x="662" s="1" nd="1"/>
        <i x="470" s="1" nd="1"/>
        <i x="45" s="1" nd="1"/>
        <i x="732" s="1" nd="1"/>
        <i x="691" s="1" nd="1"/>
        <i x="217" s="1" nd="1"/>
        <i x="477" s="1" nd="1"/>
        <i x="635" s="1" nd="1"/>
        <i x="447" s="1" nd="1"/>
        <i x="811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2" s="1" nd="1"/>
        <i x="323" s="1" nd="1"/>
        <i x="462" s="1" nd="1"/>
        <i x="507" s="1" nd="1"/>
        <i x="555" s="1" nd="1"/>
        <i x="478" s="1" nd="1"/>
        <i x="245" s="1" nd="1"/>
        <i x="850" s="1" nd="1"/>
        <i x="834" s="1" nd="1"/>
        <i x="744" s="1" nd="1"/>
        <i x="241" s="1" nd="1"/>
        <i x="240" s="1" nd="1"/>
        <i x="463" s="1" nd="1"/>
        <i x="287" s="1" nd="1"/>
        <i x="551" s="1" nd="1"/>
        <i x="847" s="1" nd="1"/>
        <i x="446" s="1" nd="1"/>
        <i x="531" s="1" nd="1"/>
        <i x="667" s="1" nd="1"/>
        <i x="520" s="1" nd="1"/>
        <i x="794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4" s="1" nd="1"/>
        <i x="787" s="1" nd="1"/>
        <i x="184" s="1" nd="1"/>
        <i x="837" s="1" nd="1"/>
        <i x="713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8" s="1" nd="1"/>
        <i x="422" s="1" nd="1"/>
        <i x="81" s="1" nd="1"/>
        <i x="698" s="1" nd="1"/>
        <i x="285" s="1" nd="1"/>
        <i x="848" s="1" nd="1"/>
        <i x="249" s="1" nd="1"/>
        <i x="765" s="1" nd="1"/>
        <i x="426" s="1" nd="1"/>
        <i x="437" s="1" nd="1"/>
        <i x="168" s="1" nd="1"/>
        <i x="544" s="1" nd="1"/>
        <i x="808" s="1" nd="1"/>
        <i x="622" s="1" nd="1"/>
        <i x="5" s="1" nd="1"/>
        <i x="772" s="1" nd="1"/>
        <i x="15" s="1" nd="1"/>
        <i x="741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9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5" s="1" nd="1"/>
        <i x="757" s="1" nd="1"/>
        <i x="121" s="1" nd="1"/>
        <i x="391" s="1" nd="1"/>
        <i x="89" s="1" nd="1"/>
        <i x="383" s="1" nd="1"/>
        <i x="816" s="1" nd="1"/>
        <i x="397" s="1" nd="1"/>
        <i x="259" s="1" nd="1"/>
        <i x="378" s="1" nd="1"/>
        <i x="851" s="1" nd="1"/>
        <i x="649" s="1" nd="1"/>
        <i x="855" s="1" nd="1"/>
        <i x="831" s="1" nd="1"/>
        <i x="107" s="1" nd="1"/>
        <i x="402" s="1" nd="1"/>
        <i x="115" s="1" nd="1"/>
        <i x="654" s="1" nd="1"/>
        <i x="658" s="1" nd="1"/>
        <i x="797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2" s="1" nd="1"/>
        <i x="458" s="1" nd="1"/>
        <i x="479" s="1" nd="1"/>
        <i x="752" s="1" nd="1"/>
        <i x="640" s="1" nd="1"/>
        <i x="54" s="1" nd="1"/>
        <i x="795" s="1" nd="1"/>
        <i x="718" s="1" nd="1"/>
        <i x="418" s="1" nd="1"/>
        <i x="736" s="1" nd="1"/>
        <i x="815" s="1" nd="1"/>
        <i x="563" s="1" nd="1"/>
        <i x="560" s="1" nd="1"/>
        <i x="430" s="1" nd="1"/>
        <i x="716" s="1" nd="1"/>
        <i x="506" s="1" nd="1"/>
        <i x="174" s="1" nd="1"/>
        <i x="629" s="1" nd="1"/>
        <i x="376" s="1" nd="1"/>
        <i x="809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800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5" s="1" nd="1"/>
        <i x="581" s="1" nd="1"/>
        <i x="519" s="1" nd="1"/>
        <i x="799" s="1" nd="1"/>
        <i x="166" s="1" nd="1"/>
        <i x="828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710" s="1" nd="1"/>
        <i x="211" s="1" nd="1"/>
        <i x="440" s="1" nd="1"/>
        <i x="103" s="1" nd="1"/>
        <i x="197" s="1" nd="1"/>
        <i x="833" s="1" nd="1"/>
        <i x="766" s="1" nd="1"/>
        <i x="510" s="1" nd="1"/>
        <i x="823" s="1" nd="1"/>
        <i x="342" s="1" nd="1"/>
        <i x="224" s="1" nd="1"/>
        <i x="65" s="1" nd="1"/>
        <i x="637" s="1" nd="1"/>
        <i x="459" s="1" nd="1"/>
        <i x="792" s="1" nd="1"/>
        <i x="705" s="1" nd="1"/>
        <i x="235" s="1" nd="1"/>
        <i x="599" s="1" nd="1"/>
        <i x="44" s="1" nd="1"/>
        <i x="845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40" s="1" nd="1"/>
        <i x="518" s="1" nd="1"/>
        <i x="387" s="1" nd="1"/>
        <i x="547" s="1" nd="1"/>
        <i x="214" s="1" nd="1"/>
        <i x="416" s="1" nd="1"/>
        <i x="420" s="1" nd="1"/>
        <i x="804" s="1" nd="1"/>
        <i x="42" s="1" nd="1"/>
        <i x="807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3" s="1" nd="1"/>
        <i x="144" s="1" nd="1"/>
        <i x="668" s="1" nd="1"/>
        <i x="841" s="1" nd="1"/>
        <i x="39" s="1" nd="1"/>
        <i x="384" s="1" nd="1"/>
        <i x="591" s="1" nd="1"/>
        <i x="749" s="1" nd="1"/>
        <i x="270" s="1" nd="1"/>
        <i x="18" s="1" nd="1"/>
        <i x="639" s="1" nd="1"/>
        <i x="390" s="1" nd="1"/>
        <i x="481" s="1" nd="1"/>
        <i x="345" s="1" nd="1"/>
        <i x="739" s="1" nd="1"/>
        <i x="246" s="1" nd="1"/>
        <i x="262" s="1" nd="1"/>
        <i x="275" s="1" nd="1"/>
        <i x="824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1" s="1" nd="1"/>
        <i x="692" s="1" nd="1"/>
        <i x="22" s="1" nd="1"/>
        <i x="729" s="1" nd="1"/>
        <i x="782" s="1" nd="1"/>
        <i x="641" s="1" nd="1"/>
        <i x="330" s="1" nd="1"/>
        <i x="369" s="1" nd="1"/>
        <i x="817" s="1" nd="1"/>
        <i x="778" s="1" nd="1"/>
        <i x="145" s="1" nd="1"/>
        <i x="499" s="1" nd="1"/>
        <i x="468" s="1" nd="1"/>
        <i x="141" s="1" nd="1"/>
        <i x="758" s="1" nd="1"/>
        <i x="149" s="1" nd="1"/>
        <i x="225" s="1" nd="1"/>
        <i x="722" s="1" nd="1"/>
        <i x="557" s="1" nd="1"/>
        <i x="117" s="1" nd="1"/>
        <i x="377" s="1" nd="1"/>
        <i x="720" s="1" nd="1"/>
        <i x="128" s="1" nd="1"/>
        <i x="34" s="1" nd="1"/>
        <i x="303" s="1" nd="1"/>
        <i x="550" s="1" nd="1"/>
        <i x="61" s="1" nd="1"/>
        <i x="453" s="1" nd="1"/>
        <i x="776" s="1" nd="1"/>
        <i x="486" s="1" nd="1"/>
        <i x="742" s="1" nd="1"/>
        <i x="455" s="1" nd="1"/>
        <i x="522" s="1" nd="1"/>
        <i x="163" s="1" nd="1"/>
        <i x="405" s="1" nd="1"/>
        <i x="743" s="1" nd="1"/>
        <i x="195" s="1" nd="1"/>
        <i x="748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70" s="1" nd="1"/>
        <i x="806" s="1" nd="1"/>
        <i x="92" s="1" nd="1"/>
        <i x="574" s="1" nd="1"/>
        <i x="158" s="1" nd="1"/>
        <i x="562" s="1" nd="1"/>
        <i x="46" s="1" nd="1"/>
        <i x="725" s="1" nd="1"/>
        <i x="750" s="1" nd="1"/>
        <i x="745" s="1" nd="1"/>
        <i x="849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7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2" s="1" nd="1"/>
        <i x="3" s="1" nd="1"/>
        <i x="273" s="1" nd="1"/>
        <i x="76" s="1" nd="1"/>
        <i x="131" s="1" nd="1"/>
        <i x="656" s="1" nd="1"/>
        <i x="723" s="1" nd="1"/>
        <i x="643" s="1" nd="1"/>
        <i x="232" s="1" nd="1"/>
        <i x="374" s="1" nd="1"/>
        <i x="737" s="1" nd="1"/>
        <i x="133" s="1" nd="1"/>
        <i x="87" s="1" nd="1"/>
        <i x="210" s="1" nd="1"/>
        <i x="683" s="1" nd="1"/>
        <i x="276" s="1" nd="1"/>
        <i x="473" s="1" nd="1"/>
        <i x="801" s="1" nd="1"/>
        <i x="218" s="1" nd="1"/>
        <i x="829" s="1" nd="1"/>
        <i x="70" s="1" nd="1"/>
        <i x="119" s="1" nd="1"/>
        <i x="647" s="1" nd="1"/>
        <i x="412" s="1" nd="1"/>
        <i x="856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90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2" s="1" nd="1"/>
        <i x="605" s="1" nd="1"/>
        <i x="32" s="1" nd="1"/>
        <i x="269" s="1" nd="1"/>
        <i x="753" s="1" nd="1"/>
        <i x="372" s="1" nd="1"/>
        <i x="247" s="1" nd="1"/>
        <i x="399" s="1" nd="1"/>
        <i x="483" s="1" nd="1"/>
        <i x="339" s="1" nd="1"/>
        <i x="614" s="1" nd="1"/>
        <i x="674" s="1" nd="1"/>
        <i x="840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1" s="1" nd="1"/>
        <i x="170" s="1" nd="1"/>
        <i x="711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6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2" s="1" nd="1"/>
        <i x="536" s="1" nd="1"/>
        <i x="646" s="1" nd="1"/>
        <i x="611" s="1" nd="1"/>
        <i x="836" s="1" nd="1"/>
        <i x="789" s="1" nd="1"/>
        <i x="29" s="1" nd="1"/>
        <i x="784" s="1" nd="1"/>
        <i x="254" s="1" nd="1"/>
        <i x="476" s="1" nd="1"/>
        <i x="814" s="1" nd="1"/>
        <i x="465" s="1" nd="1"/>
        <i x="747" s="1" nd="1"/>
        <i x="650" s="1" nd="1"/>
        <i x="777" s="1" nd="1"/>
        <i x="72" s="1" nd="1"/>
        <i x="715" s="1" nd="1"/>
        <i x="575" s="1" nd="1"/>
        <i x="185" s="1" nd="1"/>
        <i x="719" s="1" nd="1"/>
        <i x="112" s="1" nd="1"/>
        <i x="255" s="1" nd="1"/>
        <i x="513" s="1" nd="1"/>
        <i x="96" s="1" nd="1"/>
        <i x="524" s="1" nd="1"/>
        <i x="791" s="1" nd="1"/>
        <i x="20" s="1" nd="1"/>
        <i x="539" s="1" nd="1"/>
        <i x="638" s="1" nd="1"/>
        <i x="577" s="1" nd="1"/>
        <i x="198" s="1" nd="1"/>
        <i x="576" s="1" nd="1"/>
        <i x="366" s="1" nd="1"/>
        <i x="825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3" s="1" nd="1"/>
        <i x="485" s="1" nd="1"/>
        <i x="314" s="1" nd="1"/>
        <i x="348" s="1" nd="1"/>
        <i x="283" s="1" nd="1"/>
        <i x="324" s="1" nd="1"/>
        <i x="846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3" s="1" nd="1"/>
        <i x="585" s="1" nd="1"/>
        <i x="751" s="1" nd="1"/>
        <i x="724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5" s="1" nd="1"/>
        <i x="793" s="1" nd="1"/>
        <i x="201" s="1" nd="1"/>
        <i x="152" s="1" nd="1"/>
        <i x="237" s="1" nd="1"/>
        <i x="504" s="1" nd="1"/>
        <i x="788" s="1" nd="1"/>
        <i x="260" s="1" nd="1"/>
        <i x="754" s="1" nd="1"/>
        <i x="129" s="1" nd="1"/>
        <i x="212" s="1" nd="1"/>
        <i x="835" s="1" nd="1"/>
        <i x="587" s="1" nd="1"/>
        <i x="798" s="1" nd="1"/>
        <i x="728" s="1" nd="1"/>
        <i x="413" s="1" nd="1"/>
        <i x="26" s="1" nd="1"/>
        <i x="343" s="1" nd="1"/>
        <i x="491" s="1" nd="1"/>
        <i x="512" s="1" nd="1"/>
        <i x="771" s="1" nd="1"/>
        <i x="721" s="1" nd="1"/>
        <i x="762" s="1" nd="1"/>
        <i x="521" s="1" nd="1"/>
        <i x="644" s="1" nd="1"/>
        <i x="289" s="1" nd="1"/>
        <i x="181" s="1" nd="1"/>
        <i x="335" s="1" nd="1"/>
        <i x="819" s="1" nd="1"/>
        <i x="612" s="1" nd="1"/>
        <i x="589" s="1" nd="1"/>
        <i x="257" s="1" nd="1"/>
        <i x="552" s="1" nd="1"/>
        <i x="105" s="1" nd="1"/>
        <i x="88" s="1" nd="1"/>
        <i x="756" s="1" nd="1"/>
        <i x="156" s="1" nd="1"/>
        <i x="234" s="1" nd="1"/>
        <i x="239" s="1" nd="1"/>
        <i x="467" s="1" nd="1"/>
        <i x="708" s="1" nd="1"/>
        <i x="621" s="1" nd="1"/>
        <i x="733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5" s="1" nd="1"/>
        <i x="726" s="1" nd="1"/>
        <i x="843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9" s="1" nd="1"/>
        <i x="395" s="1" nd="1"/>
        <i x="401" s="1" nd="1"/>
        <i x="706" s="1" nd="1"/>
        <i x="404" s="1" nd="1"/>
        <i x="832" s="1" nd="1"/>
        <i x="496" s="1" nd="1"/>
        <i x="396" s="1" nd="1"/>
        <i x="672" s="1" nd="1"/>
        <i x="186" s="1" nd="1"/>
        <i x="410" s="1" nd="1"/>
        <i x="475" s="1" nd="1"/>
        <i x="839" s="1" nd="1"/>
        <i x="126" s="1" nd="1"/>
        <i x="153" s="1" nd="1"/>
        <i x="595" s="1" nd="1"/>
        <i x="780" s="1" nd="1"/>
        <i x="613" s="1" nd="1"/>
        <i x="561" s="1" nd="1"/>
        <i x="309" s="1" nd="1"/>
        <i x="655" s="1" nd="1"/>
        <i x="727" s="1" nd="1"/>
        <i x="406" s="1" nd="1"/>
        <i x="746" s="1" nd="1"/>
        <i x="80" s="1" nd="1"/>
        <i x="52" s="1" nd="1"/>
        <i x="853" s="1" nd="1"/>
        <i x="30" s="1" nd="1"/>
        <i x="572" s="1" nd="1"/>
        <i x="514" s="1" nd="1"/>
        <i x="414" s="1" nd="1"/>
        <i x="704" s="1" nd="1"/>
        <i x="205" s="1" nd="1"/>
        <i x="645" s="1" nd="1"/>
        <i x="781" s="1" nd="1"/>
        <i x="469" s="1" nd="1"/>
        <i x="41" s="1" nd="1"/>
        <i x="695" s="1" nd="1"/>
        <i x="665" s="1" nd="1"/>
        <i x="810" s="1" nd="1"/>
        <i x="818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1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30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5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7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6" s="1" nd="1"/>
        <i x="36" s="1" nd="1"/>
        <i x="312" s="1" nd="1"/>
        <i x="827" s="1" nd="1"/>
        <i x="564" s="1" nd="1"/>
        <i x="63" s="1" nd="1"/>
        <i x="570" s="1" nd="1"/>
        <i x="432" s="1" nd="1"/>
        <i x="427" s="1" nd="1"/>
        <i x="177" s="1" nd="1"/>
        <i x="367" s="1" nd="1"/>
        <i x="760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8" s="1" nd="1"/>
        <i x="127" s="1" nd="1"/>
        <i x="219" s="1" nd="1"/>
        <i x="813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4" s="1" nd="1"/>
        <i x="838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299787</v>
      </c>
      <c r="B2" s="12" t="s">
        <v>579</v>
      </c>
      <c r="C2" s="14">
        <v>46268</v>
      </c>
      <c r="D2" s="14">
        <v>46269</v>
      </c>
      <c r="E2" s="12"/>
      <c r="F2" s="15" t="s">
        <v>580</v>
      </c>
      <c r="G2" s="15" t="s">
        <v>581</v>
      </c>
      <c r="H2" s="15" t="s">
        <v>582</v>
      </c>
      <c r="I2" s="16">
        <v>45162.62</v>
      </c>
      <c r="J2" s="15" t="s">
        <v>583</v>
      </c>
      <c r="K2" s="15" t="s">
        <v>584</v>
      </c>
      <c r="L2" s="15" t="s">
        <v>585</v>
      </c>
      <c r="M2" s="15">
        <v>5850</v>
      </c>
      <c r="N2" s="15">
        <v>4</v>
      </c>
      <c r="O2" s="16">
        <v>69.3</v>
      </c>
      <c r="P2" s="15" t="s">
        <v>586</v>
      </c>
      <c r="Q2" s="15">
        <v>577.37</v>
      </c>
      <c r="R2" s="15" t="s">
        <v>586</v>
      </c>
      <c r="S2" s="15">
        <v>577.37</v>
      </c>
      <c r="T2" s="15" t="s">
        <v>587</v>
      </c>
      <c r="U2" s="15">
        <v>0</v>
      </c>
      <c r="V2" s="15">
        <v>702</v>
      </c>
      <c r="W2" s="15">
        <v>0</v>
      </c>
      <c r="X2" s="15">
        <v>0</v>
      </c>
      <c r="Y2" s="15">
        <v>22.58</v>
      </c>
      <c r="Z2" s="15">
        <v>0.42</v>
      </c>
      <c r="AA2" s="15">
        <v>1879.74</v>
      </c>
      <c r="AB2" s="15">
        <v>3970.26</v>
      </c>
      <c r="AC2" s="15">
        <v>1521</v>
      </c>
      <c r="AD2" s="15">
        <v>2449.2600000000002</v>
      </c>
      <c r="AE2" s="15">
        <v>154.44</v>
      </c>
      <c r="AF2" s="15">
        <v>2294.8200000000002</v>
      </c>
      <c r="AG2" s="17">
        <v>0.39229999999999998</v>
      </c>
      <c r="AH2" s="15"/>
    </row>
    <row r="3" spans="1:34" s="1" customFormat="1" ht="12" customHeight="1" x14ac:dyDescent="0.3">
      <c r="A3" s="13">
        <v>299796</v>
      </c>
      <c r="B3" s="12" t="s">
        <v>579</v>
      </c>
      <c r="C3" s="14">
        <v>46268</v>
      </c>
      <c r="D3" s="14">
        <v>46269</v>
      </c>
      <c r="E3" s="12"/>
      <c r="F3" s="15" t="s">
        <v>588</v>
      </c>
      <c r="G3" s="15" t="s">
        <v>589</v>
      </c>
      <c r="H3" s="15" t="s">
        <v>590</v>
      </c>
      <c r="I3" s="16">
        <v>2707.9</v>
      </c>
      <c r="J3" s="15" t="s">
        <v>591</v>
      </c>
      <c r="K3" s="15" t="s">
        <v>584</v>
      </c>
      <c r="L3" s="15" t="s">
        <v>592</v>
      </c>
      <c r="M3" s="16">
        <v>256.60000000000002</v>
      </c>
      <c r="N3" s="15">
        <v>50</v>
      </c>
      <c r="O3" s="16">
        <v>317.5</v>
      </c>
      <c r="P3" s="15" t="s">
        <v>593</v>
      </c>
      <c r="Q3" s="15">
        <v>85.27</v>
      </c>
      <c r="R3" s="15" t="s">
        <v>586</v>
      </c>
      <c r="S3" s="15">
        <v>2645.25</v>
      </c>
      <c r="T3" s="15" t="s">
        <v>587</v>
      </c>
      <c r="U3" s="15">
        <v>0</v>
      </c>
      <c r="V3" s="15">
        <v>30.79</v>
      </c>
      <c r="W3" s="15">
        <v>0</v>
      </c>
      <c r="X3" s="15">
        <v>0</v>
      </c>
      <c r="Y3" s="15">
        <v>1.35</v>
      </c>
      <c r="Z3" s="15">
        <v>1.95</v>
      </c>
      <c r="AA3" s="16">
        <v>2764.61</v>
      </c>
      <c r="AB3" s="16">
        <v>-2508.0100000000002</v>
      </c>
      <c r="AC3" s="15">
        <v>66.72</v>
      </c>
      <c r="AD3" s="15">
        <v>-2574.73</v>
      </c>
      <c r="AE3" s="15">
        <v>6.77</v>
      </c>
      <c r="AF3" s="15">
        <v>-2581.5</v>
      </c>
      <c r="AG3" s="17">
        <v>-10.0604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6106.6</v>
      </c>
      <c r="F3" s="93"/>
      <c r="G3" s="94"/>
      <c r="H3" s="95">
        <f>'Resumo Detalhado'!C2</f>
        <v>386.8</v>
      </c>
      <c r="I3" s="96"/>
      <c r="J3" s="97">
        <f>E3/H3</f>
        <v>15.787487073422959</v>
      </c>
      <c r="K3" s="98"/>
      <c r="L3" s="99"/>
      <c r="M3" s="138" t="s">
        <v>594</v>
      </c>
      <c r="N3" s="93"/>
      <c r="O3" s="94"/>
      <c r="P3" s="135">
        <v>1200</v>
      </c>
      <c r="Q3" s="136"/>
      <c r="R3" s="137"/>
      <c r="S3" s="103">
        <f>MIN(H3/P3,1)</f>
        <v>0.32233333333333336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4462.6400000000003</v>
      </c>
      <c r="F7" s="109"/>
      <c r="G7" s="109"/>
      <c r="H7" s="109"/>
      <c r="I7" s="109"/>
      <c r="J7" s="109">
        <f>E7/H3</f>
        <v>11.53733195449845</v>
      </c>
      <c r="K7" s="109"/>
      <c r="L7" s="109"/>
      <c r="M7" s="110">
        <f>E7/E3</f>
        <v>0.73078963744145675</v>
      </c>
      <c r="N7" s="110"/>
      <c r="O7" s="110"/>
      <c r="P7" s="109">
        <f>E11+K11+Q11+E15+K15+Q15+E19+H19+K19</f>
        <v>6687.3140000000012</v>
      </c>
      <c r="Q7" s="109"/>
      <c r="R7" s="109"/>
      <c r="S7" s="109">
        <f>P7/H3</f>
        <v>17.28881592554292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3800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3800</v>
      </c>
      <c r="L11" s="94"/>
      <c r="M11" s="38"/>
      <c r="N11" s="92">
        <f>K11/H3</f>
        <v>9.8241985522233701</v>
      </c>
      <c r="O11" s="94"/>
      <c r="P11" s="38"/>
      <c r="Q11" s="92">
        <f>'Resumo Detalhado'!D2</f>
        <v>662.64</v>
      </c>
      <c r="R11" s="94"/>
      <c r="S11" s="38"/>
      <c r="T11" s="92">
        <f>Q11/H3</f>
        <v>1.7131334022750775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732.79</v>
      </c>
      <c r="F15" s="113"/>
      <c r="G15" s="113"/>
      <c r="H15" s="113"/>
      <c r="I15" s="114"/>
      <c r="J15" s="38"/>
      <c r="K15" s="116">
        <f>'Resumo Detalhado'!K2+'Resumo Detalhado'!L2</f>
        <v>977.05600000000004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23.93</v>
      </c>
      <c r="F19" s="119"/>
      <c r="G19" s="38"/>
      <c r="H19" s="106">
        <f>'Resumo Detalhado'!J2</f>
        <v>2.37</v>
      </c>
      <c r="I19" s="108"/>
      <c r="J19" s="38"/>
      <c r="K19" s="106">
        <f>'Resumo Detalhado'!L2</f>
        <v>488.52800000000002</v>
      </c>
      <c r="L19" s="108"/>
      <c r="M19" s="38"/>
      <c r="N19" s="112" t="s">
        <v>595</v>
      </c>
      <c r="O19" s="113"/>
      <c r="P19" s="113"/>
      <c r="Q19" s="113"/>
      <c r="R19" s="119"/>
      <c r="S19" s="112">
        <v>3800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812.51200000000063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0.13305472767169957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596</v>
      </c>
      <c r="F1" s="29"/>
    </row>
    <row r="2" spans="1:18" x14ac:dyDescent="0.3">
      <c r="B2" s="29">
        <f>SUM(B6:B5000)</f>
        <v>6106.6</v>
      </c>
      <c r="C2" s="29">
        <f>SUM(C6:C5000)</f>
        <v>386.8</v>
      </c>
      <c r="D2" s="29">
        <f>SUM(D6:D5000)</f>
        <v>662.64</v>
      </c>
      <c r="E2" s="29">
        <f>SUM(E6:E5000)</f>
        <v>3222.62</v>
      </c>
      <c r="F2" s="29">
        <f>SUM(F6:F5000)</f>
        <v>0</v>
      </c>
      <c r="G2" s="29"/>
      <c r="H2" s="29">
        <f t="shared" ref="H2:P2" si="0">SUM(H6:H5000)</f>
        <v>732.79</v>
      </c>
      <c r="I2" s="29">
        <f t="shared" si="0"/>
        <v>23.93</v>
      </c>
      <c r="J2" s="29">
        <f t="shared" si="0"/>
        <v>2.37</v>
      </c>
      <c r="K2" s="29">
        <f t="shared" si="0"/>
        <v>488.52800000000002</v>
      </c>
      <c r="L2" s="29">
        <f t="shared" si="0"/>
        <v>488.52800000000002</v>
      </c>
      <c r="M2" s="29">
        <f t="shared" si="0"/>
        <v>161.21</v>
      </c>
      <c r="N2" s="29">
        <f t="shared" si="0"/>
        <v>812.51200000000063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299787</v>
      </c>
      <c r="B6" s="139">
        <v>5850</v>
      </c>
      <c r="C6" s="140">
        <v>69.3</v>
      </c>
      <c r="D6" s="139">
        <v>577.37</v>
      </c>
      <c r="E6" s="139">
        <v>577.37</v>
      </c>
      <c r="F6" s="139">
        <v>0</v>
      </c>
      <c r="G6" s="141">
        <v>0.197391452991453</v>
      </c>
      <c r="H6" s="139">
        <v>702</v>
      </c>
      <c r="I6" s="139">
        <v>22.58</v>
      </c>
      <c r="J6" s="139">
        <v>0.42</v>
      </c>
      <c r="K6" s="139">
        <v>468</v>
      </c>
      <c r="L6" s="139">
        <v>468</v>
      </c>
      <c r="M6" s="139">
        <v>154.44</v>
      </c>
      <c r="N6" s="139">
        <v>3347.82</v>
      </c>
      <c r="O6" s="141">
        <v>0.57227692307692313</v>
      </c>
      <c r="Q6"/>
    </row>
    <row r="7" spans="1:18" s="31" customFormat="1" x14ac:dyDescent="0.3">
      <c r="A7" s="9" t="s">
        <v>589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299796</v>
      </c>
      <c r="B8" s="139">
        <v>256.60000000000002</v>
      </c>
      <c r="C8" s="140">
        <v>317.5</v>
      </c>
      <c r="D8" s="139">
        <v>85.27</v>
      </c>
      <c r="E8" s="139">
        <v>2645.25</v>
      </c>
      <c r="F8" s="139">
        <v>0</v>
      </c>
      <c r="G8" s="141">
        <v>10.641153546375682</v>
      </c>
      <c r="H8" s="139">
        <v>30.79</v>
      </c>
      <c r="I8" s="139">
        <v>1.35</v>
      </c>
      <c r="J8" s="139">
        <v>1.95</v>
      </c>
      <c r="K8" s="139">
        <v>20.528000000000002</v>
      </c>
      <c r="L8" s="139">
        <v>20.528000000000002</v>
      </c>
      <c r="M8" s="139">
        <v>6.77</v>
      </c>
      <c r="N8" s="139">
        <v>-2535.3079999999995</v>
      </c>
      <c r="O8" s="141">
        <v>-9.8803897116134038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596</v>
      </c>
    </row>
    <row r="2" spans="1:4" x14ac:dyDescent="0.3">
      <c r="B2" s="29">
        <f>SUM(B6:B5000)</f>
        <v>256.60000000000002</v>
      </c>
      <c r="C2" s="29">
        <f>SUM(C6:C5000)</f>
        <v>-2535.3079999999995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5850</v>
      </c>
      <c r="C5" s="10">
        <v>3347.82</v>
      </c>
    </row>
    <row r="6" spans="1:4" x14ac:dyDescent="0.3">
      <c r="A6" s="9" t="s">
        <v>589</v>
      </c>
      <c r="B6" s="139">
        <v>256.60000000000002</v>
      </c>
      <c r="C6" s="139">
        <v>-2535.3079999999995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2" t="s">
        <v>595</v>
      </c>
      <c r="D368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2026-09-10T14:45:29Z</dcterms:modified>
  <cp:category/>
  <cp:contentStatus/>
</cp:coreProperties>
</file>