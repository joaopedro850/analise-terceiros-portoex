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CA62C40-41C5-4E6A-A604-E848A28CFC7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<sst xmlns="http://schemas.openxmlformats.org/spreadsheetml/2006/main" count="869" uniqueCount="595">
  <si>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</si>
  <si>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</si>
  <si>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</si>
  <si>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</si>
  <si>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</si>
  <si>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</si>
  <si>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</si>
  <si>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</si>
  <si>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</si>
  <si>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</si>
  <si>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</si>
  <si>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</si>
  <si>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</si>
  <si>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</si>
  <si>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</si>
  <si>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</si>
  <si>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</si>
  <si>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</si>
  <si>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</si>
  <si>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</si>
  <si>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</si>
  <si>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</si>
  <si>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</si>
  <si>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</si>
  <si>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</si>
  <si>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</si>
  <si>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</si>
  <si>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</si>
  <si>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</si>
  <si>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</si>
  <si>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</si>
  <si>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</si>
  <si>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</si>
  <si>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</si>
  <si>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</si>
  <si>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</si>
  <si>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</si>
  <si>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</si>
  <si>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</si>
  <si>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</si>
  <si>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</si>
  <si>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</si>
  <si>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</si>
  <si>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</si>
  <si>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</si>
  <si>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</si>
  <si>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</si>
  <si>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</si>
  <si>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</si>
  <si>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</si>
  <si>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</si>
  <si>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</si>
  <si>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</si>
  <si>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</si>
  <si>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</si>
  <si>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</si>
  <si>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</si>
  <si>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</si>
  <si>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</si>
  <si>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</si>
  <si>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</si>
  <si>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</si>
  <si>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</si>
  <si>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</si>
  <si>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</si>
  <si>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</si>
  <si>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</si>
  <si>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</si>
  <si>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</si>
  <si>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</si>
  <si>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</si>
  <si>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</si>
  <si>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</si>
  <si>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</si>
  <si>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</si>
  <si>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</si>
  <si>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</si>
  <si>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</si>
  <si>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</si>
  <si>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</si>
  <si>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</si>
  <si>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</si>
  <si>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</si>
  <si>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</si>
  <si>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</si>
  <si>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</si>
  <si>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</si>
  <si>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</si>
  <si>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</si>
  <si>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</si>
  <si>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</si>
  <si>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</si>
  <si>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</si>
  <si>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</si>
  <si>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</si>
  <si>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</si>
  <si>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</si>
  <si>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</si>
  <si>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</si>
  <si>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</si>
  <si>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</si>
  <si>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</si>
  <si>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</si>
  <si>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</si>
  <si>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</si>
  <si>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</si>
  <si>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</si>
  <si>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</si>
  <si>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</si>
  <si>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</si>
  <si>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</si>
  <si>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</si>
  <si>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</si>
  <si>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</si>
  <si>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</si>
  <si>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</si>
  <si>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</si>
  <si>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</si>
  <si>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</si>
  <si>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</si>
  <si>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</si>
  <si>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</si>
  <si>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</si>
  <si>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</si>
  <si>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</si>
  <si>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</si>
  <si>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</si>
  <si>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</si>
  <si>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</si>
  <si>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</si>
  <si>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</si>
  <si>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</si>
  <si>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</si>
  <si>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</si>
  <si>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</si>
  <si>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</si>
  <si>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</si>
  <si>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</si>
  <si>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</si>
  <si>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</si>
  <si>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</si>
  <si>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</si>
  <si>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</si>
  <si>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</si>
  <si>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</si>
  <si>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</si>
  <si>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</si>
  <si>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</si>
  <si>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</si>
  <si>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</si>
  <si>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</si>
  <si>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</si>
  <si>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</si>
  <si>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</si>
  <si>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</si>
  <si>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</si>
  <si>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</si>
  <si>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</si>
  <si>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</si>
  <si>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</si>
  <si>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</si>
  <si>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</si>
  <si>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</si>
  <si>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</si>
  <si>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</si>
  <si>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</si>
  <si>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</si>
  <si>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</si>
  <si>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</si>
  <si>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</si>
  <si>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</si>
  <si>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</si>
  <si>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</si>
  <si>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</si>
  <si>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</si>
  <si>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</si>
  <si>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</si>
  <si>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</si>
  <si>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</si>
  <si>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</si>
  <si>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</si>
  <si>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</si>
  <si>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</si>
  <si>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</si>
  <si>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</si>
  <si>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</si>
  <si>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</si>
  <si>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</si>
  <si>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</si>
  <si>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</si>
  <si>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</si>
  <si>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</si>
  <si>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</si>
  <si>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</si>
  <si>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</si>
  <si>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</si>
  <si>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</si>
  <si>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</si>
  <si>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</si>
  <si>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</si>
  <si>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</si>
  <si>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</si>
  <si>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</si>
  <si>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</si>
  <si>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</si>
  <si>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</si>
  <si>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</si>
  <si>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</si>
  <si>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</si>
  <si>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</si>
  <si>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</si>
  <si>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</si>
  <si>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</si>
  <si>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</si>
  <si>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</si>
  <si>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</si>
  <si>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</si>
  <si>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</si>
  <si>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</si>
  <si>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</si>
  <si>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</si>
  <si>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</si>
  <si>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</si>
  <si>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</si>
  <si>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</si>
  <si>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</si>
  <si>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</si>
  <si>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</si>
  <si>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</si>
  <si>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</si>
  <si>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</si>
  <si>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</si>
  <si>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</si>
  <si>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</si>
  <si>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</si>
  <si>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</si>
  <si>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</si>
  <si>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</si>
  <si>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</si>
  <si>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</si>
  <si>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</si>
  <si>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</si>
  <si>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</si>
  <si>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</si>
  <si>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</si>
  <si>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</si>
  <si>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</si>
  <si>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</si>
  <si>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</si>
  <si>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</si>
  <si>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</si>
  <si>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</si>
  <si>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</si>
  <si>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</si>
  <si>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</si>
  <si>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</si>
  <si>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</si>
  <si>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</si>
  <si>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</si>
  <si>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</si>
  <si>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</si>
  <si>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</si>
  <si>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</si>
  <si>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</si>
  <si>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</si>
  <si>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</si>
  <si>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</si>
  <si>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</si>
  <si>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</si>
  <si>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</si>
  <si>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</si>
  <si>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</si>
  <si>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</si>
  <si>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</si>
  <si>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</si>
  <si>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</si>
  <si>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</si>
  <si>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</si>
  <si>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</si>
  <si>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</si>
  <si>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</si>
  <si>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</si>
  <si>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</si>
  <si>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</si>
  <si>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</si>
  <si>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</si>
  <si>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</si>
  <si>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</si>
  <si>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</si>
  <si>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</si>
  <si>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</si>
  <si>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</si>
  <si>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</si>
  <si>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</si>
  <si>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</si>
  <si>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</si>
  <si>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</si>
  <si>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</si>
  <si>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</si>
  <si>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</si>
  <si>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</si>
  <si>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</si>
  <si>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</si>
  <si>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</si>
  <si>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</si>
  <si>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</si>
  <si>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</si>
  <si>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</si>
  <si>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</si>
  <si>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</si>
  <si>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</si>
  <si>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</si>
  <si>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</si>
  <si>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</si>
  <si>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</si>
  <si>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</si>
  <si>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</si>
  <si>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</si>
  <si>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</si>
  <si>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</si>
  <si>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</si>
  <si>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</si>
  <si>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</si>
  <si>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</si>
  <si>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</si>
  <si>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</si>
  <si>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</si>
  <si>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</si>
  <si>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</si>
  <si>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</si>
  <si>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</si>
  <si>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</si>
  <si>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</si>
  <si>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</si>
  <si>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</si>
  <si>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</si>
  <si>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</si>
  <si>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</si>
  <si>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</si>
  <si>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</si>
  <si>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</si>
  <si>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</si>
  <si>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</si>
  <si>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</si>
  <si>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</si>
  <si>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</si>
  <si>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</si>
  <si>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</si>
  <si>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</si>
  <si>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</si>
  <si>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</si>
  <si>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</si>
  <si>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</si>
  <si>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</si>
  <si>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</si>
  <si>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</si>
  <si>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</si>
  <si>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</si>
  <si>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</si>
  <si>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</si>
  <si>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</si>
  <si>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</si>
  <si>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</si>
  <si>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</si>
  <si>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</si>
  <si>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</si>
  <si>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</si>
  <si>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</si>
  <si>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</si>
  <si>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</si>
  <si>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</si>
  <si>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</si>
  <si>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</si>
  <si>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</si>
  <si>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</si>
  <si>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</si>
  <si>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</si>
  <si>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</si>
  <si>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</si>
  <si>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</si>
  <si>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</si>
  <si>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</si>
  <si>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</si>
  <si>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</si>
  <si>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</si>
  <si>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</si>
  <si>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</si>
  <si>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</si>
  <si>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</si>
  <si>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</si>
  <si>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</si>
  <si>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</si>
  <si>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</si>
  <si>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</si>
  <si>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</si>
  <si>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</si>
  <si>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</si>
  <si>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</si>
  <si>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</si>
  <si>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</si>
  <si>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</si>
  <si>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</si>
  <si>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</si>
  <si>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</si>
  <si>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</si>
  <si>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</si>
  <si>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</si>
  <si>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</si>
  <si>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</si>
  <si>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</si>
  <si>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</si>
  <si>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</si>
  <si>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</si>
  <si>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</si>
  <si>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</si>
  <si>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</si>
  <si>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</si>
  <si>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</si>
  <si>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</si>
  <si>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</si>
  <si>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</si>
  <si>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</si>
  <si>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</si>
  <si>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</si>
  <si>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</si>
  <si>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</si>
  <si>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</si>
  <si>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</si>
  <si>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</si>
  <si>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</si>
  <si>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</si>
  <si>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</si>
  <si>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</si>
  <si>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</si>
  <si>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</si>
  <si>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</si>
  <si>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</si>
  <si>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</si>
  <si>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</si>
  <si>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</si>
  <si>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</si>
  <si>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</si>
  <si>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</si>
  <si>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</si>
  <si>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</si>
  <si>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</si>
  <si>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</si>
  <si>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</si>
  <si>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</si>
  <si>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</si>
  <si>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</si>
  <si>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</si>
  <si>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</si>
  <si>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</si>
  <si>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</si>
  <si>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</si>
  <si>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</si>
  <si>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</si>
  <si>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</si>
  <si>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</si>
  <si>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</si>
  <si>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</si>
  <si>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</si>
  <si>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</si>
  <si>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</si>
  <si>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</si>
  <si>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</si>
  <si>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</si>
  <si>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</si>
  <si>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</si>
  <si>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</si>
  <si>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</si>
  <si>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</si>
  <si>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</si>
  <si>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</si>
  <si>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</si>
  <si>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</si>
  <si>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</si>
  <si>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</si>
  <si>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</si>
  <si>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</si>
  <si>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</si>
  <si>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</si>
  <si>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</si>
  <si>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</si>
  <si>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</si>
  <si>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</si>
  <si>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</si>
  <si>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</si>
  <si>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</si>
  <si>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</si>
  <si>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</si>
  <si>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</si>
  <si>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</si>
  <si>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</si>
  <si>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</si>
  <si>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</si>
  <si>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</si>
  <si>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</si>
  <si>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</si>
  <si>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</si>
  <si>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</si>
  <si>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</si>
  <si>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</si>
  <si>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</si>
  <si>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</si>
  <si>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</si>
  <si>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</si>
  <si>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</si>
  <si>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</si>
  <si>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</si>
  <si>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</si>
  <si>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</si>
  <si>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</si>
  <si>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</si>
  <si>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</si>
  <si>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</si>
  <si>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</si>
  <si>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</si>
  <si>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</si>
  <si>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</si>
  <si>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</si>
  <si>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</si>
  <si>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</si>
  <si>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</si>
  <si>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</si>
  <si>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</si>
  <si>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</si>
  <si>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</si>
  <si>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</si>
  <si>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</si>
  <si>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</si>
  <si>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</si>
  <si>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</si>
  <si>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</si>
  <si>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</si>
  <si>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</si>
  <si>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</si>
  <si>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</si>
  <si>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</si>
  <si>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</si>
  <si>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</si>
  <si>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</si>
  <si>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</si>
  <si>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</si>
  <si>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</si>
  <si>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</si>
  <si>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</si>
  <si>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</si>
  <si>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</si>
  <si>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</si>
  <si>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</si>
  <si>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</si>
  <si>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</si>
  <si>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</si>
  <si>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</si>
  <si>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</si>
  <si>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</si>
  <si>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</si>
  <si>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</si>
  <si>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</si>
  <si>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</si>
  <si>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</si>
  <si>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</si>
  <si>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</si>
  <si>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</si>
  <si>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</si>
  <si>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</si>
  <si>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</si>
  <si>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</si>
  <si>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</si>
  <si>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</si>
  <si>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</si>
  <si>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</si>
  <si>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</si>
  <si>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</si>
  <si>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</si>
  <si>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</si>
  <si>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</si>
  <si>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</si>
  <si>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2868-1</t>
  </si>
  <si>
    <t>MAC FER INDUSTR</t>
  </si>
  <si>
    <t>FRANCISCO GILAILTON/SABRI</t>
  </si>
  <si>
    <t>ECONOMICO_250</t>
  </si>
  <si>
    <t>CTE NORMAL</t>
  </si>
  <si>
    <t>GUARULHOS - SP</t>
  </si>
  <si>
    <t>ROBSON BARBOSA FERREIRA</t>
  </si>
  <si>
    <t>JOSE EMILTON DA COSTA - O</t>
  </si>
  <si>
    <t>HELO TRANSPORTES RODOVIAR</t>
  </si>
  <si>
    <t>2882-1</t>
  </si>
  <si>
    <t>CRONOS LOGISTIC</t>
  </si>
  <si>
    <t>URIEL CORREA</t>
  </si>
  <si>
    <t>PERSONALIZADO_L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</si>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</sst>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[Analise_ELOIR_04092026.xlsx]Resumo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6646.21</c:v>
                </c:pt>
                <c:pt idx="1">
                  <c:v>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5692.7932000000001</c:v>
                </c:pt>
                <c:pt idx="1">
                  <c:v>33.836400000000005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[Analise_ELOIR_04092026.xlsx]Resumo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6646.21</c:v>
                </c:pt>
                <c:pt idx="1">
                  <c:v>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5692.7932000000001</c:v>
                </c:pt>
                <c:pt idx="1">
                  <c:v>33.836400000000005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48992303240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68"/>
        <n v="298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4T00:00:00"/>
    </cacheField>
    <cacheField name="DATA" numFmtId="14">
      <sharedItems containsNonDate="0" containsDate="1" containsString="0" containsBlank="1" minDate="2026-09-03T00:00:00" maxDate="2026-09-0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23.4100000000001" maxValue="352216.4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4.92" maxValue="6646.21"/>
    </cacheField>
    <cacheField name="VOLUMES" numFmtId="0">
      <sharedItems containsString="0" containsBlank="1" containsNumber="1" containsInteger="1" minValue="2" maxValue="15"/>
    </cacheField>
    <cacheField name="PESO" numFmtId="0">
      <sharedItems containsString="0" containsBlank="1" containsNumber="1" minValue="20.81" maxValue="5130.71"/>
    </cacheField>
    <cacheField name="RESP. COLETA" numFmtId="0">
      <sharedItems containsBlank="1"/>
    </cacheField>
    <cacheField name="CUSTO COLETA" numFmtId="0">
      <sharedItems containsString="0" containsBlank="1" containsNumber="1" minValue="0" maxValue="1.3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1.3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9" maxValue="140.88999999999999"/>
    </cacheField>
    <cacheField name="OUTROS" numFmtId="0">
      <sharedItems containsString="0" containsBlank="1" containsNumber="1" minValue="0.26" maxValue="81.44"/>
    </cacheField>
    <cacheField name="C.TOTAL" numFmtId="0">
      <sharedItems containsString="0" containsBlank="1" containsNumber="1" minValue="112.63" maxValue="4363.1899999999996"/>
    </cacheField>
    <cacheField name="RECEITA" numFmtId="0">
      <sharedItems containsString="0" containsBlank="1" containsNumber="1" minValue="-17.71" maxValue="2283.02"/>
    </cacheField>
    <cacheField name="IMPOSTO" numFmtId="0">
      <sharedItems containsString="0" containsBlank="1" containsNumber="1" minValue="15.19" maxValue="1063.3900000000001"/>
    </cacheField>
    <cacheField name="RESULTADO" numFmtId="0">
      <sharedItems containsString="0" containsBlank="1" containsNumber="1" minValue="-32.9" maxValue="1219.6300000000001"/>
    </cacheField>
    <cacheField name="COMIS" numFmtId="0">
      <sharedItems containsString="0" containsBlank="1" containsNumber="1" minValue="0" maxValue="199.39"/>
    </cacheField>
    <cacheField name="LUCRO LIQ" numFmtId="0">
      <sharedItems containsString="0" containsBlank="1" containsNumber="1" minValue="-32.9" maxValue="1020.24"/>
    </cacheField>
    <cacheField name="MARGEM" numFmtId="10">
      <sharedItems containsString="0" containsBlank="1" containsNumber="1" minValue="-0.34659999999999996" maxValue="0.153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3T00:00:00"/>
    <d v="2026-09-03T00:00:00"/>
    <m/>
    <s v="2868-1"/>
    <x v="0"/>
    <s v="FRANCISCO GILAILTON/SABRI"/>
    <n v="1223.4100000000001"/>
    <x v="0"/>
    <s v="CTE NORMAL"/>
    <s v="GUARULHOS - SP"/>
    <n v="94.92"/>
    <n v="2"/>
    <n v="20.81"/>
    <s v="ROBSON BARBOSA FERREIRA"/>
    <n v="1.35"/>
    <s v="JOSE EMILTON DA COSTA - O"/>
    <n v="40"/>
    <s v="HELO TRANSPORTES RODOVIAR"/>
    <n v="0"/>
    <n v="11.39"/>
    <n v="0"/>
    <n v="0"/>
    <n v="0.49"/>
    <n v="0.26"/>
    <n v="112.63"/>
    <n v="-17.71"/>
    <n v="15.19"/>
    <n v="-32.9"/>
    <n v="0"/>
    <n v="-32.9"/>
    <n v="-0.34659999999999996"/>
    <m/>
  </r>
  <r>
    <x v="1"/>
    <s v="MATRIZ"/>
    <d v="2026-09-03T00:00:00"/>
    <d v="2026-09-04T00:00:00"/>
    <m/>
    <s v="2882-1"/>
    <x v="1"/>
    <s v="URIEL CORREA"/>
    <n v="352216.46"/>
    <x v="1"/>
    <s v="CTE NORMAL"/>
    <s v="GUARULHOS - SP"/>
    <n v="6646.21"/>
    <n v="15"/>
    <n v="5130.71"/>
    <s v="MATRIZ"/>
    <n v="0"/>
    <s v="N/D"/>
    <n v="0"/>
    <s v="HELO TRANSPORTES RODOVIAR"/>
    <n v="0"/>
    <n v="0"/>
    <n v="0"/>
    <n v="0"/>
    <n v="140.88999999999999"/>
    <n v="81.44"/>
    <n v="4363.1899999999996"/>
    <n v="2283.02"/>
    <n v="1063.3900000000001"/>
    <n v="1219.6300000000001"/>
    <n v="199.39"/>
    <n v="1020.24"/>
    <n v="0.1535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2968</v>
      </c>
      <c r="B2" s="12" t="s">
        <v>579</v>
      </c>
      <c r="C2" s="14">
        <v>46268</v>
      </c>
      <c r="D2" s="14">
        <v>46268</v>
      </c>
      <c r="E2" s="12"/>
      <c r="F2" s="15" t="s">
        <v>580</v>
      </c>
      <c r="G2" s="15" t="s">
        <v>581</v>
      </c>
      <c r="H2" s="15" t="s">
        <v>582</v>
      </c>
      <c r="I2" s="16">
        <v>1223.4100000000001</v>
      </c>
      <c r="J2" s="15" t="s">
        <v>583</v>
      </c>
      <c r="K2" s="15" t="s">
        <v>584</v>
      </c>
      <c r="L2" s="15" t="s">
        <v>585</v>
      </c>
      <c r="M2" s="15">
        <v>94.92</v>
      </c>
      <c r="N2" s="15">
        <v>2</v>
      </c>
      <c r="O2" s="16">
        <v>20.81</v>
      </c>
      <c r="P2" s="15" t="s">
        <v>586</v>
      </c>
      <c r="Q2" s="15">
        <v>1.35</v>
      </c>
      <c r="R2" s="15" t="s">
        <v>587</v>
      </c>
      <c r="S2" s="15">
        <v>40</v>
      </c>
      <c r="T2" s="15" t="s">
        <v>588</v>
      </c>
      <c r="U2" s="15">
        <v>0</v>
      </c>
      <c r="V2" s="15">
        <v>11.39</v>
      </c>
      <c r="W2" s="15">
        <v>0</v>
      </c>
      <c r="X2" s="15">
        <v>0</v>
      </c>
      <c r="Y2" s="15">
        <v>0.49</v>
      </c>
      <c r="Z2" s="15">
        <v>0.26</v>
      </c>
      <c r="AA2" s="15">
        <v>112.63</v>
      </c>
      <c r="AB2" s="15">
        <v>-17.71</v>
      </c>
      <c r="AC2" s="15">
        <v>15.19</v>
      </c>
      <c r="AD2" s="15">
        <v>-32.9</v>
      </c>
      <c r="AE2" s="15">
        <v>0</v>
      </c>
      <c r="AF2" s="15">
        <v>-32.9</v>
      </c>
      <c r="AG2" s="17">
        <v>-0.34659999999999996</v>
      </c>
      <c r="AH2" s="15"/>
    </row>
    <row r="3" spans="1:34" s="1" customFormat="1" ht="12" customHeight="1" x14ac:dyDescent="0.3">
      <c r="A3" s="13">
        <v>2981</v>
      </c>
      <c r="B3" s="12" t="s">
        <v>579</v>
      </c>
      <c r="C3" s="14">
        <v>46268</v>
      </c>
      <c r="D3" s="14">
        <v>46269</v>
      </c>
      <c r="E3" s="12"/>
      <c r="F3" s="15" t="s">
        <v>589</v>
      </c>
      <c r="G3" s="15" t="s">
        <v>590</v>
      </c>
      <c r="H3" s="15" t="s">
        <v>591</v>
      </c>
      <c r="I3" s="16">
        <v>352216.46</v>
      </c>
      <c r="J3" s="15" t="s">
        <v>592</v>
      </c>
      <c r="K3" s="15" t="s">
        <v>584</v>
      </c>
      <c r="L3" s="15" t="s">
        <v>585</v>
      </c>
      <c r="M3" s="16">
        <v>6646.21</v>
      </c>
      <c r="N3" s="15">
        <v>15</v>
      </c>
      <c r="O3" s="16">
        <v>5130.71</v>
      </c>
      <c r="P3" s="15" t="s">
        <v>579</v>
      </c>
      <c r="Q3" s="15">
        <v>0</v>
      </c>
      <c r="R3" s="15" t="s">
        <v>593</v>
      </c>
      <c r="S3" s="15">
        <v>0</v>
      </c>
      <c r="T3" s="15" t="s">
        <v>588</v>
      </c>
      <c r="U3" s="15">
        <v>0</v>
      </c>
      <c r="V3" s="15">
        <v>0</v>
      </c>
      <c r="W3" s="15">
        <v>0</v>
      </c>
      <c r="X3" s="15">
        <v>0</v>
      </c>
      <c r="Y3" s="15">
        <v>140.88999999999999</v>
      </c>
      <c r="Z3" s="15">
        <v>81.44</v>
      </c>
      <c r="AA3" s="16">
        <v>4363.1899999999996</v>
      </c>
      <c r="AB3" s="16">
        <v>2283.02</v>
      </c>
      <c r="AC3" s="15">
        <v>1063.3900000000001</v>
      </c>
      <c r="AD3" s="15">
        <v>1219.6300000000001</v>
      </c>
      <c r="AE3" s="15">
        <v>199.39</v>
      </c>
      <c r="AF3" s="15">
        <v>1020.24</v>
      </c>
      <c r="AG3" s="17">
        <v>0.1535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6741.13</v>
      </c>
      <c r="F3" s="93"/>
      <c r="G3" s="94"/>
      <c r="H3" s="95">
        <f>'Resumo Detalhado'!C2</f>
        <v>5151.5200000000004</v>
      </c>
      <c r="I3" s="96"/>
      <c r="J3" s="97">
        <f>E3/H3</f>
        <v>1.3085710625213529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0.46832000000000001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4201.3500000000004</v>
      </c>
      <c r="F7" s="109"/>
      <c r="G7" s="109"/>
      <c r="H7" s="109"/>
      <c r="I7" s="109"/>
      <c r="J7" s="109">
        <f>E7/H3</f>
        <v>0.81555540888902689</v>
      </c>
      <c r="K7" s="109"/>
      <c r="L7" s="109"/>
      <c r="M7" s="110">
        <f>E7/E3</f>
        <v>0.62324120733467536</v>
      </c>
      <c r="N7" s="110"/>
      <c r="O7" s="110"/>
      <c r="P7" s="109">
        <f>E11+K11+Q11+E15+K15+Q15+E19+H19+K19</f>
        <v>6053.6912000000011</v>
      </c>
      <c r="Q7" s="109"/>
      <c r="R7" s="109"/>
      <c r="S7" s="109">
        <f>P7/H3</f>
        <v>1.1751271857626489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4200</v>
      </c>
      <c r="L11" s="94"/>
      <c r="M11" s="38"/>
      <c r="N11" s="92">
        <f>K11/H3</f>
        <v>0.81529335031214079</v>
      </c>
      <c r="O11" s="94"/>
      <c r="P11" s="38"/>
      <c r="Q11" s="92">
        <f>'Resumo Detalhado'!D2</f>
        <v>1.35</v>
      </c>
      <c r="R11" s="94"/>
      <c r="S11" s="38"/>
      <c r="T11" s="92">
        <f>Q11/H3</f>
        <v>2.620585768860453E-4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11.39</v>
      </c>
      <c r="F15" s="113"/>
      <c r="G15" s="113"/>
      <c r="H15" s="113"/>
      <c r="I15" s="114"/>
      <c r="J15" s="38"/>
      <c r="K15" s="116">
        <f>'Resumo Detalhado'!K2+'Resumo Detalhado'!L2</f>
        <v>1078.5808000000002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141.38</v>
      </c>
      <c r="F19" s="119"/>
      <c r="G19" s="38"/>
      <c r="H19" s="106">
        <f>'Resumo Detalhado'!J2</f>
        <v>81.7</v>
      </c>
      <c r="I19" s="108"/>
      <c r="J19" s="38"/>
      <c r="K19" s="106">
        <f>'Resumo Detalhado'!L2</f>
        <v>539.29040000000009</v>
      </c>
      <c r="L19" s="108"/>
      <c r="M19" s="38"/>
      <c r="N19" s="112" t="s">
        <v>285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5726.6296000000002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0.84950588402834537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6741.13</v>
      </c>
      <c r="C2" s="29">
        <f>SUM(C6:C5000)</f>
        <v>5151.5200000000004</v>
      </c>
      <c r="D2" s="29">
        <f>SUM(D6:D5000)</f>
        <v>1.35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11.39</v>
      </c>
      <c r="I2" s="29">
        <f t="shared" si="0"/>
        <v>141.38</v>
      </c>
      <c r="J2" s="29">
        <f t="shared" si="0"/>
        <v>81.7</v>
      </c>
      <c r="K2" s="29">
        <f t="shared" si="0"/>
        <v>539.29040000000009</v>
      </c>
      <c r="L2" s="29">
        <f t="shared" si="0"/>
        <v>539.29040000000009</v>
      </c>
      <c r="M2" s="29">
        <f t="shared" si="0"/>
        <v>199.39</v>
      </c>
      <c r="N2" s="29">
        <f t="shared" si="0"/>
        <v>5726.6296000000002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2981</v>
      </c>
      <c r="B6" s="139">
        <v>6646.21</v>
      </c>
      <c r="C6" s="140">
        <v>5130.71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140.88999999999999</v>
      </c>
      <c r="J6" s="139">
        <v>81.44</v>
      </c>
      <c r="K6" s="139">
        <v>531.69680000000005</v>
      </c>
      <c r="L6" s="139">
        <v>531.69680000000005</v>
      </c>
      <c r="M6" s="139">
        <v>199.39</v>
      </c>
      <c r="N6" s="139">
        <v>5692.7932000000001</v>
      </c>
      <c r="O6" s="141">
        <v>0.85654729537586083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2968</v>
      </c>
      <c r="B8" s="139">
        <v>94.92</v>
      </c>
      <c r="C8" s="140">
        <v>20.81</v>
      </c>
      <c r="D8" s="139">
        <v>1.35</v>
      </c>
      <c r="E8" s="139">
        <v>40</v>
      </c>
      <c r="F8" s="139">
        <v>0</v>
      </c>
      <c r="G8" s="141">
        <v>0.435630004214075</v>
      </c>
      <c r="H8" s="139">
        <v>11.39</v>
      </c>
      <c r="I8" s="139">
        <v>0.49</v>
      </c>
      <c r="J8" s="139">
        <v>0.26</v>
      </c>
      <c r="K8" s="139">
        <v>7.5936000000000003</v>
      </c>
      <c r="L8" s="139">
        <v>7.5936000000000003</v>
      </c>
      <c r="M8" s="139">
        <v>0</v>
      </c>
      <c r="N8" s="139">
        <v>33.836400000000005</v>
      </c>
      <c r="O8" s="141">
        <v>0.35647281921618207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94.92</v>
      </c>
      <c r="C2" s="29">
        <f>SUM(C6:C5000)</f>
        <v>33.836400000000005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6646.21</v>
      </c>
      <c r="C5" s="10">
        <v>5692.7932000000001</v>
      </c>
    </row>
    <row r="6" spans="1:4" x14ac:dyDescent="0.3">
      <c r="A6" s="9" t="s">
        <v>581</v>
      </c>
      <c r="B6" s="139">
        <v>94.92</v>
      </c>
      <c r="C6" s="139">
        <v>33.836400000000005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2026-09-10T14:45:36Z</dcterms:modified>
  <cp:category/>
  <cp:contentStatus/>
</cp:coreProperties>
</file>