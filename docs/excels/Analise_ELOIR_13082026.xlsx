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51CC3EC-07A2-4A28-8E26-F7736DE8A7F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<sst xmlns="http://schemas.openxmlformats.org/spreadsheetml/2006/main" count="866" uniqueCount="591">
  <si>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</si>
  <si>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</si>
  <si>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</si>
  <si>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</si>
  <si>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</si>
  <si>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</si>
  <si>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</si>
  <si>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</si>
  <si>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</si>
  <si>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</si>
  <si>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</si>
  <si>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</si>
  <si>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</si>
  <si>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</si>
  <si>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</si>
  <si>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</si>
  <si>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</si>
  <si>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</si>
  <si>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</si>
  <si>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</si>
  <si>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</si>
  <si>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</si>
  <si>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</si>
  <si>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</si>
  <si>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</si>
  <si>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</si>
  <si>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</si>
  <si>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</si>
  <si>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</si>
  <si>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</si>
  <si>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</si>
  <si>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</si>
  <si>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</si>
  <si>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</si>
  <si>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</si>
  <si>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</si>
  <si>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</si>
  <si>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</si>
  <si>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</si>
  <si>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</si>
  <si>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</si>
  <si>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</si>
  <si>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</si>
  <si>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</si>
  <si>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</si>
  <si>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</si>
  <si>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</si>
  <si>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</si>
  <si>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</si>
  <si>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</si>
  <si>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</si>
  <si>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</si>
  <si>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</si>
  <si>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</si>
  <si>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</si>
  <si>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</si>
  <si>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</si>
  <si>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</si>
  <si>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</si>
  <si>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</si>
  <si>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</si>
  <si>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</si>
  <si>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</si>
  <si>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</si>
  <si>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</si>
  <si>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</si>
  <si>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</si>
  <si>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</si>
  <si>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</si>
  <si>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</si>
  <si>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</si>
  <si>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</si>
  <si>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</si>
  <si>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</si>
  <si>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</si>
  <si>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</si>
  <si>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</si>
  <si>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</si>
  <si>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</si>
  <si>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</si>
  <si>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</si>
  <si>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</si>
  <si>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</si>
  <si>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</si>
  <si>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</si>
  <si>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</si>
  <si>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</si>
  <si>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</si>
  <si>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</si>
  <si>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</si>
  <si>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</si>
  <si>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</si>
  <si>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</si>
  <si>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</si>
  <si>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</si>
  <si>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</si>
  <si>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</si>
  <si>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</si>
  <si>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</si>
  <si>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</si>
  <si>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</si>
  <si>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</si>
  <si>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</si>
  <si>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</si>
  <si>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</si>
  <si>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</si>
  <si>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</si>
  <si>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</si>
  <si>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</si>
  <si>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</si>
  <si>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</si>
  <si>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</si>
  <si>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</si>
  <si>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</si>
  <si>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</si>
  <si>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</si>
  <si>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</si>
  <si>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</si>
  <si>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</si>
  <si>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</si>
  <si>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</si>
  <si>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</si>
  <si>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</si>
  <si>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</si>
  <si>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</si>
  <si>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</si>
  <si>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</si>
  <si>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</si>
  <si>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</si>
  <si>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</si>
  <si>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</si>
  <si>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</si>
  <si>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</si>
  <si>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</si>
  <si>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</si>
  <si>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</si>
  <si>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</si>
  <si>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</si>
  <si>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</si>
  <si>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</si>
  <si>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</si>
  <si>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</si>
  <si>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</si>
  <si>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</si>
  <si>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</si>
  <si>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</si>
  <si>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</si>
  <si>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</si>
  <si>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</si>
  <si>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</si>
  <si>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</si>
  <si>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</si>
  <si>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</si>
  <si>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</si>
  <si>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</si>
  <si>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</si>
  <si>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</si>
  <si>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</si>
  <si>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</si>
  <si>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</si>
  <si>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</si>
  <si>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</si>
  <si>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</si>
  <si>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</si>
  <si>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</si>
  <si>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</si>
  <si>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</si>
  <si>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</si>
  <si>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</si>
  <si>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</si>
  <si>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</si>
  <si>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</si>
  <si>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</si>
  <si>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</si>
  <si>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</si>
  <si>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</si>
  <si>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</si>
  <si>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</si>
  <si>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</si>
  <si>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</si>
  <si>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</si>
  <si>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</si>
  <si>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</si>
  <si>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</si>
  <si>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</si>
  <si>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</si>
  <si>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</si>
  <si>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</si>
  <si>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</si>
  <si>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</si>
  <si>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</si>
  <si>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</si>
  <si>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</si>
  <si>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</si>
  <si>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</si>
  <si>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</si>
  <si>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</si>
  <si>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</si>
  <si>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</si>
  <si>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</si>
  <si>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</si>
  <si>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</si>
  <si>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</si>
  <si>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</si>
  <si>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</si>
  <si>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</si>
  <si>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</si>
  <si>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</si>
  <si>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</si>
  <si>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</si>
  <si>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</si>
  <si>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</si>
  <si>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</si>
  <si>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</si>
  <si>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</si>
  <si>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</si>
  <si>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</si>
  <si>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</si>
  <si>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</si>
  <si>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</si>
  <si>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</si>
  <si>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</si>
  <si>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</si>
  <si>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</si>
  <si>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</si>
  <si>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</si>
  <si>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</si>
  <si>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</si>
  <si>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</si>
  <si>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</si>
  <si>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</si>
  <si>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</si>
  <si>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</si>
  <si>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</si>
  <si>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</si>
  <si>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</si>
  <si>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</si>
  <si>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</si>
  <si>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</si>
  <si>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</si>
  <si>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</si>
  <si>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</si>
  <si>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</si>
  <si>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</si>
  <si>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</si>
  <si>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</si>
  <si>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</si>
  <si>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</si>
  <si>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</si>
  <si>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</si>
  <si>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</si>
  <si>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</si>
  <si>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</si>
  <si>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</si>
  <si>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</si>
  <si>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</si>
  <si>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</si>
  <si>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</si>
  <si>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</si>
  <si>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</si>
  <si>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</si>
  <si>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</si>
  <si>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</si>
  <si>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</si>
  <si>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</si>
  <si>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</si>
  <si>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</si>
  <si>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</si>
  <si>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</si>
  <si>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</si>
  <si>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</si>
  <si>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</si>
  <si>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</si>
  <si>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</si>
  <si>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</si>
  <si>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</si>
  <si>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</si>
  <si>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</si>
  <si>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</si>
  <si>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</si>
  <si>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</si>
  <si>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</si>
  <si>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</si>
  <si>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</si>
  <si>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</si>
  <si>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</si>
  <si>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</si>
  <si>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</si>
  <si>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</si>
  <si>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</si>
  <si>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</si>
  <si>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</si>
  <si>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</si>
  <si>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</si>
  <si>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</si>
  <si>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</si>
  <si>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</si>
  <si>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</si>
  <si>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</si>
  <si>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</si>
  <si>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</si>
  <si>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</si>
  <si>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</si>
  <si>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</si>
  <si>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</si>
  <si>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</si>
  <si>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</si>
  <si>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</si>
  <si>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</si>
  <si>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</si>
  <si>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</si>
  <si>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</si>
  <si>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</si>
  <si>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</si>
  <si>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</si>
  <si>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</si>
  <si>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</si>
  <si>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</si>
  <si>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</si>
  <si>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</si>
  <si>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</si>
  <si>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</si>
  <si>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</si>
  <si>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</si>
  <si>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</si>
  <si>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</si>
  <si>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</si>
  <si>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</si>
  <si>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</si>
  <si>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</si>
  <si>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</si>
  <si>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</si>
  <si>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</si>
  <si>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</si>
  <si>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</si>
  <si>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</si>
  <si>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</si>
  <si>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</si>
  <si>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</si>
  <si>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</si>
  <si>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</si>
  <si>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</si>
  <si>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</si>
  <si>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</si>
  <si>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</si>
  <si>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</si>
  <si>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</si>
  <si>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</si>
  <si>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</si>
  <si>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</si>
  <si>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</si>
  <si>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</si>
  <si>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</si>
  <si>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</si>
  <si>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</si>
  <si>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</si>
  <si>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</si>
  <si>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</si>
  <si>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</si>
  <si>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</si>
  <si>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</si>
  <si>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</si>
  <si>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</si>
  <si>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</si>
  <si>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</si>
  <si>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</si>
  <si>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</si>
  <si>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</si>
  <si>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</si>
  <si>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</si>
  <si>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</si>
  <si>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</si>
  <si>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</si>
  <si>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</si>
  <si>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</si>
  <si>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</si>
  <si>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</si>
  <si>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</si>
  <si>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</si>
  <si>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</si>
  <si>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</si>
  <si>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</si>
  <si>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</si>
  <si>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</si>
  <si>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</si>
  <si>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</si>
  <si>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</si>
  <si>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</si>
  <si>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</si>
  <si>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</si>
  <si>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</si>
  <si>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</si>
  <si>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</si>
  <si>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</si>
  <si>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</si>
  <si>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</si>
  <si>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</si>
  <si>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</si>
  <si>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</si>
  <si>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</si>
  <si>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</si>
  <si>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</si>
  <si>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</si>
  <si>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</si>
  <si>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</si>
  <si>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</si>
  <si>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</si>
  <si>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</si>
  <si>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</si>
  <si>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</si>
  <si>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</si>
  <si>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</si>
  <si>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</si>
  <si>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</si>
  <si>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</si>
  <si>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</si>
  <si>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</si>
  <si>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</si>
  <si>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</si>
  <si>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</si>
  <si>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</si>
  <si>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</si>
  <si>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</si>
  <si>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</si>
  <si>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</si>
  <si>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</si>
  <si>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</si>
  <si>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</si>
  <si>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</si>
  <si>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</si>
  <si>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</si>
  <si>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</si>
  <si>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</si>
  <si>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</si>
  <si>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</si>
  <si>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</si>
  <si>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</si>
  <si>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</si>
  <si>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</si>
  <si>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</si>
  <si>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</si>
  <si>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</si>
  <si>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</si>
  <si>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</si>
  <si>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</si>
  <si>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</si>
  <si>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</si>
  <si>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</si>
  <si>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</si>
  <si>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</si>
  <si>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</si>
  <si>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</si>
  <si>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</si>
  <si>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</si>
  <si>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</si>
  <si>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</si>
  <si>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</si>
  <si>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</si>
  <si>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</si>
  <si>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</si>
  <si>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</si>
  <si>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</si>
  <si>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</si>
  <si>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</si>
  <si>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</si>
  <si>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</si>
  <si>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</si>
  <si>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</si>
  <si>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</si>
  <si>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</si>
  <si>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</si>
  <si>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</si>
  <si>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</si>
  <si>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</si>
  <si>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</si>
  <si>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</si>
  <si>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</si>
  <si>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</si>
  <si>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</si>
  <si>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</si>
  <si>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</si>
  <si>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</si>
  <si>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</si>
  <si>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</si>
  <si>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</si>
  <si>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</si>
  <si>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</si>
  <si>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</si>
  <si>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</si>
  <si>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</si>
  <si>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</si>
  <si>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</si>
  <si>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</si>
  <si>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</si>
  <si>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</si>
  <si>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</si>
  <si>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</si>
  <si>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</si>
  <si>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</si>
  <si>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</si>
  <si>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</si>
  <si>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</si>
  <si>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</si>
  <si>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</si>
  <si>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</si>
  <si>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</si>
  <si>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</si>
  <si>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</si>
  <si>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</si>
  <si>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</si>
  <si>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</si>
  <si>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</si>
  <si>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</si>
  <si>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</si>
  <si>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</si>
  <si>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</si>
  <si>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</si>
  <si>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</si>
  <si>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</si>
  <si>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</si>
  <si>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</si>
  <si>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</si>
  <si>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</si>
  <si>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</si>
  <si>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</si>
  <si>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</si>
  <si>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</si>
  <si>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</si>
  <si>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</si>
  <si>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</si>
  <si>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</si>
  <si>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</si>
  <si>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</si>
  <si>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</si>
  <si>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</si>
  <si>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</si>
  <si>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</si>
  <si>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</si>
  <si>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</si>
  <si>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</si>
  <si>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</si>
  <si>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</si>
  <si>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</si>
  <si>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</si>
  <si>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</si>
  <si>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</si>
  <si>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</si>
  <si>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</si>
  <si>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</si>
  <si>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</si>
  <si>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</si>
  <si>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</si>
  <si>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</si>
  <si>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</si>
  <si>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</si>
  <si>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</si>
  <si>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</si>
  <si>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</si>
  <si>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</si>
  <si>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</si>
  <si>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</si>
  <si>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</si>
  <si>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</si>
  <si>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</si>
  <si>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</si>
  <si>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</si>
  <si>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</si>
  <si>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</si>
  <si>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</si>
  <si>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</si>
  <si>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</si>
  <si>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</si>
  <si>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</si>
  <si>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</si>
  <si>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</si>
  <si>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</si>
  <si>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</si>
  <si>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2345-1</t>
  </si>
  <si>
    <t>CRONOS LOGISTIC</t>
  </si>
  <si>
    <t>URIEL CORREA</t>
  </si>
  <si>
    <t>PERSONALIZADO_L</t>
  </si>
  <si>
    <t>CTE NORMAL</t>
  </si>
  <si>
    <t>GUARULHOS - SP</t>
  </si>
  <si>
    <t>N/D</t>
  </si>
  <si>
    <t>HELO TRANSPORTES RODOVIAR</t>
  </si>
  <si>
    <t>2346-1</t>
  </si>
  <si>
    <t>BRAFT DO BRASIL</t>
  </si>
  <si>
    <t>CARLOS ALBERTO DE ANDRADE</t>
  </si>
  <si>
    <t>PERSONALIZADO</t>
  </si>
  <si>
    <t>SUDARIO PAULINO ROSA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</si>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</sst>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[Analise_ELOIR_13082026.xlsx]Resumo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157.66</c:v>
                </c:pt>
                <c:pt idx="1">
                  <c:v>6710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70.044399999999996</c:v>
                </c:pt>
                <c:pt idx="1">
                  <c:v>5269.61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[Analise_ELOIR_13082026.xlsx]Resumo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157.66</c:v>
                </c:pt>
                <c:pt idx="1">
                  <c:v>6710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70.044399999999996</c:v>
                </c:pt>
                <c:pt idx="1">
                  <c:v>5269.61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8.45457638888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425"/>
        <n v="243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4T00:00:00"/>
    </cacheField>
    <cacheField name="DATA" numFmtId="14">
      <sharedItems containsNonDate="0" containsDate="1" containsString="0" containsBlank="1" minDate="2026-08-13T00:00:00" maxDate="2026-08-1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s v="BRAFT DO BRAS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624.46" maxValue="413718.99"/>
    </cacheField>
    <cacheField name="SERVICO" numFmtId="0">
      <sharedItems containsBlank="1" count="27">
        <s v="PERSONALIZADO_L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7.66" maxValue="6710"/>
    </cacheField>
    <cacheField name="VOLUMES" numFmtId="0">
      <sharedItems containsString="0" containsBlank="1" containsNumber="1" containsInteger="1" minValue="13" maxValue="19"/>
    </cacheField>
    <cacheField name="PESO" numFmtId="0">
      <sharedItems containsString="0" containsBlank="1" containsNumber="1" minValue="78.599999999999994" maxValue="6504.41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1.6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8.92000000000000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85" maxValue="165.4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1.1" maxValue="4366.78"/>
    </cacheField>
    <cacheField name="RECEITA" numFmtId="0">
      <sharedItems containsString="0" containsBlank="1" containsNumber="1" minValue="-3.44" maxValue="2343.2199999999998"/>
    </cacheField>
    <cacheField name="IMPOSTO" numFmtId="0">
      <sharedItems containsString="0" containsBlank="1" containsNumber="1" minValue="25.23" maxValue="1073.5999999999999"/>
    </cacheField>
    <cacheField name="RESULTADO" numFmtId="0">
      <sharedItems containsString="0" containsBlank="1" containsNumber="1" minValue="-28.67" maxValue="1269.6199999999999"/>
    </cacheField>
    <cacheField name="COMIS" numFmtId="0">
      <sharedItems containsString="0" containsBlank="1" containsNumber="1" minValue="0" maxValue="201.3"/>
    </cacheField>
    <cacheField name="LUCRO LIQ" numFmtId="0">
      <sharedItems containsString="0" containsBlank="1" containsNumber="1" minValue="-28.67" maxValue="1068.32"/>
    </cacheField>
    <cacheField name="MARGEM" numFmtId="10">
      <sharedItems containsString="0" containsBlank="1" containsNumber="1" minValue="-0.18179999999999999" maxValue="0.159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3T00:00:00"/>
    <d v="2026-08-13T00:00:00"/>
    <m/>
    <s v="2345-1"/>
    <x v="0"/>
    <s v="URIEL CORREA"/>
    <n v="413718.99"/>
    <x v="0"/>
    <s v="CTE NORMAL"/>
    <s v="GUARULHOS - SP"/>
    <n v="6710"/>
    <n v="19"/>
    <n v="6504.41"/>
    <s v="MATRIZ"/>
    <n v="0"/>
    <s v="N/D"/>
    <n v="0"/>
    <s v="HELO TRANSPORTES RODOVIAR"/>
    <n v="0"/>
    <n v="0"/>
    <n v="0"/>
    <n v="0"/>
    <n v="165.49"/>
    <n v="0"/>
    <n v="4366.78"/>
    <n v="2343.2199999999998"/>
    <n v="1073.5999999999999"/>
    <n v="1269.6199999999999"/>
    <n v="201.3"/>
    <n v="1068.32"/>
    <n v="0.15920000000000001"/>
    <m/>
  </r>
  <r>
    <x v="1"/>
    <s v="MATRIZ"/>
    <d v="2026-08-13T00:00:00"/>
    <d v="2026-08-13T00:00:00"/>
    <m/>
    <s v="2346-1"/>
    <x v="1"/>
    <s v="CARLOS ALBERTO DE ANDRADE"/>
    <n v="4624.46"/>
    <x v="1"/>
    <s v="CTE NORMAL"/>
    <s v="GUARULHOS - SP"/>
    <n v="157.66"/>
    <n v="13"/>
    <n v="78.599999999999994"/>
    <s v="MATRIZ"/>
    <n v="0"/>
    <s v="SUDARIO PAULINO ROSA"/>
    <n v="41.62"/>
    <s v="HELO TRANSPORTES RODOVIAR"/>
    <n v="0"/>
    <n v="18.920000000000002"/>
    <n v="0"/>
    <n v="0"/>
    <n v="1.85"/>
    <n v="0"/>
    <n v="161.1"/>
    <n v="-3.44"/>
    <n v="25.23"/>
    <n v="-28.67"/>
    <n v="0"/>
    <n v="-28.67"/>
    <n v="-0.1817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1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x="0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3"/>
    </i>
    <i r="1">
      <x v="7999"/>
    </i>
    <i>
      <x v="186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1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x="0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8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621" s="1" nd="1"/>
        <i x="5" s="1" nd="1"/>
        <i x="771" s="1" nd="1"/>
        <i x="15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7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4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2425</v>
      </c>
      <c r="B2" s="12" t="s">
        <v>576</v>
      </c>
      <c r="C2" s="14">
        <v>46247</v>
      </c>
      <c r="D2" s="14">
        <v>46247</v>
      </c>
      <c r="E2" s="12"/>
      <c r="F2" s="15" t="s">
        <v>577</v>
      </c>
      <c r="G2" s="15" t="s">
        <v>578</v>
      </c>
      <c r="H2" s="15" t="s">
        <v>579</v>
      </c>
      <c r="I2" s="16">
        <v>413718.99</v>
      </c>
      <c r="J2" s="15" t="s">
        <v>580</v>
      </c>
      <c r="K2" s="15" t="s">
        <v>581</v>
      </c>
      <c r="L2" s="15" t="s">
        <v>582</v>
      </c>
      <c r="M2" s="15">
        <v>6710</v>
      </c>
      <c r="N2" s="15">
        <v>19</v>
      </c>
      <c r="O2" s="16">
        <v>6504.41</v>
      </c>
      <c r="P2" s="15" t="s">
        <v>576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0</v>
      </c>
      <c r="W2" s="15">
        <v>0</v>
      </c>
      <c r="X2" s="15">
        <v>0</v>
      </c>
      <c r="Y2" s="15">
        <v>165.49</v>
      </c>
      <c r="Z2" s="15">
        <v>0</v>
      </c>
      <c r="AA2" s="15">
        <v>4366.78</v>
      </c>
      <c r="AB2" s="15">
        <v>2343.2199999999998</v>
      </c>
      <c r="AC2" s="15">
        <v>1073.5999999999999</v>
      </c>
      <c r="AD2" s="15">
        <v>1269.6199999999999</v>
      </c>
      <c r="AE2" s="15">
        <v>201.3</v>
      </c>
      <c r="AF2" s="15">
        <v>1068.32</v>
      </c>
      <c r="AG2" s="17">
        <v>0.15920000000000001</v>
      </c>
      <c r="AH2" s="15"/>
    </row>
    <row r="3" spans="1:34" s="1" customFormat="1" ht="12" customHeight="1" x14ac:dyDescent="0.3">
      <c r="A3" s="13">
        <v>2430</v>
      </c>
      <c r="B3" s="12" t="s">
        <v>576</v>
      </c>
      <c r="C3" s="14">
        <v>46247</v>
      </c>
      <c r="D3" s="14">
        <v>46247</v>
      </c>
      <c r="E3" s="12"/>
      <c r="F3" s="15" t="s">
        <v>585</v>
      </c>
      <c r="G3" s="15" t="s">
        <v>586</v>
      </c>
      <c r="H3" s="15" t="s">
        <v>587</v>
      </c>
      <c r="I3" s="16">
        <v>4624.46</v>
      </c>
      <c r="J3" s="15" t="s">
        <v>588</v>
      </c>
      <c r="K3" s="15" t="s">
        <v>581</v>
      </c>
      <c r="L3" s="15" t="s">
        <v>582</v>
      </c>
      <c r="M3" s="16">
        <v>157.66</v>
      </c>
      <c r="N3" s="15">
        <v>13</v>
      </c>
      <c r="O3" s="16">
        <v>78.599999999999994</v>
      </c>
      <c r="P3" s="15" t="s">
        <v>576</v>
      </c>
      <c r="Q3" s="15">
        <v>0</v>
      </c>
      <c r="R3" s="15" t="s">
        <v>589</v>
      </c>
      <c r="S3" s="15">
        <v>41.62</v>
      </c>
      <c r="T3" s="15" t="s">
        <v>584</v>
      </c>
      <c r="U3" s="15">
        <v>0</v>
      </c>
      <c r="V3" s="15">
        <v>18.920000000000002</v>
      </c>
      <c r="W3" s="15">
        <v>0</v>
      </c>
      <c r="X3" s="15">
        <v>0</v>
      </c>
      <c r="Y3" s="15">
        <v>1.85</v>
      </c>
      <c r="Z3" s="15">
        <v>0</v>
      </c>
      <c r="AA3" s="16">
        <v>161.1</v>
      </c>
      <c r="AB3" s="16">
        <v>-3.44</v>
      </c>
      <c r="AC3" s="15">
        <v>25.23</v>
      </c>
      <c r="AD3" s="15">
        <v>-28.67</v>
      </c>
      <c r="AE3" s="15">
        <v>0</v>
      </c>
      <c r="AF3" s="15">
        <v>-28.67</v>
      </c>
      <c r="AG3" s="17">
        <v>-0.18179999999999999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6867.66</v>
      </c>
      <c r="F3" s="89"/>
      <c r="G3" s="90"/>
      <c r="H3" s="133">
        <f>'Resumo Detalhado'!C2</f>
        <v>6583.01</v>
      </c>
      <c r="I3" s="134"/>
      <c r="J3" s="135">
        <f>E3/H3</f>
        <v>1.0432400983744516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0.59845545454545457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4300</v>
      </c>
      <c r="F7" s="112"/>
      <c r="G7" s="112"/>
      <c r="H7" s="112"/>
      <c r="I7" s="112"/>
      <c r="J7" s="112">
        <f>E7/H3</f>
        <v>0.65319663801209471</v>
      </c>
      <c r="K7" s="112"/>
      <c r="L7" s="112"/>
      <c r="M7" s="130">
        <f>E7/E3</f>
        <v>0.62612301715577068</v>
      </c>
      <c r="N7" s="130"/>
      <c r="O7" s="130"/>
      <c r="P7" s="112">
        <f>E11+K11+Q11+E15+K15+Q15+E19+H19+K19</f>
        <v>6134.4984000000004</v>
      </c>
      <c r="Q7" s="112"/>
      <c r="R7" s="112"/>
      <c r="S7" s="112">
        <f>P7/H3</f>
        <v>0.93186830948152899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4300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4300</v>
      </c>
      <c r="L11" s="90"/>
      <c r="M11" s="38"/>
      <c r="N11" s="88">
        <f>K11/H3</f>
        <v>0.65319663801209471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18.920000000000002</v>
      </c>
      <c r="F15" s="119"/>
      <c r="G15" s="119"/>
      <c r="H15" s="119"/>
      <c r="I15" s="132"/>
      <c r="J15" s="38"/>
      <c r="K15" s="113">
        <f>'Resumo Detalhado'!K2+'Resumo Detalhado'!L2</f>
        <v>1098.8255999999999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167.34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549.41279999999995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5339.6543999999994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0.77750709848769439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6867.66</v>
      </c>
      <c r="C2" s="29">
        <f>SUM(C6:C5000)</f>
        <v>6583.01</v>
      </c>
      <c r="D2" s="29">
        <f>SUM(D6:D5000)</f>
        <v>0</v>
      </c>
      <c r="E2" s="29">
        <f>SUM(E6:E5000)</f>
        <v>41.62</v>
      </c>
      <c r="F2" s="29">
        <f>SUM(F6:F5000)</f>
        <v>0</v>
      </c>
      <c r="G2" s="29"/>
      <c r="H2" s="29">
        <f t="shared" ref="H2:P2" si="0">SUM(H6:H5000)</f>
        <v>18.920000000000002</v>
      </c>
      <c r="I2" s="29">
        <f t="shared" si="0"/>
        <v>167.34</v>
      </c>
      <c r="J2" s="29">
        <f t="shared" si="0"/>
        <v>0</v>
      </c>
      <c r="K2" s="29">
        <f t="shared" si="0"/>
        <v>549.41279999999995</v>
      </c>
      <c r="L2" s="29">
        <f t="shared" si="0"/>
        <v>549.41279999999995</v>
      </c>
      <c r="M2" s="29">
        <f t="shared" si="0"/>
        <v>201.3</v>
      </c>
      <c r="N2" s="29">
        <f t="shared" si="0"/>
        <v>5339.6543999999994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2430</v>
      </c>
      <c r="B6" s="139">
        <v>157.66</v>
      </c>
      <c r="C6" s="140">
        <v>78.599999999999994</v>
      </c>
      <c r="D6" s="139">
        <v>0</v>
      </c>
      <c r="E6" s="139">
        <v>41.62</v>
      </c>
      <c r="F6" s="139">
        <v>0</v>
      </c>
      <c r="G6" s="141">
        <v>0.26398579221108714</v>
      </c>
      <c r="H6" s="139">
        <v>18.920000000000002</v>
      </c>
      <c r="I6" s="139">
        <v>1.85</v>
      </c>
      <c r="J6" s="139">
        <v>0</v>
      </c>
      <c r="K6" s="139">
        <v>12.6128</v>
      </c>
      <c r="L6" s="139">
        <v>12.6128</v>
      </c>
      <c r="M6" s="139">
        <v>0</v>
      </c>
      <c r="N6" s="139">
        <v>70.044399999999996</v>
      </c>
      <c r="O6" s="141">
        <v>0.44427502219967013</v>
      </c>
      <c r="Q6"/>
    </row>
    <row r="7" spans="1:18" s="31" customFormat="1" x14ac:dyDescent="0.3">
      <c r="A7" s="9" t="s">
        <v>578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2425</v>
      </c>
      <c r="B8" s="139">
        <v>6710</v>
      </c>
      <c r="C8" s="140">
        <v>6504.41</v>
      </c>
      <c r="D8" s="139">
        <v>0</v>
      </c>
      <c r="E8" s="139">
        <v>0</v>
      </c>
      <c r="F8" s="139">
        <v>0</v>
      </c>
      <c r="G8" s="141">
        <v>0</v>
      </c>
      <c r="H8" s="139">
        <v>0</v>
      </c>
      <c r="I8" s="139">
        <v>165.49</v>
      </c>
      <c r="J8" s="139">
        <v>0</v>
      </c>
      <c r="K8" s="139">
        <v>536.79999999999995</v>
      </c>
      <c r="L8" s="139">
        <v>536.79999999999995</v>
      </c>
      <c r="M8" s="139">
        <v>201.3</v>
      </c>
      <c r="N8" s="139">
        <v>5269.61</v>
      </c>
      <c r="O8" s="141">
        <v>0.7853368107302533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6710</v>
      </c>
      <c r="C2" s="29">
        <f>SUM(C6:C5000)</f>
        <v>5269.61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586</v>
      </c>
      <c r="B5" s="10">
        <v>157.66</v>
      </c>
      <c r="C5" s="10">
        <v>70.044399999999996</v>
      </c>
    </row>
    <row r="6" spans="1:4" x14ac:dyDescent="0.3">
      <c r="A6" s="9" t="s">
        <v>578</v>
      </c>
      <c r="B6" s="139">
        <v>6710</v>
      </c>
      <c r="C6" s="139">
        <v>5269.61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2026-08-14T13:54:42Z</dcterms:modified>
  <cp:category/>
  <cp:contentStatus/>
</cp:coreProperties>
</file>