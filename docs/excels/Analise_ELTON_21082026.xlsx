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6B7D1AB-8496-4BD9-9690-1108857B36B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<sst xmlns="http://schemas.openxmlformats.org/spreadsheetml/2006/main" count="857" uniqueCount="589">
  <si>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</si>
  <si>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</si>
  <si>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</si>
  <si>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</si>
  <si>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</si>
  <si>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</si>
  <si>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</si>
  <si>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</si>
  <si>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</si>
  <si>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</si>
  <si>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</si>
  <si>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</si>
  <si>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</si>
  <si>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</si>
  <si>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</si>
  <si>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</si>
  <si>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</si>
  <si>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</si>
  <si>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</si>
  <si>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</si>
  <si>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</si>
  <si>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</si>
  <si>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</si>
  <si>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</si>
  <si>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</si>
  <si>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</si>
  <si>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</si>
  <si>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</si>
  <si>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</si>
  <si>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</si>
  <si>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</si>
  <si>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</si>
  <si>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</si>
  <si>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</si>
  <si>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</si>
  <si>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</si>
  <si>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</si>
  <si>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</si>
  <si>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</si>
  <si>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</si>
  <si>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</si>
  <si>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</si>
  <si>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</si>
  <si>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</si>
  <si>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</si>
  <si>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</si>
  <si>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</si>
  <si>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</si>
  <si>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</si>
  <si>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</si>
  <si>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</si>
  <si>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</si>
  <si>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</si>
  <si>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</si>
  <si>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</si>
  <si>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</si>
  <si>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</si>
  <si>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</si>
  <si>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</si>
  <si>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</si>
  <si>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</si>
  <si>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</si>
  <si>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</si>
  <si>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</si>
  <si>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</si>
  <si>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</si>
  <si>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</si>
  <si>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</si>
  <si>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</si>
  <si>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</si>
  <si>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</si>
  <si>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</si>
  <si>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</si>
  <si>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</si>
  <si>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</si>
  <si>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</si>
  <si>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</si>
  <si>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</si>
  <si>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</si>
  <si>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</si>
  <si>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</si>
  <si>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</si>
  <si>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</si>
  <si>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</si>
  <si>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</si>
  <si>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</si>
  <si>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</si>
  <si>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</si>
  <si>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</si>
  <si>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</si>
  <si>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</si>
  <si>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</si>
  <si>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</si>
  <si>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</si>
  <si>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</si>
  <si>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</si>
  <si>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</si>
  <si>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</si>
  <si>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</si>
  <si>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</si>
  <si>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</si>
  <si>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</si>
  <si>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</si>
  <si>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</si>
  <si>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</si>
  <si>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</si>
  <si>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</si>
  <si>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</si>
  <si>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</si>
  <si>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</si>
  <si>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</si>
  <si>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</si>
  <si>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</si>
  <si>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</si>
  <si>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</si>
  <si>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</si>
  <si>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</si>
  <si>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</si>
  <si>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</si>
  <si>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</si>
  <si>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</si>
  <si>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</si>
  <si>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</si>
  <si>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</si>
  <si>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</si>
  <si>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</si>
  <si>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</si>
  <si>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</si>
  <si>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</si>
  <si>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</si>
  <si>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</si>
  <si>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</si>
  <si>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</si>
  <si>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</si>
  <si>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</si>
  <si>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</si>
  <si>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</si>
  <si>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</si>
  <si>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</si>
  <si>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</si>
  <si>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</si>
  <si>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</si>
  <si>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</si>
  <si>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</si>
  <si>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</si>
  <si>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</si>
  <si>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</si>
  <si>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</si>
  <si>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</si>
  <si>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</si>
  <si>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</si>
  <si>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</si>
  <si>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</si>
  <si>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</si>
  <si>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</si>
  <si>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</si>
  <si>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</si>
  <si>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</si>
  <si>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</si>
  <si>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</si>
  <si>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</si>
  <si>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</si>
  <si>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</si>
  <si>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</si>
  <si>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</si>
  <si>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</si>
  <si>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</si>
  <si>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</si>
  <si>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</si>
  <si>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</si>
  <si>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</si>
  <si>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</si>
  <si>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</si>
  <si>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</si>
  <si>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</si>
  <si>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</si>
  <si>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</si>
  <si>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</si>
  <si>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</si>
  <si>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</si>
  <si>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</si>
  <si>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</si>
  <si>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</si>
  <si>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</si>
  <si>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</si>
  <si>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</si>
  <si>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</si>
  <si>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</si>
  <si>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</si>
  <si>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</si>
  <si>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</si>
  <si>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</si>
  <si>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</si>
  <si>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</si>
  <si>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</si>
  <si>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</si>
  <si>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</si>
  <si>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</si>
  <si>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</si>
  <si>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</si>
  <si>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</si>
  <si>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</si>
  <si>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</si>
  <si>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</si>
  <si>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</si>
  <si>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</si>
  <si>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</si>
  <si>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</si>
  <si>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</si>
  <si>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</si>
  <si>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</si>
  <si>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</si>
  <si>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</si>
  <si>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</si>
  <si>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</si>
  <si>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</si>
  <si>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</si>
  <si>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</si>
  <si>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</si>
  <si>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</si>
  <si>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</si>
  <si>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</si>
  <si>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</si>
  <si>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</si>
  <si>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</si>
  <si>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</si>
  <si>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</si>
  <si>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</si>
  <si>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</si>
  <si>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</si>
  <si>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</si>
  <si>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</si>
  <si>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</si>
  <si>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</si>
  <si>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</si>
  <si>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</si>
  <si>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</si>
  <si>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</si>
  <si>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</si>
  <si>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</si>
  <si>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</si>
  <si>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</si>
  <si>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</si>
  <si>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</si>
  <si>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</si>
  <si>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</si>
  <si>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</si>
  <si>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</si>
  <si>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</si>
  <si>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</si>
  <si>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</si>
  <si>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</si>
  <si>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</si>
  <si>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</si>
  <si>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</si>
  <si>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</si>
  <si>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</si>
  <si>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</si>
  <si>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</si>
  <si>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</si>
  <si>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</si>
  <si>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</si>
  <si>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</si>
  <si>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</si>
  <si>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</si>
  <si>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</si>
  <si>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</si>
  <si>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</si>
  <si>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</si>
  <si>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</si>
  <si>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</si>
  <si>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</si>
  <si>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</si>
  <si>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</si>
  <si>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</si>
  <si>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</si>
  <si>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</si>
  <si>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</si>
  <si>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</si>
  <si>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</si>
  <si>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</si>
  <si>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</si>
  <si>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</si>
  <si>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</si>
  <si>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</si>
  <si>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</si>
  <si>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</si>
  <si>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</si>
  <si>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</si>
  <si>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</si>
  <si>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</si>
  <si>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</si>
  <si>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</si>
  <si>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</si>
  <si>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</si>
  <si>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</si>
  <si>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</si>
  <si>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</si>
  <si>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</si>
  <si>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</si>
  <si>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</si>
  <si>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</si>
  <si>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</si>
  <si>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</si>
  <si>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</si>
  <si>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</si>
  <si>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</si>
  <si>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</si>
  <si>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</si>
  <si>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</si>
  <si>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</si>
  <si>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</si>
  <si>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</si>
  <si>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</si>
  <si>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</si>
  <si>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</si>
  <si>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</si>
  <si>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</si>
  <si>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</si>
  <si>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</si>
  <si>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</si>
  <si>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</si>
  <si>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</si>
  <si>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</si>
  <si>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</si>
  <si>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</si>
  <si>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</si>
  <si>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</si>
  <si>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</si>
  <si>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</si>
  <si>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</si>
  <si>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</si>
  <si>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</si>
  <si>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</si>
  <si>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</si>
  <si>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</si>
  <si>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</si>
  <si>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</si>
  <si>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</si>
  <si>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</si>
  <si>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</si>
  <si>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</si>
  <si>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</si>
  <si>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</si>
  <si>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</si>
  <si>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</si>
  <si>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</si>
  <si>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</si>
  <si>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</si>
  <si>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</si>
  <si>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</si>
  <si>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</si>
  <si>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</si>
  <si>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</si>
  <si>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</si>
  <si>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</si>
  <si>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</si>
  <si>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</si>
  <si>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</si>
  <si>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</si>
  <si>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</si>
  <si>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</si>
  <si>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</si>
  <si>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</si>
  <si>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</si>
  <si>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</si>
  <si>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</si>
  <si>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</si>
  <si>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</si>
  <si>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</si>
  <si>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</si>
  <si>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</si>
  <si>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</si>
  <si>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</si>
  <si>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</si>
  <si>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</si>
  <si>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</si>
  <si>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</si>
  <si>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</si>
  <si>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</si>
  <si>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</si>
  <si>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</si>
  <si>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</si>
  <si>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</si>
  <si>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</si>
  <si>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</si>
  <si>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</si>
  <si>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</si>
  <si>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</si>
  <si>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</si>
  <si>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</si>
  <si>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</si>
  <si>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</si>
  <si>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</si>
  <si>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</si>
  <si>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</si>
  <si>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</si>
  <si>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</si>
  <si>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</si>
  <si>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</si>
  <si>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</si>
  <si>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</si>
  <si>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</si>
  <si>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</si>
  <si>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</si>
  <si>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</si>
  <si>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</si>
  <si>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</si>
  <si>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</si>
  <si>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</si>
  <si>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</si>
  <si>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</si>
  <si>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</si>
  <si>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</si>
  <si>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</si>
  <si>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</si>
  <si>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</si>
  <si>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</si>
  <si>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</si>
  <si>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</si>
  <si>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</si>
  <si>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</si>
  <si>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</si>
  <si>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</si>
  <si>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</si>
  <si>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</si>
  <si>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</si>
  <si>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</si>
  <si>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</si>
  <si>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</si>
  <si>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</si>
  <si>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</si>
  <si>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</si>
  <si>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</si>
  <si>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</si>
  <si>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</si>
  <si>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</si>
  <si>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</si>
  <si>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</si>
  <si>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</si>
  <si>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</si>
  <si>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</si>
  <si>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</si>
  <si>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</si>
  <si>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</si>
  <si>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</si>
  <si>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</si>
  <si>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</si>
  <si>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</si>
  <si>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</si>
  <si>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</si>
  <si>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</si>
  <si>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</si>
  <si>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</si>
  <si>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</si>
  <si>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</si>
  <si>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</si>
  <si>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</si>
  <si>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</si>
  <si>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</si>
  <si>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</si>
  <si>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</si>
  <si>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</si>
  <si>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</si>
  <si>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</si>
  <si>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</si>
  <si>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</si>
  <si>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</si>
  <si>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</si>
  <si>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</si>
  <si>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</si>
  <si>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</si>
  <si>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</si>
  <si>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</si>
  <si>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</si>
  <si>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</si>
  <si>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</si>
  <si>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</si>
  <si>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</si>
  <si>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</si>
  <si>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</si>
  <si>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</si>
  <si>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</si>
  <si>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</si>
  <si>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</si>
  <si>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</si>
  <si>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</si>
  <si>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</si>
  <si>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</si>
  <si>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</si>
  <si>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</si>
  <si>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</si>
  <si>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</si>
  <si>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</si>
  <si>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</si>
  <si>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</si>
  <si>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</si>
  <si>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</si>
  <si>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</si>
  <si>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</si>
  <si>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</si>
  <si>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</si>
  <si>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</si>
  <si>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</si>
  <si>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</si>
  <si>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</si>
  <si>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</si>
  <si>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</si>
  <si>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</si>
  <si>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</si>
  <si>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</si>
  <si>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</si>
  <si>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</si>
  <si>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</si>
  <si>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</si>
  <si>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</si>
  <si>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</si>
  <si>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</si>
  <si>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</si>
  <si>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</si>
  <si>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</si>
  <si>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</si>
  <si>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</si>
  <si>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</si>
  <si>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</si>
  <si>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</si>
  <si>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</si>
  <si>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</si>
  <si>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</si>
  <si>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</si>
  <si>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</si>
  <si>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</si>
  <si>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</si>
  <si>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</si>
  <si>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</si>
  <si>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</si>
  <si>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</si>
  <si>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</si>
  <si>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</si>
  <si>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</si>
  <si>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</si>
  <si>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</si>
  <si>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</si>
  <si>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</si>
  <si>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</si>
  <si>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</si>
  <si>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</si>
  <si>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</si>
  <si>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</si>
  <si>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</si>
  <si>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</si>
  <si>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</si>
  <si>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</si>
  <si>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</si>
  <si>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</si>
  <si>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</si>
  <si>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</si>
  <si>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</si>
  <si>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</si>
  <si>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</si>
  <si>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</si>
  <si>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</si>
  <si>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</si>
  <si>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</si>
  <si>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</si>
  <si>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</si>
  <si>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</si>
  <si>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</si>
  <si>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</si>
  <si>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</si>
  <si>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</si>
  <si>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</si>
  <si>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</si>
  <si>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</si>
  <si>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</si>
  <si>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</si>
  <si>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</si>
  <si>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</si>
  <si>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</si>
  <si>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</si>
  <si>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2539-1</t>
  </si>
  <si>
    <t>TOTALITY COMERC</t>
  </si>
  <si>
    <t>URIEL CORREA</t>
  </si>
  <si>
    <t>PERSONALIZADO_L</t>
  </si>
  <si>
    <t>CTE NORMAL</t>
  </si>
  <si>
    <t>EXTREMA - MG</t>
  </si>
  <si>
    <t>AE FRANCO ALVES LTDA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</si>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</sst>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[Analise_ELTON_21082026.xlsx]Resumo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TOTALITY COMERC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10340.870000000001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TOTALITY COMERC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4086.6408000000024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[Analise_ELTON_21082026.xlsx]Resumo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TOTALITY COMERC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10340.870000000001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TOTALITY COMERC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4086.6408000000024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0.41849270833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62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1T00:00:00" maxDate="2026-08-22T00:00:00"/>
    </cacheField>
    <cacheField name="DATA" numFmtId="14">
      <sharedItems containsNonDate="0" containsDate="1" containsString="0" containsBlank="1" minDate="2026-08-21T00:00:00" maxDate="2026-08-22T00:00:00"/>
    </cacheField>
    <cacheField name="FAT" numFmtId="0">
      <sharedItems containsString="0" containsBlank="1" containsNumber="1" containsInteger="1" minValue="415" maxValue="415"/>
    </cacheField>
    <cacheField name="CT-E" numFmtId="0">
      <sharedItems containsBlank="1"/>
    </cacheField>
    <cacheField name="CLIENTE TOMADOR" numFmtId="0">
      <sharedItems containsBlank="1" count="855">
        <s v="TOTALITY COMER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09839.9" maxValue="1709839.9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40.870000000001" maxValue="10340.870000000001"/>
    </cacheField>
    <cacheField name="VOLUMES" numFmtId="0">
      <sharedItems containsString="0" containsBlank="1" containsNumber="1" containsInteger="1" minValue="5" maxValue="5"/>
    </cacheField>
    <cacheField name="PESO" numFmtId="0">
      <sharedItems containsString="0" containsBlank="1" containsNumber="1" containsInteger="1" minValue="1813" maxValue="181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800" maxValue="18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861.36" maxValue="1861.3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83.94" maxValue="683.9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345.3" maxValue="4345.3"/>
    </cacheField>
    <cacheField name="RECEITA" numFmtId="0">
      <sharedItems containsString="0" containsBlank="1" containsNumber="1" minValue="5995.57" maxValue="5995.57"/>
    </cacheField>
    <cacheField name="IMPOSTO" numFmtId="0">
      <sharedItems containsString="0" containsBlank="1" containsNumber="1" minValue="1654.54" maxValue="1654.54"/>
    </cacheField>
    <cacheField name="RESULTADO" numFmtId="0">
      <sharedItems containsString="0" containsBlank="1" containsNumber="1" minValue="4341.03" maxValue="4341.03"/>
    </cacheField>
    <cacheField name="COMIS" numFmtId="0">
      <sharedItems containsString="0" containsBlank="1" containsNumber="1" minValue="254.39" maxValue="254.39"/>
    </cacheField>
    <cacheField name="LUCRO LIQ" numFmtId="0">
      <sharedItems containsString="0" containsBlank="1" containsNumber="1" minValue="4086.64" maxValue="4086.64"/>
    </cacheField>
    <cacheField name="MARGEM" numFmtId="10">
      <sharedItems containsString="0" containsBlank="1" containsNumber="1" minValue="0.39520000000000005" maxValue="0.3952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1T00:00:00"/>
    <d v="2026-08-21T00:00:00"/>
    <n v="415"/>
    <s v="2539-1"/>
    <x v="0"/>
    <s v="URIEL CORREA"/>
    <n v="1709839.9"/>
    <x v="0"/>
    <s v="CTE NORMAL"/>
    <s v="EXTREMA - MG"/>
    <n v="10340.870000000001"/>
    <n v="5"/>
    <n v="1813"/>
    <s v="MATRIZ"/>
    <n v="0"/>
    <s v="AE FRANCO ALVES LTDA"/>
    <n v="1800"/>
    <s v="INDEFINIDO"/>
    <n v="0"/>
    <n v="1861.36"/>
    <n v="0"/>
    <n v="0"/>
    <n v="683.94"/>
    <n v="0"/>
    <n v="4345.3"/>
    <n v="5995.57"/>
    <n v="1654.54"/>
    <n v="4341.03"/>
    <n v="254.39"/>
    <n v="4086.64"/>
    <n v="0.39520000000000005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x="0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77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x="0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7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6" s="1" nd="1"/>
        <i x="272" s="1" nd="1"/>
        <i x="11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6" s="1" nd="1"/>
        <i x="293" s="1" nd="1"/>
        <i x="601" s="1" nd="1"/>
        <i x="205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4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1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3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5" s="1" nd="1"/>
        <i x="133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1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69" s="1" nd="1"/>
        <i x="584" s="1" nd="1"/>
        <i x="803" s="1" nd="1"/>
        <i x="791" s="1" nd="1"/>
        <i x="199" s="1" nd="1"/>
        <i x="151" s="1" nd="1"/>
        <i x="235" s="1" nd="1"/>
        <i x="502" s="1" nd="1"/>
        <i x="786" s="1" nd="1"/>
        <i x="258" s="1" nd="1"/>
        <i x="752" s="1" nd="1"/>
        <i x="128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3" s="1" nd="1"/>
        <i x="345" s="1" nd="1"/>
        <i x="119" s="1" nd="1"/>
        <i x="289" s="1" nd="1"/>
        <i x="198" s="1" nd="1"/>
        <i x="204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0" s="1" nd="1"/>
        <i x="156" s="1" nd="1"/>
        <i x="55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9" s="1" nd="1"/>
        <i x="3" s="1" nd="1"/>
        <i x="49" s="1" nd="1"/>
        <i x="90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2624</v>
      </c>
      <c r="B2" s="12" t="s">
        <v>579</v>
      </c>
      <c r="C2" s="14">
        <v>46255</v>
      </c>
      <c r="D2" s="14">
        <v>46255</v>
      </c>
      <c r="E2" s="12">
        <v>415</v>
      </c>
      <c r="F2" s="15" t="s">
        <v>580</v>
      </c>
      <c r="G2" s="15" t="s">
        <v>581</v>
      </c>
      <c r="H2" s="15" t="s">
        <v>582</v>
      </c>
      <c r="I2" s="16">
        <v>1709839.9</v>
      </c>
      <c r="J2" s="15" t="s">
        <v>583</v>
      </c>
      <c r="K2" s="15" t="s">
        <v>584</v>
      </c>
      <c r="L2" s="15" t="s">
        <v>585</v>
      </c>
      <c r="M2" s="15">
        <v>10340.870000000001</v>
      </c>
      <c r="N2" s="15">
        <v>5</v>
      </c>
      <c r="O2" s="16">
        <v>1813</v>
      </c>
      <c r="P2" s="15" t="s">
        <v>579</v>
      </c>
      <c r="Q2" s="15">
        <v>0</v>
      </c>
      <c r="R2" s="15" t="s">
        <v>586</v>
      </c>
      <c r="S2" s="15">
        <v>1800</v>
      </c>
      <c r="T2" s="15" t="s">
        <v>587</v>
      </c>
      <c r="U2" s="15">
        <v>0</v>
      </c>
      <c r="V2" s="15">
        <v>1861.36</v>
      </c>
      <c r="W2" s="15">
        <v>0</v>
      </c>
      <c r="X2" s="15">
        <v>0</v>
      </c>
      <c r="Y2" s="15">
        <v>683.94</v>
      </c>
      <c r="Z2" s="15">
        <v>0</v>
      </c>
      <c r="AA2" s="15">
        <v>4345.3</v>
      </c>
      <c r="AB2" s="15">
        <v>5995.57</v>
      </c>
      <c r="AC2" s="15">
        <v>1654.54</v>
      </c>
      <c r="AD2" s="15">
        <v>4341.03</v>
      </c>
      <c r="AE2" s="15">
        <v>254.39</v>
      </c>
      <c r="AF2" s="15">
        <v>4086.64</v>
      </c>
      <c r="AG2" s="17">
        <v>0.39520000000000005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10340.870000000001</v>
      </c>
      <c r="F3" s="89"/>
      <c r="G3" s="90"/>
      <c r="H3" s="133">
        <f>'Resumo Detalhado'!C2</f>
        <v>1813</v>
      </c>
      <c r="I3" s="134"/>
      <c r="J3" s="135">
        <f>E3/H3</f>
        <v>5.7037341423055716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0.51800000000000002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1800</v>
      </c>
      <c r="F7" s="112"/>
      <c r="G7" s="112"/>
      <c r="H7" s="112"/>
      <c r="I7" s="112"/>
      <c r="J7" s="112">
        <f>E7/H3</f>
        <v>0.99282956425813573</v>
      </c>
      <c r="K7" s="112"/>
      <c r="L7" s="112"/>
      <c r="M7" s="130">
        <f>E7/E3</f>
        <v>0.17406659207590849</v>
      </c>
      <c r="N7" s="130"/>
      <c r="O7" s="130"/>
      <c r="P7" s="112">
        <f>E11+K11+Q11+E15+K15+Q15+E19+H19+K19</f>
        <v>6827.1088</v>
      </c>
      <c r="Q7" s="112"/>
      <c r="R7" s="112"/>
      <c r="S7" s="112">
        <f>P7/H3</f>
        <v>3.7656419194704909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1800</v>
      </c>
      <c r="L11" s="90"/>
      <c r="M11" s="38"/>
      <c r="N11" s="88">
        <f>K11/H3</f>
        <v>0.99282956425813573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1861.36</v>
      </c>
      <c r="F15" s="119"/>
      <c r="G15" s="119"/>
      <c r="H15" s="119"/>
      <c r="I15" s="132"/>
      <c r="J15" s="38"/>
      <c r="K15" s="113">
        <f>'Resumo Detalhado'!K2+'Resumo Detalhado'!L2</f>
        <v>1654.5392000000002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683.94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827.26960000000008</v>
      </c>
      <c r="L19" s="123"/>
      <c r="M19" s="38"/>
      <c r="N19" s="121" t="s">
        <v>451</v>
      </c>
      <c r="O19" s="119"/>
      <c r="P19" s="119"/>
      <c r="Q19" s="119"/>
      <c r="R19" s="120"/>
      <c r="S19" s="121">
        <v>2200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4086.6408000000024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0.39519313171909154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10340.870000000001</v>
      </c>
      <c r="C2" s="29">
        <f>SUM(C6:C5000)</f>
        <v>1813</v>
      </c>
      <c r="D2" s="29">
        <f>SUM(D6:D5000)</f>
        <v>0</v>
      </c>
      <c r="E2" s="29">
        <f>SUM(E6:E5000)</f>
        <v>1800</v>
      </c>
      <c r="F2" s="29">
        <f>SUM(F6:F5000)</f>
        <v>0</v>
      </c>
      <c r="G2" s="29"/>
      <c r="H2" s="29">
        <f t="shared" ref="H2:P2" si="0">SUM(H6:H5000)</f>
        <v>1861.36</v>
      </c>
      <c r="I2" s="29">
        <f t="shared" si="0"/>
        <v>683.94</v>
      </c>
      <c r="J2" s="29">
        <f t="shared" si="0"/>
        <v>0</v>
      </c>
      <c r="K2" s="29">
        <f t="shared" si="0"/>
        <v>827.26960000000008</v>
      </c>
      <c r="L2" s="29">
        <f t="shared" si="0"/>
        <v>827.26960000000008</v>
      </c>
      <c r="M2" s="29">
        <f t="shared" si="0"/>
        <v>254.39</v>
      </c>
      <c r="N2" s="29">
        <f t="shared" si="0"/>
        <v>4086.6408000000024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2624</v>
      </c>
      <c r="B6" s="140">
        <v>10340.870000000001</v>
      </c>
      <c r="C6" s="141">
        <v>1813</v>
      </c>
      <c r="D6" s="140">
        <v>0</v>
      </c>
      <c r="E6" s="140">
        <v>1800</v>
      </c>
      <c r="F6" s="140">
        <v>0</v>
      </c>
      <c r="G6" s="142">
        <v>0.17406659207590849</v>
      </c>
      <c r="H6" s="140">
        <v>1861.36</v>
      </c>
      <c r="I6" s="140">
        <v>683.94</v>
      </c>
      <c r="J6" s="140">
        <v>0</v>
      </c>
      <c r="K6" s="140">
        <v>827.26960000000008</v>
      </c>
      <c r="L6" s="140">
        <v>827.26960000000008</v>
      </c>
      <c r="M6" s="140">
        <v>254.39</v>
      </c>
      <c r="N6" s="140">
        <v>4086.6408000000024</v>
      </c>
      <c r="O6" s="142">
        <v>0.39519313171909154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10340.870000000001</v>
      </c>
      <c r="C5" s="10">
        <v>4086.6408000000024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2200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2026-08-26T13:02:48Z</dcterms:modified>
  <cp:category/>
  <cp:contentStatus/>
</cp:coreProperties>
</file>