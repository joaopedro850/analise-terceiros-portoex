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AB113F4-F8CC-4F39-869A-7A7BF8212A1B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<sst xmlns="http://schemas.openxmlformats.org/spreadsheetml/2006/main" count="914" uniqueCount="633">
  <si>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</si>
  <si>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</si>
  <si>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</si>
  <si>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</si>
  <si>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</si>
  <si>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</si>
  <si>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</si>
  <si>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</si>
  <si>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</si>
  <si>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</si>
  <si>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</si>
  <si>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</si>
  <si>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</si>
  <si>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</si>
  <si>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</si>
  <si>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</si>
  <si>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</si>
  <si>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</si>
  <si>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</si>
  <si>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</si>
  <si>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</si>
  <si>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</si>
  <si>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</si>
  <si>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</si>
  <si>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</si>
  <si>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</si>
  <si>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</si>
  <si>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</si>
  <si>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</si>
  <si>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</si>
  <si>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</si>
  <si>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</si>
  <si>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</si>
  <si>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</si>
  <si>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</si>
  <si>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</si>
  <si>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</si>
  <si>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</si>
  <si>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</si>
  <si>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</si>
  <si>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</si>
  <si>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</si>
  <si>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</si>
  <si>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</si>
  <si>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</si>
  <si>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</si>
  <si>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</si>
  <si>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</si>
  <si>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</si>
  <si>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</si>
  <si>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</si>
  <si>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</si>
  <si>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</si>
  <si>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</si>
  <si>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</si>
  <si>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</si>
  <si>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</si>
  <si>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</si>
  <si>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</si>
  <si>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</si>
  <si>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</si>
  <si>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</si>
  <si>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</si>
  <si>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</si>
  <si>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</si>
  <si>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</si>
  <si>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</si>
  <si>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</si>
  <si>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</si>
  <si>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</si>
  <si>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</si>
  <si>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</si>
  <si>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</si>
  <si>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</si>
  <si>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</si>
  <si>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</si>
  <si>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</si>
  <si>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</si>
  <si>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</si>
  <si>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</si>
  <si>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</si>
  <si>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</si>
  <si>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</si>
  <si>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</si>
  <si>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</si>
  <si>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</si>
  <si>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</si>
  <si>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</si>
  <si>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</si>
  <si>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</si>
  <si>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</si>
  <si>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</si>
  <si>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</si>
  <si>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</si>
  <si>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</si>
  <si>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</si>
  <si>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</si>
  <si>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</si>
  <si>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</si>
  <si>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</si>
  <si>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</si>
  <si>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</si>
  <si>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</si>
  <si>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</si>
  <si>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</si>
  <si>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</si>
  <si>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</si>
  <si>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</si>
  <si>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</si>
  <si>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</si>
  <si>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</si>
  <si>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</si>
  <si>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</si>
  <si>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</si>
  <si>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</si>
  <si>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</si>
  <si>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</si>
  <si>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</si>
  <si>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</si>
  <si>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</si>
  <si>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</si>
  <si>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</si>
  <si>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</si>
  <si>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</si>
  <si>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</si>
  <si>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</si>
  <si>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</si>
  <si>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</si>
  <si>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</si>
  <si>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</si>
  <si>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</si>
  <si>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</si>
  <si>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</si>
  <si>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</si>
  <si>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</si>
  <si>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</si>
  <si>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</si>
  <si>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</si>
  <si>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</si>
  <si>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</si>
  <si>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</si>
  <si>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</si>
  <si>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</si>
  <si>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</si>
  <si>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</si>
  <si>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</si>
  <si>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</si>
  <si>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</si>
  <si>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</si>
  <si>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</si>
  <si>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</si>
  <si>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</si>
  <si>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</si>
  <si>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</si>
  <si>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</si>
  <si>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</si>
  <si>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</si>
  <si>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</si>
  <si>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</si>
  <si>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</si>
  <si>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</si>
  <si>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</si>
  <si>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</si>
  <si>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</si>
  <si>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</si>
  <si>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</si>
  <si>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</si>
  <si>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</si>
  <si>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</si>
  <si>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</si>
  <si>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</si>
  <si>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</si>
  <si>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</si>
  <si>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</si>
  <si>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</si>
  <si>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</si>
  <si>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</si>
  <si>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</si>
  <si>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</si>
  <si>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</si>
  <si>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</si>
  <si>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</si>
  <si>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</si>
  <si>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</si>
  <si>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</si>
  <si>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</si>
  <si>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</si>
  <si>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</si>
  <si>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</si>
  <si>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</si>
  <si>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</si>
  <si>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</si>
  <si>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</si>
  <si>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</si>
  <si>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</si>
  <si>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</si>
  <si>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</si>
  <si>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</si>
  <si>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</si>
  <si>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</si>
  <si>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</si>
  <si>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</si>
  <si>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</si>
  <si>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</si>
  <si>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</si>
  <si>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</si>
  <si>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</si>
  <si>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</si>
  <si>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</si>
  <si>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</si>
  <si>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</si>
  <si>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</si>
  <si>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</si>
  <si>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</si>
  <si>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</si>
  <si>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</si>
  <si>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</si>
  <si>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</si>
  <si>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</si>
  <si>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</si>
  <si>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</si>
  <si>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</si>
  <si>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</si>
  <si>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</si>
  <si>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</si>
  <si>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</si>
  <si>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</si>
  <si>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</si>
  <si>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</si>
  <si>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</si>
  <si>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</si>
  <si>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</si>
  <si>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</si>
  <si>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</si>
  <si>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</si>
  <si>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</si>
  <si>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</si>
  <si>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</si>
  <si>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</si>
  <si>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</si>
  <si>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</si>
  <si>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</si>
  <si>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</si>
  <si>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</si>
  <si>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</si>
  <si>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</si>
  <si>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</si>
  <si>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</si>
  <si>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</si>
  <si>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</si>
  <si>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</si>
  <si>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</si>
  <si>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</si>
  <si>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</si>
  <si>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</si>
  <si>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</si>
  <si>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</si>
  <si>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</si>
  <si>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</si>
  <si>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</si>
  <si>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</si>
  <si>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</si>
  <si>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</si>
  <si>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</si>
  <si>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</si>
  <si>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</si>
  <si>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</si>
  <si>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</si>
  <si>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</si>
  <si>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</si>
  <si>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</si>
  <si>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</si>
  <si>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</si>
  <si>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</si>
  <si>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</si>
  <si>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</si>
  <si>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</si>
  <si>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</si>
  <si>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</si>
  <si>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</si>
  <si>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</si>
  <si>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</si>
  <si>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</si>
  <si>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</si>
  <si>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</si>
  <si>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</si>
  <si>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</si>
  <si>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</si>
  <si>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</si>
  <si>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</si>
  <si>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</si>
  <si>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</si>
  <si>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</si>
  <si>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</si>
  <si>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</si>
  <si>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</si>
  <si>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</si>
  <si>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</si>
  <si>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</si>
  <si>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</si>
  <si>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</si>
  <si>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</si>
  <si>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</si>
  <si>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</si>
  <si>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</si>
  <si>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</si>
  <si>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</si>
  <si>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</si>
  <si>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</si>
  <si>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</si>
  <si>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</si>
  <si>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</si>
  <si>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</si>
  <si>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</si>
  <si>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</si>
  <si>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</si>
  <si>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</si>
  <si>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</si>
  <si>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</si>
  <si>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</si>
  <si>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</si>
  <si>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</si>
  <si>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</si>
  <si>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</si>
  <si>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</si>
  <si>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</si>
  <si>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</si>
  <si>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</si>
  <si>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</si>
  <si>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</si>
  <si>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</si>
  <si>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</si>
  <si>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</si>
  <si>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</si>
  <si>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</si>
  <si>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</si>
  <si>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</si>
  <si>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</si>
  <si>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</si>
  <si>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</si>
  <si>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</si>
  <si>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</si>
  <si>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</si>
  <si>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</si>
  <si>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</si>
  <si>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</si>
  <si>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</si>
  <si>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</si>
  <si>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</si>
  <si>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</si>
  <si>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</si>
  <si>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</si>
  <si>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</si>
  <si>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</si>
  <si>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</si>
  <si>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</si>
  <si>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</si>
  <si>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</si>
  <si>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</si>
  <si>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</si>
  <si>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</si>
  <si>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</si>
  <si>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</si>
  <si>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</si>
  <si>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</si>
  <si>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</si>
  <si>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</si>
  <si>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</si>
  <si>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</si>
  <si>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</si>
  <si>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</si>
  <si>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</si>
  <si>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</si>
  <si>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</si>
  <si>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</si>
  <si>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</si>
  <si>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</si>
  <si>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</si>
  <si>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</si>
  <si>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</si>
  <si>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</si>
  <si>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</si>
  <si>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</si>
  <si>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</si>
  <si>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</si>
  <si>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</si>
  <si>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</si>
  <si>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</si>
  <si>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</si>
  <si>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</si>
  <si>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</si>
  <si>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</si>
  <si>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</si>
  <si>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</si>
  <si>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</si>
  <si>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</si>
  <si>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</si>
  <si>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</si>
  <si>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</si>
  <si>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</si>
  <si>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</si>
  <si>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</si>
  <si>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</si>
  <si>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</si>
  <si>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</si>
  <si>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</si>
  <si>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</si>
  <si>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</si>
  <si>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</si>
  <si>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</si>
  <si>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</si>
  <si>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</si>
  <si>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</si>
  <si>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</si>
  <si>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</si>
  <si>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</si>
  <si>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</si>
  <si>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</si>
  <si>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</si>
  <si>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</si>
  <si>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</si>
  <si>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</si>
  <si>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</si>
  <si>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</si>
  <si>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</si>
  <si>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</si>
  <si>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</si>
  <si>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</si>
  <si>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</si>
  <si>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</si>
  <si>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</si>
  <si>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</si>
  <si>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</si>
  <si>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</si>
  <si>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</si>
  <si>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</si>
  <si>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</si>
  <si>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</si>
  <si>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</si>
  <si>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</si>
  <si>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</si>
  <si>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</si>
  <si>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</si>
  <si>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</si>
  <si>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</si>
  <si>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</si>
  <si>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</si>
  <si>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</si>
  <si>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</si>
  <si>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</si>
  <si>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</si>
  <si>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</si>
  <si>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</si>
  <si>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</si>
  <si>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</si>
  <si>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</si>
  <si>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</si>
  <si>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</si>
  <si>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</si>
  <si>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</si>
  <si>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</si>
  <si>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</si>
  <si>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</si>
  <si>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</si>
  <si>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</si>
  <si>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</si>
  <si>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</si>
  <si>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</si>
  <si>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</si>
  <si>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</si>
  <si>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</si>
  <si>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</si>
  <si>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</si>
  <si>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</si>
  <si>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</si>
  <si>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</si>
  <si>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</si>
  <si>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</si>
  <si>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</si>
  <si>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</si>
  <si>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</si>
  <si>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</si>
  <si>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</si>
  <si>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</si>
  <si>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</si>
  <si>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</si>
  <si>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</si>
  <si>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</si>
  <si>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</si>
  <si>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</si>
  <si>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</si>
  <si>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</si>
  <si>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</si>
  <si>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</si>
  <si>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</si>
  <si>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</si>
  <si>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</si>
  <si>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</si>
  <si>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</si>
  <si>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</si>
  <si>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</si>
  <si>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</si>
  <si>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</si>
  <si>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</si>
  <si>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</si>
  <si>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</si>
  <si>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</si>
  <si>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</si>
  <si>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</si>
  <si>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</si>
  <si>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</si>
  <si>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</si>
  <si>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</si>
  <si>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</si>
  <si>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</si>
  <si>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</si>
  <si>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</si>
  <si>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</si>
  <si>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</si>
  <si>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</si>
  <si>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</si>
  <si>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</si>
  <si>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</si>
  <si>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</si>
  <si>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</si>
  <si>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</si>
  <si>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</si>
  <si>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</si>
  <si>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</si>
  <si>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</si>
  <si>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</si>
  <si>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</si>
  <si>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</si>
  <si>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</si>
  <si>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</si>
  <si>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</si>
  <si>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</si>
  <si>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</si>
  <si>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</si>
  <si>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</si>
  <si>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</si>
  <si>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</si>
  <si>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</si>
  <si>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</si>
  <si>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</si>
  <si>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</si>
  <si>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</si>
  <si>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</si>
  <si>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</si>
  <si>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</si>
  <si>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</si>
  <si>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</si>
  <si>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</si>
  <si>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</si>
  <si>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</si>
  <si>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</si>
  <si>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</si>
  <si>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</si>
  <si>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</si>
  <si>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</si>
  <si>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</si>
  <si>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</si>
  <si>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</si>
  <si>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</si>
  <si>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</si>
  <si>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</si>
  <si>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</si>
  <si>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</si>
  <si>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</si>
  <si>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</si>
  <si>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</si>
  <si>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</si>
  <si>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</si>
  <si>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</si>
  <si>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</si>
  <si>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</si>
  <si>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</si>
  <si>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</si>
  <si>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</si>
  <si>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</si>
  <si>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</si>
  <si>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</si>
  <si>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</si>
  <si>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</si>
  <si>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</si>
  <si>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</si>
  <si>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</si>
  <si>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</si>
  <si>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</si>
  <si>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</si>
  <si>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</si>
  <si>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</si>
  <si>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</si>
  <si>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</si>
  <si>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</si>
  <si>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</si>
  <si>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</si>
  <si>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</si>
  <si>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</si>
  <si>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</si>
  <si>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</si>
  <si>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</si>
  <si>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</si>
  <si>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</si>
  <si>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</si>
  <si>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</si>
  <si>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</si>
  <si>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</si>
  <si>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</si>
  <si>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</si>
  <si>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</si>
  <si>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</si>
  <si>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</si>
  <si>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</si>
  <si>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</si>
  <si>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</si>
  <si>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</si>
  <si>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3446-1</t>
  </si>
  <si>
    <t>CRONOS LOGISTIC</t>
  </si>
  <si>
    <t>URIEL CORREA</t>
  </si>
  <si>
    <t>PERSONALIZADO_L</t>
  </si>
  <si>
    <t>CTE NORMAL</t>
  </si>
  <si>
    <t>GUARULHOS - SP</t>
  </si>
  <si>
    <t>N/D</t>
  </si>
  <si>
    <t>IVANEA PASINI CREPALDI EI</t>
  </si>
  <si>
    <t>3485-1</t>
  </si>
  <si>
    <t>STRATUS COMERCI</t>
  </si>
  <si>
    <t>MICHELL MARQUES</t>
  </si>
  <si>
    <t>ECONOMICO_250</t>
  </si>
  <si>
    <t>AMERICANA - SP</t>
  </si>
  <si>
    <t>LUIZ FELIPE FERNANDES DA</t>
  </si>
  <si>
    <t>PORTOEX SP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</si>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</sst>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[Analise_ELVIS_06102026.xlsx]Resumo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7717.51</c:v>
                </c:pt>
                <c:pt idx="1">
                  <c:v>302.05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6498.4992000000002</c:v>
                </c:pt>
                <c:pt idx="1">
                  <c:v>132.846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[Analise_ELVIS_06102026.xlsx]Resumo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7717.51</c:v>
                </c:pt>
                <c:pt idx="1">
                  <c:v>302.05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6498.4992000000002</c:v>
                </c:pt>
                <c:pt idx="1">
                  <c:v>132.846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4.58926504629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563"/>
        <n v="360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5T00:00:00" maxDate="2026-10-07T00:00:00"/>
    </cacheField>
    <cacheField name="DATA" numFmtId="14">
      <sharedItems containsNonDate="0" containsDate="1" containsString="0" containsBlank="1" minDate="2026-10-05T00:00:00" maxDate="2026-10-0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CRONOS LOGISTIC"/>
        <s v="STRATUS COMERC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176" maxValue="925189.44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02.05" maxValue="7717.51"/>
    </cacheField>
    <cacheField name="VOLUMES" numFmtId="0">
      <sharedItems containsString="0" containsBlank="1" containsNumber="1" containsInteger="1" minValue="10" maxValue="17"/>
    </cacheField>
    <cacheField name="PESO" numFmtId="0">
      <sharedItems containsString="0" containsBlank="1" containsNumber="1" minValue="345" maxValue="9518.56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06.32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36.2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4700000000000002" maxValue="370.0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308.88" maxValue="4556.24"/>
    </cacheField>
    <cacheField name="RECEITA" numFmtId="0">
      <sharedItems containsString="0" containsBlank="1" containsNumber="1" minValue="-6.83" maxValue="3161.27"/>
    </cacheField>
    <cacheField name="IMPOSTO" numFmtId="0">
      <sharedItems containsString="0" containsBlank="1" containsNumber="1" minValue="78.53" maxValue="2006.55"/>
    </cacheField>
    <cacheField name="RESULTADO" numFmtId="0">
      <sharedItems containsString="0" containsBlank="1" containsNumber="1" minValue="-85.36" maxValue="1154.72"/>
    </cacheField>
    <cacheField name="COMIS" numFmtId="0">
      <sharedItems containsString="0" containsBlank="1" containsNumber="1" minValue="0" maxValue="231.53"/>
    </cacheField>
    <cacheField name="LUCRO LIQ" numFmtId="0">
      <sharedItems containsString="0" containsBlank="1" containsNumber="1" minValue="-85.36" maxValue="923.19"/>
    </cacheField>
    <cacheField name="MARGEM" numFmtId="10">
      <sharedItems containsString="0" containsBlank="1" containsNumber="1" minValue="-0.28260000000000002" maxValue="0.1196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5T00:00:00"/>
    <d v="2026-10-05T00:00:00"/>
    <m/>
    <s v="3446-1"/>
    <x v="0"/>
    <s v="URIEL CORREA"/>
    <n v="925189.44"/>
    <x v="0"/>
    <s v="CTE NORMAL"/>
    <s v="GUARULHOS - SP"/>
    <n v="7717.51"/>
    <n v="17"/>
    <n v="9518.56"/>
    <s v="N/D"/>
    <n v="0"/>
    <s v="N/D"/>
    <n v="0"/>
    <s v="IVANEA PASINI CREPALDI EI"/>
    <n v="0"/>
    <n v="0"/>
    <n v="0"/>
    <n v="0"/>
    <n v="370.08"/>
    <n v="0"/>
    <n v="4556.24"/>
    <n v="3161.27"/>
    <n v="2006.55"/>
    <n v="1154.72"/>
    <n v="231.53"/>
    <n v="923.19"/>
    <n v="0.11960000000000001"/>
    <m/>
  </r>
  <r>
    <x v="1"/>
    <s v="MATRIZ"/>
    <d v="2026-10-06T00:00:00"/>
    <d v="2026-10-06T00:00:00"/>
    <m/>
    <s v="3485-1"/>
    <x v="1"/>
    <s v="MICHELL MARQUES"/>
    <n v="6176"/>
    <x v="1"/>
    <s v="CTE NORMAL"/>
    <s v="AMERICANA - SP"/>
    <n v="302.05"/>
    <n v="10"/>
    <n v="345"/>
    <s v="LUIZ FELIPE FERNANDES DA"/>
    <n v="0"/>
    <s v="PORTOEX SP"/>
    <n v="106.32"/>
    <s v="IVANEA PASINI CREPALDI EI"/>
    <n v="0"/>
    <n v="36.25"/>
    <n v="0"/>
    <n v="0"/>
    <n v="2.4700000000000002"/>
    <n v="0"/>
    <n v="308.88"/>
    <n v="-6.83"/>
    <n v="78.53"/>
    <n v="-85.36"/>
    <n v="0"/>
    <n v="-85.36"/>
    <n v="-0.2826000000000000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x="0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86"/>
    </i>
    <i r="1">
      <x v="7998"/>
    </i>
    <i>
      <x v="734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x="0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86"/>
    </i>
    <i>
      <x v="734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2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4" s="1" nd="1"/>
        <i x="381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6" s="1" nd="1"/>
        <i x="840" s="1" nd="1"/>
        <i x="456" s="1" nd="1"/>
        <i x="477" s="1" nd="1"/>
        <i x="750" s="1" nd="1"/>
        <i x="638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3" s="1" nd="1"/>
        <i x="627" s="1" nd="1"/>
        <i x="375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6" s="1" nd="1"/>
        <i x="442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7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8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69" s="1" nd="1"/>
        <i x="487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1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5" s="1" nd="1"/>
        <i x="409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2" s="1" nd="1"/>
        <i x="851" s="1" nd="1"/>
        <i x="30" s="1" nd="1"/>
        <i x="570" s="1" nd="1"/>
        <i x="512" s="1" nd="1"/>
        <i x="413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10" s="1" nd="1"/>
        <i x="69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0" s="1" nd="1"/>
        <i x="513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2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3563</v>
      </c>
      <c r="B2" s="12" t="s">
        <v>616</v>
      </c>
      <c r="C2" s="14">
        <v>46300</v>
      </c>
      <c r="D2" s="14">
        <v>46300</v>
      </c>
      <c r="E2" s="12"/>
      <c r="F2" s="15" t="s">
        <v>617</v>
      </c>
      <c r="G2" s="15" t="s">
        <v>618</v>
      </c>
      <c r="H2" s="15" t="s">
        <v>619</v>
      </c>
      <c r="I2" s="16">
        <v>925189.44</v>
      </c>
      <c r="J2" s="15" t="s">
        <v>620</v>
      </c>
      <c r="K2" s="15" t="s">
        <v>621</v>
      </c>
      <c r="L2" s="15" t="s">
        <v>622</v>
      </c>
      <c r="M2" s="15">
        <v>7717.51</v>
      </c>
      <c r="N2" s="15">
        <v>17</v>
      </c>
      <c r="O2" s="16">
        <v>9518.56</v>
      </c>
      <c r="P2" s="15" t="s">
        <v>623</v>
      </c>
      <c r="Q2" s="15">
        <v>0</v>
      </c>
      <c r="R2" s="15" t="s">
        <v>623</v>
      </c>
      <c r="S2" s="15">
        <v>0</v>
      </c>
      <c r="T2" s="15" t="s">
        <v>624</v>
      </c>
      <c r="U2" s="15">
        <v>0</v>
      </c>
      <c r="V2" s="15">
        <v>0</v>
      </c>
      <c r="W2" s="15">
        <v>0</v>
      </c>
      <c r="X2" s="15">
        <v>0</v>
      </c>
      <c r="Y2" s="15">
        <v>370.08</v>
      </c>
      <c r="Z2" s="15">
        <v>0</v>
      </c>
      <c r="AA2" s="15">
        <v>4556.24</v>
      </c>
      <c r="AB2" s="15">
        <v>3161.27</v>
      </c>
      <c r="AC2" s="15">
        <v>2006.55</v>
      </c>
      <c r="AD2" s="15">
        <v>1154.72</v>
      </c>
      <c r="AE2" s="15">
        <v>231.53</v>
      </c>
      <c r="AF2" s="15">
        <v>923.19</v>
      </c>
      <c r="AG2" s="17">
        <v>0.11960000000000001</v>
      </c>
      <c r="AH2" s="15"/>
    </row>
    <row r="3" spans="1:34" s="1" customFormat="1" ht="12" customHeight="1" x14ac:dyDescent="0.3">
      <c r="A3" s="13">
        <v>3606</v>
      </c>
      <c r="B3" s="12" t="s">
        <v>616</v>
      </c>
      <c r="C3" s="14">
        <v>46301</v>
      </c>
      <c r="D3" s="14">
        <v>46301</v>
      </c>
      <c r="E3" s="12"/>
      <c r="F3" s="15" t="s">
        <v>625</v>
      </c>
      <c r="G3" s="15" t="s">
        <v>626</v>
      </c>
      <c r="H3" s="15" t="s">
        <v>627</v>
      </c>
      <c r="I3" s="16">
        <v>6176</v>
      </c>
      <c r="J3" s="15" t="s">
        <v>628</v>
      </c>
      <c r="K3" s="15" t="s">
        <v>621</v>
      </c>
      <c r="L3" s="15" t="s">
        <v>629</v>
      </c>
      <c r="M3" s="16">
        <v>302.05</v>
      </c>
      <c r="N3" s="15">
        <v>10</v>
      </c>
      <c r="O3" s="16">
        <v>345</v>
      </c>
      <c r="P3" s="15" t="s">
        <v>630</v>
      </c>
      <c r="Q3" s="15">
        <v>0</v>
      </c>
      <c r="R3" s="15" t="s">
        <v>631</v>
      </c>
      <c r="S3" s="15">
        <v>106.32</v>
      </c>
      <c r="T3" s="15" t="s">
        <v>624</v>
      </c>
      <c r="U3" s="15">
        <v>0</v>
      </c>
      <c r="V3" s="15">
        <v>36.25</v>
      </c>
      <c r="W3" s="15">
        <v>0</v>
      </c>
      <c r="X3" s="15">
        <v>0</v>
      </c>
      <c r="Y3" s="15">
        <v>2.4700000000000002</v>
      </c>
      <c r="Z3" s="15">
        <v>0</v>
      </c>
      <c r="AA3" s="16">
        <v>308.88</v>
      </c>
      <c r="AB3" s="16">
        <v>-6.83</v>
      </c>
      <c r="AC3" s="15">
        <v>78.53</v>
      </c>
      <c r="AD3" s="15">
        <v>-85.36</v>
      </c>
      <c r="AE3" s="15">
        <v>0</v>
      </c>
      <c r="AF3" s="15">
        <v>-85.36</v>
      </c>
      <c r="AG3" s="17">
        <v>-0.28260000000000002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8019.56</v>
      </c>
      <c r="F3" s="89"/>
      <c r="G3" s="90"/>
      <c r="H3" s="133">
        <f>'Resumo Detalhado'!C2</f>
        <v>9863.56</v>
      </c>
      <c r="I3" s="134"/>
      <c r="J3" s="135">
        <f>E3/H3</f>
        <v>0.81304924388354716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0.89668727272727267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4100</v>
      </c>
      <c r="F7" s="112"/>
      <c r="G7" s="112"/>
      <c r="H7" s="112"/>
      <c r="I7" s="112"/>
      <c r="J7" s="112">
        <f>E7/H3</f>
        <v>0.41567142086629982</v>
      </c>
      <c r="K7" s="112"/>
      <c r="L7" s="112"/>
      <c r="M7" s="130">
        <f>E7/E3</f>
        <v>0.51124999376524394</v>
      </c>
      <c r="N7" s="130"/>
      <c r="O7" s="130"/>
      <c r="P7" s="112">
        <f>E11+K11+Q11+E15+K15+Q15+E19+H19+K19</f>
        <v>6683.4944000000005</v>
      </c>
      <c r="Q7" s="112"/>
      <c r="R7" s="112"/>
      <c r="S7" s="112">
        <f>P7/H3</f>
        <v>0.67759453990242879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4100</v>
      </c>
      <c r="L11" s="90"/>
      <c r="M11" s="38"/>
      <c r="N11" s="88">
        <f>K11/H3</f>
        <v>0.41567142086629982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36.25</v>
      </c>
      <c r="F15" s="119"/>
      <c r="G15" s="119"/>
      <c r="H15" s="119"/>
      <c r="I15" s="132"/>
      <c r="J15" s="38"/>
      <c r="K15" s="113">
        <f>'Resumo Detalhado'!K2+'Resumo Detalhado'!L2</f>
        <v>1283.1296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372.55</v>
      </c>
      <c r="F19" s="120"/>
      <c r="G19" s="38"/>
      <c r="H19" s="122">
        <v>250</v>
      </c>
      <c r="I19" s="123"/>
      <c r="J19" s="38"/>
      <c r="K19" s="122">
        <f>'Resumo Detalhado'!L2</f>
        <v>641.56479999999999</v>
      </c>
      <c r="L19" s="123"/>
      <c r="M19" s="38"/>
      <c r="N19" s="121" t="s">
        <v>285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6631.3451999999997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0.82689638833053181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8019.56</v>
      </c>
      <c r="C2" s="29">
        <f>SUM(C6:C5000)</f>
        <v>9863.56</v>
      </c>
      <c r="D2" s="29">
        <f>SUM(D6:D5000)</f>
        <v>0</v>
      </c>
      <c r="E2" s="29">
        <f>SUM(E6:E5000)</f>
        <v>106.32</v>
      </c>
      <c r="F2" s="29">
        <f>SUM(F6:F5000)</f>
        <v>0</v>
      </c>
      <c r="G2" s="29"/>
      <c r="H2" s="29">
        <f t="shared" ref="H2:P2" si="0">SUM(H6:H5000)</f>
        <v>36.25</v>
      </c>
      <c r="I2" s="29">
        <f t="shared" si="0"/>
        <v>372.55</v>
      </c>
      <c r="J2" s="29">
        <f t="shared" si="0"/>
        <v>0</v>
      </c>
      <c r="K2" s="29">
        <f t="shared" si="0"/>
        <v>641.56479999999999</v>
      </c>
      <c r="L2" s="29">
        <f t="shared" si="0"/>
        <v>641.56479999999999</v>
      </c>
      <c r="M2" s="29">
        <f t="shared" si="0"/>
        <v>231.53</v>
      </c>
      <c r="N2" s="29">
        <f t="shared" si="0"/>
        <v>6631.3451999999997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3563</v>
      </c>
      <c r="B6" s="140">
        <v>7717.51</v>
      </c>
      <c r="C6" s="141">
        <v>9518.56</v>
      </c>
      <c r="D6" s="140">
        <v>0</v>
      </c>
      <c r="E6" s="140">
        <v>0</v>
      </c>
      <c r="F6" s="140">
        <v>0</v>
      </c>
      <c r="G6" s="142">
        <v>0</v>
      </c>
      <c r="H6" s="140">
        <v>0</v>
      </c>
      <c r="I6" s="140">
        <v>370.08</v>
      </c>
      <c r="J6" s="140">
        <v>0</v>
      </c>
      <c r="K6" s="140">
        <v>617.4008</v>
      </c>
      <c r="L6" s="140">
        <v>617.4008</v>
      </c>
      <c r="M6" s="140">
        <v>231.53</v>
      </c>
      <c r="N6" s="140">
        <v>6498.4992000000002</v>
      </c>
      <c r="O6" s="142">
        <v>0.84204610036138594</v>
      </c>
      <c r="Q6"/>
    </row>
    <row r="7" spans="1:18" s="31" customFormat="1" x14ac:dyDescent="0.3">
      <c r="A7" s="139" t="s">
        <v>626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3606</v>
      </c>
      <c r="B8" s="140">
        <v>302.05</v>
      </c>
      <c r="C8" s="141">
        <v>345</v>
      </c>
      <c r="D8" s="140">
        <v>0</v>
      </c>
      <c r="E8" s="140">
        <v>106.32</v>
      </c>
      <c r="F8" s="140">
        <v>0</v>
      </c>
      <c r="G8" s="142">
        <v>0.35199470286376422</v>
      </c>
      <c r="H8" s="140">
        <v>36.25</v>
      </c>
      <c r="I8" s="140">
        <v>2.4700000000000002</v>
      </c>
      <c r="J8" s="140">
        <v>0</v>
      </c>
      <c r="K8" s="140">
        <v>24.164000000000001</v>
      </c>
      <c r="L8" s="140">
        <v>24.164000000000001</v>
      </c>
      <c r="M8" s="140">
        <v>0</v>
      </c>
      <c r="N8" s="140">
        <v>132.846</v>
      </c>
      <c r="O8" s="142">
        <v>0.43981460023174973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302.05</v>
      </c>
      <c r="C2" s="29">
        <f>SUM(C6:C5000)</f>
        <v>132.846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7717.51</v>
      </c>
      <c r="C5" s="10">
        <v>6498.4992000000002</v>
      </c>
    </row>
    <row r="6" spans="1:4" x14ac:dyDescent="0.3">
      <c r="A6" s="139" t="s">
        <v>626</v>
      </c>
      <c r="B6" s="140">
        <v>302.05</v>
      </c>
      <c r="C6" s="140">
        <v>132.846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2026-10-09T17:08:39Z</dcterms:modified>
  <cp:category/>
  <cp:contentStatus/>
</cp:coreProperties>
</file>