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46927D2-CE0C-405B-B141-2E264EC7BD21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<sst xmlns="http://schemas.openxmlformats.org/spreadsheetml/2006/main" count="914" uniqueCount="634">
  <si>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</si>
  <si>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</si>
  <si>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</si>
  <si>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</si>
  <si>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</si>
  <si>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</si>
  <si>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</si>
  <si>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</si>
  <si>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</si>
  <si>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</si>
  <si>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</si>
  <si>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</si>
  <si>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</si>
  <si>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</si>
  <si>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</si>
  <si>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</si>
  <si>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</si>
  <si>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</si>
  <si>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</si>
  <si>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</si>
  <si>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</si>
  <si>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</si>
  <si>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</si>
  <si>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</si>
  <si>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</si>
  <si>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</si>
  <si>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</si>
  <si>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</si>
  <si>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</si>
  <si>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</si>
  <si>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</si>
  <si>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</si>
  <si>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</si>
  <si>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</si>
  <si>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</si>
  <si>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</si>
  <si>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</si>
  <si>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</si>
  <si>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</si>
  <si>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</si>
  <si>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</si>
  <si>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</si>
  <si>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</si>
  <si>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</si>
  <si>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</si>
  <si>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</si>
  <si>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</si>
  <si>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</si>
  <si>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</si>
  <si>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</si>
  <si>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</si>
  <si>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</si>
  <si>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</si>
  <si>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</si>
  <si>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</si>
  <si>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</si>
  <si>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</si>
  <si>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</si>
  <si>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</si>
  <si>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</si>
  <si>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</si>
  <si>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</si>
  <si>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</si>
  <si>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</si>
  <si>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</si>
  <si>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</si>
  <si>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</si>
  <si>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</si>
  <si>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</si>
  <si>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</si>
  <si>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</si>
  <si>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</si>
  <si>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</si>
  <si>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</si>
  <si>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</si>
  <si>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</si>
  <si>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</si>
  <si>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</si>
  <si>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</si>
  <si>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</si>
  <si>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</si>
  <si>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</si>
  <si>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</si>
  <si>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</si>
  <si>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</si>
  <si>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</si>
  <si>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</si>
  <si>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</si>
  <si>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</si>
  <si>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</si>
  <si>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</si>
  <si>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</si>
  <si>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</si>
  <si>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</si>
  <si>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</si>
  <si>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</si>
  <si>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</si>
  <si>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</si>
  <si>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</si>
  <si>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</si>
  <si>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</si>
  <si>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</si>
  <si>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</si>
  <si>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</si>
  <si>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</si>
  <si>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</si>
  <si>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</si>
  <si>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</si>
  <si>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</si>
  <si>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</si>
  <si>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</si>
  <si>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</si>
  <si>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</si>
  <si>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</si>
  <si>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</si>
  <si>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</si>
  <si>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</si>
  <si>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</si>
  <si>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</si>
  <si>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</si>
  <si>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</si>
  <si>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</si>
  <si>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</si>
  <si>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</si>
  <si>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</si>
  <si>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</si>
  <si>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</si>
  <si>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</si>
  <si>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</si>
  <si>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</si>
  <si>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</si>
  <si>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</si>
  <si>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</si>
  <si>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</si>
  <si>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</si>
  <si>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</si>
  <si>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</si>
  <si>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</si>
  <si>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</si>
  <si>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</si>
  <si>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</si>
  <si>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</si>
  <si>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</si>
  <si>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</si>
  <si>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</si>
  <si>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</si>
  <si>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</si>
  <si>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</si>
  <si>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</si>
  <si>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</si>
  <si>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</si>
  <si>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</si>
  <si>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</si>
  <si>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</si>
  <si>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</si>
  <si>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</si>
  <si>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</si>
  <si>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</si>
  <si>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</si>
  <si>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</si>
  <si>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</si>
  <si>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</si>
  <si>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</si>
  <si>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</si>
  <si>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</si>
  <si>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</si>
  <si>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</si>
  <si>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</si>
  <si>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</si>
  <si>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</si>
  <si>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</si>
  <si>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</si>
  <si>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</si>
  <si>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</si>
  <si>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</si>
  <si>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</si>
  <si>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</si>
  <si>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</si>
  <si>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</si>
  <si>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</si>
  <si>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</si>
  <si>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</si>
  <si>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</si>
  <si>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</si>
  <si>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</si>
  <si>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</si>
  <si>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</si>
  <si>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</si>
  <si>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</si>
  <si>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</si>
  <si>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</si>
  <si>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</si>
  <si>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</si>
  <si>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</si>
  <si>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</si>
  <si>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</si>
  <si>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</si>
  <si>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</si>
  <si>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</si>
  <si>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</si>
  <si>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</si>
  <si>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</si>
  <si>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</si>
  <si>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</si>
  <si>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</si>
  <si>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</si>
  <si>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</si>
  <si>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</si>
  <si>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</si>
  <si>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</si>
  <si>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</si>
  <si>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</si>
  <si>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</si>
  <si>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</si>
  <si>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</si>
  <si>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</si>
  <si>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</si>
  <si>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</si>
  <si>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</si>
  <si>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</si>
  <si>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</si>
  <si>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</si>
  <si>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</si>
  <si>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</si>
  <si>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</si>
  <si>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</si>
  <si>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</si>
  <si>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</si>
  <si>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</si>
  <si>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</si>
  <si>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</si>
  <si>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</si>
  <si>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</si>
  <si>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</si>
  <si>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</si>
  <si>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</si>
  <si>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</si>
  <si>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</si>
  <si>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</si>
  <si>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</si>
  <si>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</si>
  <si>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</si>
  <si>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</si>
  <si>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</si>
  <si>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</si>
  <si>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</si>
  <si>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</si>
  <si>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</si>
  <si>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</si>
  <si>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</si>
  <si>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</si>
  <si>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</si>
  <si>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</si>
  <si>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</si>
  <si>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</si>
  <si>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</si>
  <si>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</si>
  <si>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</si>
  <si>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</si>
  <si>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</si>
  <si>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</si>
  <si>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</si>
  <si>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</si>
  <si>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</si>
  <si>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</si>
  <si>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</si>
  <si>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</si>
  <si>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</si>
  <si>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</si>
  <si>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</si>
  <si>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</si>
  <si>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</si>
  <si>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</si>
  <si>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</si>
  <si>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</si>
  <si>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</si>
  <si>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</si>
  <si>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</si>
  <si>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</si>
  <si>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</si>
  <si>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</si>
  <si>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</si>
  <si>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</si>
  <si>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</si>
  <si>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</si>
  <si>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</si>
  <si>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</si>
  <si>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</si>
  <si>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</si>
  <si>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</si>
  <si>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</si>
  <si>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</si>
  <si>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</si>
  <si>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</si>
  <si>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</si>
  <si>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</si>
  <si>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</si>
  <si>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</si>
  <si>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</si>
  <si>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</si>
  <si>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</si>
  <si>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</si>
  <si>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</si>
  <si>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</si>
  <si>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</si>
  <si>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</si>
  <si>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</si>
  <si>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</si>
  <si>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</si>
  <si>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</si>
  <si>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</si>
  <si>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</si>
  <si>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</si>
  <si>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</si>
  <si>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</si>
  <si>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</si>
  <si>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</si>
  <si>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</si>
  <si>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</si>
  <si>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</si>
  <si>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</si>
  <si>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</si>
  <si>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</si>
  <si>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</si>
  <si>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</si>
  <si>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</si>
  <si>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</si>
  <si>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</si>
  <si>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</si>
  <si>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</si>
  <si>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</si>
  <si>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</si>
  <si>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</si>
  <si>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</si>
  <si>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</si>
  <si>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</si>
  <si>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</si>
  <si>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</si>
  <si>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</si>
  <si>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</si>
  <si>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</si>
  <si>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</si>
  <si>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</si>
  <si>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</si>
  <si>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</si>
  <si>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</si>
  <si>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</si>
  <si>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</si>
  <si>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</si>
  <si>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</si>
  <si>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</si>
  <si>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</si>
  <si>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</si>
  <si>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</si>
  <si>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</si>
  <si>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</si>
  <si>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</si>
  <si>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</si>
  <si>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</si>
  <si>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</si>
  <si>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</si>
  <si>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</si>
  <si>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</si>
  <si>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</si>
  <si>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</si>
  <si>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</si>
  <si>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</si>
  <si>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</si>
  <si>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</si>
  <si>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</si>
  <si>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</si>
  <si>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</si>
  <si>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</si>
  <si>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</si>
  <si>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</si>
  <si>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</si>
  <si>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</si>
  <si>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</si>
  <si>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</si>
  <si>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</si>
  <si>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</si>
  <si>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</si>
  <si>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</si>
  <si>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</si>
  <si>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</si>
  <si>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</si>
  <si>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</si>
  <si>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</si>
  <si>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</si>
  <si>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</si>
  <si>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</si>
  <si>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</si>
  <si>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</si>
  <si>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</si>
  <si>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</si>
  <si>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</si>
  <si>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</si>
  <si>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</si>
  <si>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</si>
  <si>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</si>
  <si>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</si>
  <si>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</si>
  <si>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</si>
  <si>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</si>
  <si>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</si>
  <si>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</si>
  <si>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</si>
  <si>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</si>
  <si>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</si>
  <si>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</si>
  <si>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</si>
  <si>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</si>
  <si>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</si>
  <si>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</si>
  <si>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</si>
  <si>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</si>
  <si>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</si>
  <si>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</si>
  <si>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</si>
  <si>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</si>
  <si>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</si>
  <si>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</si>
  <si>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</si>
  <si>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</si>
  <si>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</si>
  <si>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</si>
  <si>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</si>
  <si>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</si>
  <si>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</si>
  <si>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</si>
  <si>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</si>
  <si>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</si>
  <si>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</si>
  <si>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</si>
  <si>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</si>
  <si>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</si>
  <si>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</si>
  <si>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</si>
  <si>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</si>
  <si>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</si>
  <si>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</si>
  <si>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</si>
  <si>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</si>
  <si>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</si>
  <si>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</si>
  <si>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</si>
  <si>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</si>
  <si>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</si>
  <si>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</si>
  <si>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</si>
  <si>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</si>
  <si>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</si>
  <si>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</si>
  <si>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</si>
  <si>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</si>
  <si>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</si>
  <si>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</si>
  <si>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</si>
  <si>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</si>
  <si>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</si>
  <si>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</si>
  <si>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</si>
  <si>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</si>
  <si>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</si>
  <si>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</si>
  <si>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</si>
  <si>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</si>
  <si>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</si>
  <si>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</si>
  <si>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</si>
  <si>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</si>
  <si>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</si>
  <si>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</si>
  <si>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</si>
  <si>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</si>
  <si>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</si>
  <si>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</si>
  <si>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</si>
  <si>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</si>
  <si>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</si>
  <si>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</si>
  <si>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</si>
  <si>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</si>
  <si>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</si>
  <si>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</si>
  <si>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</si>
  <si>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</si>
  <si>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</si>
  <si>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</si>
  <si>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</si>
  <si>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</si>
  <si>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</si>
  <si>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</si>
  <si>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</si>
  <si>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</si>
  <si>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</si>
  <si>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</si>
  <si>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</si>
  <si>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</si>
  <si>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</si>
  <si>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</si>
  <si>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</si>
  <si>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</si>
  <si>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</si>
  <si>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</si>
  <si>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</si>
  <si>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</si>
  <si>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</si>
  <si>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</si>
  <si>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</si>
  <si>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</si>
  <si>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</si>
  <si>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</si>
  <si>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</si>
  <si>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</si>
  <si>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</si>
  <si>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</si>
  <si>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</si>
  <si>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</si>
  <si>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</si>
  <si>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</si>
  <si>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</si>
  <si>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</si>
  <si>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</si>
  <si>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</si>
  <si>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</si>
  <si>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</si>
  <si>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</si>
  <si>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</si>
  <si>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</si>
  <si>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</si>
  <si>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</si>
  <si>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</si>
  <si>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</si>
  <si>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</si>
  <si>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</si>
  <si>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</si>
  <si>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</si>
  <si>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</si>
  <si>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</si>
  <si>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</si>
  <si>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</si>
  <si>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</si>
  <si>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</si>
  <si>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</si>
  <si>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</si>
  <si>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</si>
  <si>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</si>
  <si>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</si>
  <si>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</si>
  <si>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</si>
  <si>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</si>
  <si>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</si>
  <si>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</si>
  <si>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</si>
  <si>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</si>
  <si>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</si>
  <si>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</si>
  <si>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</si>
  <si>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</si>
  <si>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</si>
  <si>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</si>
  <si>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</si>
  <si>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</si>
  <si>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</si>
  <si>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</si>
  <si>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</si>
  <si>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</si>
  <si>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</si>
  <si>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</si>
  <si>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</si>
  <si>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</si>
  <si>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</si>
  <si>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</si>
  <si>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</si>
  <si>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</si>
  <si>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</si>
  <si>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</si>
  <si>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</si>
  <si>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</si>
  <si>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</si>
  <si>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</si>
  <si>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</si>
  <si>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</si>
  <si>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</si>
  <si>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</si>
  <si>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</si>
  <si>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</si>
  <si>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</si>
  <si>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</si>
  <si>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</si>
  <si>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</si>
  <si>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</si>
  <si>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</si>
  <si>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</si>
  <si>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</si>
  <si>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</si>
  <si>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</si>
  <si>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</si>
  <si>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</si>
  <si>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</si>
  <si>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</si>
  <si>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</si>
  <si>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</si>
  <si>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</si>
  <si>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</si>
  <si>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</si>
  <si>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</si>
  <si>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</si>
  <si>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</si>
  <si>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</si>
  <si>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</si>
  <si>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</si>
  <si>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</si>
  <si>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</si>
  <si>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</si>
  <si>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</si>
  <si>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203766-1</t>
  </si>
  <si>
    <t>SAMSONITE BRASI</t>
  </si>
  <si>
    <t>MARLON MARQUES</t>
  </si>
  <si>
    <t>PERSONALIZADO_L</t>
  </si>
  <si>
    <t>CTE NORMAL</t>
  </si>
  <si>
    <t>CAJAMAR - SP</t>
  </si>
  <si>
    <t>DARLILSON DOS SANTOS OLIV</t>
  </si>
  <si>
    <t>N/D</t>
  </si>
  <si>
    <t>SANDRO R JACON TRANSPORTE</t>
  </si>
  <si>
    <t>204661-1</t>
  </si>
  <si>
    <t>AMMER IMPORTACA</t>
  </si>
  <si>
    <t>URIEL CORREA</t>
  </si>
  <si>
    <t>ECONOMICO_250</t>
  </si>
  <si>
    <t>SAO PAULO - SP</t>
  </si>
  <si>
    <t>WILSON FERNANDES DA SILVA</t>
  </si>
  <si>
    <t>JOSE EMILTON DA COSTA - 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</si>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</sst>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[Analise_EMERSON_09102026.xlsx]Resumo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AMMER IMPORTACA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183.76</c:v>
                </c:pt>
                <c:pt idx="1">
                  <c:v>8190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AMMER IMPORTACA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107.68919999999999</c:v>
                </c:pt>
                <c:pt idx="1">
                  <c:v>2295.66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[Analise_EMERSON_09102026.xlsx]Resumo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AMMER IMPORTACA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183.76</c:v>
                </c:pt>
                <c:pt idx="1">
                  <c:v>8190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AMMER IMPORTACA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107.68919999999999</c:v>
                </c:pt>
                <c:pt idx="1">
                  <c:v>2295.66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0.51109363426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999" count="8000">
        <n v="302480"/>
        <n v="30499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String="0" containsBlank="1"/>
    </cacheField>
    <cacheField name="DATA" numFmtId="14">
      <sharedItems containsNonDate="0" containsDate="1" containsString="0" containsBlank="1" minDate="2026-09-24T00:00:00" maxDate="2026-10-10T00:00:00"/>
    </cacheField>
    <cacheField name="FAT" numFmtId="0">
      <sharedItems containsString="0" containsBlank="1" containsNumber="1" containsInteger="1" minValue="66102" maxValue="66102"/>
    </cacheField>
    <cacheField name="CT-E" numFmtId="0">
      <sharedItems containsBlank="1"/>
    </cacheField>
    <cacheField name="CLIENTE TOMADOR" numFmtId="0">
      <sharedItems containsBlank="1" count="855">
        <s v="SAMSONITE BRASI"/>
        <s v="AMMER IMPORTACA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340" maxValue="177815.97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83.76" maxValue="8190"/>
    </cacheField>
    <cacheField name="VOLUMES" numFmtId="0">
      <sharedItems containsString="0" containsBlank="1" containsNumber="1" containsInteger="1" minValue="3" maxValue="436"/>
    </cacheField>
    <cacheField name="PESO" numFmtId="0">
      <sharedItems containsString="0" containsBlank="1" containsNumber="1" minValue="144" maxValue="2016.2"/>
    </cacheField>
    <cacheField name="RESP. COLETA" numFmtId="0">
      <sharedItems containsBlank="1"/>
    </cacheField>
    <cacheField name="CUSTO COLETA" numFmtId="0">
      <sharedItems containsString="0" containsBlank="1" containsNumber="1" minValue="38.15" maxValue="10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2.05" maxValue="982.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17" maxValue="88.91"/>
    </cacheField>
    <cacheField name="OUTROS" numFmtId="0">
      <sharedItems containsString="0" containsBlank="1" containsNumber="1" minValue="0" maxValue="67.430000000000007"/>
    </cacheField>
    <cacheField name="C.TOTAL" numFmtId="0">
      <sharedItems containsString="0" containsBlank="1" containsNumber="1" minValue="376.52" maxValue="4972.5"/>
    </cacheField>
    <cacheField name="RECEITA" numFmtId="0">
      <sharedItems containsString="0" containsBlank="1" containsNumber="1" minValue="-192.76" maxValue="3217.5"/>
    </cacheField>
    <cacheField name="IMPOSTO" numFmtId="0">
      <sharedItems containsString="0" containsBlank="1" containsNumber="1" minValue="47.78" maxValue="2129.4"/>
    </cacheField>
    <cacheField name="RESULTADO" numFmtId="0">
      <sharedItems containsString="0" containsBlank="1" containsNumber="1" minValue="-240.54" maxValue="1088.0999999999999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40.54" maxValue="1088.0999999999999"/>
    </cacheField>
    <cacheField name="MARGEM" numFmtId="10">
      <sharedItems containsString="0" containsBlank="1" containsNumber="1" minValue="-1.3090000000000002" maxValue="0.1328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m/>
    <d v="2026-09-24T00:00:00"/>
    <n v="66102"/>
    <s v="203766-1"/>
    <x v="0"/>
    <s v="MARLON MARQUES"/>
    <n v="177815.97"/>
    <x v="0"/>
    <s v="CTE NORMAL"/>
    <s v="CAJAMAR - SP"/>
    <n v="8190"/>
    <n v="436"/>
    <n v="2016.2"/>
    <s v="DARLILSON DOS SANTOS OLIV"/>
    <n v="100"/>
    <s v="N/D"/>
    <n v="4000"/>
    <s v="SANDRO R JACON TRANSPORTE"/>
    <n v="0"/>
    <n v="982.8"/>
    <n v="0"/>
    <n v="0"/>
    <n v="88.91"/>
    <n v="67.430000000000007"/>
    <n v="4972.5"/>
    <n v="3217.5"/>
    <n v="2129.4"/>
    <n v="1088.0999999999999"/>
    <n v="0"/>
    <n v="1088.0999999999999"/>
    <n v="0.13289999999999999"/>
    <m/>
  </r>
  <r>
    <x v="1"/>
    <s v="MATRIZ"/>
    <m/>
    <d v="2026-10-09T00:00:00"/>
    <m/>
    <s v="204661-1"/>
    <x v="1"/>
    <s v="URIEL CORREA"/>
    <n v="2340"/>
    <x v="1"/>
    <s v="CTE NORMAL"/>
    <s v="SAO PAULO - SP"/>
    <n v="183.76"/>
    <n v="3"/>
    <n v="144"/>
    <s v="WILSON FERNANDES DA SILVA"/>
    <n v="38.15"/>
    <s v="JOSE EMILTON DA COSTA - O"/>
    <n v="0"/>
    <s v="SANDRO R JACON TRANSPORTE"/>
    <n v="0"/>
    <n v="22.05"/>
    <n v="0"/>
    <n v="0"/>
    <n v="1.17"/>
    <n v="0"/>
    <n v="376.52"/>
    <n v="-192.76"/>
    <n v="47.78"/>
    <n v="-240.54"/>
    <n v="0"/>
    <n v="-240.54"/>
    <n v="-1.309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5"/>
        <item sd="0" m="1" x="502"/>
        <item m="1" x="24"/>
        <item m="1" x="582"/>
        <item m="1" x="852"/>
        <item m="1" x="20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9"/>
        <item m="1" x="44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x="1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5"/>
        <item m="1" x="519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2"/>
        <item m="1" x="206"/>
        <item m="1" x="674"/>
        <item m="1" x="139"/>
        <item m="1" x="688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5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2"/>
        <item m="1" x="649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3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7"/>
        <item m="1" x="375"/>
        <item m="1" x="807"/>
        <item m="1" x="59"/>
        <item m="1" x="631"/>
        <item m="1" x="531"/>
        <item m="1" x="295"/>
        <item m="1" x="304"/>
        <item m="1" x="174"/>
        <item m="1" x="101"/>
        <item sd="0" m="1" x="70"/>
        <item m="1" x="579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6"/>
        <item m="1" x="622"/>
        <item m="1" x="557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5"/>
        <item m="1" x="458"/>
        <item m="1" x="790"/>
        <item m="1" x="703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1"/>
        <item m="1" x="486"/>
        <item m="1" x="640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6"/>
        <item m="1" x="388"/>
        <item m="1" x="370"/>
        <item m="1" x="616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90"/>
        <item m="1" x="747"/>
        <item sd="0" m="1" x="269"/>
        <item m="1" x="17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8"/>
        <item m="1" x="331"/>
        <item m="1" x="625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3"/>
        <item m="1" x="302"/>
        <item m="1" x="549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3"/>
        <item m="1" x="157"/>
        <item sd="0" m="1" x="561"/>
        <item m="1" x="45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8"/>
        <item sd="0" m="1" x="715"/>
        <item sd="0" m="1" x="54"/>
        <item m="1" x="298"/>
        <item m="1" x="682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1"/>
        <item m="1" x="371"/>
        <item m="1" x="246"/>
        <item m="1" x="398"/>
        <item sd="0" m="1" x="482"/>
        <item m="1" x="338"/>
        <item m="1" x="613"/>
        <item m="1" x="672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4"/>
        <item m="1" x="610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8"/>
        <item m="1" x="775"/>
        <item sd="0" m="1" x="71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19"/>
        <item m="1" x="538"/>
        <item m="1" x="636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1"/>
        <item m="1" x="605"/>
        <item m="1" x="441"/>
        <item m="1" x="22"/>
        <item m="1" x="595"/>
        <item m="1" x="435"/>
        <item m="1" x="67"/>
        <item m="1" x="655"/>
        <item m="1" x="677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7"/>
        <item m="1" x="280"/>
        <item m="1" x="525"/>
        <item m="1" x="526"/>
        <item m="1" x="37"/>
        <item m="1" x="593"/>
        <item m="1" x="801"/>
        <item m="1" x="584"/>
        <item m="1" x="749"/>
        <item m="1" x="722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6"/>
        <item m="1" x="620"/>
        <item m="1" x="731"/>
        <item m="1" x="471"/>
        <item m="1" x="552"/>
        <item m="1" x="264"/>
        <item m="1" x="250"/>
        <item m="1" x="632"/>
        <item m="1" x="699"/>
        <item m="1" x="357"/>
        <item x="0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8"/>
        <item m="1" x="614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1"/>
        <item m="1" x="513"/>
        <item m="1" x="413"/>
        <item m="1" x="702"/>
        <item m="1" x="204"/>
        <item sd="0" m="1" x="643"/>
        <item m="1" x="779"/>
        <item sd="0" m="1" x="468"/>
        <item sd="0" m="1" x="40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79"/>
        <item m="1" x="81"/>
        <item m="1" x="634"/>
        <item m="1" x="66"/>
        <item m="1" x="650"/>
        <item m="1" x="489"/>
        <item m="1" x="753"/>
        <item m="1" x="163"/>
        <item m="1" x="191"/>
        <item m="1" x="678"/>
        <item m="1" x="299"/>
        <item m="1" x="589"/>
        <item sd="0" m="1" x="179"/>
        <item m="1" x="623"/>
        <item sd="0" m="1" x="63"/>
        <item m="1" x="424"/>
        <item sd="0" m="1" x="26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8"/>
        <item m="1" x="601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53"/>
    </i>
    <i r="1">
      <x v="7999"/>
    </i>
    <i>
      <x v="67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5"/>
        <item sd="0" m="1" x="502"/>
        <item m="1" x="24"/>
        <item m="1" x="582"/>
        <item m="1" x="852"/>
        <item m="1" x="20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9"/>
        <item m="1" x="44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x="1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5"/>
        <item m="1" x="519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2"/>
        <item m="1" x="206"/>
        <item m="1" x="674"/>
        <item m="1" x="139"/>
        <item m="1" x="688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5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2"/>
        <item m="1" x="649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3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7"/>
        <item m="1" x="375"/>
        <item m="1" x="807"/>
        <item m="1" x="59"/>
        <item m="1" x="631"/>
        <item m="1" x="531"/>
        <item m="1" x="295"/>
        <item m="1" x="304"/>
        <item m="1" x="174"/>
        <item m="1" x="101"/>
        <item sd="0" m="1" x="70"/>
        <item m="1" x="579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6"/>
        <item m="1" x="622"/>
        <item m="1" x="557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5"/>
        <item m="1" x="458"/>
        <item m="1" x="790"/>
        <item sd="0" m="1" x="703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1"/>
        <item m="1" x="486"/>
        <item m="1" x="640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6"/>
        <item m="1" x="388"/>
        <item m="1" x="370"/>
        <item m="1" x="616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90"/>
        <item m="1" x="747"/>
        <item sd="0" m="1" x="269"/>
        <item m="1" x="17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8"/>
        <item m="1" x="331"/>
        <item m="1" x="625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3"/>
        <item m="1" x="302"/>
        <item m="1" x="549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3"/>
        <item m="1" x="157"/>
        <item sd="0" m="1" x="561"/>
        <item m="1" x="45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8"/>
        <item sd="0" m="1" x="715"/>
        <item sd="0" m="1" x="54"/>
        <item m="1" x="298"/>
        <item m="1" x="682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1"/>
        <item m="1" x="371"/>
        <item m="1" x="246"/>
        <item m="1" x="398"/>
        <item sd="0" m="1" x="482"/>
        <item m="1" x="338"/>
        <item m="1" x="613"/>
        <item m="1" x="672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4"/>
        <item m="1" x="610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8"/>
        <item m="1" x="775"/>
        <item sd="0" m="1" x="71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19"/>
        <item m="1" x="538"/>
        <item m="1" x="636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1"/>
        <item m="1" x="605"/>
        <item m="1" x="441"/>
        <item m="1" x="22"/>
        <item m="1" x="595"/>
        <item m="1" x="435"/>
        <item m="1" x="67"/>
        <item m="1" x="655"/>
        <item m="1" x="677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7"/>
        <item m="1" x="280"/>
        <item m="1" x="525"/>
        <item m="1" x="526"/>
        <item m="1" x="37"/>
        <item m="1" x="593"/>
        <item m="1" x="801"/>
        <item m="1" x="584"/>
        <item m="1" x="749"/>
        <item m="1" x="722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6"/>
        <item m="1" x="620"/>
        <item m="1" x="731"/>
        <item m="1" x="471"/>
        <item m="1" x="552"/>
        <item m="1" x="264"/>
        <item m="1" x="250"/>
        <item m="1" x="632"/>
        <item m="1" x="699"/>
        <item m="1" x="357"/>
        <item x="0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8"/>
        <item m="1" x="614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1"/>
        <item m="1" x="513"/>
        <item m="1" x="413"/>
        <item m="1" x="702"/>
        <item m="1" x="204"/>
        <item sd="0" m="1" x="643"/>
        <item m="1" x="779"/>
        <item sd="0" m="1" x="468"/>
        <item sd="0" m="1" x="40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79"/>
        <item m="1" x="81"/>
        <item m="1" x="634"/>
        <item m="1" x="66"/>
        <item m="1" x="650"/>
        <item m="1" x="489"/>
        <item m="1" x="753"/>
        <item m="1" x="163"/>
        <item m="1" x="191"/>
        <item m="1" x="678"/>
        <item m="1" x="299"/>
        <item m="1" x="589"/>
        <item sd="0" m="1" x="179"/>
        <item m="1" x="623"/>
        <item sd="0" m="1" x="63"/>
        <item m="1" x="424"/>
        <item sd="0" m="1" x="26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8"/>
        <item m="1" x="601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53"/>
    </i>
    <i>
      <x v="67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4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1" s="1" nd="1"/>
        <i x="324" s="1" nd="1"/>
        <i x="675" s="1" nd="1"/>
        <i x="502" s="1" nd="1"/>
        <i x="24" s="1" nd="1"/>
        <i x="582" s="1" nd="1"/>
        <i x="852" s="1" nd="1"/>
        <i x="20" s="1" nd="1"/>
        <i x="757" s="1" nd="1"/>
        <i x="112" s="1" nd="1"/>
        <i x="545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9" s="1" nd="1"/>
        <i x="44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5" s="1" nd="1"/>
        <i x="519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2" s="1" nd="1"/>
        <i x="206" s="1" nd="1"/>
        <i x="674" s="1" nd="1"/>
        <i x="139" s="1" nd="1"/>
        <i x="688" s="1" nd="1"/>
        <i x="453" s="1" nd="1"/>
        <i x="408" s="1" nd="1"/>
        <i x="516" s="1" nd="1"/>
        <i x="318" s="1" nd="1"/>
        <i x="592" s="1" nd="1"/>
        <i x="596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1" s="1" nd="1"/>
        <i x="5" s="1" nd="1"/>
        <i x="770" s="1" nd="1"/>
        <i x="14" s="1" nd="1"/>
        <i x="739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7" s="1" nd="1"/>
        <i x="483" s="1" nd="1"/>
        <i x="52" s="1" nd="1"/>
        <i x="649" s="1" nd="1"/>
        <i x="470" s="1" nd="1"/>
        <i x="249" s="1" nd="1"/>
        <i x="328" s="1" nd="1"/>
        <i x="437" s="1" nd="1"/>
        <i x="352" s="1" nd="1"/>
        <i x="572" s="1" nd="1"/>
        <i x="568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8" s="1" nd="1"/>
        <i x="53" s="1" nd="1"/>
        <i x="793" s="1" nd="1"/>
        <i x="716" s="1" nd="1"/>
        <i x="417" s="1" nd="1"/>
        <i x="734" s="1" nd="1"/>
        <i x="813" s="1" nd="1"/>
        <i x="562" s="1" nd="1"/>
        <i x="559" s="1" nd="1"/>
        <i x="429" s="1" nd="1"/>
        <i x="714" s="1" nd="1"/>
        <i x="505" s="1" nd="1"/>
        <i x="173" s="1" nd="1"/>
        <i x="627" s="1" nd="1"/>
        <i x="375" s="1" nd="1"/>
        <i x="807" s="1" nd="1"/>
        <i x="59" s="1" nd="1"/>
        <i x="631" s="1" nd="1"/>
        <i x="531" s="1" nd="1"/>
        <i x="295" s="1" nd="1"/>
        <i x="304" s="1" nd="1"/>
        <i x="174" s="1" nd="1"/>
        <i x="101" s="1" nd="1"/>
        <i x="70" s="1" nd="1"/>
        <i x="579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3" s="1" nd="1"/>
        <i x="580" s="1" nd="1"/>
        <i x="518" s="1" nd="1"/>
        <i x="797" s="1" nd="1"/>
        <i x="165" s="1" nd="1"/>
        <i x="826" s="1" nd="1"/>
        <i x="110" s="1" nd="1"/>
        <i x="422" s="1" nd="1"/>
        <i x="427" s="1" nd="1"/>
        <i x="10" s="1" nd="1"/>
        <i x="42" s="1" nd="1"/>
        <i x="16" s="1" nd="1"/>
        <i x="622" s="1" nd="1"/>
        <i x="557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4" s="1" nd="1"/>
        <i x="635" s="1" nd="1"/>
        <i x="458" s="1" nd="1"/>
        <i x="790" s="1" nd="1"/>
        <i x="703" s="1" nd="1"/>
        <i x="234" s="1" nd="1"/>
        <i x="598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1" s="1" nd="1"/>
        <i x="486" s="1" nd="1"/>
        <i x="640" s="1" nd="1"/>
        <i x="607" s="1" nd="1"/>
        <i x="532" s="1" nd="1"/>
        <i x="564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1" s="1" nd="1"/>
        <i x="805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6" s="1" nd="1"/>
        <i x="388" s="1" nd="1"/>
        <i x="370" s="1" nd="1"/>
        <i x="616" s="1" nd="1"/>
        <i x="57" s="1" nd="1"/>
        <i x="707" s="1" nd="1"/>
        <i x="23" s="1" nd="1"/>
        <i x="36" s="1" nd="1"/>
        <i x="9" s="1" nd="1"/>
        <i x="418" s="1" nd="1"/>
        <i x="683" s="1" nd="1"/>
        <i x="285" s="1" nd="1"/>
        <i x="316" s="1" nd="1"/>
        <i x="380" s="1" nd="1"/>
        <i x="540" s="1" nd="1"/>
        <i x="314" s="1" nd="1"/>
        <i x="339" s="1" nd="1"/>
        <i x="771" s="1" nd="1"/>
        <i x="143" s="1" nd="1"/>
        <i x="666" s="1" nd="1"/>
        <i x="839" s="1" nd="1"/>
        <i x="38" s="1" nd="1"/>
        <i x="383" s="1" nd="1"/>
        <i x="590" s="1" nd="1"/>
        <i x="747" s="1" nd="1"/>
        <i x="269" s="1" nd="1"/>
        <i x="17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8" s="1" nd="1"/>
        <i x="161" s="1" nd="1"/>
        <i x="315" s="1" nd="1"/>
        <i x="698" s="1" nd="1"/>
        <i x="331" s="1" nd="1"/>
        <i x="625" s="1" nd="1"/>
        <i x="542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6" s="1" nd="1"/>
        <i x="116" s="1" nd="1"/>
        <i x="376" s="1" nd="1"/>
        <i x="718" s="1" nd="1"/>
        <i x="127" s="1" nd="1"/>
        <i x="33" s="1" nd="1"/>
        <i x="302" s="1" nd="1"/>
        <i x="549" s="1" nd="1"/>
        <i x="60" s="1" nd="1"/>
        <i x="452" s="1" nd="1"/>
        <i x="774" s="1" nd="1"/>
        <i x="485" s="1" nd="1"/>
        <i x="740" s="1" nd="1"/>
        <i x="454" s="1" nd="1"/>
        <i x="521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3" s="1" nd="1"/>
        <i x="157" s="1" nd="1"/>
        <i x="561" s="1" nd="1"/>
        <i x="45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8" s="1" nd="1"/>
        <i x="715" s="1" nd="1"/>
        <i x="54" s="1" nd="1"/>
        <i x="298" s="1" nd="1"/>
        <i x="682" s="1" nd="1"/>
        <i x="135" s="1" nd="1"/>
        <i x="330" s="1" nd="1"/>
        <i x="536" s="1" nd="1"/>
        <i x="237" s="1" nd="1"/>
        <i x="558" s="1" nd="1"/>
        <i x="547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1" s="1" nd="1"/>
        <i x="268" s="1" nd="1"/>
        <i x="751" s="1" nd="1"/>
        <i x="371" s="1" nd="1"/>
        <i x="246" s="1" nd="1"/>
        <i x="398" s="1" nd="1"/>
        <i x="482" s="1" nd="1"/>
        <i x="338" s="1" nd="1"/>
        <i x="613" s="1" nd="1"/>
        <i x="672" s="1" nd="1"/>
        <i x="838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7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0" s="1" nd="1"/>
        <i x="535" s="1" nd="1"/>
        <i x="644" s="1" nd="1"/>
        <i x="610" s="1" nd="1"/>
        <i x="834" s="1" nd="1"/>
        <i x="787" s="1" nd="1"/>
        <i x="28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1" s="1" nd="1"/>
        <i x="713" s="1" nd="1"/>
        <i x="574" s="1" nd="1"/>
        <i x="184" s="1" nd="1"/>
        <i x="717" s="1" nd="1"/>
        <i x="111" s="1" nd="1"/>
        <i x="254" s="1" nd="1"/>
        <i x="512" s="1" nd="1"/>
        <i x="95" s="1" nd="1"/>
        <i x="523" s="1" nd="1"/>
        <i x="789" s="1" nd="1"/>
        <i x="19" s="1" nd="1"/>
        <i x="538" s="1" nd="1"/>
        <i x="636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1" s="1" nd="1"/>
        <i x="142" s="1" nd="1"/>
        <i x="651" s="1" nd="1"/>
        <i x="605" s="1" nd="1"/>
        <i x="441" s="1" nd="1"/>
        <i x="22" s="1" nd="1"/>
        <i x="595" s="1" nd="1"/>
        <i x="435" s="1" nd="1"/>
        <i x="67" s="1" nd="1"/>
        <i x="655" s="1" nd="1"/>
        <i x="677" s="1" nd="1"/>
        <i x="566" s="1" nd="1"/>
        <i x="515" s="1" nd="1"/>
        <i x="599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7" s="1" nd="1"/>
        <i x="687" s="1" nd="1"/>
        <i x="280" s="1" nd="1"/>
        <i x="525" s="1" nd="1"/>
        <i x="526" s="1" nd="1"/>
        <i x="37" s="1" nd="1"/>
        <i x="593" s="1" nd="1"/>
        <i x="801" s="1" nd="1"/>
        <i x="584" s="1" nd="1"/>
        <i x="749" s="1" nd="1"/>
        <i x="722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6" s="1" nd="1"/>
        <i x="796" s="1" nd="1"/>
        <i x="726" s="1" nd="1"/>
        <i x="412" s="1" nd="1"/>
        <i x="25" s="1" nd="1"/>
        <i x="342" s="1" nd="1"/>
        <i x="490" s="1" nd="1"/>
        <i x="511" s="1" nd="1"/>
        <i x="769" s="1" nd="1"/>
        <i x="719" s="1" nd="1"/>
        <i x="760" s="1" nd="1"/>
        <i x="520" s="1" nd="1"/>
        <i x="642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20" s="1" nd="1"/>
        <i x="731" s="1" nd="1"/>
        <i x="471" s="1" nd="1"/>
        <i x="552" s="1" nd="1"/>
        <i x="264" s="1" nd="1"/>
        <i x="250" s="1" nd="1"/>
        <i x="632" s="1" nd="1"/>
        <i x="699" s="1" nd="1"/>
        <i x="357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8" s="1" nd="1"/>
        <i x="614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4" s="1" nd="1"/>
        <i x="778" s="1" nd="1"/>
        <i x="612" s="1" nd="1"/>
        <i x="560" s="1" nd="1"/>
        <i x="308" s="1" nd="1"/>
        <i x="653" s="1" nd="1"/>
        <i x="725" s="1" nd="1"/>
        <i x="405" s="1" nd="1"/>
        <i x="744" s="1" nd="1"/>
        <i x="79" s="1" nd="1"/>
        <i x="51" s="1" nd="1"/>
        <i x="851" s="1" nd="1"/>
        <i x="29" s="1" nd="1"/>
        <i x="571" s="1" nd="1"/>
        <i x="513" s="1" nd="1"/>
        <i x="413" s="1" nd="1"/>
        <i x="702" s="1" nd="1"/>
        <i x="204" s="1" nd="1"/>
        <i x="643" s="1" nd="1"/>
        <i x="779" s="1" nd="1"/>
        <i x="468" s="1" nd="1"/>
        <i x="40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7" s="1" nd="1"/>
        <i x="360" s="1" nd="1"/>
        <i x="451" s="1" nd="1"/>
        <i x="514" s="1" nd="1"/>
        <i x="122" s="1" nd="1"/>
        <i x="646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79" s="1" nd="1"/>
        <i x="81" s="1" nd="1"/>
        <i x="634" s="1" nd="1"/>
        <i x="66" s="1" nd="1"/>
        <i x="650" s="1" nd="1"/>
        <i x="489" s="1" nd="1"/>
        <i x="753" s="1" nd="1"/>
        <i x="163" s="1" nd="1"/>
        <i x="191" s="1" nd="1"/>
        <i x="678" s="1" nd="1"/>
        <i x="299" s="1" nd="1"/>
        <i x="589" s="1" nd="1"/>
        <i x="179" s="1" nd="1"/>
        <i x="623" s="1" nd="1"/>
        <i x="63" s="1" nd="1"/>
        <i x="424" s="1" nd="1"/>
        <i x="26" s="1" nd="1"/>
        <i x="765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8" s="1" nd="1"/>
        <i x="473" s="1" nd="1"/>
        <i x="824" s="1" nd="1"/>
        <i x="35" s="1" nd="1"/>
        <i x="311" s="1" nd="1"/>
        <i x="825" s="1" nd="1"/>
        <i x="563" s="1" nd="1"/>
        <i x="62" s="1" nd="1"/>
        <i x="569" s="1" nd="1"/>
        <i x="431" s="1" nd="1"/>
        <i x="426" s="1" nd="1"/>
        <i x="176" s="1" nd="1"/>
        <i x="366" s="1" nd="1"/>
        <i x="758" s="1" nd="1"/>
        <i x="601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8" s="1" nd="1"/>
        <i x="619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2" s="1" nd="1"/>
        <i x="836" s="1" nd="1"/>
        <i x="492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302480</v>
      </c>
      <c r="B2" s="12" t="s">
        <v>616</v>
      </c>
      <c r="C2" s="14"/>
      <c r="D2" s="14">
        <v>46289</v>
      </c>
      <c r="E2" s="12">
        <v>66102</v>
      </c>
      <c r="F2" s="15" t="s">
        <v>617</v>
      </c>
      <c r="G2" s="15" t="s">
        <v>618</v>
      </c>
      <c r="H2" s="15" t="s">
        <v>619</v>
      </c>
      <c r="I2" s="16">
        <v>177815.97</v>
      </c>
      <c r="J2" s="15" t="s">
        <v>620</v>
      </c>
      <c r="K2" s="15" t="s">
        <v>621</v>
      </c>
      <c r="L2" s="15" t="s">
        <v>622</v>
      </c>
      <c r="M2" s="15">
        <v>8190</v>
      </c>
      <c r="N2" s="15">
        <v>436</v>
      </c>
      <c r="O2" s="16">
        <v>2016.2</v>
      </c>
      <c r="P2" s="15" t="s">
        <v>623</v>
      </c>
      <c r="Q2" s="15">
        <v>100</v>
      </c>
      <c r="R2" s="15" t="s">
        <v>624</v>
      </c>
      <c r="S2" s="15">
        <v>4000</v>
      </c>
      <c r="T2" s="15" t="s">
        <v>625</v>
      </c>
      <c r="U2" s="15">
        <v>0</v>
      </c>
      <c r="V2" s="15">
        <v>982.8</v>
      </c>
      <c r="W2" s="15">
        <v>0</v>
      </c>
      <c r="X2" s="15">
        <v>0</v>
      </c>
      <c r="Y2" s="15">
        <v>88.91</v>
      </c>
      <c r="Z2" s="15">
        <v>67.430000000000007</v>
      </c>
      <c r="AA2" s="15">
        <v>4972.5</v>
      </c>
      <c r="AB2" s="15">
        <v>3217.5</v>
      </c>
      <c r="AC2" s="15">
        <v>2129.4</v>
      </c>
      <c r="AD2" s="15">
        <v>1088.0999999999999</v>
      </c>
      <c r="AE2" s="15">
        <v>0</v>
      </c>
      <c r="AF2" s="15">
        <v>1088.0999999999999</v>
      </c>
      <c r="AG2" s="17">
        <v>0.13289999999999999</v>
      </c>
      <c r="AH2" s="15"/>
    </row>
    <row r="3" spans="1:34" s="1" customFormat="1" ht="12" customHeight="1" x14ac:dyDescent="0.3">
      <c r="A3" s="13">
        <v>304999</v>
      </c>
      <c r="B3" s="12" t="s">
        <v>616</v>
      </c>
      <c r="C3" s="14"/>
      <c r="D3" s="14">
        <v>46304</v>
      </c>
      <c r="E3" s="12"/>
      <c r="F3" s="15" t="s">
        <v>626</v>
      </c>
      <c r="G3" s="15" t="s">
        <v>627</v>
      </c>
      <c r="H3" s="15" t="s">
        <v>628</v>
      </c>
      <c r="I3" s="16">
        <v>2340</v>
      </c>
      <c r="J3" s="15" t="s">
        <v>629</v>
      </c>
      <c r="K3" s="15" t="s">
        <v>621</v>
      </c>
      <c r="L3" s="15" t="s">
        <v>630</v>
      </c>
      <c r="M3" s="16">
        <v>183.76</v>
      </c>
      <c r="N3" s="15">
        <v>3</v>
      </c>
      <c r="O3" s="16">
        <v>144</v>
      </c>
      <c r="P3" s="15" t="s">
        <v>631</v>
      </c>
      <c r="Q3" s="15">
        <v>38.15</v>
      </c>
      <c r="R3" s="15" t="s">
        <v>632</v>
      </c>
      <c r="S3" s="15">
        <v>0</v>
      </c>
      <c r="T3" s="15" t="s">
        <v>625</v>
      </c>
      <c r="U3" s="15">
        <v>0</v>
      </c>
      <c r="V3" s="15">
        <v>22.05</v>
      </c>
      <c r="W3" s="15">
        <v>0</v>
      </c>
      <c r="X3" s="15">
        <v>0</v>
      </c>
      <c r="Y3" s="15">
        <v>1.17</v>
      </c>
      <c r="Z3" s="15">
        <v>0</v>
      </c>
      <c r="AA3" s="16">
        <v>376.52</v>
      </c>
      <c r="AB3" s="16">
        <v>-192.76</v>
      </c>
      <c r="AC3" s="15">
        <v>47.78</v>
      </c>
      <c r="AD3" s="15">
        <v>-240.54</v>
      </c>
      <c r="AE3" s="15">
        <v>0</v>
      </c>
      <c r="AF3" s="15">
        <v>-240.54</v>
      </c>
      <c r="AG3" s="17">
        <v>-1.3090000000000002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8373.76</v>
      </c>
      <c r="F3" s="89"/>
      <c r="G3" s="90"/>
      <c r="H3" s="133">
        <f>'Resumo Detalhado'!C2</f>
        <v>2160.1999999999998</v>
      </c>
      <c r="I3" s="134"/>
      <c r="J3" s="135">
        <f>E3/H3</f>
        <v>3.8763818164984727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0.19638181818181816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4138.1499999999996</v>
      </c>
      <c r="F7" s="112"/>
      <c r="G7" s="112"/>
      <c r="H7" s="112"/>
      <c r="I7" s="112"/>
      <c r="J7" s="112">
        <f>E7/H3</f>
        <v>1.9156328117766874</v>
      </c>
      <c r="K7" s="112"/>
      <c r="L7" s="112"/>
      <c r="M7" s="130">
        <f>E7/E3</f>
        <v>0.49418063092326497</v>
      </c>
      <c r="N7" s="130"/>
      <c r="O7" s="130"/>
      <c r="P7" s="112">
        <f>E11+K11+Q11+E15+K15+Q15+E19+H19+K19</f>
        <v>7310.2124000000003</v>
      </c>
      <c r="Q7" s="112"/>
      <c r="R7" s="112"/>
      <c r="S7" s="112">
        <f>P7/H3</f>
        <v>3.3840442551615597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4000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4000</v>
      </c>
      <c r="L11" s="90"/>
      <c r="M11" s="38"/>
      <c r="N11" s="88">
        <f>K11/H3</f>
        <v>1.8516803999629665</v>
      </c>
      <c r="O11" s="90"/>
      <c r="P11" s="38"/>
      <c r="Q11" s="88">
        <f>'Resumo Detalhado'!D2</f>
        <v>138.15</v>
      </c>
      <c r="R11" s="90"/>
      <c r="S11" s="38"/>
      <c r="T11" s="88">
        <f>Q11/H3</f>
        <v>6.3952411813720966E-2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1004.8499999999999</v>
      </c>
      <c r="F15" s="119"/>
      <c r="G15" s="119"/>
      <c r="H15" s="119"/>
      <c r="I15" s="132"/>
      <c r="J15" s="38"/>
      <c r="K15" s="113">
        <f>'Resumo Detalhado'!K2+'Resumo Detalhado'!L2</f>
        <v>1339.8016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90.08</v>
      </c>
      <c r="F19" s="120"/>
      <c r="G19" s="38"/>
      <c r="H19" s="122">
        <f>'Resumo Detalhado'!J2</f>
        <v>67.430000000000007</v>
      </c>
      <c r="I19" s="123"/>
      <c r="J19" s="38"/>
      <c r="K19" s="122">
        <f>'Resumo Detalhado'!L2</f>
        <v>669.9008</v>
      </c>
      <c r="L19" s="123"/>
      <c r="M19" s="38"/>
      <c r="N19" s="121" t="s">
        <v>202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2403.3491999999997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0.2870095632069703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1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8373.76</v>
      </c>
      <c r="C2" s="29">
        <f>SUM(C6:C5000)</f>
        <v>2160.1999999999998</v>
      </c>
      <c r="D2" s="29">
        <f>SUM(D6:D5000)</f>
        <v>138.15</v>
      </c>
      <c r="E2" s="29">
        <f>SUM(E6:E5000)</f>
        <v>4000</v>
      </c>
      <c r="F2" s="29">
        <f>SUM(F6:F5000)</f>
        <v>0</v>
      </c>
      <c r="G2" s="29"/>
      <c r="H2" s="29">
        <f t="shared" ref="H2:P2" si="0">SUM(H6:H5000)</f>
        <v>1004.8499999999999</v>
      </c>
      <c r="I2" s="29">
        <f t="shared" si="0"/>
        <v>90.08</v>
      </c>
      <c r="J2" s="29">
        <f t="shared" si="0"/>
        <v>67.430000000000007</v>
      </c>
      <c r="K2" s="29">
        <f t="shared" si="0"/>
        <v>669.9008</v>
      </c>
      <c r="L2" s="29">
        <f t="shared" si="0"/>
        <v>669.9008</v>
      </c>
      <c r="M2" s="29">
        <f t="shared" si="0"/>
        <v>0</v>
      </c>
      <c r="N2" s="29">
        <f t="shared" si="0"/>
        <v>2403.3491999999997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304999</v>
      </c>
      <c r="B6" s="140">
        <v>183.76</v>
      </c>
      <c r="C6" s="141">
        <v>144</v>
      </c>
      <c r="D6" s="140">
        <v>38.15</v>
      </c>
      <c r="E6" s="140">
        <v>0</v>
      </c>
      <c r="F6" s="140">
        <v>0</v>
      </c>
      <c r="G6" s="142">
        <v>0.20760774923813671</v>
      </c>
      <c r="H6" s="140">
        <v>22.05</v>
      </c>
      <c r="I6" s="140">
        <v>1.17</v>
      </c>
      <c r="J6" s="140">
        <v>0</v>
      </c>
      <c r="K6" s="140">
        <v>14.700799999999999</v>
      </c>
      <c r="L6" s="140">
        <v>14.700799999999999</v>
      </c>
      <c r="M6" s="140">
        <v>0</v>
      </c>
      <c r="N6" s="140">
        <v>107.68919999999999</v>
      </c>
      <c r="O6" s="142">
        <v>0.58603178058336958</v>
      </c>
      <c r="Q6"/>
    </row>
    <row r="7" spans="1:18" s="31" customFormat="1" x14ac:dyDescent="0.3">
      <c r="A7" s="13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302480</v>
      </c>
      <c r="B8" s="140">
        <v>8190</v>
      </c>
      <c r="C8" s="141">
        <v>2016.2</v>
      </c>
      <c r="D8" s="140">
        <v>100</v>
      </c>
      <c r="E8" s="140">
        <v>4000</v>
      </c>
      <c r="F8" s="140">
        <v>0</v>
      </c>
      <c r="G8" s="142">
        <v>0.50061050061050061</v>
      </c>
      <c r="H8" s="140">
        <v>982.8</v>
      </c>
      <c r="I8" s="140">
        <v>88.91</v>
      </c>
      <c r="J8" s="140">
        <v>67.430000000000007</v>
      </c>
      <c r="K8" s="140">
        <v>655.20000000000005</v>
      </c>
      <c r="L8" s="140">
        <v>655.20000000000005</v>
      </c>
      <c r="M8" s="140">
        <v>0</v>
      </c>
      <c r="N8" s="140">
        <v>2295.66</v>
      </c>
      <c r="O8" s="142">
        <v>0.28030036630036625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8190</v>
      </c>
      <c r="C2" s="29">
        <f>SUM(C6:C5000)</f>
        <v>2295.66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627</v>
      </c>
      <c r="B5" s="10">
        <v>183.76</v>
      </c>
      <c r="C5" s="10">
        <v>107.68919999999999</v>
      </c>
    </row>
    <row r="6" spans="1:4" x14ac:dyDescent="0.3">
      <c r="A6" s="139" t="s">
        <v>618</v>
      </c>
      <c r="B6" s="140">
        <v>8190</v>
      </c>
      <c r="C6" s="140">
        <v>2295.66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2026-10-15T15:16:06Z</dcterms:modified>
  <cp:category/>
  <cp:contentStatus/>
</cp:coreProperties>
</file>