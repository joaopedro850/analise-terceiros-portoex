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00C981D-C2CC-464E-93FD-7C96C2D6A3AD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<sst xmlns="http://schemas.openxmlformats.org/spreadsheetml/2006/main" count="914" uniqueCount="631">
  <si>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</si>
  <si>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</si>
  <si>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</si>
  <si>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</si>
  <si>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</si>
  <si>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</si>
  <si>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</si>
  <si>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</si>
  <si>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</si>
  <si>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</si>
  <si>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</si>
  <si>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</si>
  <si>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</si>
  <si>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</si>
  <si>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</si>
  <si>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</si>
  <si>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</si>
  <si>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</si>
  <si>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</si>
  <si>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</si>
  <si>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</si>
  <si>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</si>
  <si>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</si>
  <si>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</si>
  <si>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</si>
  <si>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</si>
  <si>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</si>
  <si>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</si>
  <si>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</si>
  <si>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</si>
  <si>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</si>
  <si>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</si>
  <si>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</si>
  <si>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</si>
  <si>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</si>
  <si>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</si>
  <si>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</si>
  <si>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</si>
  <si>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</si>
  <si>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</si>
  <si>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</si>
  <si>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</si>
  <si>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</si>
  <si>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</si>
  <si>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</si>
  <si>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</si>
  <si>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</si>
  <si>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</si>
  <si>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</si>
  <si>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</si>
  <si>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</si>
  <si>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</si>
  <si>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</si>
  <si>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</si>
  <si>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</si>
  <si>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</si>
  <si>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</si>
  <si>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</si>
  <si>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</si>
  <si>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</si>
  <si>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</si>
  <si>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</si>
  <si>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</si>
  <si>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</si>
  <si>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</si>
  <si>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</si>
  <si>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</si>
  <si>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</si>
  <si>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</si>
  <si>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</si>
  <si>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</si>
  <si>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</si>
  <si>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</si>
  <si>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</si>
  <si>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</si>
  <si>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</si>
  <si>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</si>
  <si>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</si>
  <si>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</si>
  <si>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</si>
  <si>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</si>
  <si>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</si>
  <si>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</si>
  <si>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</si>
  <si>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</si>
  <si>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</si>
  <si>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</si>
  <si>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</si>
  <si>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</si>
  <si>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</si>
  <si>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</si>
  <si>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</si>
  <si>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</si>
  <si>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</si>
  <si>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</si>
  <si>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</si>
  <si>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</si>
  <si>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</si>
  <si>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</si>
  <si>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</si>
  <si>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</si>
  <si>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</si>
  <si>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</si>
  <si>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</si>
  <si>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</si>
  <si>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</si>
  <si>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</si>
  <si>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</si>
  <si>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</si>
  <si>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</si>
  <si>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</si>
  <si>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</si>
  <si>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</si>
  <si>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</si>
  <si>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</si>
  <si>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</si>
  <si>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</si>
  <si>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</si>
  <si>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</si>
  <si>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</si>
  <si>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</si>
  <si>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</si>
  <si>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</si>
  <si>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</si>
  <si>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</si>
  <si>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</si>
  <si>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</si>
  <si>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</si>
  <si>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</si>
  <si>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</si>
  <si>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</si>
  <si>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</si>
  <si>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</si>
  <si>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</si>
  <si>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</si>
  <si>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</si>
  <si>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</si>
  <si>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</si>
  <si>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</si>
  <si>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</si>
  <si>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</si>
  <si>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</si>
  <si>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</si>
  <si>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</si>
  <si>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</si>
  <si>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</si>
  <si>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</si>
  <si>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</si>
  <si>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</si>
  <si>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</si>
  <si>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</si>
  <si>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</si>
  <si>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</si>
  <si>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</si>
  <si>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</si>
  <si>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</si>
  <si>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</si>
  <si>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</si>
  <si>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</si>
  <si>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</si>
  <si>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</si>
  <si>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</si>
  <si>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</si>
  <si>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</si>
  <si>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</si>
  <si>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</si>
  <si>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</si>
  <si>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</si>
  <si>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</si>
  <si>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</si>
  <si>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</si>
  <si>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</si>
  <si>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</si>
  <si>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</si>
  <si>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</si>
  <si>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</si>
  <si>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</si>
  <si>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</si>
  <si>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</si>
  <si>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</si>
  <si>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</si>
  <si>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</si>
  <si>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</si>
  <si>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</si>
  <si>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</si>
  <si>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</si>
  <si>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</si>
  <si>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</si>
  <si>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</si>
  <si>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</si>
  <si>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</si>
  <si>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</si>
  <si>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</si>
  <si>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</si>
  <si>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</si>
  <si>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</si>
  <si>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</si>
  <si>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</si>
  <si>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</si>
  <si>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</si>
  <si>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</si>
  <si>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</si>
  <si>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</si>
  <si>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</si>
  <si>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</si>
  <si>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</si>
  <si>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</si>
  <si>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</si>
  <si>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</si>
  <si>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</si>
  <si>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</si>
  <si>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</si>
  <si>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</si>
  <si>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</si>
  <si>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</si>
  <si>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</si>
  <si>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</si>
  <si>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</si>
  <si>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</si>
  <si>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</si>
  <si>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</si>
  <si>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</si>
  <si>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</si>
  <si>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</si>
  <si>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</si>
  <si>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</si>
  <si>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</si>
  <si>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</si>
  <si>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</si>
  <si>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</si>
  <si>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</si>
  <si>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</si>
  <si>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</si>
  <si>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</si>
  <si>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</si>
  <si>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</si>
  <si>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</si>
  <si>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</si>
  <si>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</si>
  <si>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</si>
  <si>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</si>
  <si>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</si>
  <si>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</si>
  <si>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</si>
  <si>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</si>
  <si>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</si>
  <si>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</si>
  <si>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</si>
  <si>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</si>
  <si>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</si>
  <si>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</si>
  <si>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</si>
  <si>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</si>
  <si>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</si>
  <si>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</si>
  <si>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</si>
  <si>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</si>
  <si>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</si>
  <si>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</si>
  <si>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</si>
  <si>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</si>
  <si>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</si>
  <si>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</si>
  <si>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</si>
  <si>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</si>
  <si>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</si>
  <si>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</si>
  <si>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</si>
  <si>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</si>
  <si>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</si>
  <si>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</si>
  <si>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</si>
  <si>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</si>
  <si>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</si>
  <si>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</si>
  <si>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</si>
  <si>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</si>
  <si>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</si>
  <si>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</si>
  <si>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</si>
  <si>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</si>
  <si>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</si>
  <si>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</si>
  <si>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</si>
  <si>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</si>
  <si>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</si>
  <si>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</si>
  <si>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</si>
  <si>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</si>
  <si>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</si>
  <si>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</si>
  <si>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</si>
  <si>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</si>
  <si>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</si>
  <si>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</si>
  <si>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</si>
  <si>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</si>
  <si>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</si>
  <si>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</si>
  <si>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</si>
  <si>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</si>
  <si>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</si>
  <si>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</si>
  <si>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</si>
  <si>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</si>
  <si>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</si>
  <si>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</si>
  <si>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</si>
  <si>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</si>
  <si>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</si>
  <si>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</si>
  <si>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</si>
  <si>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</si>
  <si>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</si>
  <si>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</si>
  <si>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</si>
  <si>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</si>
  <si>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</si>
  <si>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</si>
  <si>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</si>
  <si>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</si>
  <si>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</si>
  <si>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</si>
  <si>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</si>
  <si>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</si>
  <si>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</si>
  <si>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</si>
  <si>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</si>
  <si>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</si>
  <si>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</si>
  <si>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</si>
  <si>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</si>
  <si>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</si>
  <si>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</si>
  <si>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</si>
  <si>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</si>
  <si>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</si>
  <si>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</si>
  <si>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</si>
  <si>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</si>
  <si>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</si>
  <si>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</si>
  <si>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</si>
  <si>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</si>
  <si>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</si>
  <si>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</si>
  <si>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</si>
  <si>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</si>
  <si>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</si>
  <si>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</si>
  <si>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</si>
  <si>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</si>
  <si>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</si>
  <si>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</si>
  <si>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</si>
  <si>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</si>
  <si>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</si>
  <si>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</si>
  <si>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</si>
  <si>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</si>
  <si>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</si>
  <si>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</si>
  <si>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</si>
  <si>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</si>
  <si>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</si>
  <si>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</si>
  <si>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</si>
  <si>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</si>
  <si>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</si>
  <si>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</si>
  <si>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</si>
  <si>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</si>
  <si>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</si>
  <si>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</si>
  <si>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</si>
  <si>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</si>
  <si>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</si>
  <si>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</si>
  <si>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</si>
  <si>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</si>
  <si>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</si>
  <si>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</si>
  <si>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</si>
  <si>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</si>
  <si>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</si>
  <si>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</si>
  <si>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</si>
  <si>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</si>
  <si>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</si>
  <si>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</si>
  <si>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</si>
  <si>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</si>
  <si>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</si>
  <si>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</si>
  <si>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</si>
  <si>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</si>
  <si>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</si>
  <si>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</si>
  <si>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</si>
  <si>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</si>
  <si>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</si>
  <si>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</si>
  <si>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</si>
  <si>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</si>
  <si>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</si>
  <si>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</si>
  <si>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</si>
  <si>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</si>
  <si>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</si>
  <si>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</si>
  <si>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</si>
  <si>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</si>
  <si>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</si>
  <si>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</si>
  <si>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</si>
  <si>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</si>
  <si>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</si>
  <si>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</si>
  <si>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</si>
  <si>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</si>
  <si>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</si>
  <si>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</si>
  <si>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</si>
  <si>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</si>
  <si>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</si>
  <si>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</si>
  <si>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</si>
  <si>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</si>
  <si>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</si>
  <si>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</si>
  <si>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</si>
  <si>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</si>
  <si>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</si>
  <si>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</si>
  <si>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</si>
  <si>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</si>
  <si>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</si>
  <si>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</si>
  <si>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</si>
  <si>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</si>
  <si>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</si>
  <si>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</si>
  <si>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</si>
  <si>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</si>
  <si>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</si>
  <si>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</si>
  <si>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</si>
  <si>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</si>
  <si>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</si>
  <si>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</si>
  <si>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</si>
  <si>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</si>
  <si>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</si>
  <si>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</si>
  <si>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</si>
  <si>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</si>
  <si>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</si>
  <si>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</si>
  <si>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</si>
  <si>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</si>
  <si>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</si>
  <si>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</si>
  <si>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</si>
  <si>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</si>
  <si>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</si>
  <si>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</si>
  <si>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</si>
  <si>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</si>
  <si>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</si>
  <si>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</si>
  <si>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</si>
  <si>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</si>
  <si>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</si>
  <si>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</si>
  <si>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</si>
  <si>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</si>
  <si>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</si>
  <si>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</si>
  <si>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</si>
  <si>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</si>
  <si>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</si>
  <si>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</si>
  <si>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</si>
  <si>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</si>
  <si>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</si>
  <si>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</si>
  <si>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</si>
  <si>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</si>
  <si>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</si>
  <si>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</si>
  <si>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</si>
  <si>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</si>
  <si>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</si>
  <si>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</si>
  <si>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</si>
  <si>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</si>
  <si>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</si>
  <si>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</si>
  <si>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</si>
  <si>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</si>
  <si>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</si>
  <si>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</si>
  <si>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</si>
  <si>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</si>
  <si>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</si>
  <si>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</si>
  <si>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</si>
  <si>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</si>
  <si>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</si>
  <si>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</si>
  <si>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</si>
  <si>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</si>
  <si>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</si>
  <si>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</si>
  <si>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</si>
  <si>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</si>
  <si>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</si>
  <si>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</si>
  <si>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</si>
  <si>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</si>
  <si>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</si>
  <si>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</si>
  <si>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</si>
  <si>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</si>
  <si>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</si>
  <si>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</si>
  <si>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</si>
  <si>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</si>
  <si>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</si>
  <si>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</si>
  <si>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</si>
  <si>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</si>
  <si>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</si>
  <si>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</si>
  <si>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</si>
  <si>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</si>
  <si>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</si>
  <si>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</si>
  <si>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</si>
  <si>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</si>
  <si>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</si>
  <si>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</si>
  <si>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</si>
  <si>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</si>
  <si>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</si>
  <si>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</si>
  <si>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</si>
  <si>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</si>
  <si>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</si>
  <si>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</si>
  <si>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</si>
  <si>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</si>
  <si>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</si>
  <si>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</si>
  <si>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</si>
  <si>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</si>
  <si>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</si>
  <si>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</si>
  <si>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</si>
  <si>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</si>
  <si>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</si>
  <si>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</si>
  <si>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</si>
  <si>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</si>
  <si>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</si>
  <si>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</si>
  <si>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</si>
  <si>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</si>
  <si>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</si>
  <si>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</si>
  <si>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</si>
  <si>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</si>
  <si>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</si>
  <si>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</si>
  <si>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</si>
  <si>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</si>
  <si>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</si>
  <si>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</si>
  <si>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</si>
  <si>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</si>
  <si>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</si>
  <si>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</si>
  <si>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</si>
  <si>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</si>
  <si>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</si>
  <si>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</si>
  <si>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</si>
  <si>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</si>
  <si>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</si>
  <si>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</si>
  <si>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</si>
  <si>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</si>
  <si>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</si>
  <si>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</si>
  <si>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</si>
  <si>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</si>
  <si>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</si>
  <si>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</si>
  <si>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</si>
  <si>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</si>
  <si>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</si>
  <si>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</si>
  <si>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</si>
  <si>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</si>
  <si>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</si>
  <si>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</si>
  <si>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</si>
  <si>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</si>
  <si>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</si>
  <si>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</si>
  <si>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</si>
  <si>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</si>
  <si>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</si>
  <si>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</si>
  <si>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</si>
  <si>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</si>
  <si>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</si>
  <si>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3568-1</t>
  </si>
  <si>
    <t>TOTALITY COMERC</t>
  </si>
  <si>
    <t>URIEL CORREA</t>
  </si>
  <si>
    <t>PERSONALIZADO_L</t>
  </si>
  <si>
    <t>CTE NORMAL</t>
  </si>
  <si>
    <t>EXTREMA - MG</t>
  </si>
  <si>
    <t>N/D</t>
  </si>
  <si>
    <t>EMERSON JOSE GOMES</t>
  </si>
  <si>
    <t>3582-1</t>
  </si>
  <si>
    <t>BRAFT DO BRASIL</t>
  </si>
  <si>
    <t>CARLOS ALBERTO DE ANDRADE</t>
  </si>
  <si>
    <t>PERSONALIZADO</t>
  </si>
  <si>
    <t>GUARULHOS -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</si>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</sst>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111.4</c:v>
                </c:pt>
                <c:pt idx="1">
                  <c:v>5882.78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87.108000000000004</c:v>
                </c:pt>
                <c:pt idx="1">
                  <c:v>2978.6875999999997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[Analise_EMERSON_13102026.xlsx]Resumo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111.4</c:v>
                </c:pt>
                <c:pt idx="1">
                  <c:v>5882.78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BRAFT DO BRASIL</c:v>
                </c:pt>
                <c:pt idx="1">
                  <c:v>TOTALITY COMERC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87.108000000000004</c:v>
                </c:pt>
                <c:pt idx="1">
                  <c:v>2978.6875999999997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5592280092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692"/>
        <n v="369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13T00:00:00" maxDate="2026-10-14T00:00:00"/>
    </cacheField>
    <cacheField name="DATA" numFmtId="14">
      <sharedItems containsNonDate="0" containsDate="1" containsString="0" containsBlank="1" minDate="2026-10-13T00:00:00" maxDate="2026-10-14T00:00:00"/>
    </cacheField>
    <cacheField name="FAT" numFmtId="0">
      <sharedItems containsString="0" containsBlank="1" containsNumber="1" containsInteger="1" minValue="797" maxValue="805"/>
    </cacheField>
    <cacheField name="CT-E" numFmtId="0">
      <sharedItems containsBlank="1"/>
    </cacheField>
    <cacheField name="CLIENTE TOMADOR" numFmtId="0">
      <sharedItems containsBlank="1" count="855">
        <s v="TOTALITY COMERC"/>
        <s v="BRAFT DO BRASI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9.16" maxValue="824628.4"/>
    </cacheField>
    <cacheField name="SERVICO" numFmtId="0">
      <sharedItems containsBlank="1" count="27">
        <s v="PERSONALIZADO_L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4" maxValue="5882.78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minValue="4.29" maxValue="589.85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9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3.37" maxValue="1058.900000000000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5" maxValue="329.8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30.15" maxValue="2272.02"/>
    </cacheField>
    <cacheField name="RECEITA" numFmtId="0">
      <sharedItems containsString="0" containsBlank="1" containsNumber="1" minValue="81.25" maxValue="3610.76"/>
    </cacheField>
    <cacheField name="IMPOSTO" numFmtId="0">
      <sharedItems containsString="0" containsBlank="1" containsNumber="1" minValue="28.96" maxValue="1529.52"/>
    </cacheField>
    <cacheField name="RESULTADO" numFmtId="0">
      <sharedItems containsString="0" containsBlank="1" containsNumber="1" minValue="52.29" maxValue="2081.2399999999998"/>
    </cacheField>
    <cacheField name="COMIS" numFmtId="0">
      <sharedItems containsString="0" containsBlank="1" containsNumber="1" minValue="1.96" maxValue="144.72"/>
    </cacheField>
    <cacheField name="LUCRO LIQ" numFmtId="0">
      <sharedItems containsString="0" containsBlank="1" containsNumber="1" minValue="50.33" maxValue="1936.52"/>
    </cacheField>
    <cacheField name="MARGEM" numFmtId="10">
      <sharedItems containsString="0" containsBlank="1" containsNumber="1" minValue="0.32919999999999999" maxValue="0.4517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13T00:00:00"/>
    <d v="2026-10-13T00:00:00"/>
    <n v="797"/>
    <s v="3568-1"/>
    <x v="0"/>
    <s v="URIEL CORREA"/>
    <n v="824628.4"/>
    <x v="0"/>
    <s v="CTE NORMAL"/>
    <s v="EXTREMA - MG"/>
    <n v="5882.78"/>
    <n v="1"/>
    <n v="589.85"/>
    <s v="N/D"/>
    <n v="0"/>
    <s v="N/D"/>
    <n v="900"/>
    <s v="EMERSON JOSE GOMES"/>
    <n v="0"/>
    <n v="1058.9000000000001"/>
    <n v="0"/>
    <n v="0"/>
    <n v="329.85"/>
    <n v="0"/>
    <n v="2272.02"/>
    <n v="3610.76"/>
    <n v="1529.52"/>
    <n v="2081.2399999999998"/>
    <n v="144.72"/>
    <n v="1936.52"/>
    <n v="0.32919999999999999"/>
    <m/>
  </r>
  <r>
    <x v="1"/>
    <s v="MATRIZ"/>
    <d v="2026-10-13T00:00:00"/>
    <d v="2026-10-13T00:00:00"/>
    <n v="805"/>
    <s v="3582-1"/>
    <x v="1"/>
    <s v="CARLOS ALBERTO DE ANDRADE"/>
    <n v="119.16"/>
    <x v="1"/>
    <s v="CTE NORMAL"/>
    <s v="GUARULHOS - SP"/>
    <n v="111.4"/>
    <n v="1"/>
    <n v="4.29"/>
    <s v="N/D"/>
    <n v="0"/>
    <s v="N/D"/>
    <n v="0"/>
    <s v="EMERSON JOSE GOMES"/>
    <n v="0"/>
    <n v="13.37"/>
    <n v="0"/>
    <n v="0"/>
    <n v="0.05"/>
    <n v="0"/>
    <n v="30.15"/>
    <n v="81.25"/>
    <n v="28.96"/>
    <n v="52.29"/>
    <n v="1.96"/>
    <n v="50.33"/>
    <n v="0.45179999999999998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7"/>
        <item sd="0" m="1" x="273"/>
        <item m="1" x="12"/>
        <item m="1" x="762"/>
        <item m="1" x="392"/>
        <item sd="0" m="1" x="713"/>
        <item m="1" x="296"/>
        <item sd="0" m="1" x="114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2"/>
        <item m="1" x="222"/>
        <item m="1" x="159"/>
        <item m="1" x="230"/>
        <item m="1" x="110"/>
        <item m="1" x="622"/>
        <item m="1" x="142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7"/>
        <item m="1" x="294"/>
        <item m="1" x="602"/>
        <item m="1" x="206"/>
        <item m="1" x="675"/>
        <item m="1" x="140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9"/>
        <item m="1" x="662"/>
        <item m="1" x="372"/>
        <item m="1" x="155"/>
        <item m="1" x="251"/>
        <item m="1" x="629"/>
        <item m="1" x="737"/>
        <item m="1" x="421"/>
        <item m="1" x="81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x="1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60"/>
        <item m="1" x="632"/>
        <item m="1" x="531"/>
        <item m="1" x="295"/>
        <item m="1" x="304"/>
        <item m="1" x="174"/>
        <item m="1" x="102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6"/>
        <item m="1" x="333"/>
        <item m="1" x="220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1"/>
        <item m="1" x="774"/>
        <item m="1" x="580"/>
        <item m="1" x="518"/>
        <item m="1" x="798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3"/>
        <item sd="0" m="1" x="196"/>
        <item m="1" x="831"/>
        <item m="1" x="765"/>
        <item m="1" x="509"/>
        <item m="1" x="821"/>
        <item m="1" x="341"/>
        <item m="1" x="223"/>
        <item m="1" x="65"/>
        <item m="1" x="636"/>
        <item m="1" x="458"/>
        <item m="1" x="791"/>
        <item m="1" x="704"/>
        <item m="1" x="234"/>
        <item m="1" x="598"/>
        <item m="1" x="44"/>
        <item sd="0" m="1" x="843"/>
        <item sd="0" m="1" x="124"/>
        <item m="1" x="267"/>
        <item m="1" x="292"/>
        <item m="1" x="354"/>
        <item m="1" x="99"/>
        <item m="1" x="460"/>
        <item m="1" x="581"/>
        <item m="1" x="353"/>
        <item m="1" x="104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2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1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4"/>
        <item m="1" x="721"/>
        <item m="1" x="556"/>
        <item m="1" x="117"/>
        <item m="1" x="376"/>
        <item m="1" x="719"/>
        <item m="1" x="128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4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8"/>
        <item m="1" x="683"/>
        <item m="1" x="136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1"/>
        <item m="1" x="655"/>
        <item sd="0" m="1" x="722"/>
        <item m="1" x="642"/>
        <item m="1" x="231"/>
        <item m="1" x="373"/>
        <item m="1" x="736"/>
        <item sd="0" m="1" x="133"/>
        <item m="1" x="87"/>
        <item m="1" x="209"/>
        <item m="1" x="682"/>
        <item m="1" x="275"/>
        <item m="1" x="472"/>
        <item m="1" x="800"/>
        <item m="1" x="217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8"/>
        <item m="1" x="362"/>
        <item m="1" x="263"/>
        <item m="1" x="291"/>
        <item m="1" x="541"/>
        <item m="1" x="810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5"/>
        <item m="1" x="326"/>
        <item m="1" x="35"/>
        <item m="1" x="496"/>
        <item sd="0" m="1" x="507"/>
        <item m="1" x="447"/>
        <item m="1" x="166"/>
        <item m="1" x="134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4"/>
        <item m="1" x="407"/>
        <item m="1" x="320"/>
        <item m="1" x="711"/>
        <item m="1" x="535"/>
        <item m="1" x="645"/>
        <item m="1" x="610"/>
        <item m="1" x="834"/>
        <item m="1" x="788"/>
        <item m="1" x="29"/>
        <item m="1" x="783"/>
        <item m="1" x="253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2"/>
        <item m="1" x="254"/>
        <item m="1" x="512"/>
        <item m="1" x="96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5"/>
        <item m="1" x="804"/>
        <item sd="0" m="1" x="792"/>
        <item m="1" x="200"/>
        <item m="1" x="152"/>
        <item m="1" x="236"/>
        <item m="1" x="503"/>
        <item m="1" x="787"/>
        <item m="1" x="259"/>
        <item sd="0" m="1" x="753"/>
        <item m="1" x="129"/>
        <item m="1" x="211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5"/>
        <item m="1" x="88"/>
        <item m="1" x="755"/>
        <item m="1" x="156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7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3"/>
        <item m="1" x="647"/>
        <item m="1" x="49"/>
        <item m="1" x="416"/>
        <item m="1" x="146"/>
        <item sd="0" m="1" x="729"/>
        <item m="1" x="164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x="0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1"/>
        <item m="1" x="157"/>
        <item m="1" x="56"/>
        <item m="1" x="548"/>
        <item sd="0" m="1" x="619"/>
        <item m="1" x="100"/>
        <item m="1" x="767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1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123"/>
    </i>
    <i r="1">
      <x v="7999"/>
    </i>
    <i>
      <x v="776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7"/>
        <item sd="0" m="1" x="273"/>
        <item m="1" x="12"/>
        <item m="1" x="762"/>
        <item m="1" x="392"/>
        <item sd="0" m="1" x="713"/>
        <item m="1" x="296"/>
        <item sd="0" m="1" x="114"/>
        <item m="1" x="271"/>
        <item m="1" x="591"/>
        <item m="1" x="324"/>
        <item sd="0" m="1" x="676"/>
        <item sd="0" m="1" x="502"/>
        <item m="1" x="25"/>
        <item m="1" x="582"/>
        <item m="1" x="852"/>
        <item m="1" x="21"/>
        <item m="1" x="758"/>
        <item m="1" x="113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2"/>
        <item m="1" x="222"/>
        <item m="1" x="159"/>
        <item m="1" x="230"/>
        <item m="1" x="110"/>
        <item m="1" x="622"/>
        <item m="1" x="142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7"/>
        <item m="1" x="294"/>
        <item m="1" x="602"/>
        <item m="1" x="206"/>
        <item m="1" x="675"/>
        <item m="1" x="140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9"/>
        <item m="1" x="662"/>
        <item m="1" x="372"/>
        <item m="1" x="155"/>
        <item m="1" x="251"/>
        <item m="1" x="629"/>
        <item m="1" x="737"/>
        <item m="1" x="421"/>
        <item m="1" x="81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x="1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60"/>
        <item m="1" x="632"/>
        <item m="1" x="531"/>
        <item m="1" x="295"/>
        <item m="1" x="304"/>
        <item m="1" x="174"/>
        <item m="1" x="102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6"/>
        <item m="1" x="333"/>
        <item m="1" x="220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1"/>
        <item m="1" x="774"/>
        <item m="1" x="580"/>
        <item m="1" x="518"/>
        <item m="1" x="798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3"/>
        <item sd="0" m="1" x="196"/>
        <item m="1" x="831"/>
        <item m="1" x="765"/>
        <item m="1" x="509"/>
        <item m="1" x="821"/>
        <item m="1" x="341"/>
        <item m="1" x="223"/>
        <item m="1" x="65"/>
        <item m="1" x="636"/>
        <item m="1" x="458"/>
        <item m="1" x="791"/>
        <item sd="0" m="1" x="704"/>
        <item m="1" x="234"/>
        <item m="1" x="598"/>
        <item m="1" x="44"/>
        <item sd="0" m="1" x="843"/>
        <item sd="0" m="1" x="124"/>
        <item m="1" x="267"/>
        <item m="1" x="292"/>
        <item m="1" x="354"/>
        <item m="1" x="99"/>
        <item m="1" x="460"/>
        <item m="1" x="581"/>
        <item m="1" x="353"/>
        <item m="1" x="104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4"/>
        <item m="1" x="667"/>
        <item sd="0" m="1" x="839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7"/>
        <item m="1" x="350"/>
        <item m="1" x="578"/>
        <item m="1" x="162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1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5"/>
        <item m="1" x="777"/>
        <item m="1" x="145"/>
        <item m="1" x="498"/>
        <item m="1" x="467"/>
        <item sd="0" m="1" x="141"/>
        <item sd="0" m="1" x="757"/>
        <item m="1" x="149"/>
        <item m="1" x="224"/>
        <item m="1" x="721"/>
        <item m="1" x="556"/>
        <item m="1" x="117"/>
        <item m="1" x="376"/>
        <item m="1" x="719"/>
        <item m="1" x="128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4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8"/>
        <item m="1" x="683"/>
        <item m="1" x="136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1"/>
        <item m="1" x="655"/>
        <item sd="0" m="1" x="722"/>
        <item m="1" x="642"/>
        <item m="1" x="231"/>
        <item m="1" x="373"/>
        <item m="1" x="736"/>
        <item sd="0" m="1" x="133"/>
        <item m="1" x="87"/>
        <item m="1" x="209"/>
        <item m="1" x="682"/>
        <item m="1" x="275"/>
        <item m="1" x="472"/>
        <item m="1" x="800"/>
        <item m="1" x="217"/>
        <item m="1" x="827"/>
        <item m="1" x="70"/>
        <item m="1" x="119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8"/>
        <item m="1" x="362"/>
        <item m="1" x="263"/>
        <item m="1" x="291"/>
        <item m="1" x="541"/>
        <item m="1" x="810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1"/>
        <item m="1" x="606"/>
        <item m="1" x="85"/>
        <item m="1" x="326"/>
        <item m="1" x="35"/>
        <item m="1" x="496"/>
        <item sd="0" m="1" x="507"/>
        <item m="1" x="447"/>
        <item m="1" x="166"/>
        <item m="1" x="134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4"/>
        <item m="1" x="407"/>
        <item m="1" x="320"/>
        <item m="1" x="711"/>
        <item m="1" x="535"/>
        <item m="1" x="645"/>
        <item m="1" x="610"/>
        <item m="1" x="834"/>
        <item m="1" x="788"/>
        <item m="1" x="29"/>
        <item m="1" x="783"/>
        <item m="1" x="253"/>
        <item m="1" x="475"/>
        <item m="1" x="812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2"/>
        <item m="1" x="254"/>
        <item m="1" x="512"/>
        <item m="1" x="96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5"/>
        <item m="1" x="804"/>
        <item sd="0" m="1" x="792"/>
        <item m="1" x="200"/>
        <item m="1" x="152"/>
        <item m="1" x="236"/>
        <item m="1" x="503"/>
        <item m="1" x="787"/>
        <item m="1" x="259"/>
        <item sd="0" m="1" x="753"/>
        <item m="1" x="129"/>
        <item m="1" x="211"/>
        <item m="1" x="833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5"/>
        <item m="1" x="88"/>
        <item m="1" x="755"/>
        <item m="1" x="156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1"/>
        <item m="1" x="444"/>
        <item m="1" x="193"/>
        <item m="1" x="306"/>
        <item m="1" x="340"/>
        <item sd="0" m="1" x="97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6"/>
        <item sd="0" m="1" x="153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1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8"/>
        <item m="1" x="816"/>
        <item m="1" x="625"/>
        <item m="1" x="459"/>
        <item m="1" x="692"/>
        <item sd="0" m="1" x="135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3"/>
        <item m="1" x="647"/>
        <item m="1" x="49"/>
        <item m="1" x="416"/>
        <item m="1" x="146"/>
        <item sd="0" m="1" x="729"/>
        <item m="1" x="164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x="0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1"/>
        <item m="1" x="157"/>
        <item m="1" x="56"/>
        <item m="1" x="548"/>
        <item sd="0" m="1" x="619"/>
        <item m="1" x="100"/>
        <item m="1" x="767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4"/>
        <item m="1" x="12"/>
        <item m="1" x="14"/>
        <item m="1" x="25"/>
        <item m="1" x="19"/>
        <item x="2"/>
        <item m="1" x="8"/>
        <item m="1" x="3"/>
        <item m="1" x="11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x="1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23"/>
    </i>
    <i>
      <x v="776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7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3" s="1" nd="1"/>
        <i x="795" s="1" nd="1"/>
        <i x="544" s="1" nd="1"/>
        <i x="150" s="1" nd="1"/>
        <i x="187" s="1" nd="1"/>
        <i x="273" s="1" nd="1"/>
        <i x="12" s="1" nd="1"/>
        <i x="762" s="1" nd="1"/>
        <i x="392" s="1" nd="1"/>
        <i x="713" s="1" nd="1"/>
        <i x="296" s="1" nd="1"/>
        <i x="114" s="1" nd="1"/>
        <i x="271" s="1" nd="1"/>
        <i x="591" s="1" nd="1"/>
        <i x="324" s="1" nd="1"/>
        <i x="676" s="1" nd="1"/>
        <i x="502" s="1" nd="1"/>
        <i x="25" s="1" nd="1"/>
        <i x="582" s="1" nd="1"/>
        <i x="852" s="1" nd="1"/>
        <i x="21" s="1" nd="1"/>
        <i x="758" s="1" nd="1"/>
        <i x="113" s="1" nd="1"/>
        <i x="545" s="1" nd="1"/>
        <i x="828" s="1" nd="1"/>
        <i x="270" s="1" nd="1"/>
        <i x="479" s="1" nd="1"/>
        <i x="773" s="1" nd="1"/>
        <i x="266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2" s="1" nd="1"/>
        <i x="222" s="1" nd="1"/>
        <i x="159" s="1" nd="1"/>
        <i x="230" s="1" nd="1"/>
        <i x="110" s="1" nd="1"/>
        <i x="622" s="1" nd="1"/>
        <i x="142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3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3" s="1" nd="1"/>
        <i x="178" s="1" nd="1"/>
        <i x="59" s="1" nd="1"/>
        <i x="356" s="1" nd="1"/>
        <i x="687" s="1" nd="1"/>
        <i x="312" s="1" nd="1"/>
        <i x="137" s="1" nd="1"/>
        <i x="294" s="1" nd="1"/>
        <i x="602" s="1" nd="1"/>
        <i x="206" s="1" nd="1"/>
        <i x="675" s="1" nd="1"/>
        <i x="140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5" s="1" nd="1"/>
        <i x="712" s="1" nd="1"/>
        <i x="378" s="1" nd="1"/>
        <i x="207" s="1" nd="1"/>
        <i x="522" s="1" nd="1"/>
        <i x="463" s="1" nd="1"/>
        <i x="139" s="1" nd="1"/>
        <i x="662" s="1" nd="1"/>
        <i x="372" s="1" nd="1"/>
        <i x="155" s="1" nd="1"/>
        <i x="251" s="1" nd="1"/>
        <i x="629" s="1" nd="1"/>
        <i x="737" s="1" nd="1"/>
        <i x="421" s="1" nd="1"/>
        <i x="81" s="1" nd="1"/>
        <i x="697" s="1" nd="1"/>
        <i x="284" s="1" nd="1"/>
        <i x="846" s="1" nd="1"/>
        <i x="248" s="1" nd="1"/>
        <i x="764" s="1" nd="1"/>
        <i x="425" s="1" nd="1"/>
        <i x="436" s="1" nd="1"/>
        <i x="167" s="1" nd="1"/>
        <i x="543" s="1" nd="1"/>
        <i x="621" s="1" nd="1"/>
        <i x="5" s="1" nd="1"/>
        <i x="771" s="1" nd="1"/>
        <i x="15" s="1" nd="1"/>
        <i x="740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7" s="1" nd="1"/>
        <i x="60" s="1" nd="1"/>
        <i x="632" s="1" nd="1"/>
        <i x="531" s="1" nd="1"/>
        <i x="295" s="1" nd="1"/>
        <i x="304" s="1" nd="1"/>
        <i x="174" s="1" nd="1"/>
        <i x="102" s="1" nd="1"/>
        <i x="71" s="1" nd="1"/>
        <i x="579" s="1" nd="1"/>
        <i x="799" s="1" nd="1"/>
        <i x="33" s="1" nd="1"/>
        <i x="674" s="1" nd="1"/>
        <i x="287" s="1" nd="1"/>
        <i x="630" s="1" nd="1"/>
        <i x="265" s="1" nd="1"/>
        <i x="116" s="1" nd="1"/>
        <i x="333" s="1" nd="1"/>
        <i x="220" s="1" nd="1"/>
        <i x="510" s="1" nd="1"/>
        <i x="118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3" s="1" nd="1"/>
        <i x="196" s="1" nd="1"/>
        <i x="831" s="1" nd="1"/>
        <i x="765" s="1" nd="1"/>
        <i x="509" s="1" nd="1"/>
        <i x="821" s="1" nd="1"/>
        <i x="341" s="1" nd="1"/>
        <i x="223" s="1" nd="1"/>
        <i x="65" s="1" nd="1"/>
        <i x="636" s="1" nd="1"/>
        <i x="458" s="1" nd="1"/>
        <i x="791" s="1" nd="1"/>
        <i x="704" s="1" nd="1"/>
        <i x="234" s="1" nd="1"/>
        <i x="598" s="1" nd="1"/>
        <i x="44" s="1" nd="1"/>
        <i x="843" s="1" nd="1"/>
        <i x="124" s="1" nd="1"/>
        <i x="267" s="1" nd="1"/>
        <i x="292" s="1" nd="1"/>
        <i x="354" s="1" nd="1"/>
        <i x="99" s="1" nd="1"/>
        <i x="460" s="1" nd="1"/>
        <i x="581" s="1" nd="1"/>
        <i x="353" s="1" nd="1"/>
        <i x="104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4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4" s="1" nd="1"/>
        <i x="667" s="1" nd="1"/>
        <i x="839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2" s="1" nd="1"/>
        <i x="7" s="1" nd="1"/>
        <i x="350" s="1" nd="1"/>
        <i x="578" s="1" nd="1"/>
        <i x="162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1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5" s="1" nd="1"/>
        <i x="777" s="1" nd="1"/>
        <i x="145" s="1" nd="1"/>
        <i x="498" s="1" nd="1"/>
        <i x="467" s="1" nd="1"/>
        <i x="141" s="1" nd="1"/>
        <i x="757" s="1" nd="1"/>
        <i x="149" s="1" nd="1"/>
        <i x="224" s="1" nd="1"/>
        <i x="721" s="1" nd="1"/>
        <i x="556" s="1" nd="1"/>
        <i x="117" s="1" nd="1"/>
        <i x="376" s="1" nd="1"/>
        <i x="719" s="1" nd="1"/>
        <i x="128" s="1" nd="1"/>
        <i x="34" s="1" nd="1"/>
        <i x="302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4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7" s="1" nd="1"/>
        <i x="125" s="1" nd="1"/>
        <i x="465" s="1" nd="1"/>
        <i x="701" s="1" nd="1"/>
        <i x="428" s="1" nd="1"/>
        <i x="363" s="1" nd="1"/>
        <i x="101" s="1" nd="1"/>
        <i x="481" s="1" nd="1"/>
        <i x="608" s="1" nd="1"/>
        <i x="716" s="1" nd="1"/>
        <i x="55" s="1" nd="1"/>
        <i x="298" s="1" nd="1"/>
        <i x="683" s="1" nd="1"/>
        <i x="136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6" s="1" nd="1"/>
        <i x="131" s="1" nd="1"/>
        <i x="655" s="1" nd="1"/>
        <i x="722" s="1" nd="1"/>
        <i x="642" s="1" nd="1"/>
        <i x="231" s="1" nd="1"/>
        <i x="373" s="1" nd="1"/>
        <i x="736" s="1" nd="1"/>
        <i x="133" s="1" nd="1"/>
        <i x="87" s="1" nd="1"/>
        <i x="209" s="1" nd="1"/>
        <i x="682" s="1" nd="1"/>
        <i x="275" s="1" nd="1"/>
        <i x="472" s="1" nd="1"/>
        <i x="800" s="1" nd="1"/>
        <i x="217" s="1" nd="1"/>
        <i x="827" s="1" nd="1"/>
        <i x="70" s="1" nd="1"/>
        <i x="119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8" s="1" nd="1"/>
        <i x="362" s="1" nd="1"/>
        <i x="263" s="1" nd="1"/>
        <i x="291" s="1" nd="1"/>
        <i x="541" s="1" nd="1"/>
        <i x="810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1" s="1" nd="1"/>
        <i x="606" s="1" nd="1"/>
        <i x="85" s="1" nd="1"/>
        <i x="326" s="1" nd="1"/>
        <i x="35" s="1" nd="1"/>
        <i x="496" s="1" nd="1"/>
        <i x="507" s="1" nd="1"/>
        <i x="447" s="1" nd="1"/>
        <i x="166" s="1" nd="1"/>
        <i x="134" s="1" nd="1"/>
        <i x="252" s="1" nd="1"/>
        <i x="300" s="1" nd="1"/>
        <i x="819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5" s="1" nd="1"/>
        <i x="670" s="1" nd="1"/>
        <i x="95" s="1" nd="1"/>
        <i x="440" s="1" nd="1"/>
        <i x="351" s="1" nd="1"/>
        <i x="785" s="1" nd="1"/>
        <i x="499" s="1" nd="1"/>
        <i x="62" s="1" nd="1"/>
        <i x="456" s="1" nd="1"/>
        <i x="83" s="1" nd="1"/>
        <i x="325" s="1" nd="1"/>
        <i x="168" s="1" nd="1"/>
        <i x="332" s="1" nd="1"/>
        <i x="565" s="1" nd="1"/>
        <i x="504" s="1" nd="1"/>
        <i x="228" s="1" nd="1"/>
        <i x="281" s="1" nd="1"/>
        <i x="94" s="1" nd="1"/>
        <i x="407" s="1" nd="1"/>
        <i x="320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3" s="1" nd="1"/>
        <i x="475" s="1" nd="1"/>
        <i x="812" s="1" nd="1"/>
        <i x="464" s="1" nd="1"/>
        <i x="746" s="1" nd="1"/>
        <i x="649" s="1" nd="1"/>
        <i x="776" s="1" nd="1"/>
        <i x="72" s="1" nd="1"/>
        <i x="714" s="1" nd="1"/>
        <i x="574" s="1" nd="1"/>
        <i x="184" s="1" nd="1"/>
        <i x="718" s="1" nd="1"/>
        <i x="112" s="1" nd="1"/>
        <i x="254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5" s="1" nd="1"/>
        <i x="359" s="1" nd="1"/>
        <i x="260" s="1" nd="1"/>
        <i x="364" s="1" nd="1"/>
        <i x="501" s="1" nd="1"/>
        <i x="147" s="1" nd="1"/>
        <i x="170" s="1" nd="1"/>
        <i x="585" s="1" nd="1"/>
        <i x="804" s="1" nd="1"/>
        <i x="792" s="1" nd="1"/>
        <i x="200" s="1" nd="1"/>
        <i x="152" s="1" nd="1"/>
        <i x="236" s="1" nd="1"/>
        <i x="503" s="1" nd="1"/>
        <i x="787" s="1" nd="1"/>
        <i x="259" s="1" nd="1"/>
        <i x="753" s="1" nd="1"/>
        <i x="129" s="1" nd="1"/>
        <i x="211" s="1" nd="1"/>
        <i x="833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5" s="1" nd="1"/>
        <i x="88" s="1" nd="1"/>
        <i x="755" s="1" nd="1"/>
        <i x="156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1" s="1" nd="1"/>
        <i x="444" s="1" nd="1"/>
        <i x="193" s="1" nd="1"/>
        <i x="306" s="1" nd="1"/>
        <i x="340" s="1" nd="1"/>
        <i x="97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6" s="1" nd="1"/>
        <i x="153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80" s="1" nd="1"/>
        <i x="52" s="1" nd="1"/>
        <i x="851" s="1" nd="1"/>
        <i x="30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1" s="1" nd="1"/>
        <i x="694" s="1" nd="1"/>
        <i x="664" s="1" nd="1"/>
        <i x="808" s="1" nd="1"/>
        <i x="816" s="1" nd="1"/>
        <i x="625" s="1" nd="1"/>
        <i x="459" s="1" nd="1"/>
        <i x="692" s="1" nd="1"/>
        <i x="135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4" s="1" nd="1"/>
        <i x="346" s="1" nd="1"/>
        <i x="120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91" s="1" nd="1"/>
        <i x="679" s="1" nd="1"/>
        <i x="299" s="1" nd="1"/>
        <i x="589" s="1" nd="1"/>
        <i x="179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3" s="1" nd="1"/>
        <i x="195" s="1" nd="1"/>
        <i x="497" s="1" nd="1"/>
        <i x="262" s="1" nd="1"/>
        <i x="31" s="1" nd="1"/>
        <i x="106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3" s="1" nd="1"/>
        <i x="63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1" s="1" nd="1"/>
        <i x="157" s="1" nd="1"/>
        <i x="56" s="1" nd="1"/>
        <i x="548" s="1" nd="1"/>
        <i x="619" s="1" nd="1"/>
        <i x="100" s="1" nd="1"/>
        <i x="767" s="1" nd="1"/>
        <i x="127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7" s="1" nd="1"/>
        <i x="130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0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8" s="1" nd="1"/>
        <i x="3" s="1" nd="1"/>
        <i x="25" s="1" nd="1"/>
        <i x="12" s="1" nd="1"/>
        <i x="14" s="1" nd="1"/>
        <i x="11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3692</v>
      </c>
      <c r="B2" s="12" t="s">
        <v>616</v>
      </c>
      <c r="C2" s="14">
        <v>46308</v>
      </c>
      <c r="D2" s="14">
        <v>46308</v>
      </c>
      <c r="E2" s="12">
        <v>797</v>
      </c>
      <c r="F2" s="15" t="s">
        <v>617</v>
      </c>
      <c r="G2" s="15" t="s">
        <v>618</v>
      </c>
      <c r="H2" s="15" t="s">
        <v>619</v>
      </c>
      <c r="I2" s="16">
        <v>824628.4</v>
      </c>
      <c r="J2" s="15" t="s">
        <v>620</v>
      </c>
      <c r="K2" s="15" t="s">
        <v>621</v>
      </c>
      <c r="L2" s="15" t="s">
        <v>622</v>
      </c>
      <c r="M2" s="15">
        <v>5882.78</v>
      </c>
      <c r="N2" s="15">
        <v>1</v>
      </c>
      <c r="O2" s="16">
        <v>589.85</v>
      </c>
      <c r="P2" s="15" t="s">
        <v>623</v>
      </c>
      <c r="Q2" s="15">
        <v>0</v>
      </c>
      <c r="R2" s="15" t="s">
        <v>623</v>
      </c>
      <c r="S2" s="15">
        <v>900</v>
      </c>
      <c r="T2" s="15" t="s">
        <v>624</v>
      </c>
      <c r="U2" s="15">
        <v>0</v>
      </c>
      <c r="V2" s="15">
        <v>1058.9000000000001</v>
      </c>
      <c r="W2" s="15">
        <v>0</v>
      </c>
      <c r="X2" s="15">
        <v>0</v>
      </c>
      <c r="Y2" s="15">
        <v>329.85</v>
      </c>
      <c r="Z2" s="15">
        <v>0</v>
      </c>
      <c r="AA2" s="15">
        <v>2272.02</v>
      </c>
      <c r="AB2" s="15">
        <v>3610.76</v>
      </c>
      <c r="AC2" s="15">
        <v>1529.52</v>
      </c>
      <c r="AD2" s="15">
        <v>2081.2399999999998</v>
      </c>
      <c r="AE2" s="15">
        <v>144.72</v>
      </c>
      <c r="AF2" s="15">
        <v>1936.52</v>
      </c>
      <c r="AG2" s="17">
        <v>0.32919999999999999</v>
      </c>
      <c r="AH2" s="15"/>
    </row>
    <row r="3" spans="1:34" s="1" customFormat="1" ht="12" customHeight="1" x14ac:dyDescent="0.3">
      <c r="A3" s="13">
        <v>3698</v>
      </c>
      <c r="B3" s="12" t="s">
        <v>616</v>
      </c>
      <c r="C3" s="14">
        <v>46308</v>
      </c>
      <c r="D3" s="14">
        <v>46308</v>
      </c>
      <c r="E3" s="12">
        <v>805</v>
      </c>
      <c r="F3" s="15" t="s">
        <v>625</v>
      </c>
      <c r="G3" s="15" t="s">
        <v>626</v>
      </c>
      <c r="H3" s="15" t="s">
        <v>627</v>
      </c>
      <c r="I3" s="16">
        <v>119.16</v>
      </c>
      <c r="J3" s="15" t="s">
        <v>628</v>
      </c>
      <c r="K3" s="15" t="s">
        <v>621</v>
      </c>
      <c r="L3" s="15" t="s">
        <v>629</v>
      </c>
      <c r="M3" s="16">
        <v>111.4</v>
      </c>
      <c r="N3" s="15">
        <v>1</v>
      </c>
      <c r="O3" s="16">
        <v>4.29</v>
      </c>
      <c r="P3" s="15" t="s">
        <v>623</v>
      </c>
      <c r="Q3" s="15">
        <v>0</v>
      </c>
      <c r="R3" s="15" t="s">
        <v>623</v>
      </c>
      <c r="S3" s="15">
        <v>0</v>
      </c>
      <c r="T3" s="15" t="s">
        <v>624</v>
      </c>
      <c r="U3" s="15">
        <v>0</v>
      </c>
      <c r="V3" s="15">
        <v>13.37</v>
      </c>
      <c r="W3" s="15">
        <v>0</v>
      </c>
      <c r="X3" s="15">
        <v>0</v>
      </c>
      <c r="Y3" s="15">
        <v>0.05</v>
      </c>
      <c r="Z3" s="15">
        <v>0</v>
      </c>
      <c r="AA3" s="16">
        <v>30.15</v>
      </c>
      <c r="AB3" s="16">
        <v>81.25</v>
      </c>
      <c r="AC3" s="15">
        <v>28.96</v>
      </c>
      <c r="AD3" s="15">
        <v>52.29</v>
      </c>
      <c r="AE3" s="15">
        <v>1.96</v>
      </c>
      <c r="AF3" s="15">
        <v>50.33</v>
      </c>
      <c r="AG3" s="17">
        <v>0.45179999999999998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5994.1799999999994</v>
      </c>
      <c r="F3" s="89"/>
      <c r="G3" s="90"/>
      <c r="H3" s="133">
        <f>'Resumo Detalhado'!C2</f>
        <v>594.14</v>
      </c>
      <c r="I3" s="134"/>
      <c r="J3" s="135">
        <f>E3/H3</f>
        <v>10.088834281482479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0.49511666666666665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900</v>
      </c>
      <c r="F7" s="112"/>
      <c r="G7" s="112"/>
      <c r="H7" s="112"/>
      <c r="I7" s="112"/>
      <c r="J7" s="112">
        <f>E7/H3</f>
        <v>1.514794492880466</v>
      </c>
      <c r="K7" s="112"/>
      <c r="L7" s="112"/>
      <c r="M7" s="130">
        <f>E7/E3</f>
        <v>0.15014564127203389</v>
      </c>
      <c r="N7" s="130"/>
      <c r="O7" s="130"/>
      <c r="P7" s="112">
        <f>E11+K11+Q11+E15+K15+Q15+E19+H19+K19</f>
        <v>3740.7732000000001</v>
      </c>
      <c r="Q7" s="112"/>
      <c r="R7" s="112"/>
      <c r="S7" s="112">
        <f>P7/H3</f>
        <v>6.2961140471942647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900</v>
      </c>
      <c r="L11" s="90"/>
      <c r="M11" s="38"/>
      <c r="N11" s="88">
        <f>K11/H3</f>
        <v>1.514794492880466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1072.27</v>
      </c>
      <c r="F15" s="119"/>
      <c r="G15" s="119"/>
      <c r="H15" s="119"/>
      <c r="I15" s="132"/>
      <c r="J15" s="38"/>
      <c r="K15" s="113">
        <f>'Resumo Detalhado'!K2+'Resumo Detalhado'!L2</f>
        <v>959.0687999999999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329.90000000000003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479.53439999999995</v>
      </c>
      <c r="L19" s="123"/>
      <c r="M19" s="38"/>
      <c r="N19" s="121" t="s">
        <v>272</v>
      </c>
      <c r="O19" s="119"/>
      <c r="P19" s="119"/>
      <c r="Q19" s="119"/>
      <c r="R19" s="120"/>
      <c r="S19" s="121">
        <f>_xlfn.XLOOKUP(N19,Target!C:C,Target!D:D)</f>
        <v>900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3065.7955999999999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0.51146205152331103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630</v>
      </c>
      <c r="F1" s="29"/>
    </row>
    <row r="2" spans="1:18" x14ac:dyDescent="0.3">
      <c r="B2" s="29">
        <f>SUM(B6:B5000)</f>
        <v>5994.1799999999994</v>
      </c>
      <c r="C2" s="29">
        <f>SUM(C6:C5000)</f>
        <v>594.14</v>
      </c>
      <c r="D2" s="29">
        <f>SUM(D6:D5000)</f>
        <v>0</v>
      </c>
      <c r="E2" s="29">
        <f>SUM(E6:E5000)</f>
        <v>900</v>
      </c>
      <c r="F2" s="29">
        <f>SUM(F6:F5000)</f>
        <v>0</v>
      </c>
      <c r="G2" s="29"/>
      <c r="H2" s="29">
        <f t="shared" ref="H2:P2" si="0">SUM(H6:H5000)</f>
        <v>1072.27</v>
      </c>
      <c r="I2" s="29">
        <f t="shared" si="0"/>
        <v>329.90000000000003</v>
      </c>
      <c r="J2" s="29">
        <f t="shared" si="0"/>
        <v>0</v>
      </c>
      <c r="K2" s="29">
        <f t="shared" si="0"/>
        <v>479.53439999999995</v>
      </c>
      <c r="L2" s="29">
        <f t="shared" si="0"/>
        <v>479.53439999999995</v>
      </c>
      <c r="M2" s="29">
        <f t="shared" si="0"/>
        <v>146.68</v>
      </c>
      <c r="N2" s="29">
        <f t="shared" si="0"/>
        <v>3065.7955999999999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3698</v>
      </c>
      <c r="B6" s="140">
        <v>111.4</v>
      </c>
      <c r="C6" s="141">
        <v>4.29</v>
      </c>
      <c r="D6" s="140">
        <v>0</v>
      </c>
      <c r="E6" s="140">
        <v>0</v>
      </c>
      <c r="F6" s="140">
        <v>0</v>
      </c>
      <c r="G6" s="142">
        <v>0</v>
      </c>
      <c r="H6" s="140">
        <v>13.37</v>
      </c>
      <c r="I6" s="140">
        <v>0.05</v>
      </c>
      <c r="J6" s="140">
        <v>0</v>
      </c>
      <c r="K6" s="140">
        <v>8.9120000000000008</v>
      </c>
      <c r="L6" s="140">
        <v>8.9120000000000008</v>
      </c>
      <c r="M6" s="140">
        <v>1.96</v>
      </c>
      <c r="N6" s="140">
        <v>87.108000000000004</v>
      </c>
      <c r="O6" s="142">
        <v>0.78193895870736085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3692</v>
      </c>
      <c r="B8" s="140">
        <v>5882.78</v>
      </c>
      <c r="C8" s="141">
        <v>589.85</v>
      </c>
      <c r="D8" s="140">
        <v>0</v>
      </c>
      <c r="E8" s="140">
        <v>900</v>
      </c>
      <c r="F8" s="140">
        <v>0</v>
      </c>
      <c r="G8" s="142">
        <v>0.15298889300636775</v>
      </c>
      <c r="H8" s="140">
        <v>1058.9000000000001</v>
      </c>
      <c r="I8" s="140">
        <v>329.85</v>
      </c>
      <c r="J8" s="140">
        <v>0</v>
      </c>
      <c r="K8" s="140">
        <v>470.62239999999997</v>
      </c>
      <c r="L8" s="140">
        <v>470.62239999999997</v>
      </c>
      <c r="M8" s="140">
        <v>144.72</v>
      </c>
      <c r="N8" s="140">
        <v>2978.6875999999997</v>
      </c>
      <c r="O8" s="142">
        <v>0.5063401317064381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630</v>
      </c>
    </row>
    <row r="2" spans="1:4" x14ac:dyDescent="0.3">
      <c r="B2" s="29">
        <f>SUM(B6:B5000)</f>
        <v>5882.78</v>
      </c>
      <c r="C2" s="29">
        <f>SUM(C6:C5000)</f>
        <v>2978.6875999999997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626</v>
      </c>
      <c r="B5" s="10">
        <v>111.4</v>
      </c>
      <c r="C5" s="10">
        <v>87.108000000000004</v>
      </c>
    </row>
    <row r="6" spans="1:4" x14ac:dyDescent="0.3">
      <c r="A6" s="139" t="s">
        <v>618</v>
      </c>
      <c r="B6" s="140">
        <v>5882.78</v>
      </c>
      <c r="C6" s="140">
        <v>2978.6875999999997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2026-10-16T16:20:38Z</dcterms:modified>
  <cp:category/>
  <cp:contentStatus/>
</cp:coreProperties>
</file>