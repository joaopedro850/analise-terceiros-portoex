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07A86C9-44C1-4C45-BE70-B58F1FA1333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<sst xmlns="http://schemas.openxmlformats.org/spreadsheetml/2006/main" count="867" uniqueCount="594">
  <si>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</si>
  <si>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</si>
  <si>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</si>
  <si>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</si>
  <si>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</si>
  <si>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</si>
  <si>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</si>
  <si>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</si>
  <si>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</si>
  <si>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</si>
  <si>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</si>
  <si>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</si>
  <si>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</si>
  <si>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</si>
  <si>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</si>
  <si>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</si>
  <si>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</si>
  <si>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</si>
  <si>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</si>
  <si>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</si>
  <si>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</si>
  <si>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</si>
  <si>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</si>
  <si>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</si>
  <si>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</si>
  <si>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</si>
  <si>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</si>
  <si>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</si>
  <si>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</si>
  <si>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</si>
  <si>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</si>
  <si>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</si>
  <si>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</si>
  <si>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</si>
  <si>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</si>
  <si>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</si>
  <si>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</si>
  <si>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</si>
  <si>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</si>
  <si>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</si>
  <si>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</si>
  <si>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</si>
  <si>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</si>
  <si>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</si>
  <si>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</si>
  <si>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</si>
  <si>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</si>
  <si>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</si>
  <si>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</si>
  <si>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</si>
  <si>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</si>
  <si>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</si>
  <si>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</si>
  <si>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</si>
  <si>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</si>
  <si>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</si>
  <si>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</si>
  <si>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</si>
  <si>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</si>
  <si>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</si>
  <si>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</si>
  <si>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</si>
  <si>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</si>
  <si>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</si>
  <si>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</si>
  <si>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</si>
  <si>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</si>
  <si>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</si>
  <si>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</si>
  <si>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</si>
  <si>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</si>
  <si>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</si>
  <si>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</si>
  <si>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</si>
  <si>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</si>
  <si>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</si>
  <si>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</si>
  <si>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</si>
  <si>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</si>
  <si>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</si>
  <si>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</si>
  <si>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</si>
  <si>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</si>
  <si>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</si>
  <si>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</si>
  <si>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</si>
  <si>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</si>
  <si>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</si>
  <si>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</si>
  <si>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</si>
  <si>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</si>
  <si>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</si>
  <si>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</si>
  <si>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</si>
  <si>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</si>
  <si>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</si>
  <si>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</si>
  <si>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</si>
  <si>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</si>
  <si>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</si>
  <si>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</si>
  <si>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</si>
  <si>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</si>
  <si>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</si>
  <si>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</si>
  <si>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</si>
  <si>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</si>
  <si>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</si>
  <si>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</si>
  <si>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</si>
  <si>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</si>
  <si>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</si>
  <si>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</si>
  <si>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</si>
  <si>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</si>
  <si>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</si>
  <si>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</si>
  <si>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</si>
  <si>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</si>
  <si>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</si>
  <si>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</si>
  <si>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</si>
  <si>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</si>
  <si>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</si>
  <si>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</si>
  <si>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</si>
  <si>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</si>
  <si>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</si>
  <si>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</si>
  <si>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</si>
  <si>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</si>
  <si>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</si>
  <si>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</si>
  <si>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</si>
  <si>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</si>
  <si>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</si>
  <si>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</si>
  <si>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</si>
  <si>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</si>
  <si>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</si>
  <si>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</si>
  <si>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</si>
  <si>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</si>
  <si>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</si>
  <si>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</si>
  <si>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</si>
  <si>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</si>
  <si>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</si>
  <si>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</si>
  <si>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</si>
  <si>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</si>
  <si>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</si>
  <si>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</si>
  <si>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</si>
  <si>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</si>
  <si>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</si>
  <si>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</si>
  <si>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</si>
  <si>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</si>
  <si>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</si>
  <si>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</si>
  <si>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</si>
  <si>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</si>
  <si>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</si>
  <si>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</si>
  <si>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</si>
  <si>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</si>
  <si>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</si>
  <si>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</si>
  <si>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</si>
  <si>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</si>
  <si>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</si>
  <si>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</si>
  <si>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</si>
  <si>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</si>
  <si>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</si>
  <si>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</si>
  <si>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</si>
  <si>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</si>
  <si>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</si>
  <si>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</si>
  <si>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</si>
  <si>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</si>
  <si>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</si>
  <si>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</si>
  <si>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</si>
  <si>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</si>
  <si>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</si>
  <si>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</si>
  <si>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</si>
  <si>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</si>
  <si>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</si>
  <si>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</si>
  <si>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</si>
  <si>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</si>
  <si>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</si>
  <si>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</si>
  <si>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</si>
  <si>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</si>
  <si>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</si>
  <si>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</si>
  <si>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</si>
  <si>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</si>
  <si>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</si>
  <si>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</si>
  <si>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</si>
  <si>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</si>
  <si>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</si>
  <si>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</si>
  <si>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</si>
  <si>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</si>
  <si>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</si>
  <si>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</si>
  <si>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</si>
  <si>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</si>
  <si>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</si>
  <si>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</si>
  <si>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</si>
  <si>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</si>
  <si>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</si>
  <si>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</si>
  <si>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</si>
  <si>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</si>
  <si>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</si>
  <si>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</si>
  <si>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</si>
  <si>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</si>
  <si>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</si>
  <si>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</si>
  <si>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</si>
  <si>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</si>
  <si>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</si>
  <si>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</si>
  <si>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</si>
  <si>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</si>
  <si>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</si>
  <si>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</si>
  <si>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</si>
  <si>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</si>
  <si>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</si>
  <si>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</si>
  <si>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</si>
  <si>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</si>
  <si>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</si>
  <si>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</si>
  <si>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</si>
  <si>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</si>
  <si>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</si>
  <si>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</si>
  <si>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</si>
  <si>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</si>
  <si>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</si>
  <si>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</si>
  <si>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</si>
  <si>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</si>
  <si>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</si>
  <si>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</si>
  <si>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</si>
  <si>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</si>
  <si>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</si>
  <si>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</si>
  <si>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</si>
  <si>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</si>
  <si>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</si>
  <si>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</si>
  <si>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</si>
  <si>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</si>
  <si>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</si>
  <si>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</si>
  <si>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</si>
  <si>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</si>
  <si>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</si>
  <si>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</si>
  <si>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</si>
  <si>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</si>
  <si>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</si>
  <si>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</si>
  <si>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</si>
  <si>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</si>
  <si>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</si>
  <si>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</si>
  <si>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</si>
  <si>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</si>
  <si>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</si>
  <si>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</si>
  <si>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</si>
  <si>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</si>
  <si>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</si>
  <si>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</si>
  <si>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</si>
  <si>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</si>
  <si>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</si>
  <si>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</si>
  <si>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</si>
  <si>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</si>
  <si>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</si>
  <si>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</si>
  <si>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</si>
  <si>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</si>
  <si>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</si>
  <si>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</si>
  <si>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</si>
  <si>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</si>
  <si>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</si>
  <si>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</si>
  <si>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</si>
  <si>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</si>
  <si>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</si>
  <si>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</si>
  <si>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</si>
  <si>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</si>
  <si>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</si>
  <si>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</si>
  <si>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</si>
  <si>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</si>
  <si>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</si>
  <si>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</si>
  <si>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</si>
  <si>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</si>
  <si>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</si>
  <si>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</si>
  <si>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</si>
  <si>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</si>
  <si>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</si>
  <si>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</si>
  <si>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</si>
  <si>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</si>
  <si>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</si>
  <si>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</si>
  <si>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</si>
  <si>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</si>
  <si>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</si>
  <si>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</si>
  <si>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</si>
  <si>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</si>
  <si>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</si>
  <si>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</si>
  <si>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</si>
  <si>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</si>
  <si>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</si>
  <si>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</si>
  <si>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</si>
  <si>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</si>
  <si>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</si>
  <si>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</si>
  <si>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</si>
  <si>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</si>
  <si>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</si>
  <si>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</si>
  <si>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</si>
  <si>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</si>
  <si>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</si>
  <si>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</si>
  <si>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</si>
  <si>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</si>
  <si>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</si>
  <si>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</si>
  <si>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</si>
  <si>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</si>
  <si>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</si>
  <si>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</si>
  <si>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</si>
  <si>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</si>
  <si>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</si>
  <si>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</si>
  <si>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</si>
  <si>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</si>
  <si>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</si>
  <si>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</si>
  <si>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</si>
  <si>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</si>
  <si>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</si>
  <si>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</si>
  <si>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</si>
  <si>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</si>
  <si>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</si>
  <si>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</si>
  <si>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</si>
  <si>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</si>
  <si>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</si>
  <si>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</si>
  <si>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</si>
  <si>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</si>
  <si>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</si>
  <si>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</si>
  <si>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</si>
  <si>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</si>
  <si>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</si>
  <si>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</si>
  <si>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</si>
  <si>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</si>
  <si>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</si>
  <si>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</si>
  <si>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</si>
  <si>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</si>
  <si>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</si>
  <si>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</si>
  <si>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</si>
  <si>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</si>
  <si>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</si>
  <si>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</si>
  <si>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</si>
  <si>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</si>
  <si>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</si>
  <si>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</si>
  <si>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</si>
  <si>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</si>
  <si>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</si>
  <si>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</si>
  <si>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</si>
  <si>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</si>
  <si>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</si>
  <si>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</si>
  <si>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</si>
  <si>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</si>
  <si>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</si>
  <si>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</si>
  <si>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</si>
  <si>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</si>
  <si>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</si>
  <si>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</si>
  <si>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</si>
  <si>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</si>
  <si>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</si>
  <si>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</si>
  <si>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</si>
  <si>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</si>
  <si>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</si>
  <si>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</si>
  <si>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</si>
  <si>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</si>
  <si>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</si>
  <si>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</si>
  <si>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</si>
  <si>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</si>
  <si>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</si>
  <si>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</si>
  <si>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</si>
  <si>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</si>
  <si>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</si>
  <si>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</si>
  <si>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</si>
  <si>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</si>
  <si>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</si>
  <si>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</si>
  <si>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</si>
  <si>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</si>
  <si>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</si>
  <si>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</si>
  <si>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</si>
  <si>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</si>
  <si>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</si>
  <si>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</si>
  <si>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</si>
  <si>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</si>
  <si>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</si>
  <si>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</si>
  <si>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</si>
  <si>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</si>
  <si>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</si>
  <si>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</si>
  <si>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</si>
  <si>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</si>
  <si>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</si>
  <si>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</si>
  <si>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</si>
  <si>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</si>
  <si>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</si>
  <si>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</si>
  <si>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</si>
  <si>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</si>
  <si>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</si>
  <si>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</si>
  <si>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</si>
  <si>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</si>
  <si>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</si>
  <si>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</si>
  <si>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</si>
  <si>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</si>
  <si>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</si>
  <si>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</si>
  <si>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</si>
  <si>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</si>
  <si>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</si>
  <si>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</si>
  <si>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</si>
  <si>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</si>
  <si>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</si>
  <si>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</si>
  <si>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</si>
  <si>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</si>
  <si>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</si>
  <si>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</si>
  <si>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</si>
  <si>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</si>
  <si>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</si>
  <si>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</si>
  <si>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</si>
  <si>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</si>
  <si>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</si>
  <si>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</si>
  <si>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</si>
  <si>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</si>
  <si>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</si>
  <si>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</si>
  <si>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</si>
  <si>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</si>
  <si>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</si>
  <si>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</si>
  <si>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</si>
  <si>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</si>
  <si>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</si>
  <si>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</si>
  <si>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</si>
  <si>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</si>
  <si>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</si>
  <si>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</si>
  <si>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</si>
  <si>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</si>
  <si>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</si>
  <si>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</si>
  <si>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</si>
  <si>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</si>
  <si>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</si>
  <si>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</si>
  <si>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</si>
  <si>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</si>
  <si>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</si>
  <si>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</si>
  <si>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</si>
  <si>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</si>
  <si>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</si>
  <si>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</si>
  <si>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</si>
  <si>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</si>
  <si>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</si>
  <si>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</si>
  <si>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</si>
  <si>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</si>
  <si>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</si>
  <si>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</si>
  <si>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</si>
  <si>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</si>
  <si>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</si>
  <si>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</si>
  <si>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</si>
  <si>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</si>
  <si>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</si>
  <si>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</si>
  <si>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</si>
  <si>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</si>
  <si>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</si>
  <si>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</si>
  <si>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</si>
  <si>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</si>
  <si>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</si>
  <si>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</si>
  <si>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</si>
  <si>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</si>
  <si>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</si>
  <si>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</si>
  <si>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</si>
  <si>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</si>
  <si>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</si>
  <si>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</si>
  <si>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</si>
  <si>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</si>
  <si>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</si>
  <si>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</si>
  <si>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</si>
  <si>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</si>
  <si>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</si>
  <si>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</si>
  <si>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</si>
  <si>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</si>
  <si>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</si>
  <si>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</si>
  <si>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2391-1</t>
  </si>
  <si>
    <t>MAC FER INDUSTR</t>
  </si>
  <si>
    <t>FRANCISCO GILAILTON/SABRI</t>
  </si>
  <si>
    <t>ECONOMICO_250</t>
  </si>
  <si>
    <t>CTE NORMAL</t>
  </si>
  <si>
    <t>GUARULHOS - SP</t>
  </si>
  <si>
    <t>PORTOEX SP</t>
  </si>
  <si>
    <t>TRANSPORTES FERRETI LTDA</t>
  </si>
  <si>
    <t>2408-1</t>
  </si>
  <si>
    <t>STRA NEGOCIOS E</t>
  </si>
  <si>
    <t>TIAGO SANTANA</t>
  </si>
  <si>
    <t>PERSONALIZADO_V</t>
  </si>
  <si>
    <t>BALNEARIO CAMBORIU - SC</t>
  </si>
  <si>
    <t>N/D</t>
  </si>
  <si>
    <t>ROSEANE SOUZA SAMPAIO</t>
  </si>
  <si>
    <t>Salvador-Ba X Recife-Pevan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</si>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</sst>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[Analise_EMERSON_14082026.xlsx]Resumo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103.75</c:v>
                </c:pt>
                <c:pt idx="1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33.61</c:v>
                </c:pt>
                <c:pt idx="1">
                  <c:v>3780.1999999999994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[Analise_EMERSON_14082026.xlsx]Resumo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103.75</c:v>
                </c:pt>
                <c:pt idx="1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33.61</c:v>
                </c:pt>
                <c:pt idx="1">
                  <c:v>3780.1999999999994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46469907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475"/>
        <n v="248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4T00:00:00" maxDate="2026-08-15T00:00:00"/>
    </cacheField>
    <cacheField name="DATA" numFmtId="14">
      <sharedItems containsNonDate="0" containsDate="1" containsString="0" containsBlank="1" minDate="2026-08-14T00:00:00" maxDate="2026-08-15T00:00:00"/>
    </cacheField>
    <cacheField name="FAT" numFmtId="0">
      <sharedItems containsString="0" containsBlank="1" containsNumber="1" containsInteger="1" minValue="371" maxValue="371"/>
    </cacheField>
    <cacheField name="CT-E" numFmtId="0">
      <sharedItems containsBlank="1"/>
    </cacheField>
    <cacheField name="CLIENTE TOMADOR" numFmtId="0">
      <sharedItems containsBlank="1" count="856">
        <s v="MAC FER INDUSTR"/>
        <s v="STRA NEGOCIOS 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47.04" maxValue="222027.69"/>
    </cacheField>
    <cacheField name="SERVICO" numFmtId="0">
      <sharedItems containsBlank="1" count="28">
        <s v="ECONOMICO_250"/>
        <s v="PERSONALIZADO_V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75" maxValue="6000"/>
    </cacheField>
    <cacheField name="VOLUMES" numFmtId="0">
      <sharedItems containsString="0" containsBlank="1" containsNumber="1" containsInteger="1" minValue="8" maxValue="29"/>
    </cacheField>
    <cacheField name="PESO" numFmtId="0">
      <sharedItems containsString="0" containsBlank="1" containsNumber="1" minValue="48.73" maxValue="248.26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45" maxValue="102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78" maxValue="88.81"/>
    </cacheField>
    <cacheField name="OUTROS" numFmtId="0">
      <sharedItems containsString="0" containsBlank="1" containsNumber="1" minValue="0.31" maxValue="1.59"/>
    </cacheField>
    <cacheField name="C.TOTAL" numFmtId="0">
      <sharedItems containsString="0" containsBlank="1" containsNumber="1" minValue="114.73" maxValue="4649.21"/>
    </cacheField>
    <cacheField name="RECEITA" numFmtId="0">
      <sharedItems containsString="0" containsBlank="1" containsNumber="1" minValue="-10.98" maxValue="1350.79"/>
    </cacheField>
    <cacheField name="IMPOSTO" numFmtId="0">
      <sharedItems containsString="0" containsBlank="1" containsNumber="1" minValue="16.600000000000001" maxValue="960"/>
    </cacheField>
    <cacheField name="RESULTADO" numFmtId="0">
      <sharedItems containsString="0" containsBlank="1" containsNumber="1" minValue="-27.58" maxValue="390.78999999999996"/>
    </cacheField>
    <cacheField name="COMIS" numFmtId="0">
      <sharedItems containsString="0" containsBlank="1" containsNumber="1" minValue="0" maxValue="149.4"/>
    </cacheField>
    <cacheField name="LUCRO LIQ" numFmtId="0">
      <sharedItems containsString="0" containsBlank="1" containsNumber="1" minValue="-27.58" maxValue="241.39"/>
    </cacheField>
    <cacheField name="MARGEM" numFmtId="10">
      <sharedItems containsString="0" containsBlank="1" containsNumber="1" minValue="-0.26579999999999998" maxValue="4.0199999999999993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4T00:00:00"/>
    <d v="2026-08-14T00:00:00"/>
    <n v="371"/>
    <s v="2391-1"/>
    <x v="0"/>
    <s v="FRANCISCO GILAILTON/SABRI"/>
    <n v="1947.04"/>
    <x v="0"/>
    <s v="CTE NORMAL"/>
    <s v="GUARULHOS - SP"/>
    <n v="103.75"/>
    <n v="8"/>
    <n v="48.73"/>
    <s v="MATRIZ"/>
    <n v="0"/>
    <s v="PORTOEX SP"/>
    <n v="40"/>
    <s v="TRANSPORTES FERRETI LTDA"/>
    <n v="0"/>
    <n v="12.45"/>
    <n v="0"/>
    <n v="0"/>
    <n v="0.78"/>
    <n v="0.31"/>
    <n v="114.73"/>
    <n v="-10.98"/>
    <n v="16.600000000000001"/>
    <n v="-27.58"/>
    <n v="0"/>
    <n v="-27.58"/>
    <n v="-0.26579999999999998"/>
    <m/>
  </r>
  <r>
    <x v="1"/>
    <s v="MATRIZ"/>
    <d v="2026-08-14T00:00:00"/>
    <d v="2026-08-14T00:00:00"/>
    <m/>
    <s v="2408-1"/>
    <x v="1"/>
    <s v="TIAGO SANTANA"/>
    <n v="222027.69"/>
    <x v="1"/>
    <s v="CTE NORMAL"/>
    <s v="BALNEARIO CAMBORIU - SC"/>
    <n v="6000"/>
    <n v="29"/>
    <n v="248.26"/>
    <s v="MATRIZ"/>
    <n v="0"/>
    <s v="N/D"/>
    <n v="0"/>
    <s v="ROSEANE SOUZA SAMPAIO"/>
    <n v="0"/>
    <n v="1020"/>
    <n v="0"/>
    <n v="0"/>
    <n v="88.81"/>
    <n v="1.59"/>
    <n v="4649.21"/>
    <n v="1350.79"/>
    <n v="960"/>
    <n v="390.78999999999996"/>
    <n v="149.4"/>
    <n v="241.39"/>
    <n v="4.0199999999999993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0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x="1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8"/>
    </i>
    <i>
      <x v="734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0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x="1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734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1" s="1" nd="1"/>
        <i x="506" s="1" nd="1"/>
        <i x="554" s="1" nd="1"/>
        <i x="477" s="1" nd="1"/>
        <i x="245" s="1" nd="1"/>
        <i x="849" s="1" nd="1"/>
        <i x="833" s="1" nd="1"/>
        <i x="743" s="1" nd="1"/>
        <i x="241" s="1" nd="1"/>
        <i x="240" s="1" nd="1"/>
        <i x="462" s="1" nd="1"/>
        <i x="287" s="1" nd="1"/>
        <i x="550" s="1" nd="1"/>
        <i x="846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7" s="1" nd="1"/>
        <i x="249" s="1" nd="1"/>
        <i x="764" s="1" nd="1"/>
        <i x="425" s="1" nd="1"/>
        <i x="436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5" s="1" nd="1"/>
        <i x="396" s="1" nd="1"/>
        <i x="259" s="1" nd="1"/>
        <i x="377" s="1" nd="1"/>
        <i x="850" s="1" nd="1"/>
        <i x="648" s="1" nd="1"/>
        <i x="854" s="1" nd="1"/>
        <i x="830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9" s="1" nd="1"/>
        <i x="211" s="1" nd="1"/>
        <i x="439" s="1" nd="1"/>
        <i x="103" s="1" nd="1"/>
        <i x="197" s="1" nd="1"/>
        <i x="832" s="1" nd="1"/>
        <i x="765" s="1" nd="1"/>
        <i x="509" s="1" nd="1"/>
        <i x="822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7" s="1" nd="1"/>
        <i x="380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69" s="1" nd="1"/>
        <i x="336" s="1" nd="1"/>
        <i x="176" s="1" nd="1"/>
        <i x="420" s="1" nd="1"/>
        <i x="702" s="1" nd="1"/>
        <i x="698" s="1" nd="1"/>
        <i x="379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8" s="1" nd="1"/>
        <i x="816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5" s="1" nd="1"/>
        <i x="701" s="1" nd="1"/>
        <i x="428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8" s="1" nd="1"/>
        <i x="70" s="1" nd="1"/>
        <i x="119" s="1" nd="1"/>
        <i x="646" s="1" nd="1"/>
        <i x="411" s="1" nd="1"/>
        <i x="855" s="1" nd="1"/>
        <i x="432" s="1" nd="1"/>
        <i x="570" s="1" nd="1"/>
        <i x="488" s="1" nd="1"/>
        <i x="183" s="1" nd="1"/>
        <i x="374" s="1" nd="1"/>
        <i x="243" s="1" nd="1"/>
        <i x="338" s="1" nd="1"/>
        <i x="528" s="1" nd="1"/>
        <i x="423" s="1" nd="1"/>
        <i x="789" s="1" nd="1"/>
        <i x="302" s="1" nd="1"/>
        <i x="310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7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5" s="1" nd="1"/>
        <i x="359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2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6" s="1" nd="1"/>
        <i x="409" s="1" nd="1"/>
        <i x="474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5" s="1" nd="1"/>
        <i x="410" s="1" nd="1"/>
        <i x="693" s="1" nd="1"/>
        <i x="442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5" s="1" nd="1"/>
        <i x="577" s="1" nd="1"/>
        <i x="361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5" s="1" nd="1"/>
        <i x="36" s="1" nd="1"/>
        <i x="312" s="1" nd="1"/>
        <i x="826" s="1" nd="1"/>
        <i x="563" s="1" nd="1"/>
        <i x="63" s="1" nd="1"/>
        <i x="569" s="1" nd="1"/>
        <i x="431" s="1" nd="1"/>
        <i x="426" s="1" nd="1"/>
        <i x="177" s="1" nd="1"/>
        <i x="367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0" s="1"/>
        <i x="1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9" s="1" nd="1"/>
        <i x="27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5" totalsRowShown="0" headerRowDxfId="92" dataDxfId="90" headerRowBorderDxfId="91" tableBorderDxfId="89" totalsRowBorderDxfId="88">
  <autoFilter ref="A1:D36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2475</v>
      </c>
      <c r="B2" s="12" t="s">
        <v>576</v>
      </c>
      <c r="C2" s="14">
        <v>46248</v>
      </c>
      <c r="D2" s="14">
        <v>46248</v>
      </c>
      <c r="E2" s="12">
        <v>371</v>
      </c>
      <c r="F2" s="15" t="s">
        <v>577</v>
      </c>
      <c r="G2" s="15" t="s">
        <v>578</v>
      </c>
      <c r="H2" s="15" t="s">
        <v>579</v>
      </c>
      <c r="I2" s="16">
        <v>1947.04</v>
      </c>
      <c r="J2" s="15" t="s">
        <v>580</v>
      </c>
      <c r="K2" s="15" t="s">
        <v>581</v>
      </c>
      <c r="L2" s="15" t="s">
        <v>582</v>
      </c>
      <c r="M2" s="15">
        <v>103.75</v>
      </c>
      <c r="N2" s="15">
        <v>8</v>
      </c>
      <c r="O2" s="16">
        <v>48.73</v>
      </c>
      <c r="P2" s="15" t="s">
        <v>576</v>
      </c>
      <c r="Q2" s="15">
        <v>0</v>
      </c>
      <c r="R2" s="15" t="s">
        <v>583</v>
      </c>
      <c r="S2" s="15">
        <v>40</v>
      </c>
      <c r="T2" s="15" t="s">
        <v>584</v>
      </c>
      <c r="U2" s="15">
        <v>0</v>
      </c>
      <c r="V2" s="15">
        <v>12.45</v>
      </c>
      <c r="W2" s="15">
        <v>0</v>
      </c>
      <c r="X2" s="15">
        <v>0</v>
      </c>
      <c r="Y2" s="15">
        <v>0.78</v>
      </c>
      <c r="Z2" s="15">
        <v>0.31</v>
      </c>
      <c r="AA2" s="15">
        <v>114.73</v>
      </c>
      <c r="AB2" s="15">
        <v>-10.98</v>
      </c>
      <c r="AC2" s="15">
        <v>16.600000000000001</v>
      </c>
      <c r="AD2" s="15">
        <v>-27.58</v>
      </c>
      <c r="AE2" s="15">
        <v>0</v>
      </c>
      <c r="AF2" s="15">
        <v>-27.58</v>
      </c>
      <c r="AG2" s="17">
        <v>-0.26579999999999998</v>
      </c>
      <c r="AH2" s="15"/>
    </row>
    <row r="3" spans="1:34" s="1" customFormat="1" ht="12" customHeight="1" x14ac:dyDescent="0.3">
      <c r="A3" s="13">
        <v>2489</v>
      </c>
      <c r="B3" s="12" t="s">
        <v>576</v>
      </c>
      <c r="C3" s="14">
        <v>46248</v>
      </c>
      <c r="D3" s="14">
        <v>46248</v>
      </c>
      <c r="E3" s="12"/>
      <c r="F3" s="15" t="s">
        <v>585</v>
      </c>
      <c r="G3" s="15" t="s">
        <v>586</v>
      </c>
      <c r="H3" s="15" t="s">
        <v>587</v>
      </c>
      <c r="I3" s="16">
        <v>222027.69</v>
      </c>
      <c r="J3" s="15" t="s">
        <v>588</v>
      </c>
      <c r="K3" s="15" t="s">
        <v>581</v>
      </c>
      <c r="L3" s="15" t="s">
        <v>589</v>
      </c>
      <c r="M3" s="16">
        <v>6000</v>
      </c>
      <c r="N3" s="15">
        <v>29</v>
      </c>
      <c r="O3" s="16">
        <v>248.26</v>
      </c>
      <c r="P3" s="15" t="s">
        <v>576</v>
      </c>
      <c r="Q3" s="15">
        <v>0</v>
      </c>
      <c r="R3" s="15" t="s">
        <v>590</v>
      </c>
      <c r="S3" s="15">
        <v>0</v>
      </c>
      <c r="T3" s="15" t="s">
        <v>591</v>
      </c>
      <c r="U3" s="15">
        <v>0</v>
      </c>
      <c r="V3" s="15">
        <v>1020</v>
      </c>
      <c r="W3" s="15">
        <v>0</v>
      </c>
      <c r="X3" s="15">
        <v>0</v>
      </c>
      <c r="Y3" s="15">
        <v>88.81</v>
      </c>
      <c r="Z3" s="15">
        <v>1.59</v>
      </c>
      <c r="AA3" s="16">
        <v>4649.21</v>
      </c>
      <c r="AB3" s="16">
        <v>1350.79</v>
      </c>
      <c r="AC3" s="15">
        <v>960</v>
      </c>
      <c r="AD3" s="15">
        <v>390.78999999999996</v>
      </c>
      <c r="AE3" s="15">
        <v>149.4</v>
      </c>
      <c r="AF3" s="15">
        <v>241.39</v>
      </c>
      <c r="AG3" s="17">
        <v>4.0199999999999993E-2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6103.75</v>
      </c>
      <c r="F3" s="89"/>
      <c r="G3" s="90"/>
      <c r="H3" s="133">
        <f>'Resumo Detalhado'!C2</f>
        <v>296.99</v>
      </c>
      <c r="I3" s="134"/>
      <c r="J3" s="135">
        <f>E3/H3</f>
        <v>20.55203878918482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0.24749166666666667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3600</v>
      </c>
      <c r="F7" s="112"/>
      <c r="G7" s="112"/>
      <c r="H7" s="112"/>
      <c r="I7" s="112"/>
      <c r="J7" s="112">
        <f>E7/H3</f>
        <v>12.121620256574294</v>
      </c>
      <c r="K7" s="112"/>
      <c r="L7" s="112"/>
      <c r="M7" s="130">
        <f>E7/E3</f>
        <v>0.58980135162809744</v>
      </c>
      <c r="N7" s="130"/>
      <c r="O7" s="130"/>
      <c r="P7" s="112">
        <f>E11+K11+Q11+E15+K15+Q15+E19+H19+K19</f>
        <v>6188.84</v>
      </c>
      <c r="Q7" s="112"/>
      <c r="R7" s="112"/>
      <c r="S7" s="112">
        <f>P7/H3</f>
        <v>20.838546752415905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3600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3600</v>
      </c>
      <c r="L11" s="90"/>
      <c r="M11" s="38"/>
      <c r="N11" s="88">
        <f>K11/H3</f>
        <v>12.121620256574294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1032.45</v>
      </c>
      <c r="F15" s="119"/>
      <c r="G15" s="119"/>
      <c r="H15" s="119"/>
      <c r="I15" s="132"/>
      <c r="J15" s="38"/>
      <c r="K15" s="113">
        <f>'Resumo Detalhado'!K2+'Resumo Detalhado'!L2</f>
        <v>976.6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89.59</v>
      </c>
      <c r="F19" s="120"/>
      <c r="G19" s="38"/>
      <c r="H19" s="122">
        <f>'Resumo Detalhado'!J2</f>
        <v>1.9000000000000001</v>
      </c>
      <c r="I19" s="123"/>
      <c r="J19" s="38"/>
      <c r="K19" s="122">
        <f>'Resumo Detalhado'!L2</f>
        <v>488.3</v>
      </c>
      <c r="L19" s="123"/>
      <c r="M19" s="38"/>
      <c r="N19" s="121" t="s">
        <v>592</v>
      </c>
      <c r="O19" s="119"/>
      <c r="P19" s="119"/>
      <c r="Q19" s="119"/>
      <c r="R19" s="120"/>
      <c r="S19" s="121">
        <v>3800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3813.8099999999995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0.62483063690354279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593</v>
      </c>
      <c r="F1" s="29"/>
    </row>
    <row r="2" spans="1:18" x14ac:dyDescent="0.3">
      <c r="B2" s="29">
        <f>SUM(B6:B5000)</f>
        <v>6103.75</v>
      </c>
      <c r="C2" s="29">
        <f>SUM(C6:C5000)</f>
        <v>296.99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1032.45</v>
      </c>
      <c r="I2" s="29">
        <f t="shared" si="0"/>
        <v>89.59</v>
      </c>
      <c r="J2" s="29">
        <f t="shared" si="0"/>
        <v>1.9000000000000001</v>
      </c>
      <c r="K2" s="29">
        <f t="shared" si="0"/>
        <v>488.3</v>
      </c>
      <c r="L2" s="29">
        <f t="shared" si="0"/>
        <v>488.3</v>
      </c>
      <c r="M2" s="29">
        <f t="shared" si="0"/>
        <v>149.4</v>
      </c>
      <c r="N2" s="29">
        <f t="shared" si="0"/>
        <v>3813.8099999999995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2475</v>
      </c>
      <c r="B6" s="139">
        <v>103.75</v>
      </c>
      <c r="C6" s="140">
        <v>48.73</v>
      </c>
      <c r="D6" s="139">
        <v>0</v>
      </c>
      <c r="E6" s="139">
        <v>40</v>
      </c>
      <c r="F6" s="139">
        <v>0</v>
      </c>
      <c r="G6" s="141">
        <v>0.38554216867469882</v>
      </c>
      <c r="H6" s="139">
        <v>12.45</v>
      </c>
      <c r="I6" s="139">
        <v>0.78</v>
      </c>
      <c r="J6" s="139">
        <v>0.31</v>
      </c>
      <c r="K6" s="139">
        <v>8.3000000000000007</v>
      </c>
      <c r="L6" s="139">
        <v>8.3000000000000007</v>
      </c>
      <c r="M6" s="139">
        <v>0</v>
      </c>
      <c r="N6" s="139">
        <v>33.61</v>
      </c>
      <c r="O6" s="141">
        <v>0.32395180722891564</v>
      </c>
      <c r="Q6"/>
    </row>
    <row r="7" spans="1:18" s="31" customFormat="1" x14ac:dyDescent="0.3">
      <c r="A7" s="9" t="s">
        <v>586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2489</v>
      </c>
      <c r="B8" s="139">
        <v>6000</v>
      </c>
      <c r="C8" s="140">
        <v>248.26</v>
      </c>
      <c r="D8" s="139">
        <v>0</v>
      </c>
      <c r="E8" s="139">
        <v>0</v>
      </c>
      <c r="F8" s="139">
        <v>0</v>
      </c>
      <c r="G8" s="141">
        <v>0</v>
      </c>
      <c r="H8" s="139">
        <v>1020</v>
      </c>
      <c r="I8" s="139">
        <v>88.81</v>
      </c>
      <c r="J8" s="139">
        <v>1.59</v>
      </c>
      <c r="K8" s="139">
        <v>480</v>
      </c>
      <c r="L8" s="139">
        <v>480</v>
      </c>
      <c r="M8" s="139">
        <v>149.4</v>
      </c>
      <c r="N8" s="139">
        <v>3780.1999999999994</v>
      </c>
      <c r="O8" s="141">
        <v>0.63003333333333322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593</v>
      </c>
    </row>
    <row r="2" spans="1:4" x14ac:dyDescent="0.3">
      <c r="B2" s="29">
        <f>SUM(B6:B5000)</f>
        <v>6000</v>
      </c>
      <c r="C2" s="29">
        <f>SUM(C6:C5000)</f>
        <v>3780.1999999999994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578</v>
      </c>
      <c r="B5" s="10">
        <v>103.75</v>
      </c>
      <c r="C5" s="10">
        <v>33.61</v>
      </c>
    </row>
    <row r="6" spans="1:4" x14ac:dyDescent="0.3">
      <c r="A6" s="9" t="s">
        <v>586</v>
      </c>
      <c r="B6" s="139">
        <v>6000</v>
      </c>
      <c r="C6" s="139">
        <v>3780.1999999999994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142" t="s">
        <v>592</v>
      </c>
      <c r="D365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2026-08-19T13:50:16Z</dcterms:modified>
  <cp:category/>
  <cp:contentStatus/>
</cp:coreProperties>
</file>