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A9394E0F-3FA0-45BE-8BC9-F89F32019850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<sst xmlns="http://schemas.openxmlformats.org/spreadsheetml/2006/main" count="914" uniqueCount="634">
  <si>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</si>
  <si>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</si>
  <si>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</si>
  <si>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</si>
  <si>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</si>
  <si>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</si>
  <si>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</si>
  <si>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</si>
  <si>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</si>
  <si>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</si>
  <si>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</si>
  <si>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</si>
  <si>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</si>
  <si>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</si>
  <si>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</si>
  <si>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</si>
  <si>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</si>
  <si>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</si>
  <si>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</si>
  <si>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</si>
  <si>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</si>
  <si>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</si>
  <si>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</si>
  <si>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</si>
  <si>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</si>
  <si>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</si>
  <si>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</si>
  <si>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</si>
  <si>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</si>
  <si>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</si>
  <si>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</si>
  <si>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</si>
  <si>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</si>
  <si>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</si>
  <si>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</si>
  <si>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</si>
  <si>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</si>
  <si>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</si>
  <si>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</si>
  <si>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</si>
  <si>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</si>
  <si>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</si>
  <si>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</si>
  <si>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</si>
  <si>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</si>
  <si>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</si>
  <si>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</si>
  <si>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</si>
  <si>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</si>
  <si>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</si>
  <si>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</si>
  <si>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</si>
  <si>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</si>
  <si>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</si>
  <si>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</si>
  <si>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</si>
  <si>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</si>
  <si>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</si>
  <si>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</si>
  <si>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</si>
  <si>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</si>
  <si>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</si>
  <si>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</si>
  <si>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</si>
  <si>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</si>
  <si>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</si>
  <si>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</si>
  <si>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</si>
  <si>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</si>
  <si>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</si>
  <si>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</si>
  <si>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</si>
  <si>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</si>
  <si>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</si>
  <si>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</si>
  <si>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</si>
  <si>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</si>
  <si>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</si>
  <si>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</si>
  <si>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</si>
  <si>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</si>
  <si>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</si>
  <si>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</si>
  <si>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</si>
  <si>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</si>
  <si>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</si>
  <si>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</si>
  <si>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</si>
  <si>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</si>
  <si>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</si>
  <si>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</si>
  <si>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</si>
  <si>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</si>
  <si>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</si>
  <si>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</si>
  <si>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</si>
  <si>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</si>
  <si>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</si>
  <si>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</si>
  <si>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</si>
  <si>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</si>
  <si>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</si>
  <si>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</si>
  <si>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</si>
  <si>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</si>
  <si>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</si>
  <si>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</si>
  <si>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</si>
  <si>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</si>
  <si>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</si>
  <si>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</si>
  <si>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</si>
  <si>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</si>
  <si>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</si>
  <si>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</si>
  <si>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</si>
  <si>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</si>
  <si>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</si>
  <si>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</si>
  <si>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</si>
  <si>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</si>
  <si>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</si>
  <si>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</si>
  <si>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</si>
  <si>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</si>
  <si>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</si>
  <si>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</si>
  <si>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</si>
  <si>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</si>
  <si>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</si>
  <si>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</si>
  <si>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</si>
  <si>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</si>
  <si>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</si>
  <si>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</si>
  <si>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</si>
  <si>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</si>
  <si>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</si>
  <si>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</si>
  <si>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</si>
  <si>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</si>
  <si>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</si>
  <si>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</si>
  <si>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</si>
  <si>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</si>
  <si>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</si>
  <si>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</si>
  <si>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</si>
  <si>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</si>
  <si>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</si>
  <si>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</si>
  <si>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</si>
  <si>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</si>
  <si>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</si>
  <si>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</si>
  <si>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</si>
  <si>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</si>
  <si>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</si>
  <si>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</si>
  <si>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</si>
  <si>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</si>
  <si>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</si>
  <si>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</si>
  <si>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</si>
  <si>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</si>
  <si>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</si>
  <si>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</si>
  <si>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</si>
  <si>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</si>
  <si>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</si>
  <si>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</si>
  <si>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</si>
  <si>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</si>
  <si>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</si>
  <si>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</si>
  <si>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</si>
  <si>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</si>
  <si>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</si>
  <si>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</si>
  <si>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</si>
  <si>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</si>
  <si>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</si>
  <si>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</si>
  <si>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</si>
  <si>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</si>
  <si>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</si>
  <si>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</si>
  <si>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</si>
  <si>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</si>
  <si>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</si>
  <si>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</si>
  <si>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</si>
  <si>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</si>
  <si>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</si>
  <si>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</si>
  <si>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</si>
  <si>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</si>
  <si>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</si>
  <si>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</si>
  <si>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</si>
  <si>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</si>
  <si>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</si>
  <si>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</si>
  <si>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</si>
  <si>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</si>
  <si>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</si>
  <si>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</si>
  <si>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</si>
  <si>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</si>
  <si>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</si>
  <si>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</si>
  <si>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</si>
  <si>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</si>
  <si>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</si>
  <si>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</si>
  <si>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</si>
  <si>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</si>
  <si>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</si>
  <si>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</si>
  <si>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</si>
  <si>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</si>
  <si>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</si>
  <si>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</si>
  <si>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</si>
  <si>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</si>
  <si>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</si>
  <si>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</si>
  <si>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</si>
  <si>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</si>
  <si>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</si>
  <si>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</si>
  <si>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</si>
  <si>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</si>
  <si>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</si>
  <si>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</si>
  <si>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</si>
  <si>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</si>
  <si>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</si>
  <si>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</si>
  <si>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</si>
  <si>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</si>
  <si>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</si>
  <si>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</si>
  <si>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</si>
  <si>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</si>
  <si>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</si>
  <si>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</si>
  <si>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</si>
  <si>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</si>
  <si>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</si>
  <si>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</si>
  <si>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</si>
  <si>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</si>
  <si>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</si>
  <si>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</si>
  <si>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</si>
  <si>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</si>
  <si>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</si>
  <si>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</si>
  <si>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</si>
  <si>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</si>
  <si>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</si>
  <si>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</si>
  <si>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</si>
  <si>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</si>
  <si>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</si>
  <si>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</si>
  <si>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</si>
  <si>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</si>
  <si>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</si>
  <si>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</si>
  <si>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</si>
  <si>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</si>
  <si>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</si>
  <si>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</si>
  <si>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</si>
  <si>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</si>
  <si>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</si>
  <si>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</si>
  <si>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</si>
  <si>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</si>
  <si>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</si>
  <si>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</si>
  <si>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</si>
  <si>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</si>
  <si>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</si>
  <si>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</si>
  <si>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</si>
  <si>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</si>
  <si>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</si>
  <si>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</si>
  <si>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</si>
  <si>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</si>
  <si>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</si>
  <si>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</si>
  <si>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</si>
  <si>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</si>
  <si>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</si>
  <si>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</si>
  <si>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</si>
  <si>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</si>
  <si>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</si>
  <si>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</si>
  <si>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</si>
  <si>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</si>
  <si>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</si>
  <si>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</si>
  <si>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</si>
  <si>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</si>
  <si>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</si>
  <si>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</si>
  <si>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</si>
  <si>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</si>
  <si>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</si>
  <si>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</si>
  <si>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</si>
  <si>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</si>
  <si>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</si>
  <si>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</si>
  <si>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</si>
  <si>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</si>
  <si>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</si>
  <si>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</si>
  <si>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</si>
  <si>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</si>
  <si>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</si>
  <si>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</si>
  <si>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</si>
  <si>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</si>
  <si>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</si>
  <si>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</si>
  <si>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</si>
  <si>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</si>
  <si>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</si>
  <si>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</si>
  <si>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</si>
  <si>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</si>
  <si>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</si>
  <si>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</si>
  <si>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</si>
  <si>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</si>
  <si>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</si>
  <si>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</si>
  <si>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</si>
  <si>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</si>
  <si>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</si>
  <si>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</si>
  <si>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</si>
  <si>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</si>
  <si>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</si>
  <si>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</si>
  <si>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</si>
  <si>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</si>
  <si>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</si>
  <si>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</si>
  <si>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</si>
  <si>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</si>
  <si>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</si>
  <si>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</si>
  <si>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</si>
  <si>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</si>
  <si>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</si>
  <si>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</si>
  <si>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</si>
  <si>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</si>
  <si>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</si>
  <si>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</si>
  <si>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</si>
  <si>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</si>
  <si>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</si>
  <si>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</si>
  <si>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</si>
  <si>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</si>
  <si>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</si>
  <si>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</si>
  <si>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</si>
  <si>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</si>
  <si>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</si>
  <si>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</si>
  <si>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</si>
  <si>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</si>
  <si>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</si>
  <si>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</si>
  <si>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</si>
  <si>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</si>
  <si>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</si>
  <si>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</si>
  <si>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</si>
  <si>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</si>
  <si>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</si>
  <si>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</si>
  <si>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</si>
  <si>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</si>
  <si>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</si>
  <si>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</si>
  <si>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</si>
  <si>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</si>
  <si>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</si>
  <si>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</si>
  <si>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</si>
  <si>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</si>
  <si>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</si>
  <si>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</si>
  <si>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</si>
  <si>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</si>
  <si>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</si>
  <si>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</si>
  <si>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</si>
  <si>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</si>
  <si>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</si>
  <si>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</si>
  <si>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</si>
  <si>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</si>
  <si>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</si>
  <si>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</si>
  <si>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</si>
  <si>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</si>
  <si>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</si>
  <si>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</si>
  <si>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</si>
  <si>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</si>
  <si>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</si>
  <si>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</si>
  <si>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</si>
  <si>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</si>
  <si>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</si>
  <si>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</si>
  <si>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</si>
  <si>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</si>
  <si>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</si>
  <si>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</si>
  <si>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</si>
  <si>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</si>
  <si>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</si>
  <si>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</si>
  <si>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</si>
  <si>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</si>
  <si>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</si>
  <si>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</si>
  <si>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</si>
  <si>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</si>
  <si>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</si>
  <si>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</si>
  <si>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</si>
  <si>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</si>
  <si>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</si>
  <si>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</si>
  <si>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</si>
  <si>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</si>
  <si>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</si>
  <si>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</si>
  <si>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</si>
  <si>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</si>
  <si>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</si>
  <si>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</si>
  <si>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</si>
  <si>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</si>
  <si>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</si>
  <si>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</si>
  <si>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</si>
  <si>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</si>
  <si>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</si>
  <si>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</si>
  <si>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</si>
  <si>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</si>
  <si>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</si>
  <si>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</si>
  <si>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</si>
  <si>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</si>
  <si>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</si>
  <si>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</si>
  <si>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</si>
  <si>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</si>
  <si>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</si>
  <si>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</si>
  <si>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</si>
  <si>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</si>
  <si>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</si>
  <si>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</si>
  <si>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</si>
  <si>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</si>
  <si>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</si>
  <si>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</si>
  <si>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</si>
  <si>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</si>
  <si>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</si>
  <si>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</si>
  <si>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</si>
  <si>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</si>
  <si>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</si>
  <si>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</si>
  <si>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</si>
  <si>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</si>
  <si>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</si>
  <si>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</si>
  <si>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</si>
  <si>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</si>
  <si>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</si>
  <si>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</si>
  <si>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</si>
  <si>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</si>
  <si>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</si>
  <si>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</si>
  <si>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</si>
  <si>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</si>
  <si>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</si>
  <si>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</si>
  <si>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</si>
  <si>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</si>
  <si>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</si>
  <si>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</si>
  <si>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</si>
  <si>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</si>
  <si>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</si>
  <si>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</si>
  <si>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</si>
  <si>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</si>
  <si>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</si>
  <si>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</si>
  <si>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</si>
  <si>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</si>
  <si>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</si>
  <si>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</si>
  <si>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</si>
  <si>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</si>
  <si>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</si>
  <si>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</si>
  <si>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</si>
  <si>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</si>
  <si>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</si>
  <si>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</si>
  <si>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</si>
  <si>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</si>
  <si>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</si>
  <si>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</si>
  <si>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</si>
  <si>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</si>
  <si>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</si>
  <si>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</si>
  <si>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</si>
  <si>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</si>
  <si>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</si>
  <si>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</si>
  <si>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</si>
  <si>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</si>
  <si>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</si>
  <si>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</si>
  <si>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</si>
  <si>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</si>
  <si>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</si>
  <si>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</si>
  <si>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</si>
  <si>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</si>
  <si>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</si>
  <si>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</si>
  <si>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</si>
  <si>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</si>
  <si>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</si>
  <si>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</si>
  <si>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</si>
  <si>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</si>
  <si>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</si>
  <si>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</si>
  <si>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</si>
  <si>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</si>
  <si>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</si>
  <si>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</si>
  <si>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</si>
  <si>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</si>
  <si>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</si>
  <si>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</si>
  <si>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</si>
  <si>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</si>
  <si>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</si>
  <si>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</si>
  <si>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</si>
  <si>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</si>
  <si>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</si>
  <si>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</si>
  <si>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</si>
  <si>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</si>
  <si>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</si>
  <si>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</si>
  <si>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</si>
  <si>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</si>
  <si>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</si>
  <si>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</si>
  <si>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</si>
  <si>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</si>
  <si>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</si>
  <si>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</si>
  <si>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</si>
  <si>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</si>
  <si>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</si>
  <si>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</si>
  <si>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</si>
  <si>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</si>
  <si>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</si>
  <si>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</si>
  <si>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</si>
  <si>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</si>
  <si>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</si>
  <si>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</si>
  <si>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</si>
  <si>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</si>
  <si>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</si>
  <si>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</si>
  <si>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</si>
  <si>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</si>
  <si>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</si>
  <si>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</si>
  <si>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</si>
  <si>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</si>
  <si>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</si>
  <si>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</si>
  <si>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</si>
  <si>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</si>
  <si>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203929-1</t>
  </si>
  <si>
    <t>ITACORDA INDUST</t>
  </si>
  <si>
    <t>TIAGO SANTANA</t>
  </si>
  <si>
    <t>EXPRESSO_250</t>
  </si>
  <si>
    <t>CTE NORMAL</t>
  </si>
  <si>
    <t>SAO PAULO - SP</t>
  </si>
  <si>
    <t>ANTONIO CARLOS DA SILVA</t>
  </si>
  <si>
    <t>DENIS MACEDO DE SOUZA</t>
  </si>
  <si>
    <t>EMERSON JOSE GOMES</t>
  </si>
  <si>
    <t>203916-1</t>
  </si>
  <si>
    <t>TOTALITY COMERC</t>
  </si>
  <si>
    <t>URIEL CORREA</t>
  </si>
  <si>
    <t>PERSONALIZADO_L</t>
  </si>
  <si>
    <t>EXTREMA - MG</t>
  </si>
  <si>
    <t>N/D</t>
  </si>
  <si>
    <t>Pouso Alegre-Mg X Extrema-MgVan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</si>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</sst>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[Analise_EMERSON_28092026.xlsx]Resumo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TOTALITY COMERC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302.94</c:v>
                </c:pt>
                <c:pt idx="1">
                  <c:v>4559.07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TOTALITY COMERC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101.06480000000002</c:v>
                </c:pt>
                <c:pt idx="1">
                  <c:v>3030.1543999999999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[Analise_EMERSON_28092026.xlsx]Resumo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TOTALITY COMERC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302.94</c:v>
                </c:pt>
                <c:pt idx="1">
                  <c:v>4559.07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TOTALITY COMERC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101.06480000000002</c:v>
                </c:pt>
                <c:pt idx="1">
                  <c:v>3030.1543999999999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6.437885879626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2851" count="8000">
        <n v="302718"/>
        <n v="302851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8T00:00:00" maxDate="2026-09-29T00:00:00"/>
    </cacheField>
    <cacheField name="DATA" numFmtId="14">
      <sharedItems containsNonDate="0" containsDate="1" containsString="0" containsBlank="1" minDate="2026-09-28T00:00:00" maxDate="2026-09-29T00:00:00"/>
    </cacheField>
    <cacheField name="FAT" numFmtId="0">
      <sharedItems containsString="0" containsBlank="1" containsNumber="1" containsInteger="1" minValue="65980" maxValue="65980"/>
    </cacheField>
    <cacheField name="CT-E" numFmtId="0">
      <sharedItems containsBlank="1"/>
    </cacheField>
    <cacheField name="CLIENTE TOMADOR" numFmtId="0">
      <sharedItems containsBlank="1" count="855">
        <s v="ITACORDA INDUST"/>
        <s v="TOTALITY COMERC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5665.55" maxValue="462816.43"/>
    </cacheField>
    <cacheField name="SERVICO" numFmtId="0">
      <sharedItems containsBlank="1" count="27">
        <s v="EXPRESSO_250"/>
        <s v="PERSONALIZADO_L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302.94" maxValue="4559.07"/>
    </cacheField>
    <cacheField name="VOLUMES" numFmtId="0">
      <sharedItems containsString="0" containsBlank="1" containsNumber="1" containsInteger="1" minValue="1" maxValue="15"/>
    </cacheField>
    <cacheField name="PESO" numFmtId="0">
      <sharedItems containsString="0" containsBlank="1" containsNumber="1" minValue="292" maxValue="318.5"/>
    </cacheField>
    <cacheField name="RESP. COLETA" numFmtId="0">
      <sharedItems containsBlank="1"/>
    </cacheField>
    <cacheField name="CUSTO COLETA" numFmtId="0">
      <sharedItems containsString="0" containsBlank="1" containsNumber="1" minValue="0" maxValue="58.48"/>
    </cacheField>
    <cacheField name="RESP. ENTREGA" numFmtId="0">
      <sharedItems containsBlank="1"/>
    </cacheField>
    <cacheField name="CUSTO ENTREGA" numFmtId="0">
      <sharedItems containsString="0" containsBlank="1" containsNumber="1" minValue="0" maxValue="79.98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36.35" maxValue="820.6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2.83" maxValue="231.41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647.16999999999996" maxValue="1482.51"/>
    </cacheField>
    <cacheField name="RECEITA" numFmtId="0">
      <sharedItems containsString="0" containsBlank="1" containsNumber="1" minValue="-344.23" maxValue="3076.56"/>
    </cacheField>
    <cacheField name="IMPOSTO" numFmtId="0">
      <sharedItems containsString="0" containsBlank="1" containsNumber="1" minValue="78.760000000000005" maxValue="1185.3599999999999"/>
    </cacheField>
    <cacheField name="RESULTADO" numFmtId="0">
      <sharedItems containsString="0" containsBlank="1" containsNumber="1" minValue="-422.99" maxValue="1891.2"/>
    </cacheField>
    <cacheField name="COMIS" numFmtId="0">
      <sharedItems containsString="0" containsBlank="1" containsNumber="1" minValue="0" maxValue="112.15"/>
    </cacheField>
    <cacheField name="LUCRO LIQ" numFmtId="0">
      <sharedItems containsString="0" containsBlank="1" containsNumber="1" minValue="-422.99" maxValue="1779.05"/>
    </cacheField>
    <cacheField name="MARGEM" numFmtId="10">
      <sharedItems containsString="0" containsBlank="1" containsNumber="1" minValue="-1.3962999999999999" maxValue="0.3902000000000000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28T00:00:00"/>
    <d v="2026-09-28T00:00:00"/>
    <n v="65980"/>
    <s v="203929-1"/>
    <x v="0"/>
    <s v="TIAGO SANTANA"/>
    <n v="5665.55"/>
    <x v="0"/>
    <s v="CTE NORMAL"/>
    <s v="SAO PAULO - SP"/>
    <n v="302.94"/>
    <n v="15"/>
    <n v="318.5"/>
    <s v="ANTONIO CARLOS DA SILVA"/>
    <n v="58.48"/>
    <s v="DENIS MACEDO DE SOUZA"/>
    <n v="79.98"/>
    <s v="EMERSON JOSE GOMES"/>
    <n v="0"/>
    <n v="36.35"/>
    <n v="0"/>
    <n v="0"/>
    <n v="2.83"/>
    <n v="0"/>
    <n v="647.16999999999996"/>
    <n v="-344.23"/>
    <n v="78.760000000000005"/>
    <n v="-422.99"/>
    <n v="0"/>
    <n v="-422.99"/>
    <n v="-1.3962999999999999"/>
    <m/>
  </r>
  <r>
    <x v="1"/>
    <s v="MATRIZ"/>
    <d v="2026-09-28T00:00:00"/>
    <d v="2026-09-28T00:00:00"/>
    <m/>
    <s v="203916-1"/>
    <x v="1"/>
    <s v="URIEL CORREA"/>
    <n v="462816.43"/>
    <x v="1"/>
    <s v="CTE NORMAL"/>
    <s v="EXTREMA - MG"/>
    <n v="4559.07"/>
    <n v="1"/>
    <n v="292"/>
    <s v="N/D"/>
    <n v="0"/>
    <s v="N/D"/>
    <n v="0"/>
    <s v="EMERSON JOSE GOMES"/>
    <n v="0"/>
    <n v="820.63"/>
    <n v="0"/>
    <n v="0"/>
    <n v="231.41"/>
    <n v="0"/>
    <n v="1482.51"/>
    <n v="3076.56"/>
    <n v="1185.3599999999999"/>
    <n v="1891.2"/>
    <n v="112.15"/>
    <n v="1779.05"/>
    <n v="0.39020000000000005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50"/>
        <item sd="0" m="1" x="187"/>
        <item sd="0" m="1" x="273"/>
        <item m="1" x="12"/>
        <item m="1" x="761"/>
        <item m="1" x="392"/>
        <item sd="0" m="1" x="712"/>
        <item m="1" x="296"/>
        <item sd="0" m="1" x="114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3"/>
        <item m="1" x="545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2"/>
        <item m="1" x="222"/>
        <item m="1" x="159"/>
        <item m="1" x="230"/>
        <item m="1" x="110"/>
        <item m="1" x="621"/>
        <item m="1" x="142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30"/>
        <item m="1" x="665"/>
        <item m="1" x="519"/>
        <item m="1" x="792"/>
        <item sd="0" m="1" x="178"/>
        <item sd="0" m="1" x="59"/>
        <item m="1" x="356"/>
        <item m="1" x="686"/>
        <item m="1" x="312"/>
        <item m="1" x="137"/>
        <item m="1" x="294"/>
        <item m="1" x="601"/>
        <item m="1" x="206"/>
        <item m="1" x="674"/>
        <item m="1" x="140"/>
        <item m="1" x="688"/>
        <item m="1" x="453"/>
        <item m="1" x="408"/>
        <item m="1" x="516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9"/>
        <item m="1" x="661"/>
        <item m="1" x="372"/>
        <item m="1" x="155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1"/>
        <item m="1" x="390"/>
        <item sd="0" m="1" x="89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7"/>
        <item m="1" x="401"/>
        <item m="1" x="115"/>
        <item sd="0" m="1" x="652"/>
        <item m="1" x="656"/>
        <item m="1" x="795"/>
        <item sd="0" m="1" x="695"/>
        <item m="1" x="455"/>
        <item m="1" x="381"/>
        <item m="1" x="448"/>
        <item m="1" x="160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60"/>
        <item m="1" x="631"/>
        <item m="1" x="531"/>
        <item m="1" x="295"/>
        <item m="1" x="304"/>
        <item m="1" x="174"/>
        <item m="1" x="102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6"/>
        <item m="1" x="333"/>
        <item m="1" x="220"/>
        <item m="1" x="510"/>
        <item m="1" x="118"/>
        <item sd="0" m="1" x="537"/>
        <item m="1" x="84"/>
        <item m="1" x="602"/>
        <item sd="0" m="1" x="450"/>
        <item m="1" x="349"/>
        <item m="1" x="79"/>
        <item m="1" x="582"/>
        <item m="1" x="19"/>
        <item m="1" x="161"/>
        <item m="1" x="773"/>
        <item m="1" x="579"/>
        <item m="1" x="518"/>
        <item m="1" x="797"/>
        <item m="1" x="165"/>
        <item sd="0" m="1" x="826"/>
        <item m="1" x="111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3"/>
        <item sd="0" m="1" x="196"/>
        <item m="1" x="831"/>
        <item m="1" x="764"/>
        <item m="1" x="509"/>
        <item m="1" x="821"/>
        <item m="1" x="341"/>
        <item m="1" x="223"/>
        <item m="1" x="65"/>
        <item m="1" x="635"/>
        <item m="1" x="458"/>
        <item m="1" x="790"/>
        <item m="1" x="703"/>
        <item m="1" x="234"/>
        <item m="1" x="597"/>
        <item m="1" x="44"/>
        <item sd="0" m="1" x="843"/>
        <item sd="0" m="1" x="124"/>
        <item m="1" x="267"/>
        <item m="1" x="292"/>
        <item m="1" x="354"/>
        <item m="1" x="99"/>
        <item m="1" x="460"/>
        <item m="1" x="580"/>
        <item m="1" x="353"/>
        <item m="1" x="104"/>
        <item sd="0" m="1" x="539"/>
        <item m="1" x="208"/>
        <item m="1" x="671"/>
        <item m="1" x="486"/>
        <item m="1" x="640"/>
        <item m="1" x="606"/>
        <item m="1" x="532"/>
        <item sd="0" m="1" x="563"/>
        <item m="1" x="738"/>
        <item m="1" x="517"/>
        <item sd="0" m="1" x="386"/>
        <item m="1" x="546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4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40"/>
        <item m="1" x="314"/>
        <item m="1" x="339"/>
        <item m="1" x="771"/>
        <item m="1" x="144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2"/>
        <item m="1" x="315"/>
        <item sd="0" m="1" x="698"/>
        <item m="1" x="331"/>
        <item m="1" x="625"/>
        <item m="1" x="542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1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5"/>
        <item m="1" x="498"/>
        <item m="1" x="467"/>
        <item sd="0" m="1" x="141"/>
        <item sd="0" m="1" x="756"/>
        <item m="1" x="149"/>
        <item m="1" x="224"/>
        <item m="1" x="720"/>
        <item m="1" x="555"/>
        <item m="1" x="117"/>
        <item m="1" x="376"/>
        <item m="1" x="718"/>
        <item m="1" x="128"/>
        <item m="1" x="34"/>
        <item m="1" x="302"/>
        <item x="0"/>
        <item m="1" x="61"/>
        <item m="1" x="452"/>
        <item m="1" x="774"/>
        <item m="1" x="485"/>
        <item m="1" x="740"/>
        <item sd="0" m="1" x="454"/>
        <item m="1" x="521"/>
        <item m="1" x="163"/>
        <item sd="0" m="1" x="404"/>
        <item m="1" x="741"/>
        <item m="1" x="194"/>
        <item m="1" x="746"/>
        <item m="1" x="384"/>
        <item sd="0" m="1" x="138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5"/>
        <item m="1" x="700"/>
        <item m="1" x="428"/>
        <item m="1" x="363"/>
        <item m="1" x="101"/>
        <item m="1" x="481"/>
        <item m="1" x="607"/>
        <item sd="0" m="1" x="715"/>
        <item sd="0" m="1" x="55"/>
        <item m="1" x="298"/>
        <item m="1" x="682"/>
        <item m="1" x="136"/>
        <item m="1" x="330"/>
        <item m="1" x="536"/>
        <item sd="0" m="1" x="237"/>
        <item m="1" x="557"/>
        <item m="1" x="547"/>
        <item m="1" x="850"/>
        <item m="1" x="3"/>
        <item m="1" x="272"/>
        <item sd="0" m="1" x="76"/>
        <item m="1" x="131"/>
        <item m="1" x="654"/>
        <item sd="0" m="1" x="721"/>
        <item m="1" x="641"/>
        <item m="1" x="231"/>
        <item m="1" x="373"/>
        <item m="1" x="735"/>
        <item sd="0" m="1" x="133"/>
        <item m="1" x="87"/>
        <item m="1" x="209"/>
        <item m="1" x="681"/>
        <item m="1" x="275"/>
        <item m="1" x="472"/>
        <item m="1" x="799"/>
        <item m="1" x="217"/>
        <item m="1" x="827"/>
        <item m="1" x="70"/>
        <item m="1" x="119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8"/>
        <item m="1" x="362"/>
        <item m="1" x="263"/>
        <item m="1" x="291"/>
        <item m="1" x="541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m="1" x="85"/>
        <item m="1" x="326"/>
        <item m="1" x="35"/>
        <item m="1" x="496"/>
        <item sd="0" m="1" x="507"/>
        <item m="1" x="447"/>
        <item m="1" x="166"/>
        <item m="1" x="134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5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4"/>
        <item m="1" x="504"/>
        <item m="1" x="228"/>
        <item m="1" x="281"/>
        <item m="1" x="94"/>
        <item m="1" x="407"/>
        <item m="1" x="320"/>
        <item m="1" x="710"/>
        <item m="1" x="535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2"/>
        <item m="1" x="254"/>
        <item m="1" x="512"/>
        <item m="1" x="96"/>
        <item m="1" x="523"/>
        <item m="1" x="789"/>
        <item m="1" x="20"/>
        <item m="1" x="538"/>
        <item m="1" x="636"/>
        <item m="1" x="575"/>
        <item sd="0" m="1" x="197"/>
        <item m="1" x="574"/>
        <item m="1" x="365"/>
        <item m="1" x="823"/>
        <item m="1" x="336"/>
        <item m="1" x="524"/>
        <item m="1" x="247"/>
        <item sd="0" m="1" x="11"/>
        <item m="1" x="143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9"/>
        <item m="1" x="566"/>
        <item m="1" x="687"/>
        <item m="1" x="280"/>
        <item m="1" x="525"/>
        <item m="1" x="526"/>
        <item m="1" x="38"/>
        <item m="1" x="592"/>
        <item m="1" x="801"/>
        <item m="1" x="583"/>
        <item m="1" x="749"/>
        <item m="1" x="722"/>
        <item m="1" x="533"/>
        <item sd="0" m="1" x="47"/>
        <item m="1" x="554"/>
        <item m="1" x="109"/>
        <item m="1" x="235"/>
        <item sd="0" m="1" x="359"/>
        <item m="1" x="260"/>
        <item m="1" x="364"/>
        <item m="1" x="501"/>
        <item sd="0" m="1" x="147"/>
        <item m="1" x="170"/>
        <item m="1" x="584"/>
        <item m="1" x="803"/>
        <item sd="0" m="1" x="791"/>
        <item m="1" x="200"/>
        <item m="1" x="152"/>
        <item m="1" x="236"/>
        <item m="1" x="503"/>
        <item m="1" x="786"/>
        <item m="1" x="259"/>
        <item sd="0" m="1" x="752"/>
        <item m="1" x="129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20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5"/>
        <item m="1" x="88"/>
        <item m="1" x="754"/>
        <item m="1" x="156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7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6"/>
        <item sd="0" m="1" x="153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5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3"/>
        <item m="1" x="646"/>
        <item m="1" x="49"/>
        <item m="1" x="416"/>
        <item m="1" x="146"/>
        <item sd="0" m="1" x="728"/>
        <item m="1" x="164"/>
        <item m="1" x="346"/>
        <item m="1" x="120"/>
        <item m="1" x="290"/>
        <item sd="0" m="1" x="199"/>
        <item m="1" x="205"/>
        <item m="1" x="90"/>
        <item sd="0" m="1" x="28"/>
        <item m="1" x="278"/>
        <item m="1" x="508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x="1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8"/>
        <item m="1" x="86"/>
        <item sd="0" m="1" x="293"/>
        <item m="1" x="195"/>
        <item sd="0" m="1" x="497"/>
        <item m="1" x="262"/>
        <item m="1" x="31"/>
        <item m="1" x="106"/>
        <item m="1" x="534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3"/>
        <item m="1" x="438"/>
        <item m="1" x="434"/>
        <item m="1" x="122"/>
        <item m="1" x="630"/>
        <item m="1" x="201"/>
        <item m="1" x="157"/>
        <item m="1" x="56"/>
        <item m="1" x="548"/>
        <item sd="0" m="1" x="618"/>
        <item m="1" x="100"/>
        <item m="1" x="766"/>
        <item m="1" x="127"/>
        <item m="1" x="218"/>
        <item m="1" x="811"/>
        <item m="1" x="279"/>
        <item m="1" x="108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30"/>
        <item m="1" x="4"/>
        <item m="1" x="50"/>
        <item m="1" x="91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381"/>
    </i>
    <i r="1">
      <x v="7998"/>
    </i>
    <i>
      <x v="776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50"/>
        <item sd="0" m="1" x="187"/>
        <item sd="0" m="1" x="273"/>
        <item m="1" x="12"/>
        <item m="1" x="761"/>
        <item m="1" x="392"/>
        <item sd="0" m="1" x="712"/>
        <item m="1" x="296"/>
        <item sd="0" m="1" x="114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3"/>
        <item m="1" x="545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2"/>
        <item m="1" x="222"/>
        <item m="1" x="159"/>
        <item m="1" x="230"/>
        <item m="1" x="110"/>
        <item m="1" x="621"/>
        <item m="1" x="142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30"/>
        <item m="1" x="665"/>
        <item m="1" x="519"/>
        <item m="1" x="792"/>
        <item sd="0" m="1" x="178"/>
        <item sd="0" m="1" x="59"/>
        <item m="1" x="356"/>
        <item m="1" x="686"/>
        <item m="1" x="312"/>
        <item m="1" x="137"/>
        <item m="1" x="294"/>
        <item m="1" x="601"/>
        <item m="1" x="206"/>
        <item m="1" x="674"/>
        <item m="1" x="140"/>
        <item m="1" x="688"/>
        <item m="1" x="453"/>
        <item m="1" x="408"/>
        <item m="1" x="516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9"/>
        <item m="1" x="661"/>
        <item m="1" x="372"/>
        <item m="1" x="155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1"/>
        <item m="1" x="390"/>
        <item sd="0" m="1" x="89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7"/>
        <item m="1" x="401"/>
        <item m="1" x="115"/>
        <item sd="0" m="1" x="652"/>
        <item m="1" x="656"/>
        <item m="1" x="795"/>
        <item sd="0" m="1" x="695"/>
        <item m="1" x="455"/>
        <item m="1" x="381"/>
        <item m="1" x="448"/>
        <item m="1" x="160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60"/>
        <item m="1" x="631"/>
        <item m="1" x="531"/>
        <item m="1" x="295"/>
        <item m="1" x="304"/>
        <item m="1" x="174"/>
        <item m="1" x="102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6"/>
        <item m="1" x="333"/>
        <item m="1" x="220"/>
        <item m="1" x="510"/>
        <item m="1" x="118"/>
        <item sd="0" m="1" x="537"/>
        <item m="1" x="84"/>
        <item m="1" x="602"/>
        <item sd="0" m="1" x="450"/>
        <item m="1" x="349"/>
        <item m="1" x="79"/>
        <item m="1" x="582"/>
        <item m="1" x="19"/>
        <item m="1" x="161"/>
        <item m="1" x="773"/>
        <item m="1" x="579"/>
        <item m="1" x="518"/>
        <item m="1" x="797"/>
        <item m="1" x="165"/>
        <item sd="0" m="1" x="826"/>
        <item m="1" x="111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3"/>
        <item sd="0" m="1" x="196"/>
        <item m="1" x="831"/>
        <item m="1" x="764"/>
        <item m="1" x="509"/>
        <item m="1" x="821"/>
        <item m="1" x="341"/>
        <item m="1" x="223"/>
        <item m="1" x="65"/>
        <item m="1" x="635"/>
        <item m="1" x="458"/>
        <item m="1" x="790"/>
        <item sd="0" m="1" x="703"/>
        <item m="1" x="234"/>
        <item m="1" x="597"/>
        <item m="1" x="44"/>
        <item sd="0" m="1" x="843"/>
        <item sd="0" m="1" x="124"/>
        <item m="1" x="267"/>
        <item m="1" x="292"/>
        <item m="1" x="354"/>
        <item m="1" x="99"/>
        <item m="1" x="460"/>
        <item m="1" x="580"/>
        <item m="1" x="353"/>
        <item m="1" x="104"/>
        <item sd="0" m="1" x="539"/>
        <item m="1" x="208"/>
        <item m="1" x="671"/>
        <item m="1" x="486"/>
        <item m="1" x="640"/>
        <item m="1" x="606"/>
        <item m="1" x="532"/>
        <item sd="0" m="1" x="563"/>
        <item m="1" x="738"/>
        <item m="1" x="517"/>
        <item sd="0" m="1" x="386"/>
        <item m="1" x="546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4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40"/>
        <item m="1" x="314"/>
        <item m="1" x="339"/>
        <item m="1" x="771"/>
        <item m="1" x="144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2"/>
        <item m="1" x="315"/>
        <item sd="0" m="1" x="698"/>
        <item m="1" x="331"/>
        <item m="1" x="625"/>
        <item m="1" x="542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1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5"/>
        <item m="1" x="498"/>
        <item m="1" x="467"/>
        <item sd="0" m="1" x="141"/>
        <item sd="0" m="1" x="756"/>
        <item m="1" x="149"/>
        <item m="1" x="224"/>
        <item m="1" x="720"/>
        <item m="1" x="555"/>
        <item m="1" x="117"/>
        <item m="1" x="376"/>
        <item m="1" x="718"/>
        <item m="1" x="128"/>
        <item m="1" x="34"/>
        <item m="1" x="302"/>
        <item x="0"/>
        <item m="1" x="61"/>
        <item m="1" x="452"/>
        <item m="1" x="774"/>
        <item m="1" x="485"/>
        <item m="1" x="740"/>
        <item sd="0" m="1" x="454"/>
        <item m="1" x="521"/>
        <item m="1" x="163"/>
        <item sd="0" m="1" x="404"/>
        <item m="1" x="741"/>
        <item m="1" x="194"/>
        <item m="1" x="746"/>
        <item m="1" x="384"/>
        <item sd="0" m="1" x="138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5"/>
        <item m="1" x="700"/>
        <item m="1" x="428"/>
        <item m="1" x="363"/>
        <item m="1" x="101"/>
        <item m="1" x="481"/>
        <item m="1" x="607"/>
        <item sd="0" m="1" x="715"/>
        <item sd="0" m="1" x="55"/>
        <item m="1" x="298"/>
        <item m="1" x="682"/>
        <item m="1" x="136"/>
        <item m="1" x="330"/>
        <item m="1" x="536"/>
        <item sd="0" m="1" x="237"/>
        <item m="1" x="557"/>
        <item m="1" x="547"/>
        <item m="1" x="850"/>
        <item m="1" x="3"/>
        <item m="1" x="272"/>
        <item sd="0" m="1" x="76"/>
        <item m="1" x="131"/>
        <item m="1" x="654"/>
        <item sd="0" m="1" x="721"/>
        <item m="1" x="641"/>
        <item m="1" x="231"/>
        <item m="1" x="373"/>
        <item m="1" x="735"/>
        <item sd="0" m="1" x="133"/>
        <item m="1" x="87"/>
        <item m="1" x="209"/>
        <item m="1" x="681"/>
        <item m="1" x="275"/>
        <item m="1" x="472"/>
        <item m="1" x="799"/>
        <item m="1" x="217"/>
        <item m="1" x="827"/>
        <item m="1" x="70"/>
        <item m="1" x="119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8"/>
        <item m="1" x="362"/>
        <item m="1" x="263"/>
        <item m="1" x="291"/>
        <item m="1" x="541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m="1" x="85"/>
        <item m="1" x="326"/>
        <item m="1" x="35"/>
        <item m="1" x="496"/>
        <item sd="0" m="1" x="507"/>
        <item m="1" x="447"/>
        <item m="1" x="166"/>
        <item m="1" x="134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5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4"/>
        <item m="1" x="504"/>
        <item m="1" x="228"/>
        <item m="1" x="281"/>
        <item m="1" x="94"/>
        <item m="1" x="407"/>
        <item m="1" x="320"/>
        <item m="1" x="710"/>
        <item m="1" x="535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2"/>
        <item m="1" x="254"/>
        <item m="1" x="512"/>
        <item m="1" x="96"/>
        <item m="1" x="523"/>
        <item m="1" x="789"/>
        <item m="1" x="20"/>
        <item m="1" x="538"/>
        <item m="1" x="636"/>
        <item m="1" x="575"/>
        <item sd="0" m="1" x="197"/>
        <item m="1" x="574"/>
        <item m="1" x="365"/>
        <item m="1" x="823"/>
        <item m="1" x="336"/>
        <item m="1" x="524"/>
        <item m="1" x="247"/>
        <item sd="0" m="1" x="11"/>
        <item m="1" x="143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9"/>
        <item m="1" x="566"/>
        <item m="1" x="687"/>
        <item m="1" x="280"/>
        <item m="1" x="525"/>
        <item m="1" x="526"/>
        <item m="1" x="38"/>
        <item m="1" x="592"/>
        <item m="1" x="801"/>
        <item m="1" x="583"/>
        <item m="1" x="749"/>
        <item m="1" x="722"/>
        <item m="1" x="533"/>
        <item sd="0" m="1" x="47"/>
        <item m="1" x="554"/>
        <item m="1" x="109"/>
        <item m="1" x="235"/>
        <item sd="0" m="1" x="359"/>
        <item m="1" x="260"/>
        <item m="1" x="364"/>
        <item m="1" x="501"/>
        <item sd="0" m="1" x="147"/>
        <item m="1" x="170"/>
        <item m="1" x="584"/>
        <item m="1" x="803"/>
        <item sd="0" m="1" x="791"/>
        <item m="1" x="200"/>
        <item m="1" x="152"/>
        <item m="1" x="236"/>
        <item m="1" x="503"/>
        <item m="1" x="786"/>
        <item m="1" x="259"/>
        <item sd="0" m="1" x="752"/>
        <item m="1" x="129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20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5"/>
        <item m="1" x="88"/>
        <item m="1" x="754"/>
        <item m="1" x="156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7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6"/>
        <item sd="0" m="1" x="153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5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3"/>
        <item m="1" x="646"/>
        <item m="1" x="49"/>
        <item m="1" x="416"/>
        <item m="1" x="146"/>
        <item sd="0" m="1" x="728"/>
        <item m="1" x="164"/>
        <item m="1" x="346"/>
        <item m="1" x="120"/>
        <item m="1" x="290"/>
        <item sd="0" m="1" x="199"/>
        <item m="1" x="205"/>
        <item m="1" x="90"/>
        <item sd="0" m="1" x="28"/>
        <item m="1" x="278"/>
        <item m="1" x="508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x="1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8"/>
        <item m="1" x="86"/>
        <item sd="0" m="1" x="293"/>
        <item m="1" x="195"/>
        <item sd="0" m="1" x="497"/>
        <item m="1" x="262"/>
        <item m="1" x="31"/>
        <item m="1" x="106"/>
        <item m="1" x="534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3"/>
        <item m="1" x="438"/>
        <item m="1" x="434"/>
        <item m="1" x="122"/>
        <item m="1" x="630"/>
        <item m="1" x="201"/>
        <item m="1" x="157"/>
        <item m="1" x="56"/>
        <item m="1" x="548"/>
        <item sd="0" m="1" x="618"/>
        <item m="1" x="100"/>
        <item m="1" x="766"/>
        <item m="1" x="127"/>
        <item m="1" x="218"/>
        <item m="1" x="811"/>
        <item m="1" x="279"/>
        <item m="1" x="108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30"/>
        <item m="1" x="4"/>
        <item m="1" x="50"/>
        <item m="1" x="91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381"/>
    </i>
    <i>
      <x v="776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7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4" s="1" nd="1"/>
        <i x="150" s="1" nd="1"/>
        <i x="187" s="1" nd="1"/>
        <i x="273" s="1" nd="1"/>
        <i x="12" s="1" nd="1"/>
        <i x="761" s="1" nd="1"/>
        <i x="392" s="1" nd="1"/>
        <i x="712" s="1" nd="1"/>
        <i x="296" s="1" nd="1"/>
        <i x="114" s="1" nd="1"/>
        <i x="271" s="1" nd="1"/>
        <i x="590" s="1" nd="1"/>
        <i x="324" s="1" nd="1"/>
        <i x="675" s="1" nd="1"/>
        <i x="502" s="1" nd="1"/>
        <i x="25" s="1" nd="1"/>
        <i x="581" s="1" nd="1"/>
        <i x="852" s="1" nd="1"/>
        <i x="21" s="1" nd="1"/>
        <i x="757" s="1" nd="1"/>
        <i x="113" s="1" nd="1"/>
        <i x="545" s="1" nd="1"/>
        <i x="828" s="1" nd="1"/>
        <i x="270" s="1" nd="1"/>
        <i x="479" s="1" nd="1"/>
        <i x="772" s="1" nd="1"/>
        <i x="266" s="1" nd="1"/>
        <i x="343" s="1" nd="1"/>
        <i x="676" s="1" nd="1"/>
        <i x="800" s="1" nd="1"/>
        <i x="77" s="1" nd="1"/>
        <i x="48" s="1" nd="1"/>
        <i x="668" s="1" nd="1"/>
        <i x="660" s="1" nd="1"/>
        <i x="469" s="1" nd="1"/>
        <i x="45" s="1" nd="1"/>
        <i x="730" s="1" nd="1"/>
        <i x="689" s="1" nd="1"/>
        <i x="216" s="1" nd="1"/>
        <i x="476" s="1" nd="1"/>
        <i x="633" s="1" nd="1"/>
        <i x="446" s="1" nd="1"/>
        <i x="809" s="1" nd="1"/>
        <i x="667" s="1" nd="1"/>
        <i x="215" s="1" nd="1"/>
        <i x="132" s="1" nd="1"/>
        <i x="222" s="1" nd="1"/>
        <i x="159" s="1" nd="1"/>
        <i x="230" s="1" nd="1"/>
        <i x="110" s="1" nd="1"/>
        <i x="621" s="1" nd="1"/>
        <i x="142" s="1" nd="1"/>
        <i x="616" s="1" nd="1"/>
        <i x="321" s="1" nd="1"/>
        <i x="820" s="1" nd="1"/>
        <i x="322" s="1" nd="1"/>
        <i x="461" s="1" nd="1"/>
        <i x="506" s="1" nd="1"/>
        <i x="553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49" s="1" nd="1"/>
        <i x="845" s="1" nd="1"/>
        <i x="445" s="1" nd="1"/>
        <i x="530" s="1" nd="1"/>
        <i x="665" s="1" nd="1"/>
        <i x="519" s="1" nd="1"/>
        <i x="792" s="1" nd="1"/>
        <i x="178" s="1" nd="1"/>
        <i x="59" s="1" nd="1"/>
        <i x="356" s="1" nd="1"/>
        <i x="686" s="1" nd="1"/>
        <i x="312" s="1" nd="1"/>
        <i x="137" s="1" nd="1"/>
        <i x="294" s="1" nd="1"/>
        <i x="601" s="1" nd="1"/>
        <i x="206" s="1" nd="1"/>
        <i x="674" s="1" nd="1"/>
        <i x="140" s="1" nd="1"/>
        <i x="688" s="1" nd="1"/>
        <i x="453" s="1" nd="1"/>
        <i x="408" s="1" nd="1"/>
        <i x="516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2" s="1" nd="1"/>
        <i x="463" s="1" nd="1"/>
        <i x="139" s="1" nd="1"/>
        <i x="661" s="1" nd="1"/>
        <i x="372" s="1" nd="1"/>
        <i x="155" s="1" nd="1"/>
        <i x="251" s="1" nd="1"/>
        <i x="628" s="1" nd="1"/>
        <i x="736" s="1" nd="1"/>
        <i x="421" s="1" nd="1"/>
        <i x="81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3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6" s="1" nd="1"/>
        <i x="186" s="1" nd="1"/>
        <i x="307" s="1" nd="1"/>
        <i x="177" s="1" nd="1"/>
        <i x="596" s="1" nd="1"/>
        <i x="172" s="1" nd="1"/>
        <i x="614" s="1" nd="1"/>
        <i x="767" s="1" nd="1"/>
        <i x="483" s="1" nd="1"/>
        <i x="53" s="1" nd="1"/>
        <i x="649" s="1" nd="1"/>
        <i x="470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1" s="1" nd="1"/>
        <i x="390" s="1" nd="1"/>
        <i x="89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7" s="1" nd="1"/>
        <i x="401" s="1" nd="1"/>
        <i x="115" s="1" nd="1"/>
        <i x="652" s="1" nd="1"/>
        <i x="656" s="1" nd="1"/>
        <i x="795" s="1" nd="1"/>
        <i x="695" s="1" nd="1"/>
        <i x="455" s="1" nd="1"/>
        <i x="381" s="1" nd="1"/>
        <i x="448" s="1" nd="1"/>
        <i x="160" s="1" nd="1"/>
        <i x="277" s="1" nd="1"/>
        <i x="203" s="1" nd="1"/>
        <i x="494" s="1" nd="1"/>
        <i x="289" s="1" nd="1"/>
        <i x="527" s="1" nd="1"/>
        <i x="257" s="1" nd="1"/>
        <i x="406" s="1" nd="1"/>
        <i x="840" s="1" nd="1"/>
        <i x="457" s="1" nd="1"/>
        <i x="478" s="1" nd="1"/>
        <i x="750" s="1" nd="1"/>
        <i x="638" s="1" nd="1"/>
        <i x="54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5" s="1" nd="1"/>
        <i x="173" s="1" nd="1"/>
        <i x="627" s="1" nd="1"/>
        <i x="375" s="1" nd="1"/>
        <i x="807" s="1" nd="1"/>
        <i x="60" s="1" nd="1"/>
        <i x="631" s="1" nd="1"/>
        <i x="531" s="1" nd="1"/>
        <i x="295" s="1" nd="1"/>
        <i x="304" s="1" nd="1"/>
        <i x="174" s="1" nd="1"/>
        <i x="102" s="1" nd="1"/>
        <i x="71" s="1" nd="1"/>
        <i x="578" s="1" nd="1"/>
        <i x="798" s="1" nd="1"/>
        <i x="33" s="1" nd="1"/>
        <i x="673" s="1" nd="1"/>
        <i x="287" s="1" nd="1"/>
        <i x="629" s="1" nd="1"/>
        <i x="265" s="1" nd="1"/>
        <i x="116" s="1" nd="1"/>
        <i x="333" s="1" nd="1"/>
        <i x="220" s="1" nd="1"/>
        <i x="510" s="1" nd="1"/>
        <i x="118" s="1" nd="1"/>
        <i x="537" s="1" nd="1"/>
        <i x="84" s="1" nd="1"/>
        <i x="602" s="1" nd="1"/>
        <i x="450" s="1" nd="1"/>
        <i x="349" s="1" nd="1"/>
        <i x="79" s="1" nd="1"/>
        <i x="582" s="1" nd="1"/>
        <i x="19" s="1" nd="1"/>
        <i x="161" s="1" nd="1"/>
        <i x="773" s="1" nd="1"/>
        <i x="579" s="1" nd="1"/>
        <i x="518" s="1" nd="1"/>
        <i x="797" s="1" nd="1"/>
        <i x="165" s="1" nd="1"/>
        <i x="826" s="1" nd="1"/>
        <i x="111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3" s="1" nd="1"/>
        <i x="196" s="1" nd="1"/>
        <i x="831" s="1" nd="1"/>
        <i x="764" s="1" nd="1"/>
        <i x="509" s="1" nd="1"/>
        <i x="821" s="1" nd="1"/>
        <i x="341" s="1" nd="1"/>
        <i x="223" s="1" nd="1"/>
        <i x="65" s="1" nd="1"/>
        <i x="635" s="1" nd="1"/>
        <i x="458" s="1" nd="1"/>
        <i x="790" s="1" nd="1"/>
        <i x="703" s="1" nd="1"/>
        <i x="234" s="1" nd="1"/>
        <i x="597" s="1" nd="1"/>
        <i x="44" s="1" nd="1"/>
        <i x="843" s="1" nd="1"/>
        <i x="124" s="1" nd="1"/>
        <i x="267" s="1" nd="1"/>
        <i x="292" s="1" nd="1"/>
        <i x="354" s="1" nd="1"/>
        <i x="99" s="1" nd="1"/>
        <i x="460" s="1" nd="1"/>
        <i x="580" s="1" nd="1"/>
        <i x="353" s="1" nd="1"/>
        <i x="104" s="1" nd="1"/>
        <i x="539" s="1" nd="1"/>
        <i x="208" s="1" nd="1"/>
        <i x="671" s="1" nd="1"/>
        <i x="486" s="1" nd="1"/>
        <i x="640" s="1" nd="1"/>
        <i x="606" s="1" nd="1"/>
        <i x="532" s="1" nd="1"/>
        <i x="563" s="1" nd="1"/>
        <i x="738" s="1" nd="1"/>
        <i x="517" s="1" nd="1"/>
        <i x="386" s="1" nd="1"/>
        <i x="546" s="1" nd="1"/>
        <i x="213" s="1" nd="1"/>
        <i x="415" s="1" nd="1"/>
        <i x="419" s="1" nd="1"/>
        <i x="802" s="1" nd="1"/>
        <i x="42" s="1" nd="1"/>
        <i x="805" s="1" nd="1"/>
        <i x="487" s="1" nd="1"/>
        <i x="443" s="1" nd="1"/>
        <i x="399" s="1" nd="1"/>
        <i x="608" s="1" nd="1"/>
        <i x="154" s="1" nd="1"/>
        <i x="16" s="1" nd="1"/>
        <i x="232" s="1" nd="1"/>
        <i x="241" s="1" nd="1"/>
        <i x="6" s="1" nd="1"/>
        <i x="388" s="1" nd="1"/>
        <i x="370" s="1" nd="1"/>
        <i x="615" s="1" nd="1"/>
        <i x="58" s="1" nd="1"/>
        <i x="707" s="1" nd="1"/>
        <i x="24" s="1" nd="1"/>
        <i x="37" s="1" nd="1"/>
        <i x="9" s="1" nd="1"/>
        <i x="418" s="1" nd="1"/>
        <i x="683" s="1" nd="1"/>
        <i x="285" s="1" nd="1"/>
        <i x="316" s="1" nd="1"/>
        <i x="380" s="1" nd="1"/>
        <i x="540" s="1" nd="1"/>
        <i x="314" s="1" nd="1"/>
        <i x="339" s="1" nd="1"/>
        <i x="771" s="1" nd="1"/>
        <i x="144" s="1" nd="1"/>
        <i x="666" s="1" nd="1"/>
        <i x="839" s="1" nd="1"/>
        <i x="39" s="1" nd="1"/>
        <i x="383" s="1" nd="1"/>
        <i x="589" s="1" nd="1"/>
        <i x="747" s="1" nd="1"/>
        <i x="269" s="1" nd="1"/>
        <i x="18" s="1" nd="1"/>
        <i x="637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2" s="1" nd="1"/>
        <i x="315" s="1" nd="1"/>
        <i x="698" s="1" nd="1"/>
        <i x="331" s="1" nd="1"/>
        <i x="625" s="1" nd="1"/>
        <i x="542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1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5" s="1" nd="1"/>
        <i x="498" s="1" nd="1"/>
        <i x="467" s="1" nd="1"/>
        <i x="141" s="1" nd="1"/>
        <i x="756" s="1" nd="1"/>
        <i x="149" s="1" nd="1"/>
        <i x="224" s="1" nd="1"/>
        <i x="720" s="1" nd="1"/>
        <i x="555" s="1" nd="1"/>
        <i x="117" s="1" nd="1"/>
        <i x="376" s="1" nd="1"/>
        <i x="718" s="1" nd="1"/>
        <i x="128" s="1" nd="1"/>
        <i x="34" s="1" nd="1"/>
        <i x="302" s="1" nd="1"/>
        <i x="61" s="1" nd="1"/>
        <i x="452" s="1" nd="1"/>
        <i x="774" s="1" nd="1"/>
        <i x="485" s="1" nd="1"/>
        <i x="740" s="1" nd="1"/>
        <i x="454" s="1" nd="1"/>
        <i x="521" s="1" nd="1"/>
        <i x="163" s="1" nd="1"/>
        <i x="404" s="1" nd="1"/>
        <i x="741" s="1" nd="1"/>
        <i x="194" s="1" nd="1"/>
        <i x="746" s="1" nd="1"/>
        <i x="384" s="1" nd="1"/>
        <i x="138" s="1" nd="1"/>
        <i x="658" s="1" nd="1"/>
        <i x="430" s="1" nd="1"/>
        <i x="664" s="1" nd="1"/>
        <i x="493" s="1" nd="1"/>
        <i x="685" s="1" nd="1"/>
        <i x="327" s="1" nd="1"/>
        <i x="768" s="1" nd="1"/>
        <i x="804" s="1" nd="1"/>
        <i x="92" s="1" nd="1"/>
        <i x="572" s="1" nd="1"/>
        <i x="158" s="1" nd="1"/>
        <i x="560" s="1" nd="1"/>
        <i x="46" s="1" nd="1"/>
        <i x="723" s="1" nd="1"/>
        <i x="748" s="1" nd="1"/>
        <i x="743" s="1" nd="1"/>
        <i x="847" s="1" nd="1"/>
        <i x="125" s="1" nd="1"/>
        <i x="465" s="1" nd="1"/>
        <i x="700" s="1" nd="1"/>
        <i x="428" s="1" nd="1"/>
        <i x="363" s="1" nd="1"/>
        <i x="101" s="1" nd="1"/>
        <i x="481" s="1" nd="1"/>
        <i x="607" s="1" nd="1"/>
        <i x="715" s="1" nd="1"/>
        <i x="55" s="1" nd="1"/>
        <i x="298" s="1" nd="1"/>
        <i x="682" s="1" nd="1"/>
        <i x="136" s="1" nd="1"/>
        <i x="330" s="1" nd="1"/>
        <i x="536" s="1" nd="1"/>
        <i x="237" s="1" nd="1"/>
        <i x="557" s="1" nd="1"/>
        <i x="547" s="1" nd="1"/>
        <i x="850" s="1" nd="1"/>
        <i x="3" s="1" nd="1"/>
        <i x="272" s="1" nd="1"/>
        <i x="76" s="1" nd="1"/>
        <i x="131" s="1" nd="1"/>
        <i x="654" s="1" nd="1"/>
        <i x="721" s="1" nd="1"/>
        <i x="641" s="1" nd="1"/>
        <i x="231" s="1" nd="1"/>
        <i x="373" s="1" nd="1"/>
        <i x="735" s="1" nd="1"/>
        <i x="133" s="1" nd="1"/>
        <i x="87" s="1" nd="1"/>
        <i x="209" s="1" nd="1"/>
        <i x="681" s="1" nd="1"/>
        <i x="275" s="1" nd="1"/>
        <i x="472" s="1" nd="1"/>
        <i x="799" s="1" nd="1"/>
        <i x="217" s="1" nd="1"/>
        <i x="827" s="1" nd="1"/>
        <i x="70" s="1" nd="1"/>
        <i x="119" s="1" nd="1"/>
        <i x="645" s="1" nd="1"/>
        <i x="411" s="1" nd="1"/>
        <i x="854" s="1" nd="1"/>
        <i x="432" s="1" nd="1"/>
        <i x="569" s="1" nd="1"/>
        <i x="488" s="1" nd="1"/>
        <i x="182" s="1" nd="1"/>
        <i x="374" s="1" nd="1"/>
        <i x="242" s="1" nd="1"/>
        <i x="337" s="1" nd="1"/>
        <i x="528" s="1" nd="1"/>
        <i x="423" s="1" nd="1"/>
        <i x="788" s="1" nd="1"/>
        <i x="301" s="1" nd="1"/>
        <i x="309" s="1" nd="1"/>
        <i x="367" s="1" nd="1"/>
        <i x="491" s="1" nd="1"/>
        <i x="662" s="1" nd="1"/>
        <i x="188" s="1" nd="1"/>
        <i x="659" s="1" nd="1"/>
        <i x="221" s="1" nd="1"/>
        <i x="449" s="1" nd="1"/>
        <i x="148" s="1" nd="1"/>
        <i x="362" s="1" nd="1"/>
        <i x="263" s="1" nd="1"/>
        <i x="291" s="1" nd="1"/>
        <i x="541" s="1" nd="1"/>
        <i x="810" s="1" nd="1"/>
        <i x="603" s="1" nd="1"/>
        <i x="32" s="1" nd="1"/>
        <i x="268" s="1" nd="1"/>
        <i x="751" s="1" nd="1"/>
        <i x="371" s="1" nd="1"/>
        <i x="246" s="1" nd="1"/>
        <i x="398" s="1" nd="1"/>
        <i x="482" s="1" nd="1"/>
        <i x="338" s="1" nd="1"/>
        <i x="612" s="1" nd="1"/>
        <i x="672" s="1" nd="1"/>
        <i x="838" s="1" nd="1"/>
        <i x="51" s="1" nd="1"/>
        <i x="605" s="1" nd="1"/>
        <i x="85" s="1" nd="1"/>
        <i x="326" s="1" nd="1"/>
        <i x="35" s="1" nd="1"/>
        <i x="496" s="1" nd="1"/>
        <i x="507" s="1" nd="1"/>
        <i x="447" s="1" nd="1"/>
        <i x="166" s="1" nd="1"/>
        <i x="134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5" s="1" nd="1"/>
        <i x="669" s="1" nd="1"/>
        <i x="95" s="1" nd="1"/>
        <i x="440" s="1" nd="1"/>
        <i x="351" s="1" nd="1"/>
        <i x="784" s="1" nd="1"/>
        <i x="499" s="1" nd="1"/>
        <i x="62" s="1" nd="1"/>
        <i x="456" s="1" nd="1"/>
        <i x="83" s="1" nd="1"/>
        <i x="325" s="1" nd="1"/>
        <i x="168" s="1" nd="1"/>
        <i x="332" s="1" nd="1"/>
        <i x="564" s="1" nd="1"/>
        <i x="504" s="1" nd="1"/>
        <i x="228" s="1" nd="1"/>
        <i x="281" s="1" nd="1"/>
        <i x="94" s="1" nd="1"/>
        <i x="407" s="1" nd="1"/>
        <i x="320" s="1" nd="1"/>
        <i x="710" s="1" nd="1"/>
        <i x="535" s="1" nd="1"/>
        <i x="644" s="1" nd="1"/>
        <i x="609" s="1" nd="1"/>
        <i x="834" s="1" nd="1"/>
        <i x="787" s="1" nd="1"/>
        <i x="29" s="1" nd="1"/>
        <i x="782" s="1" nd="1"/>
        <i x="253" s="1" nd="1"/>
        <i x="475" s="1" nd="1"/>
        <i x="812" s="1" nd="1"/>
        <i x="464" s="1" nd="1"/>
        <i x="745" s="1" nd="1"/>
        <i x="648" s="1" nd="1"/>
        <i x="775" s="1" nd="1"/>
        <i x="72" s="1" nd="1"/>
        <i x="713" s="1" nd="1"/>
        <i x="573" s="1" nd="1"/>
        <i x="184" s="1" nd="1"/>
        <i x="717" s="1" nd="1"/>
        <i x="112" s="1" nd="1"/>
        <i x="254" s="1" nd="1"/>
        <i x="512" s="1" nd="1"/>
        <i x="96" s="1" nd="1"/>
        <i x="523" s="1" nd="1"/>
        <i x="789" s="1" nd="1"/>
        <i x="20" s="1" nd="1"/>
        <i x="538" s="1" nd="1"/>
        <i x="636" s="1" nd="1"/>
        <i x="575" s="1" nd="1"/>
        <i x="197" s="1" nd="1"/>
        <i x="574" s="1" nd="1"/>
        <i x="365" s="1" nd="1"/>
        <i x="823" s="1" nd="1"/>
        <i x="336" s="1" nd="1"/>
        <i x="524" s="1" nd="1"/>
        <i x="247" s="1" nd="1"/>
        <i x="11" s="1" nd="1"/>
        <i x="143" s="1" nd="1"/>
        <i x="651" s="1" nd="1"/>
        <i x="604" s="1" nd="1"/>
        <i x="441" s="1" nd="1"/>
        <i x="23" s="1" nd="1"/>
        <i x="594" s="1" nd="1"/>
        <i x="435" s="1" nd="1"/>
        <i x="68" s="1" nd="1"/>
        <i x="655" s="1" nd="1"/>
        <i x="677" s="1" nd="1"/>
        <i x="565" s="1" nd="1"/>
        <i x="515" s="1" nd="1"/>
        <i x="598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3" s="1" nd="1"/>
        <i x="78" s="1" nd="1"/>
        <i x="529" s="1" nd="1"/>
        <i x="566" s="1" nd="1"/>
        <i x="687" s="1" nd="1"/>
        <i x="280" s="1" nd="1"/>
        <i x="525" s="1" nd="1"/>
        <i x="526" s="1" nd="1"/>
        <i x="38" s="1" nd="1"/>
        <i x="592" s="1" nd="1"/>
        <i x="801" s="1" nd="1"/>
        <i x="583" s="1" nd="1"/>
        <i x="749" s="1" nd="1"/>
        <i x="722" s="1" nd="1"/>
        <i x="533" s="1" nd="1"/>
        <i x="47" s="1" nd="1"/>
        <i x="554" s="1" nd="1"/>
        <i x="109" s="1" nd="1"/>
        <i x="235" s="1" nd="1"/>
        <i x="359" s="1" nd="1"/>
        <i x="260" s="1" nd="1"/>
        <i x="364" s="1" nd="1"/>
        <i x="501" s="1" nd="1"/>
        <i x="147" s="1" nd="1"/>
        <i x="170" s="1" nd="1"/>
        <i x="584" s="1" nd="1"/>
        <i x="803" s="1" nd="1"/>
        <i x="791" s="1" nd="1"/>
        <i x="200" s="1" nd="1"/>
        <i x="152" s="1" nd="1"/>
        <i x="236" s="1" nd="1"/>
        <i x="503" s="1" nd="1"/>
        <i x="786" s="1" nd="1"/>
        <i x="259" s="1" nd="1"/>
        <i x="752" s="1" nd="1"/>
        <i x="129" s="1" nd="1"/>
        <i x="211" s="1" nd="1"/>
        <i x="833" s="1" nd="1"/>
        <i x="585" s="1" nd="1"/>
        <i x="796" s="1" nd="1"/>
        <i x="726" s="1" nd="1"/>
        <i x="412" s="1" nd="1"/>
        <i x="26" s="1" nd="1"/>
        <i x="342" s="1" nd="1"/>
        <i x="490" s="1" nd="1"/>
        <i x="511" s="1" nd="1"/>
        <i x="769" s="1" nd="1"/>
        <i x="719" s="1" nd="1"/>
        <i x="760" s="1" nd="1"/>
        <i x="520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5" s="1" nd="1"/>
        <i x="88" s="1" nd="1"/>
        <i x="754" s="1" nd="1"/>
        <i x="156" s="1" nd="1"/>
        <i x="233" s="1" nd="1"/>
        <i x="238" s="1" nd="1"/>
        <i x="466" s="1" nd="1"/>
        <i x="706" s="1" nd="1"/>
        <i x="619" s="1" nd="1"/>
        <i x="731" s="1" nd="1"/>
        <i x="471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7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5" s="1" nd="1"/>
        <i x="395" s="1" nd="1"/>
        <i x="670" s="1" nd="1"/>
        <i x="185" s="1" nd="1"/>
        <i x="409" s="1" nd="1"/>
        <i x="474" s="1" nd="1"/>
        <i x="837" s="1" nd="1"/>
        <i x="126" s="1" nd="1"/>
        <i x="153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80" s="1" nd="1"/>
        <i x="52" s="1" nd="1"/>
        <i x="851" s="1" nd="1"/>
        <i x="30" s="1" nd="1"/>
        <i x="570" s="1" nd="1"/>
        <i x="513" s="1" nd="1"/>
        <i x="413" s="1" nd="1"/>
        <i x="702" s="1" nd="1"/>
        <i x="204" s="1" nd="1"/>
        <i x="643" s="1" nd="1"/>
        <i x="779" s="1" nd="1"/>
        <i x="468" s="1" nd="1"/>
        <i x="41" s="1" nd="1"/>
        <i x="693" s="1" nd="1"/>
        <i x="663" s="1" nd="1"/>
        <i x="808" s="1" nd="1"/>
        <i x="816" s="1" nd="1"/>
        <i x="624" s="1" nd="1"/>
        <i x="459" s="1" nd="1"/>
        <i x="691" s="1" nd="1"/>
        <i x="135" s="1" nd="1"/>
        <i x="410" s="1" nd="1"/>
        <i x="692" s="1" nd="1"/>
        <i x="44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1" s="1" nd="1"/>
        <i x="514" s="1" nd="1"/>
        <i x="123" s="1" nd="1"/>
        <i x="646" s="1" nd="1"/>
        <i x="49" s="1" nd="1"/>
        <i x="416" s="1" nd="1"/>
        <i x="146" s="1" nd="1"/>
        <i x="728" s="1" nd="1"/>
        <i x="164" s="1" nd="1"/>
        <i x="346" s="1" nd="1"/>
        <i x="120" s="1" nd="1"/>
        <i x="290" s="1" nd="1"/>
        <i x="199" s="1" nd="1"/>
        <i x="205" s="1" nd="1"/>
        <i x="90" s="1" nd="1"/>
        <i x="28" s="1" nd="1"/>
        <i x="278" s="1" nd="1"/>
        <i x="508" s="1" nd="1"/>
        <i x="500" s="1" nd="1"/>
        <i x="69" s="1" nd="1"/>
        <i x="679" s="1" nd="1"/>
        <i x="82" s="1" nd="1"/>
        <i x="634" s="1" nd="1"/>
        <i x="67" s="1" nd="1"/>
        <i x="650" s="1" nd="1"/>
        <i x="489" s="1" nd="1"/>
        <i x="753" s="1" nd="1"/>
        <i x="191" s="1" nd="1"/>
        <i x="678" s="1" nd="1"/>
        <i x="299" s="1" nd="1"/>
        <i x="588" s="1" nd="1"/>
        <i x="179" s="1" nd="1"/>
        <i x="623" s="1" nd="1"/>
        <i x="64" s="1" nd="1"/>
        <i x="424" s="1" nd="1"/>
        <i x="27" s="1" nd="1"/>
        <i x="765" s="1" nd="1"/>
        <i x="414" s="1" nd="1"/>
        <i x="552" s="1" nd="1"/>
        <i x="98" s="1" nd="1"/>
        <i x="86" s="1" nd="1"/>
        <i x="293" s="1" nd="1"/>
        <i x="195" s="1" nd="1"/>
        <i x="497" s="1" nd="1"/>
        <i x="262" s="1" nd="1"/>
        <i x="31" s="1" nd="1"/>
        <i x="106" s="1" nd="1"/>
        <i x="534" s="1" nd="1"/>
        <i x="297" s="1" nd="1"/>
        <i x="397" s="1" nd="1"/>
        <i x="229" s="1" nd="1"/>
        <i x="8" s="1" nd="1"/>
        <i x="473" s="1" nd="1"/>
        <i x="824" s="1" nd="1"/>
        <i x="36" s="1" nd="1"/>
        <i x="311" s="1" nd="1"/>
        <i x="825" s="1" nd="1"/>
        <i x="562" s="1" nd="1"/>
        <i x="63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3" s="1" nd="1"/>
        <i x="438" s="1" nd="1"/>
        <i x="434" s="1" nd="1"/>
        <i x="122" s="1" nd="1"/>
        <i x="630" s="1" nd="1"/>
        <i x="201" s="1" nd="1"/>
        <i x="157" s="1" nd="1"/>
        <i x="56" s="1" nd="1"/>
        <i x="548" s="1" nd="1"/>
        <i x="618" s="1" nd="1"/>
        <i x="100" s="1" nd="1"/>
        <i x="766" s="1" nd="1"/>
        <i x="127" s="1" nd="1"/>
        <i x="218" s="1" nd="1"/>
        <i x="811" s="1" nd="1"/>
        <i x="279" s="1" nd="1"/>
        <i x="108" s="1" nd="1"/>
        <i x="198" s="1" nd="1"/>
        <i x="214" s="1" nd="1"/>
        <i x="181" s="1" nd="1"/>
        <i x="74" s="1" nd="1"/>
        <i x="212" s="1" nd="1"/>
        <i x="599" s="1" nd="1"/>
        <i x="190" s="1" nd="1"/>
        <i x="226" s="1" nd="1"/>
        <i x="842" s="1" nd="1"/>
        <i x="836" s="1" nd="1"/>
        <i x="492" s="1" nd="1"/>
        <i x="684" s="1" nd="1"/>
        <i x="243" s="1" nd="1"/>
        <i x="57" s="1" nd="1"/>
        <i x="130" s="1" nd="1"/>
        <i x="4" s="1" nd="1"/>
        <i x="50" s="1" nd="1"/>
        <i x="91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23" s="1" nd="1"/>
        <i x="6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302718</v>
      </c>
      <c r="B2" s="12" t="s">
        <v>616</v>
      </c>
      <c r="C2" s="14">
        <v>46293</v>
      </c>
      <c r="D2" s="14">
        <v>46293</v>
      </c>
      <c r="E2" s="12">
        <v>65980</v>
      </c>
      <c r="F2" s="15" t="s">
        <v>617</v>
      </c>
      <c r="G2" s="15" t="s">
        <v>618</v>
      </c>
      <c r="H2" s="15" t="s">
        <v>619</v>
      </c>
      <c r="I2" s="16">
        <v>5665.55</v>
      </c>
      <c r="J2" s="15" t="s">
        <v>620</v>
      </c>
      <c r="K2" s="15" t="s">
        <v>621</v>
      </c>
      <c r="L2" s="15" t="s">
        <v>622</v>
      </c>
      <c r="M2" s="15">
        <v>302.94</v>
      </c>
      <c r="N2" s="15">
        <v>15</v>
      </c>
      <c r="O2" s="16">
        <v>318.5</v>
      </c>
      <c r="P2" s="15" t="s">
        <v>623</v>
      </c>
      <c r="Q2" s="15">
        <v>58.48</v>
      </c>
      <c r="R2" s="15" t="s">
        <v>624</v>
      </c>
      <c r="S2" s="15">
        <v>79.98</v>
      </c>
      <c r="T2" s="15" t="s">
        <v>625</v>
      </c>
      <c r="U2" s="15">
        <v>0</v>
      </c>
      <c r="V2" s="15">
        <v>36.35</v>
      </c>
      <c r="W2" s="15">
        <v>0</v>
      </c>
      <c r="X2" s="15">
        <v>0</v>
      </c>
      <c r="Y2" s="15">
        <v>2.83</v>
      </c>
      <c r="Z2" s="15">
        <v>0</v>
      </c>
      <c r="AA2" s="15">
        <v>647.16999999999996</v>
      </c>
      <c r="AB2" s="15">
        <v>-344.23</v>
      </c>
      <c r="AC2" s="15">
        <v>78.760000000000005</v>
      </c>
      <c r="AD2" s="15">
        <v>-422.99</v>
      </c>
      <c r="AE2" s="15">
        <v>0</v>
      </c>
      <c r="AF2" s="15">
        <v>-422.99</v>
      </c>
      <c r="AG2" s="17">
        <v>-1.3962999999999999</v>
      </c>
      <c r="AH2" s="15"/>
    </row>
    <row r="3" spans="1:34" s="1" customFormat="1" ht="12" customHeight="1" x14ac:dyDescent="0.3">
      <c r="A3" s="13">
        <v>302851</v>
      </c>
      <c r="B3" s="12" t="s">
        <v>616</v>
      </c>
      <c r="C3" s="14">
        <v>46293</v>
      </c>
      <c r="D3" s="14">
        <v>46293</v>
      </c>
      <c r="E3" s="12"/>
      <c r="F3" s="15" t="s">
        <v>626</v>
      </c>
      <c r="G3" s="15" t="s">
        <v>627</v>
      </c>
      <c r="H3" s="15" t="s">
        <v>628</v>
      </c>
      <c r="I3" s="16">
        <v>462816.43</v>
      </c>
      <c r="J3" s="15" t="s">
        <v>629</v>
      </c>
      <c r="K3" s="15" t="s">
        <v>621</v>
      </c>
      <c r="L3" s="15" t="s">
        <v>630</v>
      </c>
      <c r="M3" s="16">
        <v>4559.07</v>
      </c>
      <c r="N3" s="15">
        <v>1</v>
      </c>
      <c r="O3" s="16">
        <v>292</v>
      </c>
      <c r="P3" s="15" t="s">
        <v>631</v>
      </c>
      <c r="Q3" s="15">
        <v>0</v>
      </c>
      <c r="R3" s="15" t="s">
        <v>631</v>
      </c>
      <c r="S3" s="15">
        <v>0</v>
      </c>
      <c r="T3" s="15" t="s">
        <v>625</v>
      </c>
      <c r="U3" s="15">
        <v>0</v>
      </c>
      <c r="V3" s="15">
        <v>820.63</v>
      </c>
      <c r="W3" s="15">
        <v>0</v>
      </c>
      <c r="X3" s="15">
        <v>0</v>
      </c>
      <c r="Y3" s="15">
        <v>231.41</v>
      </c>
      <c r="Z3" s="15">
        <v>0</v>
      </c>
      <c r="AA3" s="16">
        <v>1482.51</v>
      </c>
      <c r="AB3" s="16">
        <v>3076.56</v>
      </c>
      <c r="AC3" s="15">
        <v>1185.3599999999999</v>
      </c>
      <c r="AD3" s="15">
        <v>1891.2</v>
      </c>
      <c r="AE3" s="15">
        <v>112.15</v>
      </c>
      <c r="AF3" s="15">
        <v>1779.05</v>
      </c>
      <c r="AG3" s="17">
        <v>0.39020000000000005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4862.0099999999993</v>
      </c>
      <c r="F3" s="89"/>
      <c r="G3" s="90"/>
      <c r="H3" s="133">
        <f>'Resumo Detalhado'!C2</f>
        <v>610.5</v>
      </c>
      <c r="I3" s="134"/>
      <c r="J3" s="135">
        <f>E3/H3</f>
        <v>7.9639803439803432</v>
      </c>
      <c r="K3" s="136"/>
      <c r="L3" s="137"/>
      <c r="M3" s="138" t="s">
        <v>62</v>
      </c>
      <c r="N3" s="89"/>
      <c r="O3" s="90"/>
      <c r="P3" s="106">
        <v>1200</v>
      </c>
      <c r="Q3" s="107"/>
      <c r="R3" s="108"/>
      <c r="S3" s="103">
        <f>MIN(H3/P3,1)</f>
        <v>0.50875000000000004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958.48</v>
      </c>
      <c r="F7" s="112"/>
      <c r="G7" s="112"/>
      <c r="H7" s="112"/>
      <c r="I7" s="112"/>
      <c r="J7" s="112">
        <f>E7/H3</f>
        <v>1.56999180999181</v>
      </c>
      <c r="K7" s="112"/>
      <c r="L7" s="112"/>
      <c r="M7" s="130">
        <f>E7/E3</f>
        <v>0.19713657520243688</v>
      </c>
      <c r="N7" s="130"/>
      <c r="O7" s="130"/>
      <c r="P7" s="112">
        <f>E11+K11+Q11+E15+K15+Q15+E19+H19+K19</f>
        <v>3216.5824000000002</v>
      </c>
      <c r="Q7" s="112"/>
      <c r="R7" s="112"/>
      <c r="S7" s="112">
        <f>P7/H3</f>
        <v>5.2687672399672403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900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900</v>
      </c>
      <c r="L11" s="90"/>
      <c r="M11" s="38"/>
      <c r="N11" s="88">
        <f>K11/H3</f>
        <v>1.4742014742014742</v>
      </c>
      <c r="O11" s="90"/>
      <c r="P11" s="38"/>
      <c r="Q11" s="88">
        <f>'Resumo Detalhado'!D2</f>
        <v>58.48</v>
      </c>
      <c r="R11" s="90"/>
      <c r="S11" s="38"/>
      <c r="T11" s="88">
        <f>Q11/H3</f>
        <v>9.5790335790335787E-2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856.98</v>
      </c>
      <c r="F15" s="119"/>
      <c r="G15" s="119"/>
      <c r="H15" s="119"/>
      <c r="I15" s="132"/>
      <c r="J15" s="38"/>
      <c r="K15" s="113">
        <f>'Resumo Detalhado'!K2+'Resumo Detalhado'!L2</f>
        <v>777.92160000000001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234.24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388.96080000000001</v>
      </c>
      <c r="L19" s="123"/>
      <c r="M19" s="38"/>
      <c r="N19" s="121" t="s">
        <v>632</v>
      </c>
      <c r="O19" s="119"/>
      <c r="P19" s="119"/>
      <c r="Q19" s="119"/>
      <c r="R19" s="120"/>
      <c r="S19" s="121">
        <f>_xlfn.XLOOKUP(N19,Target!C:C,Target!D:D)</f>
        <v>900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3131.2192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0.64401743311922444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633</v>
      </c>
      <c r="F1" s="29"/>
    </row>
    <row r="2" spans="1:18" x14ac:dyDescent="0.3">
      <c r="B2" s="29">
        <f>SUM(B6:B5000)</f>
        <v>4862.0099999999993</v>
      </c>
      <c r="C2" s="29">
        <f>SUM(C6:C5000)</f>
        <v>610.5</v>
      </c>
      <c r="D2" s="29">
        <f>SUM(D6:D5000)</f>
        <v>58.48</v>
      </c>
      <c r="E2" s="29">
        <f>SUM(E6:E5000)</f>
        <v>79.98</v>
      </c>
      <c r="F2" s="29">
        <f>SUM(F6:F5000)</f>
        <v>0</v>
      </c>
      <c r="G2" s="29"/>
      <c r="H2" s="29">
        <f t="shared" ref="H2:P2" si="0">SUM(H6:H5000)</f>
        <v>856.98</v>
      </c>
      <c r="I2" s="29">
        <f t="shared" si="0"/>
        <v>234.24</v>
      </c>
      <c r="J2" s="29">
        <f t="shared" si="0"/>
        <v>0</v>
      </c>
      <c r="K2" s="29">
        <f t="shared" si="0"/>
        <v>388.96080000000001</v>
      </c>
      <c r="L2" s="29">
        <f t="shared" si="0"/>
        <v>388.96080000000001</v>
      </c>
      <c r="M2" s="29">
        <f t="shared" si="0"/>
        <v>112.15</v>
      </c>
      <c r="N2" s="29">
        <f t="shared" si="0"/>
        <v>3131.2192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302718</v>
      </c>
      <c r="B6" s="140">
        <v>302.94</v>
      </c>
      <c r="C6" s="141">
        <v>318.5</v>
      </c>
      <c r="D6" s="140">
        <v>58.48</v>
      </c>
      <c r="E6" s="140">
        <v>79.98</v>
      </c>
      <c r="F6" s="140">
        <v>0</v>
      </c>
      <c r="G6" s="142">
        <v>0.45705420215224141</v>
      </c>
      <c r="H6" s="140">
        <v>36.35</v>
      </c>
      <c r="I6" s="140">
        <v>2.83</v>
      </c>
      <c r="J6" s="140">
        <v>0</v>
      </c>
      <c r="K6" s="140">
        <v>24.235199999999999</v>
      </c>
      <c r="L6" s="140">
        <v>24.235199999999999</v>
      </c>
      <c r="M6" s="140">
        <v>0</v>
      </c>
      <c r="N6" s="140">
        <v>101.06480000000002</v>
      </c>
      <c r="O6" s="142">
        <v>0.33361325675051173</v>
      </c>
      <c r="Q6"/>
    </row>
    <row r="7" spans="1:18" s="31" customFormat="1" x14ac:dyDescent="0.3">
      <c r="A7" s="139" t="s">
        <v>627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302851</v>
      </c>
      <c r="B8" s="140">
        <v>4559.07</v>
      </c>
      <c r="C8" s="141">
        <v>292</v>
      </c>
      <c r="D8" s="140">
        <v>0</v>
      </c>
      <c r="E8" s="140">
        <v>0</v>
      </c>
      <c r="F8" s="140">
        <v>0</v>
      </c>
      <c r="G8" s="142">
        <v>0</v>
      </c>
      <c r="H8" s="140">
        <v>820.63</v>
      </c>
      <c r="I8" s="140">
        <v>231.41</v>
      </c>
      <c r="J8" s="140">
        <v>0</v>
      </c>
      <c r="K8" s="140">
        <v>364.72559999999999</v>
      </c>
      <c r="L8" s="140">
        <v>364.72559999999999</v>
      </c>
      <c r="M8" s="140">
        <v>112.15</v>
      </c>
      <c r="N8" s="140">
        <v>3030.1543999999999</v>
      </c>
      <c r="O8" s="142">
        <v>0.6646430960700318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633</v>
      </c>
    </row>
    <row r="2" spans="1:4" x14ac:dyDescent="0.3">
      <c r="B2" s="29">
        <f>SUM(B6:B5000)</f>
        <v>4559.07</v>
      </c>
      <c r="C2" s="29">
        <f>SUM(C6:C5000)</f>
        <v>3030.1543999999999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618</v>
      </c>
      <c r="B5" s="10">
        <v>302.94</v>
      </c>
      <c r="C5" s="10">
        <v>101.06480000000002</v>
      </c>
    </row>
    <row r="6" spans="1:4" x14ac:dyDescent="0.3">
      <c r="A6" s="139" t="s">
        <v>627</v>
      </c>
      <c r="B6" s="140">
        <v>4559.07</v>
      </c>
      <c r="C6" s="140">
        <v>3030.1543999999999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2026-10-01T13:30:40Z</dcterms:modified>
  <cp:category/>
  <cp:contentStatus/>
</cp:coreProperties>
</file>