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F51DCC1-ADF1-4155-ABB9-2533420591AE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<sst xmlns="http://schemas.openxmlformats.org/spreadsheetml/2006/main" count="911" uniqueCount="632">
  <si>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</si>
  <si>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</si>
  <si>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</si>
  <si>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</si>
  <si>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</si>
  <si>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</si>
  <si>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</si>
  <si>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</si>
  <si>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</si>
  <si>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</si>
  <si>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</si>
  <si>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</si>
  <si>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</si>
  <si>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</si>
  <si>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</si>
  <si>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</si>
  <si>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</si>
  <si>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</si>
  <si>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</si>
  <si>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</si>
  <si>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</si>
  <si>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</si>
  <si>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</si>
  <si>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</si>
  <si>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</si>
  <si>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</si>
  <si>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</si>
  <si>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</si>
  <si>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</si>
  <si>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</si>
  <si>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</si>
  <si>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</si>
  <si>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</si>
  <si>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</si>
  <si>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</si>
  <si>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</si>
  <si>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</si>
  <si>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</si>
  <si>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</si>
  <si>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</si>
  <si>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</si>
  <si>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</si>
  <si>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</si>
  <si>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</si>
  <si>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</si>
  <si>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</si>
  <si>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</si>
  <si>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</si>
  <si>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</si>
  <si>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</si>
  <si>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</si>
  <si>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</si>
  <si>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</si>
  <si>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</si>
  <si>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</si>
  <si>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</si>
  <si>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</si>
  <si>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</si>
  <si>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</si>
  <si>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</si>
  <si>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</si>
  <si>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</si>
  <si>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</si>
  <si>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</si>
  <si>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</si>
  <si>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</si>
  <si>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</si>
  <si>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</si>
  <si>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</si>
  <si>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</si>
  <si>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</si>
  <si>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</si>
  <si>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</si>
  <si>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</si>
  <si>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</si>
  <si>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</si>
  <si>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</si>
  <si>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</si>
  <si>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</si>
  <si>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</si>
  <si>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</si>
  <si>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</si>
  <si>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</si>
  <si>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</si>
  <si>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</si>
  <si>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</si>
  <si>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</si>
  <si>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</si>
  <si>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</si>
  <si>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</si>
  <si>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</si>
  <si>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</si>
  <si>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</si>
  <si>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</si>
  <si>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</si>
  <si>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</si>
  <si>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</si>
  <si>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</si>
  <si>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</si>
  <si>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</si>
  <si>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</si>
  <si>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</si>
  <si>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</si>
  <si>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</si>
  <si>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</si>
  <si>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</si>
  <si>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</si>
  <si>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</si>
  <si>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</si>
  <si>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</si>
  <si>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</si>
  <si>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</si>
  <si>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</si>
  <si>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</si>
  <si>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</si>
  <si>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</si>
  <si>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</si>
  <si>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</si>
  <si>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</si>
  <si>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</si>
  <si>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</si>
  <si>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</si>
  <si>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</si>
  <si>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</si>
  <si>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</si>
  <si>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</si>
  <si>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</si>
  <si>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</si>
  <si>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</si>
  <si>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</si>
  <si>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</si>
  <si>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</si>
  <si>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</si>
  <si>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</si>
  <si>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</si>
  <si>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</si>
  <si>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</si>
  <si>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</si>
  <si>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</si>
  <si>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</si>
  <si>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</si>
  <si>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</si>
  <si>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</si>
  <si>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</si>
  <si>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</si>
  <si>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</si>
  <si>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</si>
  <si>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</si>
  <si>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</si>
  <si>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</si>
  <si>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</si>
  <si>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</si>
  <si>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</si>
  <si>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</si>
  <si>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</si>
  <si>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</si>
  <si>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</si>
  <si>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</si>
  <si>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</si>
  <si>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</si>
  <si>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</si>
  <si>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</si>
  <si>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</si>
  <si>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</si>
  <si>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</si>
  <si>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</si>
  <si>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</si>
  <si>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</si>
  <si>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</si>
  <si>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</si>
  <si>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</si>
  <si>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</si>
  <si>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</si>
  <si>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</si>
  <si>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</si>
  <si>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</si>
  <si>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</si>
  <si>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</si>
  <si>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</si>
  <si>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</si>
  <si>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</si>
  <si>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</si>
  <si>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</si>
  <si>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</si>
  <si>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</si>
  <si>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</si>
  <si>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</si>
  <si>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</si>
  <si>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</si>
  <si>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</si>
  <si>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</si>
  <si>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</si>
  <si>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</si>
  <si>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</si>
  <si>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</si>
  <si>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</si>
  <si>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</si>
  <si>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</si>
  <si>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</si>
  <si>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</si>
  <si>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</si>
  <si>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</si>
  <si>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</si>
  <si>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</si>
  <si>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</si>
  <si>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</si>
  <si>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</si>
  <si>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</si>
  <si>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</si>
  <si>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</si>
  <si>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</si>
  <si>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</si>
  <si>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</si>
  <si>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</si>
  <si>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</si>
  <si>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</si>
  <si>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</si>
  <si>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</si>
  <si>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</si>
  <si>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</si>
  <si>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</si>
  <si>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</si>
  <si>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</si>
  <si>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</si>
  <si>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</si>
  <si>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</si>
  <si>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</si>
  <si>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</si>
  <si>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</si>
  <si>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</si>
  <si>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</si>
  <si>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</si>
  <si>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</si>
  <si>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</si>
  <si>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</si>
  <si>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</si>
  <si>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</si>
  <si>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</si>
  <si>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</si>
  <si>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</si>
  <si>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</si>
  <si>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</si>
  <si>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</si>
  <si>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</si>
  <si>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</si>
  <si>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</si>
  <si>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</si>
  <si>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</si>
  <si>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</si>
  <si>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</si>
  <si>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</si>
  <si>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</si>
  <si>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</si>
  <si>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</si>
  <si>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</si>
  <si>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</si>
  <si>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</si>
  <si>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</si>
  <si>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</si>
  <si>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</si>
  <si>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</si>
  <si>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</si>
  <si>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</si>
  <si>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</si>
  <si>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</si>
  <si>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</si>
  <si>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</si>
  <si>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</si>
  <si>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</si>
  <si>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</si>
  <si>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</si>
  <si>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</si>
  <si>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</si>
  <si>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</si>
  <si>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</si>
  <si>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</si>
  <si>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</si>
  <si>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</si>
  <si>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</si>
  <si>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</si>
  <si>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</si>
  <si>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</si>
  <si>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</si>
  <si>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</si>
  <si>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</si>
  <si>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</si>
  <si>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</si>
  <si>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</si>
  <si>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</si>
  <si>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</si>
  <si>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</si>
  <si>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</si>
  <si>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</si>
  <si>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</si>
  <si>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</si>
  <si>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</si>
  <si>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</si>
  <si>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</si>
  <si>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</si>
  <si>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</si>
  <si>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</si>
  <si>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</si>
  <si>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</si>
  <si>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</si>
  <si>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</si>
  <si>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</si>
  <si>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</si>
  <si>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</si>
  <si>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</si>
  <si>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</si>
  <si>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</si>
  <si>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</si>
  <si>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</si>
  <si>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</si>
  <si>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</si>
  <si>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</si>
  <si>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</si>
  <si>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</si>
  <si>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</si>
  <si>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</si>
  <si>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</si>
  <si>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</si>
  <si>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</si>
  <si>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</si>
  <si>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</si>
  <si>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</si>
  <si>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</si>
  <si>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</si>
  <si>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</si>
  <si>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</si>
  <si>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</si>
  <si>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</si>
  <si>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</si>
  <si>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</si>
  <si>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</si>
  <si>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</si>
  <si>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</si>
  <si>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</si>
  <si>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</si>
  <si>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</si>
  <si>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</si>
  <si>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</si>
  <si>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</si>
  <si>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</si>
  <si>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</si>
  <si>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</si>
  <si>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</si>
  <si>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</si>
  <si>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</si>
  <si>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</si>
  <si>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</si>
  <si>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</si>
  <si>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</si>
  <si>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</si>
  <si>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</si>
  <si>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</si>
  <si>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</si>
  <si>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</si>
  <si>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</si>
  <si>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</si>
  <si>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</si>
  <si>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</si>
  <si>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</si>
  <si>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</si>
  <si>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</si>
  <si>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</si>
  <si>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</si>
  <si>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</si>
  <si>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</si>
  <si>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</si>
  <si>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</si>
  <si>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</si>
  <si>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</si>
  <si>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</si>
  <si>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</si>
  <si>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</si>
  <si>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</si>
  <si>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</si>
  <si>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</si>
  <si>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</si>
  <si>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</si>
  <si>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</si>
  <si>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</si>
  <si>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</si>
  <si>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</si>
  <si>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</si>
  <si>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</si>
  <si>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</si>
  <si>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</si>
  <si>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</si>
  <si>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</si>
  <si>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</si>
  <si>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</si>
  <si>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</si>
  <si>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</si>
  <si>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</si>
  <si>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</si>
  <si>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</si>
  <si>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</si>
  <si>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</si>
  <si>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</si>
  <si>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</si>
  <si>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</si>
  <si>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</si>
  <si>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</si>
  <si>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</si>
  <si>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</si>
  <si>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</si>
  <si>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</si>
  <si>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</si>
  <si>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</si>
  <si>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</si>
  <si>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</si>
  <si>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</si>
  <si>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</si>
  <si>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</si>
  <si>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</si>
  <si>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</si>
  <si>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</si>
  <si>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</si>
  <si>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</si>
  <si>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</si>
  <si>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</si>
  <si>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</si>
  <si>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</si>
  <si>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</si>
  <si>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</si>
  <si>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</si>
  <si>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</si>
  <si>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</si>
  <si>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</si>
  <si>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</si>
  <si>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</si>
  <si>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</si>
  <si>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</si>
  <si>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</si>
  <si>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</si>
  <si>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</si>
  <si>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</si>
  <si>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</si>
  <si>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</si>
  <si>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</si>
  <si>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</si>
  <si>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</si>
  <si>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</si>
  <si>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</si>
  <si>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</si>
  <si>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</si>
  <si>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</si>
  <si>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</si>
  <si>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</si>
  <si>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</si>
  <si>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</si>
  <si>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</si>
  <si>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</si>
  <si>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</si>
  <si>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</si>
  <si>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</si>
  <si>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</si>
  <si>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</si>
  <si>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</si>
  <si>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</si>
  <si>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</si>
  <si>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</si>
  <si>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</si>
  <si>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</si>
  <si>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</si>
  <si>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</si>
  <si>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</si>
  <si>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</si>
  <si>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</si>
  <si>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</si>
  <si>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</si>
  <si>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</si>
  <si>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</si>
  <si>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</si>
  <si>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</si>
  <si>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</si>
  <si>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</si>
  <si>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</si>
  <si>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</si>
  <si>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</si>
  <si>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</si>
  <si>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</si>
  <si>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</si>
  <si>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</si>
  <si>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</si>
  <si>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</si>
  <si>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</si>
  <si>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</si>
  <si>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</si>
  <si>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</si>
  <si>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</si>
  <si>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</si>
  <si>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</si>
  <si>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</si>
  <si>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</si>
  <si>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</si>
  <si>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</si>
  <si>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</si>
  <si>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</si>
  <si>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</si>
  <si>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</si>
  <si>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</si>
  <si>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</si>
  <si>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</si>
  <si>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</si>
  <si>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</si>
  <si>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</si>
  <si>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</si>
  <si>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</si>
  <si>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</si>
  <si>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</si>
  <si>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</si>
  <si>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</si>
  <si>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</si>
  <si>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</si>
  <si>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</si>
  <si>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</si>
  <si>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</si>
  <si>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</si>
  <si>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</si>
  <si>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</si>
  <si>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</si>
  <si>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</si>
  <si>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</si>
  <si>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</si>
  <si>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</si>
  <si>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</si>
  <si>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</si>
  <si>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</si>
  <si>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</si>
  <si>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</si>
  <si>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</si>
  <si>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</si>
  <si>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</si>
  <si>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</si>
  <si>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</si>
  <si>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</si>
  <si>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</si>
  <si>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</si>
  <si>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</si>
  <si>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</si>
  <si>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</si>
  <si>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</si>
  <si>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</si>
  <si>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</si>
  <si>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</si>
  <si>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</si>
  <si>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</si>
  <si>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</si>
  <si>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</si>
  <si>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</si>
  <si>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</si>
  <si>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</si>
  <si>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</si>
  <si>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</si>
  <si>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</si>
  <si>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</si>
  <si>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</si>
  <si>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</si>
  <si>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</si>
  <si>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</si>
  <si>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</si>
  <si>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</si>
  <si>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</si>
  <si>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</si>
  <si>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</si>
  <si>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</si>
  <si>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</si>
  <si>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</si>
  <si>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</si>
  <si>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</si>
  <si>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</si>
  <si>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</si>
  <si>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</si>
  <si>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</si>
  <si>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</si>
  <si>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</si>
  <si>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</si>
  <si>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</si>
  <si>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</si>
  <si>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</si>
  <si>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</si>
  <si>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</si>
  <si>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</si>
  <si>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</si>
  <si>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</si>
  <si>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</si>
  <si>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</si>
  <si>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</si>
  <si>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</si>
  <si>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</si>
  <si>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</si>
  <si>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</si>
  <si>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</si>
  <si>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</si>
  <si>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</si>
  <si>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</si>
  <si>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</si>
  <si>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</si>
  <si>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</si>
  <si>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</si>
  <si>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</si>
  <si>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</si>
  <si>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</si>
  <si>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</si>
  <si>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</si>
  <si>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</si>
  <si>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</si>
  <si>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</si>
  <si>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</si>
  <si>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</si>
  <si>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</si>
  <si>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MATRIZ</t>
  </si>
  <si>
    <t>203929-1</t>
  </si>
  <si>
    <t>ITACORDA INDUST</t>
  </si>
  <si>
    <t>TIAGO SANTANA</t>
  </si>
  <si>
    <t>EXPRESSO_250</t>
  </si>
  <si>
    <t>CTE NORMAL</t>
  </si>
  <si>
    <t>SAO PAULO - SP</t>
  </si>
  <si>
    <t>ANTONIO CARLOS DA SILVA</t>
  </si>
  <si>
    <t>DENIS MACEDO DE SOUZA</t>
  </si>
  <si>
    <t>EMERSON JOSE GOMES</t>
  </si>
  <si>
    <t>203916-1</t>
  </si>
  <si>
    <t>TOTALITY COMERC</t>
  </si>
  <si>
    <t>URIEL CORREA</t>
  </si>
  <si>
    <t>PERSONALIZADO_L</t>
  </si>
  <si>
    <t>EXTREMA - MG</t>
  </si>
  <si>
    <t>N/D</t>
  </si>
  <si>
    <t>Pouso Alegre-Mg X Extrema-MgVan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</si>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</sst>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302.94</c:v>
                </c:pt>
                <c:pt idx="1">
                  <c:v>4559.07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101.06480000000002</c:v>
                </c:pt>
                <c:pt idx="1">
                  <c:v>3030.1543999999999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302.94</c:v>
                </c:pt>
                <c:pt idx="1">
                  <c:v>4559.07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101.06480000000002</c:v>
                </c:pt>
                <c:pt idx="1">
                  <c:v>3030.1543999999999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0476018518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2851" count="8000">
        <n v="302718"/>
        <n v="30285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8T00:00:00" maxDate="2026-09-29T00:00:00"/>
    </cacheField>
    <cacheField name="DATA" numFmtId="14">
      <sharedItems containsNonDate="0" containsDate="1" containsString="0" containsBlank="1" minDate="2026-09-28T00:00:00" maxDate="2026-09-29T00:00:00"/>
    </cacheField>
    <cacheField name="FAT" numFmtId="0">
      <sharedItems containsString="0" containsBlank="1" containsNumber="1" containsInteger="1" minValue="65980" maxValue="65980"/>
    </cacheField>
    <cacheField name="CT-E" numFmtId="0">
      <sharedItems containsBlank="1"/>
    </cacheField>
    <cacheField name="CLIENTE TOMADOR" numFmtId="0">
      <sharedItems containsBlank="1" count="855">
        <s v="ITACORDA INDUST"/>
        <s v="TOTALITY COMER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665.55" maxValue="462816.43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2.94" maxValue="4559.07"/>
    </cacheField>
    <cacheField name="VOLUMES" numFmtId="0">
      <sharedItems containsString="0" containsBlank="1" containsNumber="1" containsInteger="1" minValue="1" maxValue="15"/>
    </cacheField>
    <cacheField name="PESO" numFmtId="0">
      <sharedItems containsString="0" containsBlank="1" containsNumber="1" minValue="292" maxValue="318.5"/>
    </cacheField>
    <cacheField name="RESP. COLETA" numFmtId="0">
      <sharedItems containsBlank="1"/>
    </cacheField>
    <cacheField name="CUSTO COLETA" numFmtId="0">
      <sharedItems containsString="0" containsBlank="1" containsNumber="1" minValue="0" maxValue="58.48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9.9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6.35" maxValue="820.6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83" maxValue="231.4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647.16999999999996" maxValue="1482.51"/>
    </cacheField>
    <cacheField name="RECEITA" numFmtId="0">
      <sharedItems containsString="0" containsBlank="1" containsNumber="1" minValue="-344.23" maxValue="3076.56"/>
    </cacheField>
    <cacheField name="IMPOSTO" numFmtId="0">
      <sharedItems containsString="0" containsBlank="1" containsNumber="1" minValue="78.760000000000005" maxValue="1185.3599999999999"/>
    </cacheField>
    <cacheField name="RESULTADO" numFmtId="0">
      <sharedItems containsString="0" containsBlank="1" containsNumber="1" minValue="-422.99" maxValue="1891.2"/>
    </cacheField>
    <cacheField name="COMIS" numFmtId="0">
      <sharedItems containsString="0" containsBlank="1" containsNumber="1" minValue="0" maxValue="112.15"/>
    </cacheField>
    <cacheField name="LUCRO LIQ" numFmtId="0">
      <sharedItems containsString="0" containsBlank="1" containsNumber="1" minValue="-422.99" maxValue="1779.05"/>
    </cacheField>
    <cacheField name="MARGEM" numFmtId="10">
      <sharedItems containsString="0" containsBlank="1" containsNumber="1" minValue="-1.3962999999999999" maxValue="0.3902000000000000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8T00:00:00"/>
    <d v="2026-09-28T00:00:00"/>
    <n v="65980"/>
    <s v="203929-1"/>
    <x v="0"/>
    <s v="TIAGO SANTANA"/>
    <n v="5665.55"/>
    <x v="0"/>
    <s v="CTE NORMAL"/>
    <s v="SAO PAULO - SP"/>
    <n v="302.94"/>
    <n v="15"/>
    <n v="318.5"/>
    <s v="ANTONIO CARLOS DA SILVA"/>
    <n v="58.48"/>
    <s v="DENIS MACEDO DE SOUZA"/>
    <n v="79.98"/>
    <s v="EMERSON JOSE GOMES"/>
    <n v="0"/>
    <n v="36.35"/>
    <n v="0"/>
    <n v="0"/>
    <n v="2.83"/>
    <n v="0"/>
    <n v="647.16999999999996"/>
    <n v="-344.23"/>
    <n v="78.760000000000005"/>
    <n v="-422.99"/>
    <n v="0"/>
    <n v="-422.99"/>
    <n v="-1.3962999999999999"/>
    <m/>
  </r>
  <r>
    <x v="1"/>
    <s v="MATRIZ"/>
    <d v="2026-09-28T00:00:00"/>
    <d v="2026-09-28T00:00:00"/>
    <m/>
    <s v="203916-1"/>
    <x v="1"/>
    <s v="URIEL CORREA"/>
    <n v="462816.43"/>
    <x v="1"/>
    <s v="CTE NORMAL"/>
    <s v="EXTREMA - MG"/>
    <n v="4559.07"/>
    <n v="1"/>
    <n v="292"/>
    <s v="N/D"/>
    <n v="0"/>
    <s v="N/D"/>
    <n v="0"/>
    <s v="EMERSON JOSE GOMES"/>
    <n v="0"/>
    <n v="820.63"/>
    <n v="0"/>
    <n v="0"/>
    <n v="231.41"/>
    <n v="0"/>
    <n v="1482.51"/>
    <n v="3076.56"/>
    <n v="1185.3599999999999"/>
    <n v="1891.2"/>
    <n v="112.15"/>
    <n v="1779.05"/>
    <n v="0.39020000000000005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9"/>
        <item m="1" x="661"/>
        <item m="1" x="372"/>
        <item m="1" x="155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1"/>
        <item m="1" x="773"/>
        <item m="1" x="579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0"/>
        <item m="1" x="353"/>
        <item m="1" x="104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4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4"/>
        <item m="1" x="720"/>
        <item m="1" x="555"/>
        <item m="1" x="117"/>
        <item m="1" x="376"/>
        <item m="1" x="718"/>
        <item m="1" x="128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4"/>
        <item m="1" x="741"/>
        <item m="1" x="194"/>
        <item m="1" x="746"/>
        <item m="1" x="384"/>
        <item sd="0" m="1" x="138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6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3"/>
        <item m="1" x="735"/>
        <item sd="0" m="1" x="133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m="1" x="119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8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3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3"/>
        <item m="1" x="646"/>
        <item m="1" x="49"/>
        <item m="1" x="416"/>
        <item m="1" x="146"/>
        <item sd="0" m="1" x="728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x="1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2"/>
        <item m="1" x="630"/>
        <item m="1" x="201"/>
        <item m="1" x="157"/>
        <item m="1" x="56"/>
        <item m="1" x="548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81"/>
    </i>
    <i r="1">
      <x v="7998"/>
    </i>
    <i>
      <x v="77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9"/>
        <item m="1" x="661"/>
        <item m="1" x="372"/>
        <item m="1" x="155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1"/>
        <item m="1" x="773"/>
        <item m="1" x="579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0"/>
        <item m="1" x="353"/>
        <item m="1" x="104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4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4"/>
        <item m="1" x="720"/>
        <item m="1" x="555"/>
        <item m="1" x="117"/>
        <item m="1" x="376"/>
        <item m="1" x="718"/>
        <item m="1" x="128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4"/>
        <item m="1" x="741"/>
        <item m="1" x="194"/>
        <item m="1" x="746"/>
        <item m="1" x="384"/>
        <item sd="0" m="1" x="138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6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3"/>
        <item m="1" x="735"/>
        <item sd="0" m="1" x="133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m="1" x="119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8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3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3"/>
        <item m="1" x="646"/>
        <item m="1" x="49"/>
        <item m="1" x="416"/>
        <item m="1" x="146"/>
        <item sd="0" m="1" x="728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x="1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2"/>
        <item m="1" x="630"/>
        <item m="1" x="201"/>
        <item m="1" x="157"/>
        <item m="1" x="56"/>
        <item m="1" x="548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1"/>
    </i>
    <i>
      <x v="77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50" s="1" nd="1"/>
        <i x="187" s="1" nd="1"/>
        <i x="273" s="1" nd="1"/>
        <i x="12" s="1" nd="1"/>
        <i x="761" s="1" nd="1"/>
        <i x="392" s="1" nd="1"/>
        <i x="712" s="1" nd="1"/>
        <i x="296" s="1" nd="1"/>
        <i x="114" s="1" nd="1"/>
        <i x="271" s="1" nd="1"/>
        <i x="590" s="1" nd="1"/>
        <i x="324" s="1" nd="1"/>
        <i x="675" s="1" nd="1"/>
        <i x="502" s="1" nd="1"/>
        <i x="25" s="1" nd="1"/>
        <i x="581" s="1" nd="1"/>
        <i x="852" s="1" nd="1"/>
        <i x="21" s="1" nd="1"/>
        <i x="757" s="1" nd="1"/>
        <i x="113" s="1" nd="1"/>
        <i x="545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2" s="1" nd="1"/>
        <i x="222" s="1" nd="1"/>
        <i x="159" s="1" nd="1"/>
        <i x="230" s="1" nd="1"/>
        <i x="110" s="1" nd="1"/>
        <i x="621" s="1" nd="1"/>
        <i x="142" s="1" nd="1"/>
        <i x="616" s="1" nd="1"/>
        <i x="321" s="1" nd="1"/>
        <i x="820" s="1" nd="1"/>
        <i x="322" s="1" nd="1"/>
        <i x="461" s="1" nd="1"/>
        <i x="506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30" s="1" nd="1"/>
        <i x="665" s="1" nd="1"/>
        <i x="519" s="1" nd="1"/>
        <i x="792" s="1" nd="1"/>
        <i x="178" s="1" nd="1"/>
        <i x="59" s="1" nd="1"/>
        <i x="356" s="1" nd="1"/>
        <i x="686" s="1" nd="1"/>
        <i x="312" s="1" nd="1"/>
        <i x="137" s="1" nd="1"/>
        <i x="294" s="1" nd="1"/>
        <i x="601" s="1" nd="1"/>
        <i x="206" s="1" nd="1"/>
        <i x="674" s="1" nd="1"/>
        <i x="140" s="1" nd="1"/>
        <i x="688" s="1" nd="1"/>
        <i x="453" s="1" nd="1"/>
        <i x="408" s="1" nd="1"/>
        <i x="516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2" s="1" nd="1"/>
        <i x="463" s="1" nd="1"/>
        <i x="139" s="1" nd="1"/>
        <i x="661" s="1" nd="1"/>
        <i x="372" s="1" nd="1"/>
        <i x="155" s="1" nd="1"/>
        <i x="251" s="1" nd="1"/>
        <i x="628" s="1" nd="1"/>
        <i x="736" s="1" nd="1"/>
        <i x="421" s="1" nd="1"/>
        <i x="81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1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5" s="1" nd="1"/>
        <i x="381" s="1" nd="1"/>
        <i x="448" s="1" nd="1"/>
        <i x="160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5" s="1" nd="1"/>
        <i x="173" s="1" nd="1"/>
        <i x="627" s="1" nd="1"/>
        <i x="375" s="1" nd="1"/>
        <i x="807" s="1" nd="1"/>
        <i x="60" s="1" nd="1"/>
        <i x="631" s="1" nd="1"/>
        <i x="531" s="1" nd="1"/>
        <i x="295" s="1" nd="1"/>
        <i x="304" s="1" nd="1"/>
        <i x="174" s="1" nd="1"/>
        <i x="102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2" s="1" nd="1"/>
        <i x="450" s="1" nd="1"/>
        <i x="349" s="1" nd="1"/>
        <i x="79" s="1" nd="1"/>
        <i x="582" s="1" nd="1"/>
        <i x="19" s="1" nd="1"/>
        <i x="161" s="1" nd="1"/>
        <i x="773" s="1" nd="1"/>
        <i x="579" s="1" nd="1"/>
        <i x="518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4" s="1" nd="1"/>
        <i x="267" s="1" nd="1"/>
        <i x="292" s="1" nd="1"/>
        <i x="354" s="1" nd="1"/>
        <i x="99" s="1" nd="1"/>
        <i x="460" s="1" nd="1"/>
        <i x="580" s="1" nd="1"/>
        <i x="353" s="1" nd="1"/>
        <i x="104" s="1" nd="1"/>
        <i x="539" s="1" nd="1"/>
        <i x="208" s="1" nd="1"/>
        <i x="671" s="1" nd="1"/>
        <i x="486" s="1" nd="1"/>
        <i x="640" s="1" nd="1"/>
        <i x="606" s="1" nd="1"/>
        <i x="532" s="1" nd="1"/>
        <i x="563" s="1" nd="1"/>
        <i x="738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4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40" s="1" nd="1"/>
        <i x="314" s="1" nd="1"/>
        <i x="339" s="1" nd="1"/>
        <i x="771" s="1" nd="1"/>
        <i x="144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2" s="1" nd="1"/>
        <i x="315" s="1" nd="1"/>
        <i x="698" s="1" nd="1"/>
        <i x="331" s="1" nd="1"/>
        <i x="625" s="1" nd="1"/>
        <i x="542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1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5" s="1" nd="1"/>
        <i x="498" s="1" nd="1"/>
        <i x="467" s="1" nd="1"/>
        <i x="141" s="1" nd="1"/>
        <i x="756" s="1" nd="1"/>
        <i x="149" s="1" nd="1"/>
        <i x="224" s="1" nd="1"/>
        <i x="720" s="1" nd="1"/>
        <i x="555" s="1" nd="1"/>
        <i x="117" s="1" nd="1"/>
        <i x="376" s="1" nd="1"/>
        <i x="718" s="1" nd="1"/>
        <i x="128" s="1" nd="1"/>
        <i x="34" s="1" nd="1"/>
        <i x="302" s="1" nd="1"/>
        <i x="61" s="1" nd="1"/>
        <i x="452" s="1" nd="1"/>
        <i x="774" s="1" nd="1"/>
        <i x="485" s="1" nd="1"/>
        <i x="740" s="1" nd="1"/>
        <i x="454" s="1" nd="1"/>
        <i x="521" s="1" nd="1"/>
        <i x="163" s="1" nd="1"/>
        <i x="404" s="1" nd="1"/>
        <i x="741" s="1" nd="1"/>
        <i x="194" s="1" nd="1"/>
        <i x="746" s="1" nd="1"/>
        <i x="384" s="1" nd="1"/>
        <i x="138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5" s="1" nd="1"/>
        <i x="700" s="1" nd="1"/>
        <i x="428" s="1" nd="1"/>
        <i x="363" s="1" nd="1"/>
        <i x="101" s="1" nd="1"/>
        <i x="481" s="1" nd="1"/>
        <i x="607" s="1" nd="1"/>
        <i x="715" s="1" nd="1"/>
        <i x="55" s="1" nd="1"/>
        <i x="298" s="1" nd="1"/>
        <i x="682" s="1" nd="1"/>
        <i x="136" s="1" nd="1"/>
        <i x="330" s="1" nd="1"/>
        <i x="536" s="1" nd="1"/>
        <i x="237" s="1" nd="1"/>
        <i x="557" s="1" nd="1"/>
        <i x="547" s="1" nd="1"/>
        <i x="850" s="1" nd="1"/>
        <i x="3" s="1" nd="1"/>
        <i x="272" s="1" nd="1"/>
        <i x="76" s="1" nd="1"/>
        <i x="131" s="1" nd="1"/>
        <i x="654" s="1" nd="1"/>
        <i x="721" s="1" nd="1"/>
        <i x="641" s="1" nd="1"/>
        <i x="231" s="1" nd="1"/>
        <i x="373" s="1" nd="1"/>
        <i x="735" s="1" nd="1"/>
        <i x="133" s="1" nd="1"/>
        <i x="87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119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8" s="1" nd="1"/>
        <i x="362" s="1" nd="1"/>
        <i x="263" s="1" nd="1"/>
        <i x="291" s="1" nd="1"/>
        <i x="541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85" s="1" nd="1"/>
        <i x="326" s="1" nd="1"/>
        <i x="35" s="1" nd="1"/>
        <i x="496" s="1" nd="1"/>
        <i x="507" s="1" nd="1"/>
        <i x="447" s="1" nd="1"/>
        <i x="166" s="1" nd="1"/>
        <i x="134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4" s="1" nd="1"/>
        <i x="504" s="1" nd="1"/>
        <i x="228" s="1" nd="1"/>
        <i x="281" s="1" nd="1"/>
        <i x="94" s="1" nd="1"/>
        <i x="407" s="1" nd="1"/>
        <i x="320" s="1" nd="1"/>
        <i x="710" s="1" nd="1"/>
        <i x="535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2" s="1" nd="1"/>
        <i x="254" s="1" nd="1"/>
        <i x="512" s="1" nd="1"/>
        <i x="96" s="1" nd="1"/>
        <i x="523" s="1" nd="1"/>
        <i x="789" s="1" nd="1"/>
        <i x="20" s="1" nd="1"/>
        <i x="538" s="1" nd="1"/>
        <i x="636" s="1" nd="1"/>
        <i x="575" s="1" nd="1"/>
        <i x="197" s="1" nd="1"/>
        <i x="574" s="1" nd="1"/>
        <i x="365" s="1" nd="1"/>
        <i x="823" s="1" nd="1"/>
        <i x="336" s="1" nd="1"/>
        <i x="524" s="1" nd="1"/>
        <i x="247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5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6" s="1" nd="1"/>
        <i x="687" s="1" nd="1"/>
        <i x="280" s="1" nd="1"/>
        <i x="525" s="1" nd="1"/>
        <i x="526" s="1" nd="1"/>
        <i x="38" s="1" nd="1"/>
        <i x="592" s="1" nd="1"/>
        <i x="801" s="1" nd="1"/>
        <i x="583" s="1" nd="1"/>
        <i x="749" s="1" nd="1"/>
        <i x="722" s="1" nd="1"/>
        <i x="533" s="1" nd="1"/>
        <i x="47" s="1" nd="1"/>
        <i x="554" s="1" nd="1"/>
        <i x="109" s="1" nd="1"/>
        <i x="235" s="1" nd="1"/>
        <i x="359" s="1" nd="1"/>
        <i x="260" s="1" nd="1"/>
        <i x="364" s="1" nd="1"/>
        <i x="501" s="1" nd="1"/>
        <i x="147" s="1" nd="1"/>
        <i x="170" s="1" nd="1"/>
        <i x="584" s="1" nd="1"/>
        <i x="803" s="1" nd="1"/>
        <i x="791" s="1" nd="1"/>
        <i x="200" s="1" nd="1"/>
        <i x="152" s="1" nd="1"/>
        <i x="236" s="1" nd="1"/>
        <i x="503" s="1" nd="1"/>
        <i x="786" s="1" nd="1"/>
        <i x="259" s="1" nd="1"/>
        <i x="752" s="1" nd="1"/>
        <i x="129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1" s="1" nd="1"/>
        <i x="769" s="1" nd="1"/>
        <i x="719" s="1" nd="1"/>
        <i x="760" s="1" nd="1"/>
        <i x="520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5" s="1" nd="1"/>
        <i x="88" s="1" nd="1"/>
        <i x="754" s="1" nd="1"/>
        <i x="156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7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6" s="1" nd="1"/>
        <i x="153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3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5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4" s="1" nd="1"/>
        <i x="123" s="1" nd="1"/>
        <i x="646" s="1" nd="1"/>
        <i x="49" s="1" nd="1"/>
        <i x="416" s="1" nd="1"/>
        <i x="146" s="1" nd="1"/>
        <i x="728" s="1" nd="1"/>
        <i x="164" s="1" nd="1"/>
        <i x="346" s="1" nd="1"/>
        <i x="120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1" s="1" nd="1"/>
        <i x="157" s="1" nd="1"/>
        <i x="56" s="1" nd="1"/>
        <i x="548" s="1" nd="1"/>
        <i x="618" s="1" nd="1"/>
        <i x="100" s="1" nd="1"/>
        <i x="766" s="1" nd="1"/>
        <i x="127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30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3" totalsRowShown="0" headerRowDxfId="92" dataDxfId="90" headerRowBorderDxfId="91" tableBorderDxfId="89" totalsRowBorderDxfId="88">
  <autoFilter ref="A1:D393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302718</v>
      </c>
      <c r="B2" s="12" t="s">
        <v>614</v>
      </c>
      <c r="C2" s="14">
        <v>46293</v>
      </c>
      <c r="D2" s="14">
        <v>46293</v>
      </c>
      <c r="E2" s="12">
        <v>65980</v>
      </c>
      <c r="F2" s="15" t="s">
        <v>615</v>
      </c>
      <c r="G2" s="15" t="s">
        <v>616</v>
      </c>
      <c r="H2" s="15" t="s">
        <v>617</v>
      </c>
      <c r="I2" s="16">
        <v>5665.55</v>
      </c>
      <c r="J2" s="15" t="s">
        <v>618</v>
      </c>
      <c r="K2" s="15" t="s">
        <v>619</v>
      </c>
      <c r="L2" s="15" t="s">
        <v>620</v>
      </c>
      <c r="M2" s="15">
        <v>302.94</v>
      </c>
      <c r="N2" s="15">
        <v>15</v>
      </c>
      <c r="O2" s="16">
        <v>318.5</v>
      </c>
      <c r="P2" s="15" t="s">
        <v>621</v>
      </c>
      <c r="Q2" s="15">
        <v>58.48</v>
      </c>
      <c r="R2" s="15" t="s">
        <v>622</v>
      </c>
      <c r="S2" s="15">
        <v>79.98</v>
      </c>
      <c r="T2" s="15" t="s">
        <v>623</v>
      </c>
      <c r="U2" s="15">
        <v>0</v>
      </c>
      <c r="V2" s="15">
        <v>36.35</v>
      </c>
      <c r="W2" s="15">
        <v>0</v>
      </c>
      <c r="X2" s="15">
        <v>0</v>
      </c>
      <c r="Y2" s="15">
        <v>2.83</v>
      </c>
      <c r="Z2" s="15">
        <v>0</v>
      </c>
      <c r="AA2" s="15">
        <v>647.16999999999996</v>
      </c>
      <c r="AB2" s="15">
        <v>-344.23</v>
      </c>
      <c r="AC2" s="15">
        <v>78.760000000000005</v>
      </c>
      <c r="AD2" s="15">
        <v>-422.99</v>
      </c>
      <c r="AE2" s="15">
        <v>0</v>
      </c>
      <c r="AF2" s="15">
        <v>-422.99</v>
      </c>
      <c r="AG2" s="17">
        <v>-1.3962999999999999</v>
      </c>
      <c r="AH2" s="15"/>
    </row>
    <row r="3" spans="1:34" s="1" customFormat="1" ht="12" customHeight="1" x14ac:dyDescent="0.3">
      <c r="A3" s="13">
        <v>302851</v>
      </c>
      <c r="B3" s="12" t="s">
        <v>614</v>
      </c>
      <c r="C3" s="14">
        <v>46293</v>
      </c>
      <c r="D3" s="14">
        <v>46293</v>
      </c>
      <c r="E3" s="12"/>
      <c r="F3" s="15" t="s">
        <v>624</v>
      </c>
      <c r="G3" s="15" t="s">
        <v>625</v>
      </c>
      <c r="H3" s="15" t="s">
        <v>626</v>
      </c>
      <c r="I3" s="16">
        <v>462816.43</v>
      </c>
      <c r="J3" s="15" t="s">
        <v>627</v>
      </c>
      <c r="K3" s="15" t="s">
        <v>619</v>
      </c>
      <c r="L3" s="15" t="s">
        <v>628</v>
      </c>
      <c r="M3" s="16">
        <v>4559.07</v>
      </c>
      <c r="N3" s="15">
        <v>1</v>
      </c>
      <c r="O3" s="16">
        <v>292</v>
      </c>
      <c r="P3" s="15" t="s">
        <v>629</v>
      </c>
      <c r="Q3" s="15">
        <v>0</v>
      </c>
      <c r="R3" s="15" t="s">
        <v>629</v>
      </c>
      <c r="S3" s="15">
        <v>0</v>
      </c>
      <c r="T3" s="15" t="s">
        <v>623</v>
      </c>
      <c r="U3" s="15">
        <v>0</v>
      </c>
      <c r="V3" s="15">
        <v>820.63</v>
      </c>
      <c r="W3" s="15">
        <v>0</v>
      </c>
      <c r="X3" s="15">
        <v>0</v>
      </c>
      <c r="Y3" s="15">
        <v>231.41</v>
      </c>
      <c r="Z3" s="15">
        <v>0</v>
      </c>
      <c r="AA3" s="16">
        <v>1482.51</v>
      </c>
      <c r="AB3" s="16">
        <v>3076.56</v>
      </c>
      <c r="AC3" s="15">
        <v>1185.3599999999999</v>
      </c>
      <c r="AD3" s="15">
        <v>1891.2</v>
      </c>
      <c r="AE3" s="15">
        <v>112.15</v>
      </c>
      <c r="AF3" s="15">
        <v>1779.05</v>
      </c>
      <c r="AG3" s="17">
        <v>0.39020000000000005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4862.0099999999993</v>
      </c>
      <c r="F3" s="93"/>
      <c r="G3" s="94"/>
      <c r="H3" s="95">
        <f>'Resumo Detalhado'!C2</f>
        <v>610.5</v>
      </c>
      <c r="I3" s="96"/>
      <c r="J3" s="97">
        <f>E3/H3</f>
        <v>7.9639803439803432</v>
      </c>
      <c r="K3" s="98"/>
      <c r="L3" s="99"/>
      <c r="M3" s="138" t="s">
        <v>62</v>
      </c>
      <c r="N3" s="93"/>
      <c r="O3" s="94"/>
      <c r="P3" s="135">
        <v>1200</v>
      </c>
      <c r="Q3" s="136"/>
      <c r="R3" s="137"/>
      <c r="S3" s="103">
        <f>MIN(H3/P3,1)</f>
        <v>0.50875000000000004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958.48</v>
      </c>
      <c r="F7" s="109"/>
      <c r="G7" s="109"/>
      <c r="H7" s="109"/>
      <c r="I7" s="109"/>
      <c r="J7" s="109">
        <f>E7/H3</f>
        <v>1.56999180999181</v>
      </c>
      <c r="K7" s="109"/>
      <c r="L7" s="109"/>
      <c r="M7" s="110">
        <f>E7/E3</f>
        <v>0.19713657520243688</v>
      </c>
      <c r="N7" s="110"/>
      <c r="O7" s="110"/>
      <c r="P7" s="109">
        <f>E11+K11+Q11+E15+K15+Q15+E19+H19+K19</f>
        <v>3216.5824000000002</v>
      </c>
      <c r="Q7" s="109"/>
      <c r="R7" s="109"/>
      <c r="S7" s="109">
        <f>P7/H3</f>
        <v>5.2687672399672403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900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900</v>
      </c>
      <c r="L11" s="94"/>
      <c r="M11" s="38"/>
      <c r="N11" s="92">
        <f>K11/H3</f>
        <v>1.4742014742014742</v>
      </c>
      <c r="O11" s="94"/>
      <c r="P11" s="38"/>
      <c r="Q11" s="92">
        <f>'Resumo Detalhado'!D2</f>
        <v>58.48</v>
      </c>
      <c r="R11" s="94"/>
      <c r="S11" s="38"/>
      <c r="T11" s="92">
        <f>Q11/H3</f>
        <v>9.5790335790335787E-2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856.98</v>
      </c>
      <c r="F15" s="113"/>
      <c r="G15" s="113"/>
      <c r="H15" s="113"/>
      <c r="I15" s="114"/>
      <c r="J15" s="38"/>
      <c r="K15" s="116">
        <f>'Resumo Detalhado'!K2+'Resumo Detalhado'!L2</f>
        <v>777.92160000000001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234.24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388.96080000000001</v>
      </c>
      <c r="L19" s="108"/>
      <c r="M19" s="38"/>
      <c r="N19" s="112" t="s">
        <v>630</v>
      </c>
      <c r="O19" s="113"/>
      <c r="P19" s="113"/>
      <c r="Q19" s="113"/>
      <c r="R19" s="119"/>
      <c r="S19" s="112">
        <f>_xlfn.XLOOKUP(N19,Target!C:C,Target!D:D)</f>
        <v>900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3131.2192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0.64401743311922444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631</v>
      </c>
      <c r="F1" s="29"/>
    </row>
    <row r="2" spans="1:18" x14ac:dyDescent="0.3">
      <c r="B2" s="29">
        <f>SUM(B6:B5000)</f>
        <v>4862.0099999999993</v>
      </c>
      <c r="C2" s="29">
        <f>SUM(C6:C5000)</f>
        <v>610.5</v>
      </c>
      <c r="D2" s="29">
        <f>SUM(D6:D5000)</f>
        <v>58.48</v>
      </c>
      <c r="E2" s="29">
        <f>SUM(E6:E5000)</f>
        <v>79.98</v>
      </c>
      <c r="F2" s="29">
        <f>SUM(F6:F5000)</f>
        <v>0</v>
      </c>
      <c r="G2" s="29"/>
      <c r="H2" s="29">
        <f t="shared" ref="H2:P2" si="0">SUM(H6:H5000)</f>
        <v>856.98</v>
      </c>
      <c r="I2" s="29">
        <f t="shared" si="0"/>
        <v>234.24</v>
      </c>
      <c r="J2" s="29">
        <f t="shared" si="0"/>
        <v>0</v>
      </c>
      <c r="K2" s="29">
        <f t="shared" si="0"/>
        <v>388.96080000000001</v>
      </c>
      <c r="L2" s="29">
        <f t="shared" si="0"/>
        <v>388.96080000000001</v>
      </c>
      <c r="M2" s="29">
        <f t="shared" si="0"/>
        <v>112.15</v>
      </c>
      <c r="N2" s="29">
        <f t="shared" si="0"/>
        <v>3131.2192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302718</v>
      </c>
      <c r="B6" s="140">
        <v>302.94</v>
      </c>
      <c r="C6" s="141">
        <v>318.5</v>
      </c>
      <c r="D6" s="140">
        <v>58.48</v>
      </c>
      <c r="E6" s="140">
        <v>79.98</v>
      </c>
      <c r="F6" s="140">
        <v>0</v>
      </c>
      <c r="G6" s="142">
        <v>0.45705420215224141</v>
      </c>
      <c r="H6" s="140">
        <v>36.35</v>
      </c>
      <c r="I6" s="140">
        <v>2.83</v>
      </c>
      <c r="J6" s="140">
        <v>0</v>
      </c>
      <c r="K6" s="140">
        <v>24.235199999999999</v>
      </c>
      <c r="L6" s="140">
        <v>24.235199999999999</v>
      </c>
      <c r="M6" s="140">
        <v>0</v>
      </c>
      <c r="N6" s="140">
        <v>101.06480000000002</v>
      </c>
      <c r="O6" s="142">
        <v>0.33361325675051173</v>
      </c>
      <c r="Q6"/>
    </row>
    <row r="7" spans="1:18" s="31" customFormat="1" x14ac:dyDescent="0.3">
      <c r="A7" s="139" t="s">
        <v>625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302851</v>
      </c>
      <c r="B8" s="140">
        <v>4559.07</v>
      </c>
      <c r="C8" s="141">
        <v>292</v>
      </c>
      <c r="D8" s="140">
        <v>0</v>
      </c>
      <c r="E8" s="140">
        <v>0</v>
      </c>
      <c r="F8" s="140">
        <v>0</v>
      </c>
      <c r="G8" s="142">
        <v>0</v>
      </c>
      <c r="H8" s="140">
        <v>820.63</v>
      </c>
      <c r="I8" s="140">
        <v>231.41</v>
      </c>
      <c r="J8" s="140">
        <v>0</v>
      </c>
      <c r="K8" s="140">
        <v>364.72559999999999</v>
      </c>
      <c r="L8" s="140">
        <v>364.72559999999999</v>
      </c>
      <c r="M8" s="140">
        <v>112.15</v>
      </c>
      <c r="N8" s="140">
        <v>3030.1543999999999</v>
      </c>
      <c r="O8" s="142">
        <v>0.6646430960700318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631</v>
      </c>
    </row>
    <row r="2" spans="1:4" x14ac:dyDescent="0.3">
      <c r="B2" s="29">
        <f>SUM(B6:B5000)</f>
        <v>4559.07</v>
      </c>
      <c r="C2" s="29">
        <f>SUM(C6:C5000)</f>
        <v>3030.1543999999999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616</v>
      </c>
      <c r="B5" s="10">
        <v>302.94</v>
      </c>
      <c r="C5" s="10">
        <v>101.06480000000002</v>
      </c>
    </row>
    <row r="6" spans="1:4" x14ac:dyDescent="0.3">
      <c r="A6" s="139" t="s">
        <v>625</v>
      </c>
      <c r="B6" s="140">
        <v>4559.07</v>
      </c>
      <c r="C6" s="140">
        <v>3030.1543999999999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3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2026-10-01T12:42:58Z</dcterms:modified>
  <cp:category/>
  <cp:contentStatus/>
</cp:coreProperties>
</file>