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6AF5E06-845E-406B-93EF-C029668E9AB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<sst xmlns="http://schemas.openxmlformats.org/spreadsheetml/2006/main" count="869" uniqueCount="596">
  <si>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</si>
  <si>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</si>
  <si>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</si>
  <si>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</si>
  <si>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</si>
  <si>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</si>
  <si>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</si>
  <si>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</si>
  <si>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</si>
  <si>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</si>
  <si>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</si>
  <si>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</si>
  <si>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</si>
  <si>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</si>
  <si>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</si>
  <si>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</si>
  <si>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</si>
  <si>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</si>
  <si>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</si>
  <si>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</si>
  <si>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</si>
  <si>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</si>
  <si>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</si>
  <si>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</si>
  <si>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</si>
  <si>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</si>
  <si>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</si>
  <si>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</si>
  <si>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</si>
  <si>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</si>
  <si>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</si>
  <si>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</si>
  <si>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</si>
  <si>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</si>
  <si>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</si>
  <si>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</si>
  <si>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</si>
  <si>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</si>
  <si>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</si>
  <si>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</si>
  <si>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</si>
  <si>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</si>
  <si>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</si>
  <si>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</si>
  <si>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</si>
  <si>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</si>
  <si>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</si>
  <si>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</si>
  <si>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</si>
  <si>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</si>
  <si>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</si>
  <si>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</si>
  <si>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</si>
  <si>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</si>
  <si>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</si>
  <si>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</si>
  <si>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</si>
  <si>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</si>
  <si>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</si>
  <si>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</si>
  <si>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</si>
  <si>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</si>
  <si>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</si>
  <si>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</si>
  <si>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</si>
  <si>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</si>
  <si>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</si>
  <si>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</si>
  <si>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</si>
  <si>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</si>
  <si>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</si>
  <si>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</si>
  <si>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</si>
  <si>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</si>
  <si>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</si>
  <si>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</si>
  <si>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</si>
  <si>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</si>
  <si>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</si>
  <si>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</si>
  <si>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</si>
  <si>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</si>
  <si>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</si>
  <si>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</si>
  <si>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</si>
  <si>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</si>
  <si>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</si>
  <si>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</si>
  <si>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</si>
  <si>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</si>
  <si>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</si>
  <si>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</si>
  <si>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</si>
  <si>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</si>
  <si>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</si>
  <si>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</si>
  <si>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</si>
  <si>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</si>
  <si>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</si>
  <si>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</si>
  <si>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</si>
  <si>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</si>
  <si>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</si>
  <si>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</si>
  <si>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</si>
  <si>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</si>
  <si>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</si>
  <si>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</si>
  <si>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</si>
  <si>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</si>
  <si>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</si>
  <si>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</si>
  <si>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</si>
  <si>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</si>
  <si>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</si>
  <si>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</si>
  <si>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</si>
  <si>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</si>
  <si>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</si>
  <si>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</si>
  <si>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</si>
  <si>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</si>
  <si>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</si>
  <si>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</si>
  <si>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</si>
  <si>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</si>
  <si>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</si>
  <si>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</si>
  <si>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</si>
  <si>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</si>
  <si>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</si>
  <si>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</si>
  <si>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</si>
  <si>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</si>
  <si>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</si>
  <si>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</si>
  <si>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</si>
  <si>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</si>
  <si>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</si>
  <si>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</si>
  <si>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</si>
  <si>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</si>
  <si>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</si>
  <si>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</si>
  <si>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</si>
  <si>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</si>
  <si>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</si>
  <si>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</si>
  <si>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</si>
  <si>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</si>
  <si>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</si>
  <si>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</si>
  <si>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</si>
  <si>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</si>
  <si>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</si>
  <si>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</si>
  <si>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</si>
  <si>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</si>
  <si>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</si>
  <si>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</si>
  <si>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</si>
  <si>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</si>
  <si>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</si>
  <si>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</si>
  <si>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</si>
  <si>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</si>
  <si>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</si>
  <si>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</si>
  <si>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</si>
  <si>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</si>
  <si>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</si>
  <si>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</si>
  <si>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</si>
  <si>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</si>
  <si>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</si>
  <si>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</si>
  <si>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</si>
  <si>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</si>
  <si>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</si>
  <si>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</si>
  <si>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</si>
  <si>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</si>
  <si>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</si>
  <si>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</si>
  <si>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</si>
  <si>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</si>
  <si>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</si>
  <si>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</si>
  <si>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</si>
  <si>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</si>
  <si>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</si>
  <si>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</si>
  <si>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</si>
  <si>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</si>
  <si>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</si>
  <si>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</si>
  <si>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</si>
  <si>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</si>
  <si>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</si>
  <si>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</si>
  <si>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</si>
  <si>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</si>
  <si>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</si>
  <si>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</si>
  <si>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</si>
  <si>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</si>
  <si>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</si>
  <si>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</si>
  <si>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</si>
  <si>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</si>
  <si>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</si>
  <si>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</si>
  <si>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</si>
  <si>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</si>
  <si>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</si>
  <si>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</si>
  <si>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</si>
  <si>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</si>
  <si>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</si>
  <si>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</si>
  <si>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</si>
  <si>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</si>
  <si>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</si>
  <si>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</si>
  <si>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</si>
  <si>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</si>
  <si>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</si>
  <si>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</si>
  <si>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</si>
  <si>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</si>
  <si>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</si>
  <si>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</si>
  <si>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</si>
  <si>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</si>
  <si>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</si>
  <si>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</si>
  <si>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</si>
  <si>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</si>
  <si>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</si>
  <si>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</si>
  <si>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</si>
  <si>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</si>
  <si>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</si>
  <si>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</si>
  <si>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</si>
  <si>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</si>
  <si>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</si>
  <si>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</si>
  <si>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</si>
  <si>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</si>
  <si>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</si>
  <si>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</si>
  <si>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</si>
  <si>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</si>
  <si>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</si>
  <si>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</si>
  <si>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</si>
  <si>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</si>
  <si>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</si>
  <si>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</si>
  <si>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</si>
  <si>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</si>
  <si>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</si>
  <si>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</si>
  <si>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</si>
  <si>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</si>
  <si>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</si>
  <si>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</si>
  <si>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</si>
  <si>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</si>
  <si>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</si>
  <si>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</si>
  <si>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</si>
  <si>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</si>
  <si>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</si>
  <si>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</si>
  <si>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</si>
  <si>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</si>
  <si>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</si>
  <si>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</si>
  <si>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</si>
  <si>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</si>
  <si>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</si>
  <si>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</si>
  <si>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</si>
  <si>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</si>
  <si>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</si>
  <si>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</si>
  <si>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</si>
  <si>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</si>
  <si>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</si>
  <si>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</si>
  <si>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</si>
  <si>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</si>
  <si>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</si>
  <si>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</si>
  <si>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</si>
  <si>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</si>
  <si>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</si>
  <si>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</si>
  <si>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</si>
  <si>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</si>
  <si>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</si>
  <si>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</si>
  <si>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</si>
  <si>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</si>
  <si>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</si>
  <si>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</si>
  <si>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</si>
  <si>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</si>
  <si>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</si>
  <si>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</si>
  <si>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</si>
  <si>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</si>
  <si>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</si>
  <si>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</si>
  <si>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</si>
  <si>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</si>
  <si>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</si>
  <si>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</si>
  <si>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</si>
  <si>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</si>
  <si>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</si>
  <si>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</si>
  <si>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</si>
  <si>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</si>
  <si>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</si>
  <si>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</si>
  <si>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</si>
  <si>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</si>
  <si>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</si>
  <si>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</si>
  <si>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</si>
  <si>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</si>
  <si>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</si>
  <si>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</si>
  <si>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</si>
  <si>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</si>
  <si>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</si>
  <si>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</si>
  <si>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</si>
  <si>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</si>
  <si>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</si>
  <si>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</si>
  <si>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</si>
  <si>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</si>
  <si>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</si>
  <si>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</si>
  <si>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</si>
  <si>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</si>
  <si>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</si>
  <si>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</si>
  <si>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</si>
  <si>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</si>
  <si>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</si>
  <si>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</si>
  <si>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</si>
  <si>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</si>
  <si>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</si>
  <si>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</si>
  <si>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</si>
  <si>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</si>
  <si>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</si>
  <si>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</si>
  <si>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</si>
  <si>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</si>
  <si>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</si>
  <si>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</si>
  <si>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</si>
  <si>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</si>
  <si>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</si>
  <si>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</si>
  <si>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</si>
  <si>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</si>
  <si>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</si>
  <si>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</si>
  <si>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</si>
  <si>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</si>
  <si>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</si>
  <si>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</si>
  <si>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</si>
  <si>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</si>
  <si>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</si>
  <si>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</si>
  <si>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</si>
  <si>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</si>
  <si>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</si>
  <si>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</si>
  <si>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</si>
  <si>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</si>
  <si>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</si>
  <si>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</si>
  <si>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</si>
  <si>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</si>
  <si>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</si>
  <si>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</si>
  <si>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</si>
  <si>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</si>
  <si>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</si>
  <si>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</si>
  <si>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</si>
  <si>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</si>
  <si>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</si>
  <si>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</si>
  <si>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</si>
  <si>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</si>
  <si>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</si>
  <si>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</si>
  <si>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</si>
  <si>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</si>
  <si>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</si>
  <si>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</si>
  <si>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</si>
  <si>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</si>
  <si>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</si>
  <si>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</si>
  <si>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</si>
  <si>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</si>
  <si>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</si>
  <si>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</si>
  <si>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</si>
  <si>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</si>
  <si>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</si>
  <si>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</si>
  <si>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</si>
  <si>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</si>
  <si>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</si>
  <si>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</si>
  <si>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</si>
  <si>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</si>
  <si>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</si>
  <si>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</si>
  <si>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</si>
  <si>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</si>
  <si>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</si>
  <si>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</si>
  <si>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</si>
  <si>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</si>
  <si>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</si>
  <si>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</si>
  <si>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</si>
  <si>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</si>
  <si>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</si>
  <si>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</si>
  <si>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</si>
  <si>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</si>
  <si>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</si>
  <si>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</si>
  <si>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</si>
  <si>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</si>
  <si>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</si>
  <si>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</si>
  <si>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</si>
  <si>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</si>
  <si>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</si>
  <si>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</si>
  <si>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</si>
  <si>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</si>
  <si>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</si>
  <si>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</si>
  <si>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</si>
  <si>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</si>
  <si>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</si>
  <si>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</si>
  <si>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</si>
  <si>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</si>
  <si>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</si>
  <si>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</si>
  <si>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</si>
  <si>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</si>
  <si>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</si>
  <si>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</si>
  <si>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</si>
  <si>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</si>
  <si>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</si>
  <si>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</si>
  <si>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</si>
  <si>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</si>
  <si>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</si>
  <si>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</si>
  <si>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</si>
  <si>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</si>
  <si>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</si>
  <si>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</si>
  <si>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</si>
  <si>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</si>
  <si>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</si>
  <si>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</si>
  <si>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</si>
  <si>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</si>
  <si>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</si>
  <si>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</si>
  <si>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</si>
  <si>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</si>
  <si>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</si>
  <si>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</si>
  <si>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</si>
  <si>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</si>
  <si>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</si>
  <si>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</si>
  <si>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</si>
  <si>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</si>
  <si>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</si>
  <si>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</si>
  <si>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</si>
  <si>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</si>
  <si>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</si>
  <si>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</si>
  <si>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</si>
  <si>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</si>
  <si>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</si>
  <si>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</si>
  <si>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</si>
  <si>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</si>
  <si>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</si>
  <si>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</si>
  <si>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</si>
  <si>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</si>
  <si>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</si>
  <si>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</si>
  <si>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</si>
  <si>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</si>
  <si>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</si>
  <si>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</si>
  <si>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</si>
  <si>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</si>
  <si>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</si>
  <si>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</si>
  <si>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</si>
  <si>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</si>
  <si>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</si>
  <si>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</si>
  <si>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</si>
  <si>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</si>
  <si>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</si>
  <si>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</si>
  <si>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</si>
  <si>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</si>
  <si>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</si>
  <si>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</si>
  <si>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</si>
  <si>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</si>
  <si>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</si>
  <si>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</si>
  <si>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</si>
  <si>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</si>
  <si>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</si>
  <si>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</si>
  <si>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</si>
  <si>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</si>
  <si>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</si>
  <si>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</si>
  <si>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</si>
  <si>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</si>
  <si>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</si>
  <si>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</si>
  <si>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</si>
  <si>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</si>
  <si>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</si>
  <si>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</si>
  <si>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</si>
  <si>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</si>
  <si>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</si>
  <si>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</si>
  <si>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</si>
  <si>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</si>
  <si>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</si>
  <si>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</si>
  <si>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</si>
  <si>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</si>
  <si>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</si>
  <si>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</si>
  <si>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</si>
  <si>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</si>
  <si>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</si>
  <si>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</si>
  <si>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</si>
  <si>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</si>
  <si>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</si>
  <si>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</si>
  <si>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202291-1</t>
  </si>
  <si>
    <t>ITACORDA INDUST</t>
  </si>
  <si>
    <t>TIAGO SANTANA</t>
  </si>
  <si>
    <t>EXPRESSO_250</t>
  </si>
  <si>
    <t>CTE NORMAL</t>
  </si>
  <si>
    <t>GUARULHOS - SP</t>
  </si>
  <si>
    <t>RODOVIARIO ELG EIRELI</t>
  </si>
  <si>
    <t>JOSE EMILTON DA COSTA - O</t>
  </si>
  <si>
    <t>EMERSON JOSE GOMES</t>
  </si>
  <si>
    <t>202409-1</t>
  </si>
  <si>
    <t>TOTALITY COMERC</t>
  </si>
  <si>
    <t>URIEL CORREA</t>
  </si>
  <si>
    <t>PERSONALIZADO_L</t>
  </si>
  <si>
    <t>EXTREMA - MG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</si>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</sst>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96.8</c:v>
                </c:pt>
                <c:pt idx="1">
                  <c:v>5285.62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27.401999999999994</c:v>
                </c:pt>
                <c:pt idx="1">
                  <c:v>3027.7808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96.8</c:v>
                </c:pt>
                <c:pt idx="1">
                  <c:v>5285.62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27.401999999999994</c:v>
                </c:pt>
                <c:pt idx="1">
                  <c:v>3027.7808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37516319444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308" count="8000">
        <n v="298872"/>
        <n v="29930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8T00:00:00" maxDate="2026-09-01T00:00:00"/>
    </cacheField>
    <cacheField name="DATA" numFmtId="14">
      <sharedItems containsNonDate="0" containsDate="1" containsString="0" containsBlank="1" minDate="2026-08-28T00:00:00" maxDate="2026-09-01T00:00:00"/>
    </cacheField>
    <cacheField name="FAT" numFmtId="0">
      <sharedItems containsString="0" containsBlank="1" containsNumber="1" containsInteger="1" minValue="65007" maxValue="65092"/>
    </cacheField>
    <cacheField name="CT-E" numFmtId="0">
      <sharedItems containsBlank="1"/>
    </cacheField>
    <cacheField name="CLIENTE TOMADOR" numFmtId="0">
      <sharedItems containsBlank="1" count="855">
        <s v="ITACORDA INDUST"/>
        <s v="TOTALITY COMER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37.05" maxValue="661404.98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6.8" maxValue="5285.62"/>
    </cacheField>
    <cacheField name="VOLUMES" numFmtId="0">
      <sharedItems containsString="0" containsBlank="1" containsNumber="1" containsInteger="1" minValue="1" maxValue="6"/>
    </cacheField>
    <cacheField name="PESO" numFmtId="0">
      <sharedItems containsString="0" containsBlank="1" containsNumber="1" minValue="26.03" maxValue="407"/>
    </cacheField>
    <cacheField name="RESP. COLETA" numFmtId="0">
      <sharedItems containsBlank="1"/>
    </cacheField>
    <cacheField name="CUSTO COLETA" numFmtId="0">
      <sharedItems containsString="0" containsBlank="1" containsNumber="1" minValue="0" maxValue="0.5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.62" maxValue="951.4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7" maxValue="330.7"/>
    </cacheField>
    <cacheField name="OUTROS" numFmtId="0">
      <sharedItems containsString="0" containsBlank="1" containsNumber="1" minValue="0" maxValue="0.88"/>
    </cacheField>
    <cacheField name="C.TOTAL" numFmtId="0">
      <sharedItems containsString="0" containsBlank="1" containsNumber="1" minValue="108.01" maxValue="2128.0100000000002"/>
    </cacheField>
    <cacheField name="RECEITA" numFmtId="0">
      <sharedItems containsString="0" containsBlank="1" containsNumber="1" minValue="-11.21" maxValue="3157.61"/>
    </cacheField>
    <cacheField name="IMPOSTO" numFmtId="0">
      <sharedItems containsString="0" containsBlank="1" containsNumber="1" minValue="25.17" maxValue="1374.26"/>
    </cacheField>
    <cacheField name="RESULTADO" numFmtId="0">
      <sharedItems containsString="0" containsBlank="1" containsNumber="1" minValue="-36.380000000000003" maxValue="1783.35"/>
    </cacheField>
    <cacheField name="COMIS" numFmtId="0">
      <sharedItems containsString="0" containsBlank="1" containsNumber="1" minValue="0" maxValue="130.03"/>
    </cacheField>
    <cacheField name="LUCRO LIQ" numFmtId="0">
      <sharedItems containsString="0" containsBlank="1" containsNumber="1" minValue="-36.380000000000003" maxValue="1653.32"/>
    </cacheField>
    <cacheField name="MARGEM" numFmtId="10">
      <sharedItems containsString="0" containsBlank="1" containsNumber="1" minValue="-0.37579999999999997" maxValue="0.3128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8T00:00:00"/>
    <d v="2026-08-28T00:00:00"/>
    <n v="65007"/>
    <s v="202291-1"/>
    <x v="0"/>
    <s v="TIAGO SANTANA"/>
    <n v="1737.05"/>
    <x v="0"/>
    <s v="CTE NORMAL"/>
    <s v="GUARULHOS - SP"/>
    <n v="96.8"/>
    <n v="6"/>
    <n v="26.03"/>
    <s v="RODOVIARIO ELG EIRELI"/>
    <n v="0.54"/>
    <s v="JOSE EMILTON DA COSTA - O"/>
    <n v="40"/>
    <s v="EMERSON JOSE GOMES"/>
    <n v="0"/>
    <n v="11.62"/>
    <n v="0"/>
    <n v="0"/>
    <n v="0.87"/>
    <n v="0.88"/>
    <n v="108.01"/>
    <n v="-11.21"/>
    <n v="25.17"/>
    <n v="-36.380000000000003"/>
    <n v="0"/>
    <n v="-36.380000000000003"/>
    <n v="-0.37579999999999997"/>
    <m/>
  </r>
  <r>
    <x v="1"/>
    <s v="MATRIZ"/>
    <d v="2026-08-31T00:00:00"/>
    <d v="2026-08-31T00:00:00"/>
    <n v="65092"/>
    <s v="202409-1"/>
    <x v="1"/>
    <s v="URIEL CORREA"/>
    <n v="661404.98"/>
    <x v="1"/>
    <s v="CTE NORMAL"/>
    <s v="EXTREMA - MG"/>
    <n v="5285.62"/>
    <n v="1"/>
    <n v="407"/>
    <s v="EMERSON JOSE GOMES"/>
    <n v="0"/>
    <s v="N/D"/>
    <n v="0"/>
    <s v="EMERSON JOSE GOMES"/>
    <n v="0"/>
    <n v="951.41"/>
    <n v="0"/>
    <n v="0"/>
    <n v="330.7"/>
    <n v="0"/>
    <n v="2128.0100000000002"/>
    <n v="3157.61"/>
    <n v="1374.26"/>
    <n v="1783.35"/>
    <n v="130.03"/>
    <n v="1653.32"/>
    <n v="0.3128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8"/>
    </i>
    <i>
      <x v="77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77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30" s="1" nd="1"/>
        <i x="665" s="1" nd="1"/>
        <i x="519" s="1" nd="1"/>
        <i x="792" s="1" nd="1"/>
        <i x="178" s="1" nd="1"/>
        <i x="59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9" s="1" nd="1"/>
        <i x="661" s="1" nd="1"/>
        <i x="372" s="1" nd="1"/>
        <i x="155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60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1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2" s="1" nd="1"/>
        <i x="450" s="1" nd="1"/>
        <i x="349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4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9" s="1" nd="1"/>
        <i x="208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4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2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4" s="1" nd="1"/>
        <i x="720" s="1" nd="1"/>
        <i x="555" s="1" nd="1"/>
        <i x="117" s="1" nd="1"/>
        <i x="376" s="1" nd="1"/>
        <i x="718" s="1" nd="1"/>
        <i x="128" s="1" nd="1"/>
        <i x="34" s="1" nd="1"/>
        <i x="302" s="1" nd="1"/>
        <i x="61" s="1" nd="1"/>
        <i x="452" s="1" nd="1"/>
        <i x="774" s="1" nd="1"/>
        <i x="485" s="1" nd="1"/>
        <i x="740" s="1" nd="1"/>
        <i x="454" s="1" nd="1"/>
        <i x="521" s="1" nd="1"/>
        <i x="163" s="1" nd="1"/>
        <i x="404" s="1" nd="1"/>
        <i x="741" s="1" nd="1"/>
        <i x="194" s="1" nd="1"/>
        <i x="746" s="1" nd="1"/>
        <i x="384" s="1" nd="1"/>
        <i x="138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6" s="1" nd="1"/>
        <i x="330" s="1" nd="1"/>
        <i x="536" s="1" nd="1"/>
        <i x="237" s="1" nd="1"/>
        <i x="557" s="1" nd="1"/>
        <i x="547" s="1" nd="1"/>
        <i x="850" s="1" nd="1"/>
        <i x="3" s="1" nd="1"/>
        <i x="272" s="1" nd="1"/>
        <i x="76" s="1" nd="1"/>
        <i x="131" s="1" nd="1"/>
        <i x="654" s="1" nd="1"/>
        <i x="721" s="1" nd="1"/>
        <i x="641" s="1" nd="1"/>
        <i x="231" s="1" nd="1"/>
        <i x="373" s="1" nd="1"/>
        <i x="735" s="1" nd="1"/>
        <i x="133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8" s="1" nd="1"/>
        <i x="362" s="1" nd="1"/>
        <i x="263" s="1" nd="1"/>
        <i x="291" s="1" nd="1"/>
        <i x="541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7" s="1" nd="1"/>
        <i x="574" s="1" nd="1"/>
        <i x="365" s="1" nd="1"/>
        <i x="823" s="1" nd="1"/>
        <i x="336" s="1" nd="1"/>
        <i x="524" s="1" nd="1"/>
        <i x="247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6" s="1" nd="1"/>
        <i x="687" s="1" nd="1"/>
        <i x="280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5" s="1" nd="1"/>
        <i x="359" s="1" nd="1"/>
        <i x="260" s="1" nd="1"/>
        <i x="364" s="1" nd="1"/>
        <i x="501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3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3" s="1" nd="1"/>
        <i x="646" s="1" nd="1"/>
        <i x="49" s="1" nd="1"/>
        <i x="416" s="1" nd="1"/>
        <i x="146" s="1" nd="1"/>
        <i x="728" s="1" nd="1"/>
        <i x="164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1" s="1" nd="1"/>
        <i x="157" s="1" nd="1"/>
        <i x="56" s="1" nd="1"/>
        <i x="548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298872</v>
      </c>
      <c r="B2" s="12" t="s">
        <v>579</v>
      </c>
      <c r="C2" s="14">
        <v>46262</v>
      </c>
      <c r="D2" s="14">
        <v>46262</v>
      </c>
      <c r="E2" s="12">
        <v>65007</v>
      </c>
      <c r="F2" s="15" t="s">
        <v>580</v>
      </c>
      <c r="G2" s="15" t="s">
        <v>581</v>
      </c>
      <c r="H2" s="15" t="s">
        <v>582</v>
      </c>
      <c r="I2" s="16">
        <v>1737.05</v>
      </c>
      <c r="J2" s="15" t="s">
        <v>583</v>
      </c>
      <c r="K2" s="15" t="s">
        <v>584</v>
      </c>
      <c r="L2" s="15" t="s">
        <v>585</v>
      </c>
      <c r="M2" s="15">
        <v>96.8</v>
      </c>
      <c r="N2" s="15">
        <v>6</v>
      </c>
      <c r="O2" s="16">
        <v>26.03</v>
      </c>
      <c r="P2" s="15" t="s">
        <v>586</v>
      </c>
      <c r="Q2" s="15">
        <v>0.54</v>
      </c>
      <c r="R2" s="15" t="s">
        <v>587</v>
      </c>
      <c r="S2" s="15">
        <v>40</v>
      </c>
      <c r="T2" s="15" t="s">
        <v>588</v>
      </c>
      <c r="U2" s="15">
        <v>0</v>
      </c>
      <c r="V2" s="15">
        <v>11.62</v>
      </c>
      <c r="W2" s="15">
        <v>0</v>
      </c>
      <c r="X2" s="15">
        <v>0</v>
      </c>
      <c r="Y2" s="15">
        <v>0.87</v>
      </c>
      <c r="Z2" s="15">
        <v>0.88</v>
      </c>
      <c r="AA2" s="15">
        <v>108.01</v>
      </c>
      <c r="AB2" s="15">
        <v>-11.21</v>
      </c>
      <c r="AC2" s="15">
        <v>25.17</v>
      </c>
      <c r="AD2" s="15">
        <v>-36.380000000000003</v>
      </c>
      <c r="AE2" s="15">
        <v>0</v>
      </c>
      <c r="AF2" s="15">
        <v>-36.380000000000003</v>
      </c>
      <c r="AG2" s="17">
        <v>-0.37579999999999997</v>
      </c>
      <c r="AH2" s="15"/>
    </row>
    <row r="3" spans="1:34" s="1" customFormat="1" ht="12" customHeight="1" x14ac:dyDescent="0.3">
      <c r="A3" s="13">
        <v>299308</v>
      </c>
      <c r="B3" s="12" t="s">
        <v>579</v>
      </c>
      <c r="C3" s="14">
        <v>46265</v>
      </c>
      <c r="D3" s="14">
        <v>46265</v>
      </c>
      <c r="E3" s="12">
        <v>65092</v>
      </c>
      <c r="F3" s="15" t="s">
        <v>589</v>
      </c>
      <c r="G3" s="15" t="s">
        <v>590</v>
      </c>
      <c r="H3" s="15" t="s">
        <v>591</v>
      </c>
      <c r="I3" s="16">
        <v>661404.98</v>
      </c>
      <c r="J3" s="15" t="s">
        <v>592</v>
      </c>
      <c r="K3" s="15" t="s">
        <v>584</v>
      </c>
      <c r="L3" s="15" t="s">
        <v>593</v>
      </c>
      <c r="M3" s="16">
        <v>5285.62</v>
      </c>
      <c r="N3" s="15">
        <v>1</v>
      </c>
      <c r="O3" s="16">
        <v>407</v>
      </c>
      <c r="P3" s="15" t="s">
        <v>588</v>
      </c>
      <c r="Q3" s="15">
        <v>0</v>
      </c>
      <c r="R3" s="15" t="s">
        <v>594</v>
      </c>
      <c r="S3" s="15">
        <v>0</v>
      </c>
      <c r="T3" s="15" t="s">
        <v>588</v>
      </c>
      <c r="U3" s="15">
        <v>0</v>
      </c>
      <c r="V3" s="15">
        <v>951.41</v>
      </c>
      <c r="W3" s="15">
        <v>0</v>
      </c>
      <c r="X3" s="15">
        <v>0</v>
      </c>
      <c r="Y3" s="15">
        <v>330.7</v>
      </c>
      <c r="Z3" s="15">
        <v>0</v>
      </c>
      <c r="AA3" s="16">
        <v>2128.0100000000002</v>
      </c>
      <c r="AB3" s="16">
        <v>3157.61</v>
      </c>
      <c r="AC3" s="15">
        <v>1374.26</v>
      </c>
      <c r="AD3" s="15">
        <v>1783.35</v>
      </c>
      <c r="AE3" s="15">
        <v>130.03</v>
      </c>
      <c r="AF3" s="15">
        <v>1653.32</v>
      </c>
      <c r="AG3" s="17">
        <v>0.31280000000000002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5382.42</v>
      </c>
      <c r="F3" s="89"/>
      <c r="G3" s="90"/>
      <c r="H3" s="133">
        <f>'Resumo Detalhado'!C2</f>
        <v>433.03</v>
      </c>
      <c r="I3" s="134"/>
      <c r="J3" s="135">
        <f>E3/H3</f>
        <v>12.42966999976907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0.36085833333333334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900.54</v>
      </c>
      <c r="F7" s="112"/>
      <c r="G7" s="112"/>
      <c r="H7" s="112"/>
      <c r="I7" s="112"/>
      <c r="J7" s="112">
        <f>E7/H3</f>
        <v>2.0796249682470038</v>
      </c>
      <c r="K7" s="112"/>
      <c r="L7" s="112"/>
      <c r="M7" s="130">
        <f>E7/E3</f>
        <v>0.16731135808799757</v>
      </c>
      <c r="N7" s="130"/>
      <c r="O7" s="130"/>
      <c r="P7" s="112">
        <f>E11+K11+Q11+E15+K15+Q15+E19+H19+K19</f>
        <v>3487.8008000000004</v>
      </c>
      <c r="Q7" s="112"/>
      <c r="R7" s="112"/>
      <c r="S7" s="112">
        <f>P7/H3</f>
        <v>8.0544091633374144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2.0783779414821146</v>
      </c>
      <c r="O11" s="90"/>
      <c r="P11" s="38"/>
      <c r="Q11" s="88">
        <f>'Resumo Detalhado'!D2</f>
        <v>0.54</v>
      </c>
      <c r="R11" s="90"/>
      <c r="S11" s="38"/>
      <c r="T11" s="88">
        <f>Q11/H3</f>
        <v>1.2470267648892687E-3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963.03</v>
      </c>
      <c r="F15" s="119"/>
      <c r="G15" s="119"/>
      <c r="H15" s="119"/>
      <c r="I15" s="132"/>
      <c r="J15" s="38"/>
      <c r="K15" s="113">
        <f>'Resumo Detalhado'!K2+'Resumo Detalhado'!L2</f>
        <v>861.18720000000008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331.57</v>
      </c>
      <c r="F19" s="120"/>
      <c r="G19" s="38"/>
      <c r="H19" s="122">
        <f>'Resumo Detalhado'!J2</f>
        <v>0.88</v>
      </c>
      <c r="I19" s="123"/>
      <c r="J19" s="38"/>
      <c r="K19" s="122">
        <f>'Resumo Detalhado'!L2</f>
        <v>430.59360000000004</v>
      </c>
      <c r="L19" s="123"/>
      <c r="M19" s="38"/>
      <c r="N19" s="121" t="s">
        <v>272</v>
      </c>
      <c r="O19" s="119"/>
      <c r="P19" s="119"/>
      <c r="Q19" s="119"/>
      <c r="R19" s="120"/>
      <c r="S19" s="121">
        <f>_xlfn.XLOOKUP(N19,Target!C:C,Target!D:D)</f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3055.1828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0.56762251923855811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5382.42</v>
      </c>
      <c r="C2" s="29">
        <f>SUM(C6:C5000)</f>
        <v>433.03</v>
      </c>
      <c r="D2" s="29">
        <f>SUM(D6:D5000)</f>
        <v>0.54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963.03</v>
      </c>
      <c r="I2" s="29">
        <f t="shared" si="0"/>
        <v>331.57</v>
      </c>
      <c r="J2" s="29">
        <f t="shared" si="0"/>
        <v>0.88</v>
      </c>
      <c r="K2" s="29">
        <f t="shared" si="0"/>
        <v>430.59360000000004</v>
      </c>
      <c r="L2" s="29">
        <f t="shared" si="0"/>
        <v>430.59360000000004</v>
      </c>
      <c r="M2" s="29">
        <f t="shared" si="0"/>
        <v>130.03</v>
      </c>
      <c r="N2" s="29">
        <f t="shared" si="0"/>
        <v>3055.1828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298872</v>
      </c>
      <c r="B6" s="140">
        <v>96.8</v>
      </c>
      <c r="C6" s="141">
        <v>26.03</v>
      </c>
      <c r="D6" s="140">
        <v>0.54</v>
      </c>
      <c r="E6" s="140">
        <v>40</v>
      </c>
      <c r="F6" s="140">
        <v>0</v>
      </c>
      <c r="G6" s="142">
        <v>0.41880165289256199</v>
      </c>
      <c r="H6" s="140">
        <v>11.62</v>
      </c>
      <c r="I6" s="140">
        <v>0.87</v>
      </c>
      <c r="J6" s="140">
        <v>0.88</v>
      </c>
      <c r="K6" s="140">
        <v>7.7439999999999998</v>
      </c>
      <c r="L6" s="140">
        <v>7.7439999999999998</v>
      </c>
      <c r="M6" s="140">
        <v>0</v>
      </c>
      <c r="N6" s="140">
        <v>27.401999999999994</v>
      </c>
      <c r="O6" s="142">
        <v>0.28307851239669418</v>
      </c>
      <c r="Q6"/>
    </row>
    <row r="7" spans="1:18" s="31" customFormat="1" x14ac:dyDescent="0.3">
      <c r="A7" s="139" t="s">
        <v>590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299308</v>
      </c>
      <c r="B8" s="140">
        <v>5285.62</v>
      </c>
      <c r="C8" s="141">
        <v>407</v>
      </c>
      <c r="D8" s="140">
        <v>0</v>
      </c>
      <c r="E8" s="140">
        <v>0</v>
      </c>
      <c r="F8" s="140">
        <v>0</v>
      </c>
      <c r="G8" s="142">
        <v>0</v>
      </c>
      <c r="H8" s="140">
        <v>951.41</v>
      </c>
      <c r="I8" s="140">
        <v>330.7</v>
      </c>
      <c r="J8" s="140">
        <v>0</v>
      </c>
      <c r="K8" s="140">
        <v>422.84960000000001</v>
      </c>
      <c r="L8" s="140">
        <v>422.84960000000001</v>
      </c>
      <c r="M8" s="140">
        <v>130.03</v>
      </c>
      <c r="N8" s="140">
        <v>3027.7808</v>
      </c>
      <c r="O8" s="142">
        <v>0.57283361270768618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5285.62</v>
      </c>
      <c r="C2" s="29">
        <f>SUM(C6:C5000)</f>
        <v>3027.7808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96.8</v>
      </c>
      <c r="C5" s="10">
        <v>27.401999999999994</v>
      </c>
    </row>
    <row r="6" spans="1:4" x14ac:dyDescent="0.3">
      <c r="A6" s="139" t="s">
        <v>590</v>
      </c>
      <c r="B6" s="140">
        <v>5285.62</v>
      </c>
      <c r="C6" s="140">
        <v>3027.7808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2026-09-03T12:00:21Z</dcterms:modified>
  <cp:category/>
  <cp:contentStatus/>
</cp:coreProperties>
</file>