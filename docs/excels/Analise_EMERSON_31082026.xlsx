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C854927A-89FC-48B9-9CAF-09FEEBEE701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<sst xmlns="http://schemas.openxmlformats.org/spreadsheetml/2006/main" count="869" uniqueCount="596">
  <si>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</si>
  <si>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</si>
  <si>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</si>
  <si>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</si>
  <si>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</si>
  <si>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</si>
  <si>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</si>
  <si>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</si>
  <si>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</si>
  <si>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</si>
  <si>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</si>
  <si>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</si>
  <si>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</si>
  <si>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</si>
  <si>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</si>
  <si>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</si>
  <si>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</si>
  <si>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</si>
  <si>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</si>
  <si>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</si>
  <si>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</si>
  <si>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</si>
  <si>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</si>
  <si>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</si>
  <si>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</si>
  <si>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</si>
  <si>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</si>
  <si>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</si>
  <si>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</si>
  <si>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</si>
  <si>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</si>
  <si>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</si>
  <si>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</si>
  <si>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</si>
  <si>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</si>
  <si>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</si>
  <si>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</si>
  <si>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</si>
  <si>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</si>
  <si>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</si>
  <si>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</si>
  <si>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</si>
  <si>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</si>
  <si>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</si>
  <si>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</si>
  <si>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</si>
  <si>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</si>
  <si>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</si>
  <si>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</si>
  <si>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</si>
  <si>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</si>
  <si>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</si>
  <si>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</si>
  <si>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</si>
  <si>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</si>
  <si>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</si>
  <si>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</si>
  <si>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</si>
  <si>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</si>
  <si>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</si>
  <si>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</si>
  <si>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</si>
  <si>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</si>
  <si>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</si>
  <si>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</si>
  <si>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</si>
  <si>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</si>
  <si>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</si>
  <si>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</si>
  <si>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</si>
  <si>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</si>
  <si>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</si>
  <si>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</si>
  <si>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</si>
  <si>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</si>
  <si>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</si>
  <si>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</si>
  <si>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</si>
  <si>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</si>
  <si>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</si>
  <si>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</si>
  <si>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</si>
  <si>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</si>
  <si>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</si>
  <si>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</si>
  <si>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</si>
  <si>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</si>
  <si>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</si>
  <si>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</si>
  <si>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</si>
  <si>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</si>
  <si>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</si>
  <si>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</si>
  <si>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</si>
  <si>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</si>
  <si>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</si>
  <si>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</si>
  <si>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</si>
  <si>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</si>
  <si>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</si>
  <si>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</si>
  <si>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</si>
  <si>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</si>
  <si>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</si>
  <si>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</si>
  <si>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</si>
  <si>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</si>
  <si>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</si>
  <si>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</si>
  <si>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</si>
  <si>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</si>
  <si>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</si>
  <si>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</si>
  <si>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</si>
  <si>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</si>
  <si>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</si>
  <si>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</si>
  <si>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</si>
  <si>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</si>
  <si>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</si>
  <si>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</si>
  <si>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</si>
  <si>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</si>
  <si>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</si>
  <si>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</si>
  <si>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</si>
  <si>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</si>
  <si>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</si>
  <si>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</si>
  <si>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</si>
  <si>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</si>
  <si>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</si>
  <si>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</si>
  <si>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</si>
  <si>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</si>
  <si>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</si>
  <si>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</si>
  <si>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</si>
  <si>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</si>
  <si>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</si>
  <si>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</si>
  <si>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</si>
  <si>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</si>
  <si>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</si>
  <si>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</si>
  <si>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</si>
  <si>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</si>
  <si>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</si>
  <si>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</si>
  <si>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</si>
  <si>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</si>
  <si>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</si>
  <si>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</si>
  <si>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</si>
  <si>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</si>
  <si>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</si>
  <si>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</si>
  <si>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</si>
  <si>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</si>
  <si>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</si>
  <si>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</si>
  <si>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</si>
  <si>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</si>
  <si>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</si>
  <si>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</si>
  <si>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</si>
  <si>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</si>
  <si>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</si>
  <si>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</si>
  <si>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</si>
  <si>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</si>
  <si>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</si>
  <si>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</si>
  <si>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</si>
  <si>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</si>
  <si>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</si>
  <si>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</si>
  <si>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</si>
  <si>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</si>
  <si>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</si>
  <si>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</si>
  <si>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</si>
  <si>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</si>
  <si>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</si>
  <si>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</si>
  <si>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</si>
  <si>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</si>
  <si>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</si>
  <si>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</si>
  <si>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</si>
  <si>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</si>
  <si>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</si>
  <si>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</si>
  <si>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</si>
  <si>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</si>
  <si>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</si>
  <si>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</si>
  <si>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</si>
  <si>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</si>
  <si>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</si>
  <si>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</si>
  <si>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</si>
  <si>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</si>
  <si>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</si>
  <si>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</si>
  <si>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</si>
  <si>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</si>
  <si>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</si>
  <si>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</si>
  <si>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</si>
  <si>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</si>
  <si>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</si>
  <si>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</si>
  <si>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</si>
  <si>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</si>
  <si>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</si>
  <si>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</si>
  <si>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</si>
  <si>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</si>
  <si>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</si>
  <si>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</si>
  <si>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</si>
  <si>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</si>
  <si>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</si>
  <si>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</si>
  <si>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</si>
  <si>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</si>
  <si>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</si>
  <si>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</si>
  <si>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</si>
  <si>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</si>
  <si>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</si>
  <si>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</si>
  <si>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</si>
  <si>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</si>
  <si>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</si>
  <si>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</si>
  <si>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</si>
  <si>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</si>
  <si>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</si>
  <si>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</si>
  <si>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</si>
  <si>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</si>
  <si>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</si>
  <si>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</si>
  <si>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</si>
  <si>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</si>
  <si>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</si>
  <si>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</si>
  <si>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</si>
  <si>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</si>
  <si>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</si>
  <si>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</si>
  <si>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</si>
  <si>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</si>
  <si>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</si>
  <si>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</si>
  <si>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</si>
  <si>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</si>
  <si>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</si>
  <si>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</si>
  <si>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</si>
  <si>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</si>
  <si>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</si>
  <si>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</si>
  <si>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</si>
  <si>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</si>
  <si>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</si>
  <si>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</si>
  <si>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</si>
  <si>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</si>
  <si>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</si>
  <si>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</si>
  <si>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</si>
  <si>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</si>
  <si>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</si>
  <si>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</si>
  <si>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</si>
  <si>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</si>
  <si>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</si>
  <si>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</si>
  <si>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</si>
  <si>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</si>
  <si>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</si>
  <si>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</si>
  <si>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</si>
  <si>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</si>
  <si>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</si>
  <si>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</si>
  <si>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</si>
  <si>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</si>
  <si>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</si>
  <si>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</si>
  <si>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</si>
  <si>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</si>
  <si>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</si>
  <si>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</si>
  <si>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</si>
  <si>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</si>
  <si>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</si>
  <si>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</si>
  <si>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</si>
  <si>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</si>
  <si>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</si>
  <si>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</si>
  <si>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</si>
  <si>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</si>
  <si>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</si>
  <si>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</si>
  <si>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</si>
  <si>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</si>
  <si>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</si>
  <si>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</si>
  <si>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</si>
  <si>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</si>
  <si>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</si>
  <si>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</si>
  <si>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</si>
  <si>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</si>
  <si>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</si>
  <si>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</si>
  <si>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</si>
  <si>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</si>
  <si>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</si>
  <si>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</si>
  <si>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</si>
  <si>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</si>
  <si>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</si>
  <si>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</si>
  <si>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</si>
  <si>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</si>
  <si>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</si>
  <si>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</si>
  <si>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</si>
  <si>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</si>
  <si>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</si>
  <si>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</si>
  <si>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</si>
  <si>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</si>
  <si>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</si>
  <si>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</si>
  <si>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</si>
  <si>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</si>
  <si>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</si>
  <si>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</si>
  <si>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</si>
  <si>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</si>
  <si>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</si>
  <si>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</si>
  <si>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</si>
  <si>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</si>
  <si>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</si>
  <si>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</si>
  <si>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</si>
  <si>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</si>
  <si>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</si>
  <si>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</si>
  <si>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</si>
  <si>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</si>
  <si>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</si>
  <si>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</si>
  <si>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</si>
  <si>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</si>
  <si>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</si>
  <si>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</si>
  <si>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</si>
  <si>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</si>
  <si>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</si>
  <si>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</si>
  <si>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</si>
  <si>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</si>
  <si>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</si>
  <si>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</si>
  <si>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</si>
  <si>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</si>
  <si>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</si>
  <si>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</si>
  <si>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</si>
  <si>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</si>
  <si>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</si>
  <si>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</si>
  <si>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</si>
  <si>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</si>
  <si>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</si>
  <si>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</si>
  <si>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</si>
  <si>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</si>
  <si>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</si>
  <si>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</si>
  <si>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</si>
  <si>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</si>
  <si>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</si>
  <si>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</si>
  <si>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</si>
  <si>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</si>
  <si>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</si>
  <si>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</si>
  <si>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</si>
  <si>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</si>
  <si>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</si>
  <si>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</si>
  <si>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</si>
  <si>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</si>
  <si>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</si>
  <si>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</si>
  <si>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</si>
  <si>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</si>
  <si>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</si>
  <si>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</si>
  <si>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</si>
  <si>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</si>
  <si>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</si>
  <si>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</si>
  <si>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</si>
  <si>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</si>
  <si>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</si>
  <si>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</si>
  <si>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</si>
  <si>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</si>
  <si>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</si>
  <si>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</si>
  <si>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</si>
  <si>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</si>
  <si>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</si>
  <si>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</si>
  <si>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</si>
  <si>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</si>
  <si>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</si>
  <si>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</si>
  <si>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</si>
  <si>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</si>
  <si>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</si>
  <si>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</si>
  <si>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</si>
  <si>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</si>
  <si>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</si>
  <si>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</si>
  <si>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</si>
  <si>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</si>
  <si>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</si>
  <si>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</si>
  <si>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</si>
  <si>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</si>
  <si>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</si>
  <si>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</si>
  <si>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</si>
  <si>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</si>
  <si>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</si>
  <si>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</si>
  <si>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</si>
  <si>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</si>
  <si>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</si>
  <si>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</si>
  <si>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</si>
  <si>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</si>
  <si>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</si>
  <si>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</si>
  <si>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</si>
  <si>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</si>
  <si>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</si>
  <si>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</si>
  <si>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</si>
  <si>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</si>
  <si>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</si>
  <si>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</si>
  <si>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</si>
  <si>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</si>
  <si>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</si>
  <si>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</si>
  <si>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</si>
  <si>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</si>
  <si>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</si>
  <si>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</si>
  <si>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</si>
  <si>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</si>
  <si>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</si>
  <si>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</si>
  <si>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</si>
  <si>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</si>
  <si>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</si>
  <si>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</si>
  <si>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</si>
  <si>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</si>
  <si>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</si>
  <si>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</si>
  <si>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</si>
  <si>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</si>
  <si>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</si>
  <si>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</si>
  <si>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</si>
  <si>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</si>
  <si>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</si>
  <si>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</si>
  <si>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</si>
  <si>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</si>
  <si>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</si>
  <si>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</si>
  <si>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</si>
  <si>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</si>
  <si>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</si>
  <si>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</si>
  <si>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</si>
  <si>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</si>
  <si>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</si>
  <si>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</si>
  <si>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</si>
  <si>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</si>
  <si>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</si>
  <si>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</si>
  <si>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</si>
  <si>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</si>
  <si>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</si>
  <si>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</si>
  <si>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</si>
  <si>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</si>
  <si>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</si>
  <si>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</si>
  <si>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</si>
  <si>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</si>
  <si>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</si>
  <si>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</si>
  <si>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</si>
  <si>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</si>
  <si>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</si>
  <si>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</si>
  <si>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</si>
  <si>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</si>
  <si>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</si>
  <si>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</si>
  <si>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</si>
  <si>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</si>
  <si>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</si>
  <si>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</si>
  <si>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</si>
  <si>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</si>
  <si>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</si>
  <si>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</si>
  <si>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</si>
  <si>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</si>
  <si>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</si>
  <si>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</si>
  <si>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</si>
  <si>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</si>
  <si>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</si>
  <si>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</si>
  <si>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</si>
  <si>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</si>
  <si>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</si>
  <si>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</si>
  <si>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</si>
  <si>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</si>
  <si>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</si>
  <si>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</si>
  <si>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</si>
  <si>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</si>
  <si>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</si>
  <si>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</si>
  <si>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</si>
  <si>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</si>
  <si>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</si>
  <si>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</si>
  <si>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</si>
  <si>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</si>
  <si>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</si>
  <si>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</si>
  <si>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</si>
  <si>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</si>
  <si>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</si>
  <si>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</si>
  <si>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</si>
  <si>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</si>
  <si>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</si>
  <si>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</si>
  <si>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</si>
  <si>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</si>
  <si>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</si>
  <si>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</si>
  <si>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</si>
  <si>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</si>
  <si>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</si>
  <si>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202291-1</t>
  </si>
  <si>
    <t>ITACORDA INDUST</t>
  </si>
  <si>
    <t>TIAGO SANTANA</t>
  </si>
  <si>
    <t>EXPRESSO_250</t>
  </si>
  <si>
    <t>CTE NORMAL</t>
  </si>
  <si>
    <t>GUARULHOS - SP</t>
  </si>
  <si>
    <t>RODOVIARIO ELG EIRELI</t>
  </si>
  <si>
    <t>JOSE EMILTON DA COSTA - O</t>
  </si>
  <si>
    <t>EMERSON JOSE GOMES</t>
  </si>
  <si>
    <t>202409-1</t>
  </si>
  <si>
    <t>TOTALITY COMERC</t>
  </si>
  <si>
    <t>URIEL CORREA</t>
  </si>
  <si>
    <t>PERSONALIZADO_L</t>
  </si>
  <si>
    <t>EXTREMA - MG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</si>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</sst>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96.8</c:v>
                </c:pt>
                <c:pt idx="1">
                  <c:v>5285.62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27.401999999999994</c:v>
                </c:pt>
                <c:pt idx="1">
                  <c:v>3027.7808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96.8</c:v>
                </c:pt>
                <c:pt idx="1">
                  <c:v>5285.62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27.401999999999994</c:v>
                </c:pt>
                <c:pt idx="1">
                  <c:v>3027.7808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259934027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308" count="8000">
        <n v="298872"/>
        <n v="29930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8T00:00:00" maxDate="2026-09-01T00:00:00"/>
    </cacheField>
    <cacheField name="DATA" numFmtId="14">
      <sharedItems containsNonDate="0" containsDate="1" containsString="0" containsBlank="1" minDate="2026-08-28T00:00:00" maxDate="2026-09-01T00:00:00"/>
    </cacheField>
    <cacheField name="FAT" numFmtId="0">
      <sharedItems containsString="0" containsBlank="1" containsNumber="1" containsInteger="1" minValue="65007" maxValue="65092"/>
    </cacheField>
    <cacheField name="CT-E" numFmtId="0">
      <sharedItems containsBlank="1"/>
    </cacheField>
    <cacheField name="CLIENTE TOMADOR" numFmtId="0">
      <sharedItems containsBlank="1" count="855">
        <s v="ITACORDA INDUST"/>
        <s v="TOTALITY COMER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737.05" maxValue="661404.98"/>
    </cacheField>
    <cacheField name="SERVICO" numFmtId="0">
      <sharedItems containsBlank="1" count="27"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6.8" maxValue="5285.62"/>
    </cacheField>
    <cacheField name="VOLUMES" numFmtId="0">
      <sharedItems containsString="0" containsBlank="1" containsNumber="1" containsInteger="1" minValue="1" maxValue="6"/>
    </cacheField>
    <cacheField name="PESO" numFmtId="0">
      <sharedItems containsString="0" containsBlank="1" containsNumber="1" minValue="26.03" maxValue="407"/>
    </cacheField>
    <cacheField name="RESP. COLETA" numFmtId="0">
      <sharedItems containsBlank="1"/>
    </cacheField>
    <cacheField name="CUSTO COLETA" numFmtId="0">
      <sharedItems containsString="0" containsBlank="1" containsNumber="1" minValue="0" maxValue="0.54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1.62" maxValue="951.4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87" maxValue="330.7"/>
    </cacheField>
    <cacheField name="OUTROS" numFmtId="0">
      <sharedItems containsString="0" containsBlank="1" containsNumber="1" minValue="0" maxValue="0.88"/>
    </cacheField>
    <cacheField name="C.TOTAL" numFmtId="0">
      <sharedItems containsString="0" containsBlank="1" containsNumber="1" minValue="108.01" maxValue="2128.0100000000002"/>
    </cacheField>
    <cacheField name="RECEITA" numFmtId="0">
      <sharedItems containsString="0" containsBlank="1" containsNumber="1" minValue="-11.21" maxValue="3157.61"/>
    </cacheField>
    <cacheField name="IMPOSTO" numFmtId="0">
      <sharedItems containsString="0" containsBlank="1" containsNumber="1" minValue="25.17" maxValue="1374.26"/>
    </cacheField>
    <cacheField name="RESULTADO" numFmtId="0">
      <sharedItems containsString="0" containsBlank="1" containsNumber="1" minValue="-36.380000000000003" maxValue="1783.35"/>
    </cacheField>
    <cacheField name="COMIS" numFmtId="0">
      <sharedItems containsString="0" containsBlank="1" containsNumber="1" minValue="0" maxValue="130.03"/>
    </cacheField>
    <cacheField name="LUCRO LIQ" numFmtId="0">
      <sharedItems containsString="0" containsBlank="1" containsNumber="1" minValue="-36.380000000000003" maxValue="1653.32"/>
    </cacheField>
    <cacheField name="MARGEM" numFmtId="10">
      <sharedItems containsString="0" containsBlank="1" containsNumber="1" minValue="-0.37579999999999997" maxValue="0.3128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28T00:00:00"/>
    <d v="2026-08-28T00:00:00"/>
    <n v="65007"/>
    <s v="202291-1"/>
    <x v="0"/>
    <s v="TIAGO SANTANA"/>
    <n v="1737.05"/>
    <x v="0"/>
    <s v="CTE NORMAL"/>
    <s v="GUARULHOS - SP"/>
    <n v="96.8"/>
    <n v="6"/>
    <n v="26.03"/>
    <s v="RODOVIARIO ELG EIRELI"/>
    <n v="0.54"/>
    <s v="JOSE EMILTON DA COSTA - O"/>
    <n v="40"/>
    <s v="EMERSON JOSE GOMES"/>
    <n v="0"/>
    <n v="11.62"/>
    <n v="0"/>
    <n v="0"/>
    <n v="0.87"/>
    <n v="0.88"/>
    <n v="108.01"/>
    <n v="-11.21"/>
    <n v="25.17"/>
    <n v="-36.380000000000003"/>
    <n v="0"/>
    <n v="-36.380000000000003"/>
    <n v="-0.37579999999999997"/>
    <m/>
  </r>
  <r>
    <x v="1"/>
    <s v="MATRIZ"/>
    <d v="2026-08-31T00:00:00"/>
    <d v="2026-08-31T00:00:00"/>
    <n v="65092"/>
    <s v="202409-1"/>
    <x v="1"/>
    <s v="URIEL CORREA"/>
    <n v="661404.98"/>
    <x v="1"/>
    <s v="CTE NORMAL"/>
    <s v="EXTREMA - MG"/>
    <n v="5285.62"/>
    <n v="1"/>
    <n v="407"/>
    <s v="EMERSON JOSE GOMES"/>
    <n v="0"/>
    <s v="N/D"/>
    <n v="0"/>
    <s v="EMERSON JOSE GOMES"/>
    <n v="0"/>
    <n v="951.41"/>
    <n v="0"/>
    <n v="0"/>
    <n v="330.7"/>
    <n v="0"/>
    <n v="2128.0100000000002"/>
    <n v="3157.61"/>
    <n v="1374.26"/>
    <n v="1783.35"/>
    <n v="130.03"/>
    <n v="1653.32"/>
    <n v="0.3128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2"/>
        <item m="1" x="222"/>
        <item m="1" x="159"/>
        <item m="1" x="230"/>
        <item m="1" x="110"/>
        <item m="1" x="621"/>
        <item m="1" x="142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30"/>
        <item m="1" x="665"/>
        <item m="1" x="519"/>
        <item m="1" x="792"/>
        <item sd="0" m="1" x="178"/>
        <item sd="0" m="1" x="59"/>
        <item m="1" x="356"/>
        <item m="1" x="686"/>
        <item m="1" x="312"/>
        <item m="1" x="137"/>
        <item m="1" x="294"/>
        <item m="1" x="601"/>
        <item m="1" x="206"/>
        <item m="1" x="674"/>
        <item m="1" x="140"/>
        <item m="1" x="688"/>
        <item m="1" x="453"/>
        <item m="1" x="408"/>
        <item m="1" x="516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9"/>
        <item m="1" x="661"/>
        <item m="1" x="372"/>
        <item m="1" x="155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60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1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10"/>
        <item m="1" x="118"/>
        <item sd="0" m="1" x="537"/>
        <item m="1" x="84"/>
        <item m="1" x="602"/>
        <item sd="0" m="1" x="450"/>
        <item m="1" x="349"/>
        <item m="1" x="79"/>
        <item m="1" x="582"/>
        <item m="1" x="19"/>
        <item m="1" x="161"/>
        <item m="1" x="773"/>
        <item m="1" x="579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m="1" x="703"/>
        <item m="1" x="234"/>
        <item m="1" x="597"/>
        <item m="1" x="44"/>
        <item sd="0" m="1" x="843"/>
        <item sd="0" m="1" x="124"/>
        <item m="1" x="267"/>
        <item m="1" x="292"/>
        <item m="1" x="354"/>
        <item m="1" x="99"/>
        <item m="1" x="460"/>
        <item m="1" x="580"/>
        <item m="1" x="353"/>
        <item m="1" x="104"/>
        <item sd="0" m="1" x="539"/>
        <item m="1" x="208"/>
        <item m="1" x="671"/>
        <item m="1" x="486"/>
        <item m="1" x="640"/>
        <item m="1" x="606"/>
        <item m="1" x="532"/>
        <item sd="0" m="1" x="563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4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2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1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5"/>
        <item m="1" x="498"/>
        <item m="1" x="467"/>
        <item sd="0" m="1" x="141"/>
        <item sd="0" m="1" x="756"/>
        <item m="1" x="149"/>
        <item m="1" x="224"/>
        <item m="1" x="720"/>
        <item m="1" x="555"/>
        <item m="1" x="117"/>
        <item m="1" x="376"/>
        <item m="1" x="718"/>
        <item m="1" x="128"/>
        <item m="1" x="34"/>
        <item m="1" x="302"/>
        <item x="0"/>
        <item m="1" x="61"/>
        <item m="1" x="452"/>
        <item m="1" x="774"/>
        <item m="1" x="485"/>
        <item m="1" x="740"/>
        <item sd="0" m="1" x="454"/>
        <item m="1" x="521"/>
        <item m="1" x="163"/>
        <item sd="0" m="1" x="404"/>
        <item m="1" x="741"/>
        <item m="1" x="194"/>
        <item m="1" x="746"/>
        <item m="1" x="384"/>
        <item sd="0" m="1" x="138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6"/>
        <item m="1" x="330"/>
        <item m="1" x="536"/>
        <item sd="0" m="1" x="237"/>
        <item m="1" x="557"/>
        <item m="1" x="547"/>
        <item m="1" x="850"/>
        <item m="1" x="3"/>
        <item m="1" x="272"/>
        <item sd="0" m="1" x="76"/>
        <item m="1" x="131"/>
        <item m="1" x="654"/>
        <item sd="0" m="1" x="721"/>
        <item m="1" x="641"/>
        <item m="1" x="231"/>
        <item m="1" x="373"/>
        <item m="1" x="735"/>
        <item sd="0" m="1" x="133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m="1" x="119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8"/>
        <item m="1" x="362"/>
        <item m="1" x="263"/>
        <item m="1" x="291"/>
        <item m="1" x="541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6"/>
        <item sd="0" m="1" x="507"/>
        <item m="1" x="447"/>
        <item m="1" x="166"/>
        <item m="1" x="134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4"/>
        <item m="1" x="407"/>
        <item m="1" x="320"/>
        <item m="1" x="710"/>
        <item m="1" x="535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2"/>
        <item m="1" x="96"/>
        <item m="1" x="523"/>
        <item m="1" x="789"/>
        <item m="1" x="20"/>
        <item m="1" x="538"/>
        <item m="1" x="636"/>
        <item m="1" x="575"/>
        <item sd="0" m="1" x="197"/>
        <item m="1" x="574"/>
        <item m="1" x="365"/>
        <item m="1" x="823"/>
        <item m="1" x="336"/>
        <item m="1" x="524"/>
        <item m="1" x="247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6"/>
        <item m="1" x="687"/>
        <item m="1" x="280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5"/>
        <item sd="0" m="1" x="359"/>
        <item m="1" x="260"/>
        <item m="1" x="364"/>
        <item m="1" x="501"/>
        <item sd="0" m="1" x="147"/>
        <item m="1" x="170"/>
        <item m="1" x="584"/>
        <item m="1" x="803"/>
        <item sd="0" m="1" x="791"/>
        <item m="1" x="200"/>
        <item m="1" x="152"/>
        <item m="1" x="236"/>
        <item m="1" x="503"/>
        <item m="1" x="786"/>
        <item m="1" x="259"/>
        <item sd="0" m="1" x="752"/>
        <item m="1" x="129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6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6"/>
        <item sd="0" m="1" x="153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3"/>
        <item m="1" x="646"/>
        <item m="1" x="49"/>
        <item m="1" x="416"/>
        <item m="1" x="146"/>
        <item sd="0" m="1" x="728"/>
        <item m="1" x="164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x="1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2"/>
        <item m="1" x="630"/>
        <item m="1" x="201"/>
        <item m="1" x="157"/>
        <item m="1" x="56"/>
        <item m="1" x="548"/>
        <item sd="0" m="1" x="618"/>
        <item m="1" x="100"/>
        <item m="1" x="766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81"/>
    </i>
    <i r="1">
      <x v="7998"/>
    </i>
    <i>
      <x v="776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2"/>
        <item m="1" x="222"/>
        <item m="1" x="159"/>
        <item m="1" x="230"/>
        <item m="1" x="110"/>
        <item m="1" x="621"/>
        <item m="1" x="142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30"/>
        <item m="1" x="665"/>
        <item m="1" x="519"/>
        <item m="1" x="792"/>
        <item sd="0" m="1" x="178"/>
        <item sd="0" m="1" x="59"/>
        <item m="1" x="356"/>
        <item m="1" x="686"/>
        <item m="1" x="312"/>
        <item m="1" x="137"/>
        <item m="1" x="294"/>
        <item m="1" x="601"/>
        <item m="1" x="206"/>
        <item m="1" x="674"/>
        <item m="1" x="140"/>
        <item m="1" x="688"/>
        <item m="1" x="453"/>
        <item m="1" x="408"/>
        <item m="1" x="516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9"/>
        <item m="1" x="661"/>
        <item m="1" x="372"/>
        <item m="1" x="155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60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1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10"/>
        <item m="1" x="118"/>
        <item sd="0" m="1" x="537"/>
        <item m="1" x="84"/>
        <item m="1" x="602"/>
        <item sd="0" m="1" x="450"/>
        <item m="1" x="349"/>
        <item m="1" x="79"/>
        <item m="1" x="582"/>
        <item m="1" x="19"/>
        <item m="1" x="161"/>
        <item m="1" x="773"/>
        <item m="1" x="579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sd="0" m="1" x="703"/>
        <item m="1" x="234"/>
        <item m="1" x="597"/>
        <item m="1" x="44"/>
        <item sd="0" m="1" x="843"/>
        <item sd="0" m="1" x="124"/>
        <item m="1" x="267"/>
        <item m="1" x="292"/>
        <item m="1" x="354"/>
        <item m="1" x="99"/>
        <item m="1" x="460"/>
        <item m="1" x="580"/>
        <item m="1" x="353"/>
        <item m="1" x="104"/>
        <item sd="0" m="1" x="539"/>
        <item m="1" x="208"/>
        <item m="1" x="671"/>
        <item m="1" x="486"/>
        <item m="1" x="640"/>
        <item m="1" x="606"/>
        <item m="1" x="532"/>
        <item sd="0" m="1" x="563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4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2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1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5"/>
        <item m="1" x="498"/>
        <item m="1" x="467"/>
        <item sd="0" m="1" x="141"/>
        <item sd="0" m="1" x="756"/>
        <item m="1" x="149"/>
        <item m="1" x="224"/>
        <item m="1" x="720"/>
        <item m="1" x="555"/>
        <item m="1" x="117"/>
        <item m="1" x="376"/>
        <item m="1" x="718"/>
        <item m="1" x="128"/>
        <item m="1" x="34"/>
        <item m="1" x="302"/>
        <item x="0"/>
        <item m="1" x="61"/>
        <item m="1" x="452"/>
        <item m="1" x="774"/>
        <item m="1" x="485"/>
        <item m="1" x="740"/>
        <item sd="0" m="1" x="454"/>
        <item m="1" x="521"/>
        <item m="1" x="163"/>
        <item sd="0" m="1" x="404"/>
        <item m="1" x="741"/>
        <item m="1" x="194"/>
        <item m="1" x="746"/>
        <item m="1" x="384"/>
        <item sd="0" m="1" x="138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6"/>
        <item m="1" x="330"/>
        <item m="1" x="536"/>
        <item sd="0" m="1" x="237"/>
        <item m="1" x="557"/>
        <item m="1" x="547"/>
        <item m="1" x="850"/>
        <item m="1" x="3"/>
        <item m="1" x="272"/>
        <item sd="0" m="1" x="76"/>
        <item m="1" x="131"/>
        <item m="1" x="654"/>
        <item sd="0" m="1" x="721"/>
        <item m="1" x="641"/>
        <item m="1" x="231"/>
        <item m="1" x="373"/>
        <item m="1" x="735"/>
        <item sd="0" m="1" x="133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m="1" x="119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8"/>
        <item m="1" x="362"/>
        <item m="1" x="263"/>
        <item m="1" x="291"/>
        <item m="1" x="541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6"/>
        <item sd="0" m="1" x="507"/>
        <item m="1" x="447"/>
        <item m="1" x="166"/>
        <item m="1" x="134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4"/>
        <item m="1" x="407"/>
        <item m="1" x="320"/>
        <item m="1" x="710"/>
        <item m="1" x="535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2"/>
        <item m="1" x="96"/>
        <item m="1" x="523"/>
        <item m="1" x="789"/>
        <item m="1" x="20"/>
        <item m="1" x="538"/>
        <item m="1" x="636"/>
        <item m="1" x="575"/>
        <item sd="0" m="1" x="197"/>
        <item m="1" x="574"/>
        <item m="1" x="365"/>
        <item m="1" x="823"/>
        <item m="1" x="336"/>
        <item m="1" x="524"/>
        <item m="1" x="247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6"/>
        <item m="1" x="687"/>
        <item m="1" x="280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5"/>
        <item sd="0" m="1" x="359"/>
        <item m="1" x="260"/>
        <item m="1" x="364"/>
        <item m="1" x="501"/>
        <item sd="0" m="1" x="147"/>
        <item m="1" x="170"/>
        <item m="1" x="584"/>
        <item m="1" x="803"/>
        <item sd="0" m="1" x="791"/>
        <item m="1" x="200"/>
        <item m="1" x="152"/>
        <item m="1" x="236"/>
        <item m="1" x="503"/>
        <item m="1" x="786"/>
        <item m="1" x="259"/>
        <item sd="0" m="1" x="752"/>
        <item m="1" x="129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6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6"/>
        <item sd="0" m="1" x="153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3"/>
        <item m="1" x="646"/>
        <item m="1" x="49"/>
        <item m="1" x="416"/>
        <item m="1" x="146"/>
        <item sd="0" m="1" x="728"/>
        <item m="1" x="164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x="1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2"/>
        <item m="1" x="630"/>
        <item m="1" x="201"/>
        <item m="1" x="157"/>
        <item m="1" x="56"/>
        <item m="1" x="548"/>
        <item sd="0" m="1" x="618"/>
        <item m="1" x="100"/>
        <item m="1" x="766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81"/>
    </i>
    <i>
      <x v="77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7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50" s="1" nd="1"/>
        <i x="187" s="1" nd="1"/>
        <i x="273" s="1" nd="1"/>
        <i x="12" s="1" nd="1"/>
        <i x="761" s="1" nd="1"/>
        <i x="392" s="1" nd="1"/>
        <i x="712" s="1" nd="1"/>
        <i x="296" s="1" nd="1"/>
        <i x="114" s="1" nd="1"/>
        <i x="271" s="1" nd="1"/>
        <i x="590" s="1" nd="1"/>
        <i x="324" s="1" nd="1"/>
        <i x="675" s="1" nd="1"/>
        <i x="502" s="1" nd="1"/>
        <i x="25" s="1" nd="1"/>
        <i x="581" s="1" nd="1"/>
        <i x="852" s="1" nd="1"/>
        <i x="21" s="1" nd="1"/>
        <i x="757" s="1" nd="1"/>
        <i x="113" s="1" nd="1"/>
        <i x="545" s="1" nd="1"/>
        <i x="828" s="1" nd="1"/>
        <i x="270" s="1" nd="1"/>
        <i x="479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6" s="1" nd="1"/>
        <i x="476" s="1" nd="1"/>
        <i x="633" s="1" nd="1"/>
        <i x="446" s="1" nd="1"/>
        <i x="809" s="1" nd="1"/>
        <i x="667" s="1" nd="1"/>
        <i x="215" s="1" nd="1"/>
        <i x="132" s="1" nd="1"/>
        <i x="222" s="1" nd="1"/>
        <i x="159" s="1" nd="1"/>
        <i x="230" s="1" nd="1"/>
        <i x="110" s="1" nd="1"/>
        <i x="621" s="1" nd="1"/>
        <i x="142" s="1" nd="1"/>
        <i x="616" s="1" nd="1"/>
        <i x="321" s="1" nd="1"/>
        <i x="820" s="1" nd="1"/>
        <i x="322" s="1" nd="1"/>
        <i x="461" s="1" nd="1"/>
        <i x="506" s="1" nd="1"/>
        <i x="553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49" s="1" nd="1"/>
        <i x="845" s="1" nd="1"/>
        <i x="445" s="1" nd="1"/>
        <i x="530" s="1" nd="1"/>
        <i x="665" s="1" nd="1"/>
        <i x="519" s="1" nd="1"/>
        <i x="792" s="1" nd="1"/>
        <i x="178" s="1" nd="1"/>
        <i x="59" s="1" nd="1"/>
        <i x="356" s="1" nd="1"/>
        <i x="686" s="1" nd="1"/>
        <i x="312" s="1" nd="1"/>
        <i x="137" s="1" nd="1"/>
        <i x="294" s="1" nd="1"/>
        <i x="601" s="1" nd="1"/>
        <i x="206" s="1" nd="1"/>
        <i x="674" s="1" nd="1"/>
        <i x="140" s="1" nd="1"/>
        <i x="688" s="1" nd="1"/>
        <i x="453" s="1" nd="1"/>
        <i x="408" s="1" nd="1"/>
        <i x="516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2" s="1" nd="1"/>
        <i x="463" s="1" nd="1"/>
        <i x="139" s="1" nd="1"/>
        <i x="661" s="1" nd="1"/>
        <i x="372" s="1" nd="1"/>
        <i x="155" s="1" nd="1"/>
        <i x="251" s="1" nd="1"/>
        <i x="628" s="1" nd="1"/>
        <i x="736" s="1" nd="1"/>
        <i x="421" s="1" nd="1"/>
        <i x="81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3" s="1" nd="1"/>
        <i x="53" s="1" nd="1"/>
        <i x="649" s="1" nd="1"/>
        <i x="470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1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7" s="1" nd="1"/>
        <i x="401" s="1" nd="1"/>
        <i x="115" s="1" nd="1"/>
        <i x="652" s="1" nd="1"/>
        <i x="656" s="1" nd="1"/>
        <i x="795" s="1" nd="1"/>
        <i x="695" s="1" nd="1"/>
        <i x="455" s="1" nd="1"/>
        <i x="381" s="1" nd="1"/>
        <i x="448" s="1" nd="1"/>
        <i x="160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5" s="1" nd="1"/>
        <i x="173" s="1" nd="1"/>
        <i x="627" s="1" nd="1"/>
        <i x="375" s="1" nd="1"/>
        <i x="807" s="1" nd="1"/>
        <i x="60" s="1" nd="1"/>
        <i x="631" s="1" nd="1"/>
        <i x="531" s="1" nd="1"/>
        <i x="295" s="1" nd="1"/>
        <i x="304" s="1" nd="1"/>
        <i x="174" s="1" nd="1"/>
        <i x="102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6" s="1" nd="1"/>
        <i x="333" s="1" nd="1"/>
        <i x="220" s="1" nd="1"/>
        <i x="510" s="1" nd="1"/>
        <i x="118" s="1" nd="1"/>
        <i x="537" s="1" nd="1"/>
        <i x="84" s="1" nd="1"/>
        <i x="602" s="1" nd="1"/>
        <i x="450" s="1" nd="1"/>
        <i x="349" s="1" nd="1"/>
        <i x="79" s="1" nd="1"/>
        <i x="582" s="1" nd="1"/>
        <i x="19" s="1" nd="1"/>
        <i x="161" s="1" nd="1"/>
        <i x="773" s="1" nd="1"/>
        <i x="579" s="1" nd="1"/>
        <i x="518" s="1" nd="1"/>
        <i x="797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3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5" s="1" nd="1"/>
        <i x="458" s="1" nd="1"/>
        <i x="790" s="1" nd="1"/>
        <i x="703" s="1" nd="1"/>
        <i x="234" s="1" nd="1"/>
        <i x="597" s="1" nd="1"/>
        <i x="44" s="1" nd="1"/>
        <i x="843" s="1" nd="1"/>
        <i x="124" s="1" nd="1"/>
        <i x="267" s="1" nd="1"/>
        <i x="292" s="1" nd="1"/>
        <i x="354" s="1" nd="1"/>
        <i x="99" s="1" nd="1"/>
        <i x="460" s="1" nd="1"/>
        <i x="580" s="1" nd="1"/>
        <i x="353" s="1" nd="1"/>
        <i x="104" s="1" nd="1"/>
        <i x="539" s="1" nd="1"/>
        <i x="208" s="1" nd="1"/>
        <i x="671" s="1" nd="1"/>
        <i x="486" s="1" nd="1"/>
        <i x="640" s="1" nd="1"/>
        <i x="606" s="1" nd="1"/>
        <i x="532" s="1" nd="1"/>
        <i x="563" s="1" nd="1"/>
        <i x="738" s="1" nd="1"/>
        <i x="517" s="1" nd="1"/>
        <i x="386" s="1" nd="1"/>
        <i x="546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8" s="1" nd="1"/>
        <i x="154" s="1" nd="1"/>
        <i x="16" s="1" nd="1"/>
        <i x="232" s="1" nd="1"/>
        <i x="241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40" s="1" nd="1"/>
        <i x="314" s="1" nd="1"/>
        <i x="339" s="1" nd="1"/>
        <i x="771" s="1" nd="1"/>
        <i x="144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2" s="1" nd="1"/>
        <i x="315" s="1" nd="1"/>
        <i x="698" s="1" nd="1"/>
        <i x="331" s="1" nd="1"/>
        <i x="625" s="1" nd="1"/>
        <i x="542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1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5" s="1" nd="1"/>
        <i x="498" s="1" nd="1"/>
        <i x="467" s="1" nd="1"/>
        <i x="141" s="1" nd="1"/>
        <i x="756" s="1" nd="1"/>
        <i x="149" s="1" nd="1"/>
        <i x="224" s="1" nd="1"/>
        <i x="720" s="1" nd="1"/>
        <i x="555" s="1" nd="1"/>
        <i x="117" s="1" nd="1"/>
        <i x="376" s="1" nd="1"/>
        <i x="718" s="1" nd="1"/>
        <i x="128" s="1" nd="1"/>
        <i x="34" s="1" nd="1"/>
        <i x="302" s="1" nd="1"/>
        <i x="61" s="1" nd="1"/>
        <i x="452" s="1" nd="1"/>
        <i x="774" s="1" nd="1"/>
        <i x="485" s="1" nd="1"/>
        <i x="740" s="1" nd="1"/>
        <i x="454" s="1" nd="1"/>
        <i x="521" s="1" nd="1"/>
        <i x="163" s="1" nd="1"/>
        <i x="404" s="1" nd="1"/>
        <i x="741" s="1" nd="1"/>
        <i x="194" s="1" nd="1"/>
        <i x="746" s="1" nd="1"/>
        <i x="384" s="1" nd="1"/>
        <i x="138" s="1" nd="1"/>
        <i x="658" s="1" nd="1"/>
        <i x="430" s="1" nd="1"/>
        <i x="664" s="1" nd="1"/>
        <i x="493" s="1" nd="1"/>
        <i x="685" s="1" nd="1"/>
        <i x="327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5" s="1" nd="1"/>
        <i x="700" s="1" nd="1"/>
        <i x="428" s="1" nd="1"/>
        <i x="363" s="1" nd="1"/>
        <i x="101" s="1" nd="1"/>
        <i x="481" s="1" nd="1"/>
        <i x="607" s="1" nd="1"/>
        <i x="715" s="1" nd="1"/>
        <i x="55" s="1" nd="1"/>
        <i x="298" s="1" nd="1"/>
        <i x="682" s="1" nd="1"/>
        <i x="136" s="1" nd="1"/>
        <i x="330" s="1" nd="1"/>
        <i x="536" s="1" nd="1"/>
        <i x="237" s="1" nd="1"/>
        <i x="557" s="1" nd="1"/>
        <i x="547" s="1" nd="1"/>
        <i x="850" s="1" nd="1"/>
        <i x="3" s="1" nd="1"/>
        <i x="272" s="1" nd="1"/>
        <i x="76" s="1" nd="1"/>
        <i x="131" s="1" nd="1"/>
        <i x="654" s="1" nd="1"/>
        <i x="721" s="1" nd="1"/>
        <i x="641" s="1" nd="1"/>
        <i x="231" s="1" nd="1"/>
        <i x="373" s="1" nd="1"/>
        <i x="735" s="1" nd="1"/>
        <i x="133" s="1" nd="1"/>
        <i x="87" s="1" nd="1"/>
        <i x="209" s="1" nd="1"/>
        <i x="681" s="1" nd="1"/>
        <i x="275" s="1" nd="1"/>
        <i x="472" s="1" nd="1"/>
        <i x="799" s="1" nd="1"/>
        <i x="217" s="1" nd="1"/>
        <i x="827" s="1" nd="1"/>
        <i x="70" s="1" nd="1"/>
        <i x="119" s="1" nd="1"/>
        <i x="645" s="1" nd="1"/>
        <i x="411" s="1" nd="1"/>
        <i x="854" s="1" nd="1"/>
        <i x="432" s="1" nd="1"/>
        <i x="569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2" s="1" nd="1"/>
        <i x="188" s="1" nd="1"/>
        <i x="659" s="1" nd="1"/>
        <i x="221" s="1" nd="1"/>
        <i x="449" s="1" nd="1"/>
        <i x="148" s="1" nd="1"/>
        <i x="362" s="1" nd="1"/>
        <i x="263" s="1" nd="1"/>
        <i x="291" s="1" nd="1"/>
        <i x="541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2" s="1" nd="1"/>
        <i x="672" s="1" nd="1"/>
        <i x="838" s="1" nd="1"/>
        <i x="51" s="1" nd="1"/>
        <i x="605" s="1" nd="1"/>
        <i x="85" s="1" nd="1"/>
        <i x="326" s="1" nd="1"/>
        <i x="35" s="1" nd="1"/>
        <i x="496" s="1" nd="1"/>
        <i x="507" s="1" nd="1"/>
        <i x="447" s="1" nd="1"/>
        <i x="166" s="1" nd="1"/>
        <i x="134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5" s="1" nd="1"/>
        <i x="669" s="1" nd="1"/>
        <i x="95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4" s="1" nd="1"/>
        <i x="504" s="1" nd="1"/>
        <i x="228" s="1" nd="1"/>
        <i x="281" s="1" nd="1"/>
        <i x="94" s="1" nd="1"/>
        <i x="407" s="1" nd="1"/>
        <i x="320" s="1" nd="1"/>
        <i x="710" s="1" nd="1"/>
        <i x="535" s="1" nd="1"/>
        <i x="644" s="1" nd="1"/>
        <i x="609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2" s="1" nd="1"/>
        <i x="254" s="1" nd="1"/>
        <i x="512" s="1" nd="1"/>
        <i x="96" s="1" nd="1"/>
        <i x="523" s="1" nd="1"/>
        <i x="789" s="1" nd="1"/>
        <i x="20" s="1" nd="1"/>
        <i x="538" s="1" nd="1"/>
        <i x="636" s="1" nd="1"/>
        <i x="575" s="1" nd="1"/>
        <i x="197" s="1" nd="1"/>
        <i x="574" s="1" nd="1"/>
        <i x="365" s="1" nd="1"/>
        <i x="823" s="1" nd="1"/>
        <i x="336" s="1" nd="1"/>
        <i x="524" s="1" nd="1"/>
        <i x="247" s="1" nd="1"/>
        <i x="11" s="1" nd="1"/>
        <i x="143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5" s="1" nd="1"/>
        <i x="598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6" s="1" nd="1"/>
        <i x="687" s="1" nd="1"/>
        <i x="280" s="1" nd="1"/>
        <i x="525" s="1" nd="1"/>
        <i x="526" s="1" nd="1"/>
        <i x="38" s="1" nd="1"/>
        <i x="592" s="1" nd="1"/>
        <i x="801" s="1" nd="1"/>
        <i x="583" s="1" nd="1"/>
        <i x="749" s="1" nd="1"/>
        <i x="722" s="1" nd="1"/>
        <i x="533" s="1" nd="1"/>
        <i x="47" s="1" nd="1"/>
        <i x="554" s="1" nd="1"/>
        <i x="109" s="1" nd="1"/>
        <i x="235" s="1" nd="1"/>
        <i x="359" s="1" nd="1"/>
        <i x="260" s="1" nd="1"/>
        <i x="364" s="1" nd="1"/>
        <i x="501" s="1" nd="1"/>
        <i x="147" s="1" nd="1"/>
        <i x="170" s="1" nd="1"/>
        <i x="584" s="1" nd="1"/>
        <i x="803" s="1" nd="1"/>
        <i x="791" s="1" nd="1"/>
        <i x="200" s="1" nd="1"/>
        <i x="152" s="1" nd="1"/>
        <i x="236" s="1" nd="1"/>
        <i x="503" s="1" nd="1"/>
        <i x="786" s="1" nd="1"/>
        <i x="259" s="1" nd="1"/>
        <i x="752" s="1" nd="1"/>
        <i x="129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90" s="1" nd="1"/>
        <i x="511" s="1" nd="1"/>
        <i x="769" s="1" nd="1"/>
        <i x="719" s="1" nd="1"/>
        <i x="760" s="1" nd="1"/>
        <i x="520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5" s="1" nd="1"/>
        <i x="88" s="1" nd="1"/>
        <i x="754" s="1" nd="1"/>
        <i x="156" s="1" nd="1"/>
        <i x="233" s="1" nd="1"/>
        <i x="238" s="1" nd="1"/>
        <i x="466" s="1" nd="1"/>
        <i x="706" s="1" nd="1"/>
        <i x="619" s="1" nd="1"/>
        <i x="731" s="1" nd="1"/>
        <i x="471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7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5" s="1" nd="1"/>
        <i x="395" s="1" nd="1"/>
        <i x="670" s="1" nd="1"/>
        <i x="185" s="1" nd="1"/>
        <i x="409" s="1" nd="1"/>
        <i x="474" s="1" nd="1"/>
        <i x="837" s="1" nd="1"/>
        <i x="126" s="1" nd="1"/>
        <i x="153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3" s="1" nd="1"/>
        <i x="413" s="1" nd="1"/>
        <i x="702" s="1" nd="1"/>
        <i x="204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5" s="1" nd="1"/>
        <i x="410" s="1" nd="1"/>
        <i x="692" s="1" nd="1"/>
        <i x="44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1" s="1" nd="1"/>
        <i x="514" s="1" nd="1"/>
        <i x="123" s="1" nd="1"/>
        <i x="646" s="1" nd="1"/>
        <i x="49" s="1" nd="1"/>
        <i x="416" s="1" nd="1"/>
        <i x="146" s="1" nd="1"/>
        <i x="728" s="1" nd="1"/>
        <i x="164" s="1" nd="1"/>
        <i x="346" s="1" nd="1"/>
        <i x="120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79" s="1" nd="1"/>
        <i x="82" s="1" nd="1"/>
        <i x="634" s="1" nd="1"/>
        <i x="67" s="1" nd="1"/>
        <i x="650" s="1" nd="1"/>
        <i x="489" s="1" nd="1"/>
        <i x="753" s="1" nd="1"/>
        <i x="191" s="1" nd="1"/>
        <i x="678" s="1" nd="1"/>
        <i x="299" s="1" nd="1"/>
        <i x="588" s="1" nd="1"/>
        <i x="179" s="1" nd="1"/>
        <i x="623" s="1" nd="1"/>
        <i x="64" s="1" nd="1"/>
        <i x="424" s="1" nd="1"/>
        <i x="27" s="1" nd="1"/>
        <i x="765" s="1" nd="1"/>
        <i x="414" s="1" nd="1"/>
        <i x="552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2" s="1" nd="1"/>
        <i x="63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3" s="1" nd="1"/>
        <i x="438" s="1" nd="1"/>
        <i x="434" s="1" nd="1"/>
        <i x="122" s="1" nd="1"/>
        <i x="630" s="1" nd="1"/>
        <i x="201" s="1" nd="1"/>
        <i x="157" s="1" nd="1"/>
        <i x="56" s="1" nd="1"/>
        <i x="548" s="1" nd="1"/>
        <i x="618" s="1" nd="1"/>
        <i x="100" s="1" nd="1"/>
        <i x="766" s="1" nd="1"/>
        <i x="127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2" s="1" nd="1"/>
        <i x="684" s="1" nd="1"/>
        <i x="243" s="1" nd="1"/>
        <i x="57" s="1" nd="1"/>
        <i x="130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298872</v>
      </c>
      <c r="B2" s="12" t="s">
        <v>579</v>
      </c>
      <c r="C2" s="14">
        <v>46262</v>
      </c>
      <c r="D2" s="14">
        <v>46262</v>
      </c>
      <c r="E2" s="12">
        <v>65007</v>
      </c>
      <c r="F2" s="15" t="s">
        <v>580</v>
      </c>
      <c r="G2" s="15" t="s">
        <v>581</v>
      </c>
      <c r="H2" s="15" t="s">
        <v>582</v>
      </c>
      <c r="I2" s="16">
        <v>1737.05</v>
      </c>
      <c r="J2" s="15" t="s">
        <v>583</v>
      </c>
      <c r="K2" s="15" t="s">
        <v>584</v>
      </c>
      <c r="L2" s="15" t="s">
        <v>585</v>
      </c>
      <c r="M2" s="15">
        <v>96.8</v>
      </c>
      <c r="N2" s="15">
        <v>6</v>
      </c>
      <c r="O2" s="16">
        <v>26.03</v>
      </c>
      <c r="P2" s="15" t="s">
        <v>586</v>
      </c>
      <c r="Q2" s="15">
        <v>0.54</v>
      </c>
      <c r="R2" s="15" t="s">
        <v>587</v>
      </c>
      <c r="S2" s="15">
        <v>40</v>
      </c>
      <c r="T2" s="15" t="s">
        <v>588</v>
      </c>
      <c r="U2" s="15">
        <v>0</v>
      </c>
      <c r="V2" s="15">
        <v>11.62</v>
      </c>
      <c r="W2" s="15">
        <v>0</v>
      </c>
      <c r="X2" s="15">
        <v>0</v>
      </c>
      <c r="Y2" s="15">
        <v>0.87</v>
      </c>
      <c r="Z2" s="15">
        <v>0.88</v>
      </c>
      <c r="AA2" s="15">
        <v>108.01</v>
      </c>
      <c r="AB2" s="15">
        <v>-11.21</v>
      </c>
      <c r="AC2" s="15">
        <v>25.17</v>
      </c>
      <c r="AD2" s="15">
        <v>-36.380000000000003</v>
      </c>
      <c r="AE2" s="15">
        <v>0</v>
      </c>
      <c r="AF2" s="15">
        <v>-36.380000000000003</v>
      </c>
      <c r="AG2" s="17">
        <v>-0.37579999999999997</v>
      </c>
      <c r="AH2" s="15"/>
    </row>
    <row r="3" spans="1:34" s="1" customFormat="1" ht="12" customHeight="1" x14ac:dyDescent="0.3">
      <c r="A3" s="13">
        <v>299308</v>
      </c>
      <c r="B3" s="12" t="s">
        <v>579</v>
      </c>
      <c r="C3" s="14">
        <v>46265</v>
      </c>
      <c r="D3" s="14">
        <v>46265</v>
      </c>
      <c r="E3" s="12">
        <v>65092</v>
      </c>
      <c r="F3" s="15" t="s">
        <v>589</v>
      </c>
      <c r="G3" s="15" t="s">
        <v>590</v>
      </c>
      <c r="H3" s="15" t="s">
        <v>591</v>
      </c>
      <c r="I3" s="16">
        <v>661404.98</v>
      </c>
      <c r="J3" s="15" t="s">
        <v>592</v>
      </c>
      <c r="K3" s="15" t="s">
        <v>584</v>
      </c>
      <c r="L3" s="15" t="s">
        <v>593</v>
      </c>
      <c r="M3" s="16">
        <v>5285.62</v>
      </c>
      <c r="N3" s="15">
        <v>1</v>
      </c>
      <c r="O3" s="16">
        <v>407</v>
      </c>
      <c r="P3" s="15" t="s">
        <v>588</v>
      </c>
      <c r="Q3" s="15">
        <v>0</v>
      </c>
      <c r="R3" s="15" t="s">
        <v>594</v>
      </c>
      <c r="S3" s="15">
        <v>0</v>
      </c>
      <c r="T3" s="15" t="s">
        <v>588</v>
      </c>
      <c r="U3" s="15">
        <v>0</v>
      </c>
      <c r="V3" s="15">
        <v>951.41</v>
      </c>
      <c r="W3" s="15">
        <v>0</v>
      </c>
      <c r="X3" s="15">
        <v>0</v>
      </c>
      <c r="Y3" s="15">
        <v>330.7</v>
      </c>
      <c r="Z3" s="15">
        <v>0</v>
      </c>
      <c r="AA3" s="16">
        <v>2128.0100000000002</v>
      </c>
      <c r="AB3" s="16">
        <v>3157.61</v>
      </c>
      <c r="AC3" s="15">
        <v>1374.26</v>
      </c>
      <c r="AD3" s="15">
        <v>1783.35</v>
      </c>
      <c r="AE3" s="15">
        <v>130.03</v>
      </c>
      <c r="AF3" s="15">
        <v>1653.32</v>
      </c>
      <c r="AG3" s="17">
        <v>0.31280000000000002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5382.42</v>
      </c>
      <c r="F3" s="89"/>
      <c r="G3" s="90"/>
      <c r="H3" s="133">
        <f>'Resumo Detalhado'!C2</f>
        <v>433.03</v>
      </c>
      <c r="I3" s="134"/>
      <c r="J3" s="135">
        <f>E3/H3</f>
        <v>12.42966999976907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0.36085833333333334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900.54</v>
      </c>
      <c r="F7" s="112"/>
      <c r="G7" s="112"/>
      <c r="H7" s="112"/>
      <c r="I7" s="112"/>
      <c r="J7" s="112">
        <f>E7/H3</f>
        <v>2.0796249682470038</v>
      </c>
      <c r="K7" s="112"/>
      <c r="L7" s="112"/>
      <c r="M7" s="130">
        <f>E7/E3</f>
        <v>0.16731135808799757</v>
      </c>
      <c r="N7" s="130"/>
      <c r="O7" s="130"/>
      <c r="P7" s="112">
        <f>E11+K11+Q11+E15+K15+Q15+E19+H19+K19</f>
        <v>3487.8008000000004</v>
      </c>
      <c r="Q7" s="112"/>
      <c r="R7" s="112"/>
      <c r="S7" s="112">
        <f>P7/H3</f>
        <v>8.0544091633374144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900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900</v>
      </c>
      <c r="L11" s="90"/>
      <c r="M11" s="38"/>
      <c r="N11" s="88">
        <f>K11/H3</f>
        <v>2.0783779414821146</v>
      </c>
      <c r="O11" s="90"/>
      <c r="P11" s="38"/>
      <c r="Q11" s="88">
        <f>'Resumo Detalhado'!D2</f>
        <v>0.54</v>
      </c>
      <c r="R11" s="90"/>
      <c r="S11" s="38"/>
      <c r="T11" s="88">
        <f>Q11/H3</f>
        <v>1.2470267648892687E-3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963.03</v>
      </c>
      <c r="F15" s="119"/>
      <c r="G15" s="119"/>
      <c r="H15" s="119"/>
      <c r="I15" s="132"/>
      <c r="J15" s="38"/>
      <c r="K15" s="113">
        <f>'Resumo Detalhado'!K2+'Resumo Detalhado'!L2</f>
        <v>861.18720000000008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331.57</v>
      </c>
      <c r="F19" s="120"/>
      <c r="G19" s="38"/>
      <c r="H19" s="122">
        <f>'Resumo Detalhado'!J2</f>
        <v>0.88</v>
      </c>
      <c r="I19" s="123"/>
      <c r="J19" s="38"/>
      <c r="K19" s="122">
        <f>'Resumo Detalhado'!L2</f>
        <v>430.59360000000004</v>
      </c>
      <c r="L19" s="123"/>
      <c r="M19" s="38"/>
      <c r="N19" s="121" t="s">
        <v>272</v>
      </c>
      <c r="O19" s="119"/>
      <c r="P19" s="119"/>
      <c r="Q19" s="119"/>
      <c r="R19" s="120"/>
      <c r="S19" s="121">
        <f>_xlfn.XLOOKUP(N19,Target!C:C,Target!D:D)</f>
        <v>900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3055.1828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0.56762251923855811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595</v>
      </c>
      <c r="F1" s="29"/>
    </row>
    <row r="2" spans="1:18" x14ac:dyDescent="0.3">
      <c r="B2" s="29">
        <f>SUM(B6:B5000)</f>
        <v>5382.42</v>
      </c>
      <c r="C2" s="29">
        <f>SUM(C6:C5000)</f>
        <v>433.03</v>
      </c>
      <c r="D2" s="29">
        <f>SUM(D6:D5000)</f>
        <v>0.54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963.03</v>
      </c>
      <c r="I2" s="29">
        <f t="shared" si="0"/>
        <v>331.57</v>
      </c>
      <c r="J2" s="29">
        <f t="shared" si="0"/>
        <v>0.88</v>
      </c>
      <c r="K2" s="29">
        <f t="shared" si="0"/>
        <v>430.59360000000004</v>
      </c>
      <c r="L2" s="29">
        <f t="shared" si="0"/>
        <v>430.59360000000004</v>
      </c>
      <c r="M2" s="29">
        <f t="shared" si="0"/>
        <v>130.03</v>
      </c>
      <c r="N2" s="29">
        <f t="shared" si="0"/>
        <v>3055.1828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298872</v>
      </c>
      <c r="B6" s="140">
        <v>96.8</v>
      </c>
      <c r="C6" s="141">
        <v>26.03</v>
      </c>
      <c r="D6" s="140">
        <v>0.54</v>
      </c>
      <c r="E6" s="140">
        <v>40</v>
      </c>
      <c r="F6" s="140">
        <v>0</v>
      </c>
      <c r="G6" s="142">
        <v>0.41880165289256199</v>
      </c>
      <c r="H6" s="140">
        <v>11.62</v>
      </c>
      <c r="I6" s="140">
        <v>0.87</v>
      </c>
      <c r="J6" s="140">
        <v>0.88</v>
      </c>
      <c r="K6" s="140">
        <v>7.7439999999999998</v>
      </c>
      <c r="L6" s="140">
        <v>7.7439999999999998</v>
      </c>
      <c r="M6" s="140">
        <v>0</v>
      </c>
      <c r="N6" s="140">
        <v>27.401999999999994</v>
      </c>
      <c r="O6" s="142">
        <v>0.28307851239669418</v>
      </c>
      <c r="Q6"/>
    </row>
    <row r="7" spans="1:18" s="31" customFormat="1" x14ac:dyDescent="0.3">
      <c r="A7" s="139" t="s">
        <v>590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299308</v>
      </c>
      <c r="B8" s="140">
        <v>5285.62</v>
      </c>
      <c r="C8" s="141">
        <v>407</v>
      </c>
      <c r="D8" s="140">
        <v>0</v>
      </c>
      <c r="E8" s="140">
        <v>0</v>
      </c>
      <c r="F8" s="140">
        <v>0</v>
      </c>
      <c r="G8" s="142">
        <v>0</v>
      </c>
      <c r="H8" s="140">
        <v>951.41</v>
      </c>
      <c r="I8" s="140">
        <v>330.7</v>
      </c>
      <c r="J8" s="140">
        <v>0</v>
      </c>
      <c r="K8" s="140">
        <v>422.84960000000001</v>
      </c>
      <c r="L8" s="140">
        <v>422.84960000000001</v>
      </c>
      <c r="M8" s="140">
        <v>130.03</v>
      </c>
      <c r="N8" s="140">
        <v>3027.7808</v>
      </c>
      <c r="O8" s="142">
        <v>0.57283361270768618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595</v>
      </c>
    </row>
    <row r="2" spans="1:4" x14ac:dyDescent="0.3">
      <c r="B2" s="29">
        <f>SUM(B6:B5000)</f>
        <v>5285.62</v>
      </c>
      <c r="C2" s="29">
        <f>SUM(C6:C5000)</f>
        <v>3027.7808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96.8</v>
      </c>
      <c r="C5" s="10">
        <v>27.401999999999994</v>
      </c>
    </row>
    <row r="6" spans="1:4" x14ac:dyDescent="0.3">
      <c r="A6" s="139" t="s">
        <v>590</v>
      </c>
      <c r="B6" s="140">
        <v>5285.62</v>
      </c>
      <c r="C6" s="140">
        <v>3027.7808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2026-09-03T13:13:33Z</dcterms:modified>
  <cp:category/>
  <cp:contentStatus/>
</cp:coreProperties>
</file>