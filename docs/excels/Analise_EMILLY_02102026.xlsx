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84ADF82-3C41-49F5-AF5C-A514900ADD72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9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<sst xmlns="http://schemas.openxmlformats.org/spreadsheetml/2006/main" count="903" uniqueCount="627">
  <si>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</si>
  <si>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</si>
  <si>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</si>
  <si>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</si>
  <si>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</si>
  <si>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</si>
  <si>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</si>
  <si>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</si>
  <si>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</si>
  <si>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</si>
  <si>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</si>
  <si>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</si>
  <si>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</si>
  <si>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</si>
  <si>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</si>
  <si>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</si>
  <si>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</si>
  <si>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</si>
  <si>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</si>
  <si>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</si>
  <si>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</si>
  <si>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</si>
  <si>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</si>
  <si>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</si>
  <si>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</si>
  <si>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</si>
  <si>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</si>
  <si>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</si>
  <si>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</si>
  <si>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</si>
  <si>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</si>
  <si>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</si>
  <si>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</si>
  <si>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</si>
  <si>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</si>
  <si>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</si>
  <si>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</si>
  <si>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</si>
  <si>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</si>
  <si>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</si>
  <si>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</si>
  <si>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</si>
  <si>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</si>
  <si>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</si>
  <si>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</si>
  <si>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</si>
  <si>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</si>
  <si>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</si>
  <si>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</si>
  <si>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</si>
  <si>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</si>
  <si>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</si>
  <si>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</si>
  <si>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</si>
  <si>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</si>
  <si>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</si>
  <si>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</si>
  <si>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</si>
  <si>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</si>
  <si>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</si>
  <si>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</si>
  <si>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</si>
  <si>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</si>
  <si>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</si>
  <si>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</si>
  <si>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</si>
  <si>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</si>
  <si>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</si>
  <si>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</si>
  <si>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</si>
  <si>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</si>
  <si>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</si>
  <si>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</si>
  <si>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</si>
  <si>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</si>
  <si>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</si>
  <si>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</si>
  <si>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</si>
  <si>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</si>
  <si>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</si>
  <si>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</si>
  <si>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</si>
  <si>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</si>
  <si>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</si>
  <si>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</si>
  <si>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</si>
  <si>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</si>
  <si>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</si>
  <si>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</si>
  <si>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</si>
  <si>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</si>
  <si>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</si>
  <si>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</si>
  <si>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</si>
  <si>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</si>
  <si>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</si>
  <si>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</si>
  <si>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</si>
  <si>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</si>
  <si>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</si>
  <si>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</si>
  <si>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</si>
  <si>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</si>
  <si>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</si>
  <si>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</si>
  <si>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</si>
  <si>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</si>
  <si>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</si>
  <si>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</si>
  <si>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</si>
  <si>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</si>
  <si>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</si>
  <si>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</si>
  <si>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</si>
  <si>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</si>
  <si>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</si>
  <si>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</si>
  <si>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</si>
  <si>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</si>
  <si>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</si>
  <si>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</si>
  <si>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</si>
  <si>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</si>
  <si>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</si>
  <si>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</si>
  <si>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</si>
  <si>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</si>
  <si>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</si>
  <si>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</si>
  <si>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</si>
  <si>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</si>
  <si>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</si>
  <si>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</si>
  <si>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</si>
  <si>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</si>
  <si>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</si>
  <si>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</si>
  <si>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</si>
  <si>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</si>
  <si>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</si>
  <si>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</si>
  <si>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</si>
  <si>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</si>
  <si>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</si>
  <si>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</si>
  <si>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</si>
  <si>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</si>
  <si>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</si>
  <si>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</si>
  <si>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</si>
  <si>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</si>
  <si>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</si>
  <si>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</si>
  <si>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</si>
  <si>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</si>
  <si>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</si>
  <si>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</si>
  <si>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</si>
  <si>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</si>
  <si>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</si>
  <si>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</si>
  <si>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</si>
  <si>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</si>
  <si>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</si>
  <si>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</si>
  <si>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</si>
  <si>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</si>
  <si>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</si>
  <si>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</si>
  <si>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</si>
  <si>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</si>
  <si>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</si>
  <si>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</si>
  <si>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</si>
  <si>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</si>
  <si>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</si>
  <si>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</si>
  <si>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</si>
  <si>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</si>
  <si>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</si>
  <si>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</si>
  <si>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</si>
  <si>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</si>
  <si>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</si>
  <si>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</si>
  <si>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</si>
  <si>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</si>
  <si>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</si>
  <si>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</si>
  <si>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</si>
  <si>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</si>
  <si>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</si>
  <si>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</si>
  <si>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</si>
  <si>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</si>
  <si>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</si>
  <si>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</si>
  <si>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</si>
  <si>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</si>
  <si>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</si>
  <si>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</si>
  <si>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</si>
  <si>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</si>
  <si>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</si>
  <si>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</si>
  <si>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</si>
  <si>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</si>
  <si>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</si>
  <si>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</si>
  <si>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</si>
  <si>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</si>
  <si>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</si>
  <si>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</si>
  <si>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</si>
  <si>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</si>
  <si>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</si>
  <si>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</si>
  <si>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</si>
  <si>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</si>
  <si>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</si>
  <si>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</si>
  <si>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</si>
  <si>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</si>
  <si>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</si>
  <si>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</si>
  <si>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</si>
  <si>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</si>
  <si>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</si>
  <si>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</si>
  <si>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</si>
  <si>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</si>
  <si>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</si>
  <si>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</si>
  <si>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</si>
  <si>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</si>
  <si>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</si>
  <si>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</si>
  <si>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</si>
  <si>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</si>
  <si>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</si>
  <si>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</si>
  <si>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</si>
  <si>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</si>
  <si>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</si>
  <si>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</si>
  <si>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</si>
  <si>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</si>
  <si>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</si>
  <si>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</si>
  <si>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</si>
  <si>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</si>
  <si>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</si>
  <si>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</si>
  <si>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</si>
  <si>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</si>
  <si>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</si>
  <si>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</si>
  <si>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</si>
  <si>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</si>
  <si>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</si>
  <si>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</si>
  <si>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</si>
  <si>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</si>
  <si>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</si>
  <si>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</si>
  <si>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</si>
  <si>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</si>
  <si>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</si>
  <si>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</si>
  <si>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</si>
  <si>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</si>
  <si>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</si>
  <si>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</si>
  <si>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</si>
  <si>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</si>
  <si>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</si>
  <si>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</si>
  <si>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</si>
  <si>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</si>
  <si>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</si>
  <si>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</si>
  <si>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</si>
  <si>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</si>
  <si>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</si>
  <si>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</si>
  <si>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</si>
  <si>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</si>
  <si>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</si>
  <si>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</si>
  <si>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</si>
  <si>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</si>
  <si>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</si>
  <si>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</si>
  <si>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</si>
  <si>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</si>
  <si>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</si>
  <si>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</si>
  <si>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</si>
  <si>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</si>
  <si>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</si>
  <si>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</si>
  <si>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</si>
  <si>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</si>
  <si>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</si>
  <si>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</si>
  <si>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</si>
  <si>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</si>
  <si>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</si>
  <si>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</si>
  <si>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</si>
  <si>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</si>
  <si>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</si>
  <si>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</si>
  <si>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</si>
  <si>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</si>
  <si>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</si>
  <si>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</si>
  <si>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</si>
  <si>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</si>
  <si>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</si>
  <si>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</si>
  <si>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</si>
  <si>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</si>
  <si>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</si>
  <si>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</si>
  <si>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</si>
  <si>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</si>
  <si>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</si>
  <si>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</si>
  <si>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</si>
  <si>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</si>
  <si>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</si>
  <si>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</si>
  <si>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</si>
  <si>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</si>
  <si>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</si>
  <si>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</si>
  <si>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</si>
  <si>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</si>
  <si>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</si>
  <si>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</si>
  <si>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</si>
  <si>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</si>
  <si>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</si>
  <si>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</si>
  <si>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</si>
  <si>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</si>
  <si>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</si>
  <si>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</si>
  <si>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</si>
  <si>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</si>
  <si>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</si>
  <si>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</si>
  <si>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</si>
  <si>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</si>
  <si>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</si>
  <si>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</si>
  <si>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</si>
  <si>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</si>
  <si>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</si>
  <si>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</si>
  <si>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</si>
  <si>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</si>
  <si>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</si>
  <si>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</si>
  <si>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</si>
  <si>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</si>
  <si>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</si>
  <si>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</si>
  <si>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</si>
  <si>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</si>
  <si>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</si>
  <si>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</si>
  <si>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</si>
  <si>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</si>
  <si>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</si>
  <si>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</si>
  <si>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</si>
  <si>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</si>
  <si>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</si>
  <si>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</si>
  <si>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</si>
  <si>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</si>
  <si>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</si>
  <si>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</si>
  <si>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</si>
  <si>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</si>
  <si>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</si>
  <si>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</si>
  <si>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</si>
  <si>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</si>
  <si>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</si>
  <si>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</si>
  <si>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</si>
  <si>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</si>
  <si>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</si>
  <si>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</si>
  <si>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</si>
  <si>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</si>
  <si>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</si>
  <si>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</si>
  <si>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</si>
  <si>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</si>
  <si>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</si>
  <si>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</si>
  <si>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</si>
  <si>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</si>
  <si>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</si>
  <si>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</si>
  <si>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</si>
  <si>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</si>
  <si>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</si>
  <si>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</si>
  <si>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</si>
  <si>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</si>
  <si>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</si>
  <si>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</si>
  <si>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</si>
  <si>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</si>
  <si>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</si>
  <si>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</si>
  <si>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</si>
  <si>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</si>
  <si>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</si>
  <si>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</si>
  <si>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</si>
  <si>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</si>
  <si>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</si>
  <si>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</si>
  <si>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</si>
  <si>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</si>
  <si>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</si>
  <si>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</si>
  <si>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</si>
  <si>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</si>
  <si>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</si>
  <si>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</si>
  <si>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</si>
  <si>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</si>
  <si>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</si>
  <si>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</si>
  <si>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</si>
  <si>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</si>
  <si>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</si>
  <si>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</si>
  <si>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</si>
  <si>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</si>
  <si>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</si>
  <si>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</si>
  <si>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</si>
  <si>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</si>
  <si>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</si>
  <si>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</si>
  <si>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</si>
  <si>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</si>
  <si>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</si>
  <si>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</si>
  <si>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</si>
  <si>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</si>
  <si>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</si>
  <si>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</si>
  <si>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</si>
  <si>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</si>
  <si>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</si>
  <si>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</si>
  <si>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</si>
  <si>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</si>
  <si>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</si>
  <si>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</si>
  <si>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</si>
  <si>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</si>
  <si>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</si>
  <si>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</si>
  <si>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</si>
  <si>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</si>
  <si>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</si>
  <si>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</si>
  <si>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</si>
  <si>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</si>
  <si>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</si>
  <si>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</si>
  <si>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</si>
  <si>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</si>
  <si>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</si>
  <si>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</si>
  <si>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</si>
  <si>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</si>
  <si>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</si>
  <si>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</si>
  <si>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</si>
  <si>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</si>
  <si>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</si>
  <si>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</si>
  <si>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</si>
  <si>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</si>
  <si>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</si>
  <si>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</si>
  <si>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</si>
  <si>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</si>
  <si>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</si>
  <si>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</si>
  <si>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</si>
  <si>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</si>
  <si>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</si>
  <si>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</si>
  <si>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</si>
  <si>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</si>
  <si>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</si>
  <si>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</si>
  <si>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</si>
  <si>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</si>
  <si>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</si>
  <si>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</si>
  <si>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</si>
  <si>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</si>
  <si>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</si>
  <si>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</si>
  <si>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</si>
  <si>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</si>
  <si>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</si>
  <si>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</si>
  <si>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</si>
  <si>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</si>
  <si>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</si>
  <si>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</si>
  <si>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</si>
  <si>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</si>
  <si>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</si>
  <si>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</si>
  <si>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</si>
  <si>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</si>
  <si>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</si>
  <si>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</si>
  <si>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</si>
  <si>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</si>
  <si>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</si>
  <si>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</si>
  <si>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</si>
  <si>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</si>
  <si>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</si>
  <si>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</si>
  <si>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</si>
  <si>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</si>
  <si>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</si>
  <si>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</si>
  <si>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</si>
  <si>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</si>
  <si>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</si>
  <si>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</si>
  <si>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</si>
  <si>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</si>
  <si>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</si>
  <si>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</si>
  <si>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</si>
  <si>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</si>
  <si>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</si>
  <si>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</si>
  <si>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</si>
  <si>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</si>
  <si>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</si>
  <si>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</si>
  <si>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</si>
  <si>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</si>
  <si>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</si>
  <si>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</si>
  <si>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</si>
  <si>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</si>
  <si>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</si>
  <si>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</si>
  <si>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</si>
  <si>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</si>
  <si>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</si>
  <si>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</si>
  <si>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</si>
  <si>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</si>
  <si>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</si>
  <si>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</si>
  <si>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</si>
  <si>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</si>
  <si>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</si>
  <si>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</si>
  <si>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</si>
  <si>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</si>
  <si>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</si>
  <si>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</si>
  <si>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</si>
  <si>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</si>
  <si>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</si>
  <si>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</si>
  <si>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</si>
  <si>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</si>
  <si>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</si>
  <si>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</si>
  <si>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</si>
  <si>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</si>
  <si>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</si>
  <si>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</si>
  <si>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</si>
  <si>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</si>
  <si>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</si>
  <si>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</si>
  <si>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</si>
  <si>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</si>
  <si>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</si>
  <si>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</si>
  <si>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</si>
  <si>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</si>
  <si>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</si>
  <si>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</si>
  <si>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</si>
  <si>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</si>
  <si>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</si>
  <si>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</si>
  <si>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</si>
  <si>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</si>
  <si>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</si>
  <si>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</si>
  <si>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204323-1</t>
  </si>
  <si>
    <t>BRX TRADE IMPOR</t>
  </si>
  <si>
    <t>TIAGO SANTANA</t>
  </si>
  <si>
    <t>PERSONALIZADO</t>
  </si>
  <si>
    <t>CTE NORMAL</t>
  </si>
  <si>
    <t>ITAJAI - SC</t>
  </si>
  <si>
    <t>N/D</t>
  </si>
  <si>
    <t>JEAN PAULO DE MELO</t>
  </si>
  <si>
    <t>Navegantes-Sc X Itajai-ScCTNR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</si>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</sst>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[Analise_EMILLY_02102026.xlsx]Resumo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BRX TRADE IMPOR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3602.17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BRX TRADE IMPOR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2477.7864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[Analise_EMILLY_02102026.xlsx]Resumo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BRX TRADE IMPOR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3602.17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BRX TRADE IMPOR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2477.7864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522164351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092" count="8000">
        <n v="30409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String="0" containsBlank="1"/>
    </cacheField>
    <cacheField name="DATA" numFmtId="14">
      <sharedItems containsNonDate="0" containsDate="1" containsString="0" containsBlank="1" minDate="2026-10-02T00:00:00" maxDate="2026-10-03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BRX TRADE IMPOR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68303.08" maxValue="268303.08"/>
    </cacheField>
    <cacheField name="SERVICO" numFmtId="0">
      <sharedItems containsBlank="1" count="27"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602.17" maxValue="3602.17"/>
    </cacheField>
    <cacheField name="VOLUMES" numFmtId="0">
      <sharedItems containsString="0" containsBlank="1" containsNumber="1" containsInteger="1" minValue="1472" maxValue="1472"/>
    </cacheField>
    <cacheField name="PESO" numFmtId="0">
      <sharedItems containsString="0" containsBlank="1" containsNumber="1" containsInteger="1" minValue="19450" maxValue="19450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612.37" maxValue="612.3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34.15" maxValue="134.1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646.52" maxValue="1646.52"/>
    </cacheField>
    <cacheField name="RECEITA" numFmtId="0">
      <sharedItems containsString="0" containsBlank="1" containsNumber="1" minValue="1955.65" maxValue="1955.65"/>
    </cacheField>
    <cacheField name="IMPOSTO" numFmtId="0">
      <sharedItems containsString="0" containsBlank="1" containsNumber="1" minValue="936.56" maxValue="936.56"/>
    </cacheField>
    <cacheField name="RESULTADO" numFmtId="0">
      <sharedItems containsString="0" containsBlank="1" containsNumber="1" minValue="1019.0899999999999" maxValue="1019.0899999999999"/>
    </cacheField>
    <cacheField name="COMIS" numFmtId="0">
      <sharedItems containsString="0" containsBlank="1" containsNumber="1" minValue="89.69" maxValue="89.69"/>
    </cacheField>
    <cacheField name="LUCRO LIQ" numFmtId="0">
      <sharedItems containsString="0" containsBlank="1" containsNumber="1" minValue="929.4" maxValue="929.4"/>
    </cacheField>
    <cacheField name="MARGEM" numFmtId="10">
      <sharedItems containsString="0" containsBlank="1" containsNumber="1" minValue="0.25800000000000001" maxValue="0.2580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m/>
    <d v="2026-10-02T00:00:00"/>
    <m/>
    <s v="204323-1"/>
    <x v="0"/>
    <s v="TIAGO SANTANA"/>
    <n v="268303.08"/>
    <x v="0"/>
    <s v="CTE NORMAL"/>
    <s v="ITAJAI - SC"/>
    <n v="3602.17"/>
    <n v="1472"/>
    <n v="19450"/>
    <s v="N/D"/>
    <n v="0"/>
    <s v="N/D"/>
    <n v="0"/>
    <s v="JEAN PAULO DE MELO"/>
    <n v="0"/>
    <n v="612.37"/>
    <n v="0"/>
    <n v="0"/>
    <n v="134.15"/>
    <n v="0"/>
    <n v="1646.52"/>
    <n v="1955.65"/>
    <n v="936.56"/>
    <n v="1019.0899999999999"/>
    <n v="89.69"/>
    <n v="929.4"/>
    <n v="0.25800000000000001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9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3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x="0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3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2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3"/>
        <item m="1" x="25"/>
        <item m="1" x="18"/>
        <item x="1"/>
        <item m="1" x="7"/>
        <item m="1" x="2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137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8"/>
            <x v="148"/>
            <x v="168"/>
            <x v="194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4"/>
            <x v="239"/>
            <x v="240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6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9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3"/>
        <item m="1" x="20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x="0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3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1"/>
        <item m="1" x="806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5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1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69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8"/>
        <item m="1" x="783"/>
        <item m="1" x="253"/>
        <item m="1" x="475"/>
        <item m="1" x="813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2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5"/>
        <item m="1" x="35"/>
        <item m="1" x="311"/>
        <item m="1" x="826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3"/>
        <item m="1" x="25"/>
        <item m="1" x="18"/>
        <item x="1"/>
        <item m="1" x="7"/>
        <item m="1" x="2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0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137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8"/>
            <x v="148"/>
            <x v="168"/>
            <x v="194"/>
            <x v="253"/>
            <x v="259"/>
            <x v="263"/>
            <x v="291"/>
            <x v="293"/>
            <x v="295"/>
            <x v="309"/>
            <x v="310"/>
            <x v="342"/>
            <x v="343"/>
            <x v="351"/>
            <x v="402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4"/>
            <x v="239"/>
            <x v="240"/>
            <x v="268"/>
            <x v="277"/>
            <x v="287"/>
            <x v="294"/>
            <x v="298"/>
            <x v="306"/>
            <x v="330"/>
            <x v="338"/>
            <x v="348"/>
            <x v="370"/>
            <x v="388"/>
            <x v="391"/>
            <x v="394"/>
            <x v="408"/>
            <x v="422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6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8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819" s="1" nd="1"/>
        <i x="763" s="1" nd="1"/>
        <i x="795" s="1" nd="1"/>
        <i x="544" s="1" nd="1"/>
        <i x="149" s="1" nd="1"/>
        <i x="187" s="1" nd="1"/>
        <i x="273" s="1" nd="1"/>
        <i x="11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3" s="1" nd="1"/>
        <i x="20" s="1" nd="1"/>
        <i x="758" s="1" nd="1"/>
        <i x="112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7" s="1" nd="1"/>
        <i x="669" s="1" nd="1"/>
        <i x="661" s="1" nd="1"/>
        <i x="469" s="1" nd="1"/>
        <i x="44" s="1" nd="1"/>
        <i x="731" s="1" nd="1"/>
        <i x="690" s="1" nd="1"/>
        <i x="216" s="1" nd="1"/>
        <i x="476" s="1" nd="1"/>
        <i x="634" s="1" nd="1"/>
        <i x="446" s="1" nd="1"/>
        <i x="810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9" s="1" nd="1"/>
        <i x="833" s="1" nd="1"/>
        <i x="743" s="1" nd="1"/>
        <i x="240" s="1" nd="1"/>
        <i x="239" s="1" nd="1"/>
        <i x="462" s="1" nd="1"/>
        <i x="286" s="1" nd="1"/>
        <i x="550" s="1" nd="1"/>
        <i x="846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6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7" s="1" nd="1"/>
        <i x="248" s="1" nd="1"/>
        <i x="764" s="1" nd="1"/>
        <i x="425" s="1" nd="1"/>
        <i x="436" s="1" nd="1"/>
        <i x="167" s="1" nd="1"/>
        <i x="543" s="1" nd="1"/>
        <i x="807" s="1" nd="1"/>
        <i x="621" s="1" nd="1"/>
        <i x="4" s="1" nd="1"/>
        <i x="771" s="1" nd="1"/>
        <i x="14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5" s="1" nd="1"/>
        <i x="396" s="1" nd="1"/>
        <i x="258" s="1" nd="1"/>
        <i x="377" s="1" nd="1"/>
        <i x="850" s="1" nd="1"/>
        <i x="648" s="1" nd="1"/>
        <i x="854" s="1" nd="1"/>
        <i x="830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1" s="1" nd="1"/>
        <i x="457" s="1" nd="1"/>
        <i x="478" s="1" nd="1"/>
        <i x="751" s="1" nd="1"/>
        <i x="639" s="1" nd="1"/>
        <i x="53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8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4" s="1" nd="1"/>
        <i x="580" s="1" nd="1"/>
        <i x="518" s="1" nd="1"/>
        <i x="798" s="1" nd="1"/>
        <i x="165" s="1" nd="1"/>
        <i x="827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2" s="1" nd="1"/>
        <i x="765" s="1" nd="1"/>
        <i x="509" s="1" nd="1"/>
        <i x="822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3" s="1" nd="1"/>
        <i x="844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1" s="1" nd="1"/>
        <i x="806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8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40" s="1" nd="1"/>
        <i x="38" s="1" nd="1"/>
        <i x="383" s="1" nd="1"/>
        <i x="590" s="1" nd="1"/>
        <i x="748" s="1" nd="1"/>
        <i x="269" s="1" nd="1"/>
        <i x="17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1" s="1" nd="1"/>
        <i x="728" s="1" nd="1"/>
        <i x="781" s="1" nd="1"/>
        <i x="640" s="1" nd="1"/>
        <i x="329" s="1" nd="1"/>
        <i x="368" s="1" nd="1"/>
        <i x="816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3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5" s="1" nd="1"/>
        <i x="724" s="1" nd="1"/>
        <i x="749" s="1" nd="1"/>
        <i x="744" s="1" nd="1"/>
        <i x="848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1" s="1" nd="1"/>
        <i x="2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8" s="1" nd="1"/>
        <i x="69" s="1" nd="1"/>
        <i x="118" s="1" nd="1"/>
        <i x="646" s="1" nd="1"/>
        <i x="411" s="1" nd="1"/>
        <i x="855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1" s="1" nd="1"/>
        <i x="604" s="1" nd="1"/>
        <i x="31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9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20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8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19" s="1" nd="1"/>
        <i x="538" s="1" nd="1"/>
        <i x="637" s="1" nd="1"/>
        <i x="576" s="1" nd="1"/>
        <i x="197" s="1" nd="1"/>
        <i x="575" s="1" nd="1"/>
        <i x="365" s="1" nd="1"/>
        <i x="824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5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2" s="1" nd="1"/>
        <i x="584" s="1" nd="1"/>
        <i x="750" s="1" nd="1"/>
        <i x="723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4" s="1" nd="1"/>
        <i x="586" s="1" nd="1"/>
        <i x="797" s="1" nd="1"/>
        <i x="727" s="1" nd="1"/>
        <i x="412" s="1" nd="1"/>
        <i x="25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8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4" s="1" nd="1"/>
        <i x="725" s="1" nd="1"/>
        <i x="842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5" s="1" nd="1"/>
        <i x="409" s="1" nd="1"/>
        <i x="474" s="1" nd="1"/>
        <i x="838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1" s="1" nd="1"/>
        <i x="852" s="1" nd="1"/>
        <i x="29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0" s="1" nd="1"/>
        <i x="694" s="1" nd="1"/>
        <i x="664" s="1" nd="1"/>
        <i x="809" s="1" nd="1"/>
        <i x="817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5" s="1" nd="1"/>
        <i x="35" s="1" nd="1"/>
        <i x="311" s="1" nd="1"/>
        <i x="826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2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3" s="1" nd="1"/>
        <i x="837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4" s="1" nd="1"/>
        <i x="15" s="1" nd="1"/>
        <i x="24" s="1" nd="1"/>
        <i x="4" s="1" nd="1"/>
        <i x="7" s="1" nd="1"/>
        <i x="9" s="1" nd="1"/>
        <i x="12" s="1" nd="1"/>
        <i x="18" s="1" nd="1"/>
        <i x="19" s="1" nd="1"/>
        <i x="3" s="1" nd="1"/>
        <i x="23" s="1" nd="1"/>
        <i x="6" s="1" nd="1"/>
        <i x="22" s="1" nd="1"/>
        <i x="21" s="1" nd="1"/>
        <i x="17" s="1" nd="1"/>
        <i x="20" s="1" nd="1"/>
        <i x="2" s="1" nd="1"/>
        <i x="25" s="1" nd="1"/>
        <i x="11" s="1" nd="1"/>
        <i x="13" s="1" nd="1"/>
        <i x="10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304092</v>
      </c>
      <c r="B2" s="12" t="s">
        <v>616</v>
      </c>
      <c r="C2" s="14"/>
      <c r="D2" s="14">
        <v>46297</v>
      </c>
      <c r="E2" s="12"/>
      <c r="F2" s="15" t="s">
        <v>617</v>
      </c>
      <c r="G2" s="15" t="s">
        <v>618</v>
      </c>
      <c r="H2" s="15" t="s">
        <v>619</v>
      </c>
      <c r="I2" s="16">
        <v>268303.08</v>
      </c>
      <c r="J2" s="15" t="s">
        <v>620</v>
      </c>
      <c r="K2" s="15" t="s">
        <v>621</v>
      </c>
      <c r="L2" s="15" t="s">
        <v>622</v>
      </c>
      <c r="M2" s="15">
        <v>3602.17</v>
      </c>
      <c r="N2" s="15">
        <v>1472</v>
      </c>
      <c r="O2" s="16">
        <v>19450</v>
      </c>
      <c r="P2" s="15" t="s">
        <v>623</v>
      </c>
      <c r="Q2" s="15">
        <v>0</v>
      </c>
      <c r="R2" s="15" t="s">
        <v>623</v>
      </c>
      <c r="S2" s="15">
        <v>0</v>
      </c>
      <c r="T2" s="15" t="s">
        <v>624</v>
      </c>
      <c r="U2" s="15">
        <v>0</v>
      </c>
      <c r="V2" s="15">
        <v>612.37</v>
      </c>
      <c r="W2" s="15">
        <v>0</v>
      </c>
      <c r="X2" s="15">
        <v>0</v>
      </c>
      <c r="Y2" s="15">
        <v>134.15</v>
      </c>
      <c r="Z2" s="15">
        <v>0</v>
      </c>
      <c r="AA2" s="15">
        <v>1646.52</v>
      </c>
      <c r="AB2" s="15">
        <v>1955.65</v>
      </c>
      <c r="AC2" s="15">
        <v>936.56</v>
      </c>
      <c r="AD2" s="15">
        <v>1019.0899999999999</v>
      </c>
      <c r="AE2" s="15">
        <v>89.69</v>
      </c>
      <c r="AF2" s="15">
        <v>929.4</v>
      </c>
      <c r="AG2" s="17">
        <v>0.25800000000000001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3602.17</v>
      </c>
      <c r="F3" s="89"/>
      <c r="G3" s="90"/>
      <c r="H3" s="133">
        <f>'Resumo Detalhado'!C2</f>
        <v>19450</v>
      </c>
      <c r="I3" s="134"/>
      <c r="J3" s="135">
        <f>E3/H3</f>
        <v>0.18520154241645245</v>
      </c>
      <c r="K3" s="136"/>
      <c r="L3" s="137"/>
      <c r="M3" s="138" t="s">
        <v>266</v>
      </c>
      <c r="N3" s="89"/>
      <c r="O3" s="90"/>
      <c r="P3" s="106">
        <v>22000</v>
      </c>
      <c r="Q3" s="107"/>
      <c r="R3" s="108"/>
      <c r="S3" s="103">
        <f>MIN(H3/P3,1)</f>
        <v>0.88409090909090904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900</v>
      </c>
      <c r="F7" s="112"/>
      <c r="G7" s="112"/>
      <c r="H7" s="112"/>
      <c r="I7" s="112"/>
      <c r="J7" s="112">
        <f>E7/H3</f>
        <v>4.6272493573264781E-2</v>
      </c>
      <c r="K7" s="112"/>
      <c r="L7" s="112"/>
      <c r="M7" s="130">
        <f>E7/E3</f>
        <v>0.2498493963360974</v>
      </c>
      <c r="N7" s="130"/>
      <c r="O7" s="130"/>
      <c r="P7" s="112">
        <f>E11+K11+Q11+E15+K15+Q15+E19+H19+K19</f>
        <v>2511.0408000000002</v>
      </c>
      <c r="Q7" s="112"/>
      <c r="R7" s="112"/>
      <c r="S7" s="112">
        <f>P7/H3</f>
        <v>0.12910235475578408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900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900</v>
      </c>
      <c r="L11" s="90"/>
      <c r="M11" s="38"/>
      <c r="N11" s="88">
        <f>K11/H3</f>
        <v>4.6272493573264781E-2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612.37</v>
      </c>
      <c r="F15" s="119"/>
      <c r="G15" s="119"/>
      <c r="H15" s="119"/>
      <c r="I15" s="132"/>
      <c r="J15" s="38"/>
      <c r="K15" s="113">
        <f>'Resumo Detalhado'!K2+'Resumo Detalhado'!L2</f>
        <v>576.34720000000004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134.15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288.17360000000002</v>
      </c>
      <c r="L19" s="123"/>
      <c r="M19" s="38"/>
      <c r="N19" s="121" t="s">
        <v>625</v>
      </c>
      <c r="O19" s="119"/>
      <c r="P19" s="119"/>
      <c r="Q19" s="119"/>
      <c r="R19" s="120"/>
      <c r="S19" s="121">
        <v>900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2477.7864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0.68785937365532446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88671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626</v>
      </c>
      <c r="F1" s="29"/>
    </row>
    <row r="2" spans="1:18" x14ac:dyDescent="0.3">
      <c r="B2" s="29">
        <f>SUM(B6:B5000)</f>
        <v>3602.17</v>
      </c>
      <c r="C2" s="29">
        <f>SUM(C6:C5000)</f>
        <v>19450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612.37</v>
      </c>
      <c r="I2" s="29">
        <f t="shared" si="0"/>
        <v>134.15</v>
      </c>
      <c r="J2" s="29">
        <f t="shared" si="0"/>
        <v>0</v>
      </c>
      <c r="K2" s="29">
        <f t="shared" si="0"/>
        <v>288.17360000000002</v>
      </c>
      <c r="L2" s="29">
        <f t="shared" si="0"/>
        <v>288.17360000000002</v>
      </c>
      <c r="M2" s="29">
        <f t="shared" si="0"/>
        <v>89.69</v>
      </c>
      <c r="N2" s="29">
        <f t="shared" si="0"/>
        <v>2477.7864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304092</v>
      </c>
      <c r="B6" s="139">
        <v>3602.17</v>
      </c>
      <c r="C6" s="140">
        <v>19450</v>
      </c>
      <c r="D6" s="139">
        <v>0</v>
      </c>
      <c r="E6" s="139">
        <v>0</v>
      </c>
      <c r="F6" s="139">
        <v>0</v>
      </c>
      <c r="G6" s="141">
        <v>0</v>
      </c>
      <c r="H6" s="139">
        <v>612.37</v>
      </c>
      <c r="I6" s="139">
        <v>134.15</v>
      </c>
      <c r="J6" s="139">
        <v>0</v>
      </c>
      <c r="K6" s="139">
        <v>288.17360000000002</v>
      </c>
      <c r="L6" s="139">
        <v>288.17360000000002</v>
      </c>
      <c r="M6" s="139">
        <v>89.69</v>
      </c>
      <c r="N6" s="139">
        <v>2477.7864</v>
      </c>
      <c r="O6" s="141">
        <v>0.68785937365532446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626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3602.17</v>
      </c>
      <c r="C5" s="10">
        <v>2477.7864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2" t="s">
        <v>625</v>
      </c>
      <c r="D395" s="87">
        <v>900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2026-10-07T15:22:04Z</dcterms:modified>
  <cp:category/>
  <cp:contentStatus/>
</cp:coreProperties>
</file>