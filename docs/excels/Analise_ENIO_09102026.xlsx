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B4BA54B-947F-45C9-9810-CAE915E13D0A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<sst xmlns="http://schemas.openxmlformats.org/spreadsheetml/2006/main" count="915" uniqueCount="633">
  <si>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</si>
  <si>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</si>
  <si>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</si>
  <si>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</si>
  <si>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</si>
  <si>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</si>
  <si>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</si>
  <si>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</si>
  <si>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</si>
  <si>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</si>
  <si>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</si>
  <si>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</si>
  <si>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</si>
  <si>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</si>
  <si>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</si>
  <si>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</si>
  <si>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</si>
  <si>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</si>
  <si>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</si>
  <si>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</si>
  <si>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</si>
  <si>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</si>
  <si>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</si>
  <si>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</si>
  <si>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</si>
  <si>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</si>
  <si>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</si>
  <si>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</si>
  <si>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</si>
  <si>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</si>
  <si>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</si>
  <si>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</si>
  <si>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</si>
  <si>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</si>
  <si>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</si>
  <si>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</si>
  <si>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</si>
  <si>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</si>
  <si>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</si>
  <si>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</si>
  <si>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</si>
  <si>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</si>
  <si>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</si>
  <si>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</si>
  <si>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</si>
  <si>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</si>
  <si>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</si>
  <si>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</si>
  <si>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</si>
  <si>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</si>
  <si>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</si>
  <si>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</si>
  <si>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</si>
  <si>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</si>
  <si>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</si>
  <si>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</si>
  <si>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</si>
  <si>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</si>
  <si>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</si>
  <si>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</si>
  <si>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</si>
  <si>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</si>
  <si>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</si>
  <si>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</si>
  <si>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</si>
  <si>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</si>
  <si>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</si>
  <si>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</si>
  <si>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</si>
  <si>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</si>
  <si>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</si>
  <si>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</si>
  <si>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</si>
  <si>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</si>
  <si>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</si>
  <si>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</si>
  <si>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</si>
  <si>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</si>
  <si>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</si>
  <si>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</si>
  <si>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</si>
  <si>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</si>
  <si>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</si>
  <si>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</si>
  <si>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</si>
  <si>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</si>
  <si>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</si>
  <si>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</si>
  <si>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</si>
  <si>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</si>
  <si>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</si>
  <si>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</si>
  <si>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</si>
  <si>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</si>
  <si>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</si>
  <si>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</si>
  <si>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</si>
  <si>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</si>
  <si>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</si>
  <si>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</si>
  <si>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</si>
  <si>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</si>
  <si>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</si>
  <si>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</si>
  <si>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</si>
  <si>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</si>
  <si>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</si>
  <si>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</si>
  <si>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</si>
  <si>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</si>
  <si>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</si>
  <si>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</si>
  <si>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</si>
  <si>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</si>
  <si>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</si>
  <si>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</si>
  <si>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</si>
  <si>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</si>
  <si>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</si>
  <si>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</si>
  <si>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</si>
  <si>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</si>
  <si>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</si>
  <si>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</si>
  <si>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</si>
  <si>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</si>
  <si>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</si>
  <si>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</si>
  <si>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</si>
  <si>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</si>
  <si>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</si>
  <si>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</si>
  <si>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</si>
  <si>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</si>
  <si>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</si>
  <si>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</si>
  <si>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</si>
  <si>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</si>
  <si>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</si>
  <si>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</si>
  <si>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</si>
  <si>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</si>
  <si>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</si>
  <si>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</si>
  <si>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</si>
  <si>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</si>
  <si>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</si>
  <si>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</si>
  <si>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</si>
  <si>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</si>
  <si>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</si>
  <si>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</si>
  <si>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</si>
  <si>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</si>
  <si>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</si>
  <si>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</si>
  <si>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</si>
  <si>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</si>
  <si>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</si>
  <si>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</si>
  <si>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</si>
  <si>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</si>
  <si>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</si>
  <si>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</si>
  <si>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</si>
  <si>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</si>
  <si>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</si>
  <si>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</si>
  <si>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</si>
  <si>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</si>
  <si>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</si>
  <si>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</si>
  <si>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</si>
  <si>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</si>
  <si>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</si>
  <si>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</si>
  <si>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</si>
  <si>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</si>
  <si>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</si>
  <si>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</si>
  <si>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</si>
  <si>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</si>
  <si>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</si>
  <si>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</si>
  <si>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</si>
  <si>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</si>
  <si>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</si>
  <si>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</si>
  <si>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</si>
  <si>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</si>
  <si>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</si>
  <si>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</si>
  <si>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</si>
  <si>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</si>
  <si>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</si>
  <si>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</si>
  <si>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</si>
  <si>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</si>
  <si>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</si>
  <si>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</si>
  <si>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</si>
  <si>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</si>
  <si>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</si>
  <si>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</si>
  <si>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</si>
  <si>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</si>
  <si>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</si>
  <si>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</si>
  <si>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</si>
  <si>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</si>
  <si>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</si>
  <si>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</si>
  <si>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</si>
  <si>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</si>
  <si>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</si>
  <si>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</si>
  <si>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</si>
  <si>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</si>
  <si>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</si>
  <si>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</si>
  <si>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</si>
  <si>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</si>
  <si>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</si>
  <si>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</si>
  <si>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</si>
  <si>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</si>
  <si>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</si>
  <si>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</si>
  <si>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</si>
  <si>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</si>
  <si>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</si>
  <si>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</si>
  <si>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</si>
  <si>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</si>
  <si>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</si>
  <si>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</si>
  <si>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</si>
  <si>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</si>
  <si>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</si>
  <si>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</si>
  <si>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</si>
  <si>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</si>
  <si>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</si>
  <si>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</si>
  <si>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</si>
  <si>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</si>
  <si>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</si>
  <si>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</si>
  <si>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</si>
  <si>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</si>
  <si>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</si>
  <si>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</si>
  <si>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</si>
  <si>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</si>
  <si>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</si>
  <si>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</si>
  <si>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</si>
  <si>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</si>
  <si>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</si>
  <si>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</si>
  <si>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</si>
  <si>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</si>
  <si>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</si>
  <si>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</si>
  <si>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</si>
  <si>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</si>
  <si>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</si>
  <si>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</si>
  <si>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</si>
  <si>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</si>
  <si>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</si>
  <si>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</si>
  <si>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</si>
  <si>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</si>
  <si>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</si>
  <si>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</si>
  <si>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</si>
  <si>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</si>
  <si>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</si>
  <si>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</si>
  <si>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</si>
  <si>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</si>
  <si>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</si>
  <si>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</si>
  <si>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</si>
  <si>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</si>
  <si>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</si>
  <si>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</si>
  <si>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</si>
  <si>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</si>
  <si>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</si>
  <si>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</si>
  <si>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</si>
  <si>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</si>
  <si>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</si>
  <si>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</si>
  <si>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</si>
  <si>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</si>
  <si>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</si>
  <si>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</si>
  <si>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</si>
  <si>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</si>
  <si>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</si>
  <si>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</si>
  <si>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</si>
  <si>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</si>
  <si>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</si>
  <si>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</si>
  <si>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</si>
  <si>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</si>
  <si>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</si>
  <si>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</si>
  <si>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</si>
  <si>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</si>
  <si>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</si>
  <si>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</si>
  <si>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</si>
  <si>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</si>
  <si>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</si>
  <si>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</si>
  <si>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</si>
  <si>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</si>
  <si>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</si>
  <si>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</si>
  <si>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</si>
  <si>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</si>
  <si>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</si>
  <si>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</si>
  <si>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</si>
  <si>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</si>
  <si>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</si>
  <si>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</si>
  <si>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</si>
  <si>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</si>
  <si>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</si>
  <si>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</si>
  <si>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</si>
  <si>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</si>
  <si>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</si>
  <si>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</si>
  <si>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</si>
  <si>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</si>
  <si>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</si>
  <si>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</si>
  <si>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</si>
  <si>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</si>
  <si>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</si>
  <si>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</si>
  <si>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</si>
  <si>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</si>
  <si>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</si>
  <si>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</si>
  <si>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</si>
  <si>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</si>
  <si>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</si>
  <si>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</si>
  <si>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</si>
  <si>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</si>
  <si>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</si>
  <si>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</si>
  <si>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</si>
  <si>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</si>
  <si>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</si>
  <si>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</si>
  <si>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</si>
  <si>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</si>
  <si>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</si>
  <si>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</si>
  <si>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</si>
  <si>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</si>
  <si>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</si>
  <si>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</si>
  <si>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</si>
  <si>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</si>
  <si>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</si>
  <si>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</si>
  <si>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</si>
  <si>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</si>
  <si>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</si>
  <si>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</si>
  <si>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</si>
  <si>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</si>
  <si>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</si>
  <si>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</si>
  <si>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</si>
  <si>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</si>
  <si>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</si>
  <si>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</si>
  <si>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</si>
  <si>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</si>
  <si>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</si>
  <si>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</si>
  <si>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</si>
  <si>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</si>
  <si>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</si>
  <si>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</si>
  <si>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</si>
  <si>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</si>
  <si>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</si>
  <si>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</si>
  <si>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</si>
  <si>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</si>
  <si>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</si>
  <si>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</si>
  <si>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</si>
  <si>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</si>
  <si>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</si>
  <si>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</si>
  <si>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</si>
  <si>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</si>
  <si>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</si>
  <si>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</si>
  <si>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</si>
  <si>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</si>
  <si>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</si>
  <si>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</si>
  <si>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</si>
  <si>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</si>
  <si>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</si>
  <si>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</si>
  <si>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</si>
  <si>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</si>
  <si>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</si>
  <si>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</si>
  <si>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</si>
  <si>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</si>
  <si>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</si>
  <si>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</si>
  <si>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</si>
  <si>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</si>
  <si>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</si>
  <si>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</si>
  <si>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</si>
  <si>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</si>
  <si>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</si>
  <si>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</si>
  <si>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</si>
  <si>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</si>
  <si>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</si>
  <si>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</si>
  <si>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</si>
  <si>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</si>
  <si>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</si>
  <si>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</si>
  <si>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</si>
  <si>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</si>
  <si>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</si>
  <si>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</si>
  <si>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</si>
  <si>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</si>
  <si>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</si>
  <si>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</si>
  <si>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</si>
  <si>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</si>
  <si>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</si>
  <si>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</si>
  <si>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</si>
  <si>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</si>
  <si>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</si>
  <si>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</si>
  <si>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</si>
  <si>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</si>
  <si>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</si>
  <si>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</si>
  <si>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</si>
  <si>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</si>
  <si>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</si>
  <si>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</si>
  <si>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</si>
  <si>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</si>
  <si>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</si>
  <si>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</si>
  <si>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</si>
  <si>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</si>
  <si>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</si>
  <si>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</si>
  <si>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</si>
  <si>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</si>
  <si>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</si>
  <si>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</si>
  <si>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</si>
  <si>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</si>
  <si>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</si>
  <si>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</si>
  <si>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</si>
  <si>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</si>
  <si>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</si>
  <si>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</si>
  <si>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</si>
  <si>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</si>
  <si>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</si>
  <si>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</si>
  <si>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</si>
  <si>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</si>
  <si>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</si>
  <si>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</si>
  <si>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</si>
  <si>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</si>
  <si>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</si>
  <si>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</si>
  <si>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</si>
  <si>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</si>
  <si>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</si>
  <si>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</si>
  <si>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</si>
  <si>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</si>
  <si>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</si>
  <si>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</si>
  <si>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</si>
  <si>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</si>
  <si>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</si>
  <si>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</si>
  <si>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</si>
  <si>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</si>
  <si>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</si>
  <si>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</si>
  <si>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</si>
  <si>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</si>
  <si>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</si>
  <si>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</si>
  <si>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</si>
  <si>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</si>
  <si>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</si>
  <si>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</si>
  <si>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</si>
  <si>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</si>
  <si>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</si>
  <si>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</si>
  <si>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</si>
  <si>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</si>
  <si>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</si>
  <si>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</si>
  <si>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</si>
  <si>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</si>
  <si>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</si>
  <si>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</si>
  <si>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</si>
  <si>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</si>
  <si>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</si>
  <si>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</si>
  <si>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</si>
  <si>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</si>
  <si>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</si>
  <si>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</si>
  <si>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</si>
  <si>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</si>
  <si>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</si>
  <si>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</si>
  <si>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</si>
  <si>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</si>
  <si>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</si>
  <si>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</si>
  <si>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</si>
  <si>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</si>
  <si>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</si>
  <si>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</si>
  <si>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</si>
  <si>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</si>
  <si>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</si>
  <si>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</si>
  <si>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</si>
  <si>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</si>
  <si>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</si>
  <si>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</si>
  <si>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</si>
  <si>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</si>
  <si>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</si>
  <si>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</si>
  <si>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</si>
  <si>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</si>
  <si>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</si>
  <si>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</si>
  <si>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</si>
  <si>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</si>
  <si>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</si>
  <si>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</si>
  <si>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</si>
  <si>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</si>
  <si>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</si>
  <si>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</si>
  <si>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</si>
  <si>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</si>
  <si>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</si>
  <si>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</si>
  <si>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</si>
  <si>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</si>
  <si>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</si>
  <si>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</si>
  <si>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</si>
  <si>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</si>
  <si>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</si>
  <si>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</si>
  <si>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</si>
  <si>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</si>
  <si>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</si>
  <si>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</si>
  <si>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</si>
  <si>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</si>
  <si>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</si>
  <si>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</si>
  <si>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</si>
  <si>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</si>
  <si>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</si>
  <si>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</si>
  <si>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</si>
  <si>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</si>
  <si>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</si>
  <si>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</si>
  <si>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</si>
  <si>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</si>
  <si>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</si>
  <si>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</si>
  <si>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</si>
  <si>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</si>
  <si>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</si>
  <si>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</si>
  <si>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</si>
  <si>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204691-1</t>
  </si>
  <si>
    <t>SAMSONITE BRASI</t>
  </si>
  <si>
    <t>MARLON MARQUES</t>
  </si>
  <si>
    <t>EXPRESSO_200</t>
  </si>
  <si>
    <t>CTE NORMAL</t>
  </si>
  <si>
    <t>SAO PAULO - SP</t>
  </si>
  <si>
    <t>PEX LOGISTICA INTEGRADA L</t>
  </si>
  <si>
    <t>DENIS MACEDO DE SOUZA</t>
  </si>
  <si>
    <t>ENIO PEDRO VARGAS</t>
  </si>
  <si>
    <t>2320-6</t>
  </si>
  <si>
    <t>MATTEL DO BRASI</t>
  </si>
  <si>
    <t>EXPRESSO_250</t>
  </si>
  <si>
    <t>SAO JOSE DOS PINHAIS - PR</t>
  </si>
  <si>
    <t>N/D</t>
  </si>
  <si>
    <t>Navegantes-Sc X São Jose dos Pinhais-Pr3/4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</si>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</sst>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[Analise_ENIO_09102026.xlsx]Resumo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1887.4</c:v>
                </c:pt>
                <c:pt idx="1">
                  <c:v>183.06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1497.6380000000001</c:v>
                </c:pt>
                <c:pt idx="1">
                  <c:v>-1669.8748000000001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[Analise_ENIO_09102026.xlsx]Resumo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1887.4</c:v>
                </c:pt>
                <c:pt idx="1">
                  <c:v>183.06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1497.6380000000001</c:v>
                </c:pt>
                <c:pt idx="1">
                  <c:v>-1669.8748000000001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10.511368865744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5243" count="8000">
        <n v="305009"/>
        <n v="305243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8T00:00:00" maxDate="2026-10-11T00:00:00"/>
    </cacheField>
    <cacheField name="DATA" numFmtId="14">
      <sharedItems containsNonDate="0" containsDate="1" containsString="0" containsBlank="1" minDate="2026-10-09T00:00:00" maxDate="2026-10-1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AMSONITE BRASI"/>
        <s v="MATTEL DO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812.66" maxValue="24558.31"/>
    </cacheField>
    <cacheField name="SERVICO" numFmtId="0">
      <sharedItems containsBlank="1" count="27">
        <s v="EXPRESSO_200"/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83.06" maxValue="1887.4"/>
    </cacheField>
    <cacheField name="VOLUMES" numFmtId="0">
      <sharedItems containsString="0" containsBlank="1" containsNumber="1" containsInteger="1" minValue="6" maxValue="96"/>
    </cacheField>
    <cacheField name="PESO" numFmtId="0">
      <sharedItems containsString="0" containsBlank="1" containsNumber="1" minValue="171.76" maxValue="215"/>
    </cacheField>
    <cacheField name="RESP. COLETA" numFmtId="0">
      <sharedItems containsBlank="1"/>
    </cacheField>
    <cacheField name="CUSTO COLETA" numFmtId="0">
      <sharedItems containsString="0" containsBlank="1" containsNumber="1" minValue="0" maxValue="15.41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18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21.97" maxValue="226.4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91" maxValue="12.28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038.1500000000001" maxValue="1087.24"/>
    </cacheField>
    <cacheField name="RECEITA" numFmtId="0">
      <sharedItems containsString="0" containsBlank="1" containsNumber="1" minValue="-904.18" maxValue="849.25"/>
    </cacheField>
    <cacheField name="IMPOSTO" numFmtId="0">
      <sharedItems containsString="0" containsBlank="1" containsNumber="1" minValue="47.6" maxValue="490.72"/>
    </cacheField>
    <cacheField name="RESULTADO" numFmtId="0">
      <sharedItems containsString="0" containsBlank="1" containsNumber="1" minValue="-951.78" maxValue="358.53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951.78" maxValue="358.53"/>
    </cacheField>
    <cacheField name="MARGEM" numFmtId="10">
      <sharedItems containsString="0" containsBlank="1" containsNumber="1" minValue="-5.1992999999999991" maxValue="0.1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8T00:00:00"/>
    <d v="2026-10-09T00:00:00"/>
    <m/>
    <s v="204691-1"/>
    <x v="0"/>
    <s v="MARLON MARQUES"/>
    <n v="1812.66"/>
    <x v="0"/>
    <s v="CTE NORMAL"/>
    <s v="SAO PAULO - SP"/>
    <n v="183.06"/>
    <n v="6"/>
    <n v="215"/>
    <s v="PEX LOGISTICA INTEGRADA L"/>
    <n v="15.41"/>
    <s v="DENIS MACEDO DE SOUZA"/>
    <n v="1800"/>
    <s v="ENIO PEDRO VARGAS"/>
    <n v="0"/>
    <n v="21.97"/>
    <n v="0"/>
    <n v="0"/>
    <n v="0.91"/>
    <n v="0"/>
    <n v="1087.24"/>
    <n v="-904.18"/>
    <n v="47.6"/>
    <n v="-951.78"/>
    <n v="0"/>
    <n v="-951.78"/>
    <n v="-5.1992999999999991"/>
    <m/>
  </r>
  <r>
    <x v="1"/>
    <s v="MATRIZ"/>
    <d v="2026-10-10T00:00:00"/>
    <d v="2026-10-10T00:00:00"/>
    <m/>
    <s v="2320-6"/>
    <x v="1"/>
    <s v="MARLON MARQUES"/>
    <n v="24558.31"/>
    <x v="1"/>
    <s v="CTE NORMAL"/>
    <s v="SAO JOSE DOS PINHAIS - PR"/>
    <n v="1887.4"/>
    <n v="96"/>
    <n v="171.76"/>
    <s v="N/D"/>
    <n v="0"/>
    <s v="N/D"/>
    <n v="0"/>
    <s v="ENIO PEDRO VARGAS"/>
    <n v="0"/>
    <n v="226.49"/>
    <n v="0"/>
    <n v="0"/>
    <n v="12.28"/>
    <n v="0"/>
    <n v="1038.1500000000001"/>
    <n v="849.25"/>
    <n v="490.72"/>
    <n v="358.53"/>
    <n v="0"/>
    <n v="358.53"/>
    <n v="0.19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0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3"/>
        <item m="1" x="602"/>
        <item sd="0" m="1" x="449"/>
        <item m="1" x="348"/>
        <item m="1" x="78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10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x="1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3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x="0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8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3"/>
        <item m="1" x="91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4"/>
        <item m="1" x="49"/>
        <item m="1" x="89"/>
        <item sd="0" m="1" x="201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1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95"/>
    </i>
    <i r="1">
      <x v="7999"/>
    </i>
    <i>
      <x v="671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0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3"/>
        <item m="1" x="602"/>
        <item sd="0" m="1" x="449"/>
        <item m="1" x="348"/>
        <item m="1" x="78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10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x="1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3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x="0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8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3"/>
        <item m="1" x="91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4"/>
        <item m="1" x="49"/>
        <item m="1" x="89"/>
        <item sd="0" m="1" x="201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1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95"/>
    </i>
    <i>
      <x v="67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8" s="1" nd="1"/>
        <i x="186" s="1" nd="1"/>
        <i x="272" s="1" nd="1"/>
        <i x="12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0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8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80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5" s="1" nd="1"/>
        <i x="770" s="1" nd="1"/>
        <i x="14" s="1" nd="1"/>
        <i x="739" s="1" nd="1"/>
        <i x="392" s="1" nd="1"/>
        <i x="275" s="1" nd="1"/>
        <i x="65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9" s="1" nd="1"/>
        <i x="631" s="1" nd="1"/>
        <i x="530" s="1" nd="1"/>
        <i x="294" s="1" nd="1"/>
        <i x="303" s="1" nd="1"/>
        <i x="173" s="1" nd="1"/>
        <i x="100" s="1" nd="1"/>
        <i x="70" s="1" nd="1"/>
        <i x="578" s="1" nd="1"/>
        <i x="798" s="1" nd="1"/>
        <i x="32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3" s="1" nd="1"/>
        <i x="602" s="1" nd="1"/>
        <i x="449" s="1" nd="1"/>
        <i x="348" s="1" nd="1"/>
        <i x="78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10" s="1" nd="1"/>
        <i x="42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4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6" s="1" nd="1"/>
        <i x="387" s="1" nd="1"/>
        <i x="369" s="1" nd="1"/>
        <i x="615" s="1" nd="1"/>
        <i x="57" s="1" nd="1"/>
        <i x="707" s="1" nd="1"/>
        <i x="23" s="1" nd="1"/>
        <i x="36" s="1" nd="1"/>
        <i x="9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8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7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1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3" s="1" nd="1"/>
        <i x="301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5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4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3" s="1" nd="1"/>
        <i x="271" s="1" nd="1"/>
        <i x="75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9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325" s="1" nd="1"/>
        <i x="34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4" s="1" nd="1"/>
        <i x="669" s="1" nd="1"/>
        <i x="93" s="1" nd="1"/>
        <i x="439" s="1" nd="1"/>
        <i x="350" s="1" nd="1"/>
        <i x="784" s="1" nd="1"/>
        <i x="498" s="1" nd="1"/>
        <i x="61" s="1" nd="1"/>
        <i x="455" s="1" nd="1"/>
        <i x="82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1" s="1" nd="1"/>
        <i x="141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2" s="1" nd="1"/>
        <i x="77" s="1" nd="1"/>
        <i x="528" s="1" nd="1"/>
        <i x="566" s="1" nd="1"/>
        <i x="687" s="1" nd="1"/>
        <i x="279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8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7" s="1" nd="1"/>
        <i x="277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3" s="1" nd="1"/>
        <i x="423" s="1" nd="1"/>
        <i x="26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30" s="1" nd="1"/>
        <i x="104" s="1" nd="1"/>
        <i x="533" s="1" nd="1"/>
        <i x="296" s="1" nd="1"/>
        <i x="396" s="1" nd="1"/>
        <i x="228" s="1" nd="1"/>
        <i x="8" s="1" nd="1"/>
        <i x="472" s="1" nd="1"/>
        <i x="824" s="1" nd="1"/>
        <i x="35" s="1" nd="1"/>
        <i x="310" s="1" nd="1"/>
        <i x="825" s="1" nd="1"/>
        <i x="562" s="1" nd="1"/>
        <i x="62" s="1" nd="1"/>
        <i x="568" s="1" nd="1"/>
        <i x="430" s="1" nd="1"/>
        <i x="425" s="1" nd="1"/>
        <i x="175" s="1" nd="1"/>
        <i x="365" s="1" nd="1"/>
        <i x="758" s="1" nd="1"/>
        <i x="600" s="1" nd="1"/>
        <i x="13" s="1" nd="1"/>
        <i x="91" s="1" nd="1"/>
        <i x="437" s="1" nd="1"/>
        <i x="433" s="1" nd="1"/>
        <i x="120" s="1" nd="1"/>
        <i x="630" s="1" nd="1"/>
        <i x="200" s="1" nd="1"/>
        <i x="155" s="1" nd="1"/>
        <i x="55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3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6" s="1" nd="1"/>
        <i x="128" s="1" nd="1"/>
        <i x="4" s="1" nd="1"/>
        <i x="49" s="1" nd="1"/>
        <i x="89" s="1" nd="1"/>
        <i x="201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3" s="1" nd="1"/>
        <i x="6" s="1" nd="1"/>
        <i x="22" s="1" nd="1"/>
        <i x="21" s="1" nd="1"/>
        <i x="12" s="1" nd="1"/>
        <i x="18" s="1" nd="1"/>
        <i x="20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305009</v>
      </c>
      <c r="B2" s="12" t="s">
        <v>616</v>
      </c>
      <c r="C2" s="14">
        <v>46303</v>
      </c>
      <c r="D2" s="14">
        <v>46304</v>
      </c>
      <c r="E2" s="12"/>
      <c r="F2" s="15" t="s">
        <v>617</v>
      </c>
      <c r="G2" s="15" t="s">
        <v>618</v>
      </c>
      <c r="H2" s="15" t="s">
        <v>619</v>
      </c>
      <c r="I2" s="16">
        <v>1812.66</v>
      </c>
      <c r="J2" s="15" t="s">
        <v>620</v>
      </c>
      <c r="K2" s="15" t="s">
        <v>621</v>
      </c>
      <c r="L2" s="15" t="s">
        <v>622</v>
      </c>
      <c r="M2" s="15">
        <v>183.06</v>
      </c>
      <c r="N2" s="15">
        <v>6</v>
      </c>
      <c r="O2" s="16">
        <v>215</v>
      </c>
      <c r="P2" s="15" t="s">
        <v>623</v>
      </c>
      <c r="Q2" s="15">
        <v>15.41</v>
      </c>
      <c r="R2" s="15" t="s">
        <v>624</v>
      </c>
      <c r="S2" s="15">
        <v>1800</v>
      </c>
      <c r="T2" s="15" t="s">
        <v>625</v>
      </c>
      <c r="U2" s="15">
        <v>0</v>
      </c>
      <c r="V2" s="15">
        <v>21.97</v>
      </c>
      <c r="W2" s="15">
        <v>0</v>
      </c>
      <c r="X2" s="15">
        <v>0</v>
      </c>
      <c r="Y2" s="15">
        <v>0.91</v>
      </c>
      <c r="Z2" s="15">
        <v>0</v>
      </c>
      <c r="AA2" s="15">
        <v>1087.24</v>
      </c>
      <c r="AB2" s="15">
        <v>-904.18</v>
      </c>
      <c r="AC2" s="15">
        <v>47.6</v>
      </c>
      <c r="AD2" s="15">
        <v>-951.78</v>
      </c>
      <c r="AE2" s="15">
        <v>0</v>
      </c>
      <c r="AF2" s="15">
        <v>-951.78</v>
      </c>
      <c r="AG2" s="17">
        <v>-5.1992999999999991</v>
      </c>
      <c r="AH2" s="15"/>
    </row>
    <row r="3" spans="1:34" s="1" customFormat="1" ht="12" customHeight="1" x14ac:dyDescent="0.3">
      <c r="A3" s="13">
        <v>305243</v>
      </c>
      <c r="B3" s="12" t="s">
        <v>616</v>
      </c>
      <c r="C3" s="14">
        <v>46305</v>
      </c>
      <c r="D3" s="14">
        <v>46305</v>
      </c>
      <c r="E3" s="12"/>
      <c r="F3" s="15" t="s">
        <v>626</v>
      </c>
      <c r="G3" s="15" t="s">
        <v>627</v>
      </c>
      <c r="H3" s="15" t="s">
        <v>619</v>
      </c>
      <c r="I3" s="16">
        <v>24558.31</v>
      </c>
      <c r="J3" s="15" t="s">
        <v>628</v>
      </c>
      <c r="K3" s="15" t="s">
        <v>621</v>
      </c>
      <c r="L3" s="15" t="s">
        <v>629</v>
      </c>
      <c r="M3" s="16">
        <v>1887.4</v>
      </c>
      <c r="N3" s="15">
        <v>96</v>
      </c>
      <c r="O3" s="16">
        <v>171.76</v>
      </c>
      <c r="P3" s="15" t="s">
        <v>630</v>
      </c>
      <c r="Q3" s="15">
        <v>0</v>
      </c>
      <c r="R3" s="15" t="s">
        <v>630</v>
      </c>
      <c r="S3" s="15">
        <v>0</v>
      </c>
      <c r="T3" s="15" t="s">
        <v>625</v>
      </c>
      <c r="U3" s="15">
        <v>0</v>
      </c>
      <c r="V3" s="15">
        <v>226.49</v>
      </c>
      <c r="W3" s="15">
        <v>0</v>
      </c>
      <c r="X3" s="15">
        <v>0</v>
      </c>
      <c r="Y3" s="15">
        <v>12.28</v>
      </c>
      <c r="Z3" s="15">
        <v>0</v>
      </c>
      <c r="AA3" s="16">
        <v>1038.1500000000001</v>
      </c>
      <c r="AB3" s="16">
        <v>849.25</v>
      </c>
      <c r="AC3" s="15">
        <v>490.72</v>
      </c>
      <c r="AD3" s="15">
        <v>358.53</v>
      </c>
      <c r="AE3" s="15">
        <v>0</v>
      </c>
      <c r="AF3" s="15">
        <v>358.53</v>
      </c>
      <c r="AG3" s="17">
        <v>0.19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2070.46</v>
      </c>
      <c r="F3" s="89"/>
      <c r="G3" s="90"/>
      <c r="H3" s="133">
        <f>'Resumo Detalhado'!C2</f>
        <v>386.76</v>
      </c>
      <c r="I3" s="134"/>
      <c r="J3" s="135">
        <f>E3/H3</f>
        <v>5.3533457441307277</v>
      </c>
      <c r="K3" s="136"/>
      <c r="L3" s="137"/>
      <c r="M3" s="138" t="s">
        <v>236</v>
      </c>
      <c r="N3" s="89"/>
      <c r="O3" s="90"/>
      <c r="P3" s="106">
        <v>3500</v>
      </c>
      <c r="Q3" s="107"/>
      <c r="R3" s="108"/>
      <c r="S3" s="103">
        <f>MIN(H3/P3,1)</f>
        <v>0.11050285714285714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1815.41</v>
      </c>
      <c r="F7" s="112"/>
      <c r="G7" s="112"/>
      <c r="H7" s="112"/>
      <c r="I7" s="112"/>
      <c r="J7" s="112">
        <f>E7/H3</f>
        <v>4.6938928534491682</v>
      </c>
      <c r="K7" s="112"/>
      <c r="L7" s="112"/>
      <c r="M7" s="130">
        <f>E7/E3</f>
        <v>0.8768148140992823</v>
      </c>
      <c r="N7" s="130"/>
      <c r="O7" s="130"/>
      <c r="P7" s="112">
        <f>E11+K11+Q11+E15+K15+Q15+E19+H19+K19</f>
        <v>2573.9704000000002</v>
      </c>
      <c r="Q7" s="112"/>
      <c r="R7" s="112"/>
      <c r="S7" s="112">
        <f>P7/H3</f>
        <v>6.6552135691384846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1800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1800</v>
      </c>
      <c r="L11" s="90"/>
      <c r="M11" s="38"/>
      <c r="N11" s="88">
        <f>K11/H3</f>
        <v>4.6540490226497058</v>
      </c>
      <c r="O11" s="90"/>
      <c r="P11" s="38"/>
      <c r="Q11" s="88">
        <f>'Resumo Detalhado'!D2</f>
        <v>15.41</v>
      </c>
      <c r="R11" s="90"/>
      <c r="S11" s="38"/>
      <c r="T11" s="88">
        <f>Q11/H3</f>
        <v>3.9843830799462202E-2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248.46</v>
      </c>
      <c r="F15" s="119"/>
      <c r="G15" s="119"/>
      <c r="H15" s="119"/>
      <c r="I15" s="132"/>
      <c r="J15" s="38"/>
      <c r="K15" s="113">
        <f>'Resumo Detalhado'!K2+'Resumo Detalhado'!L2</f>
        <v>331.27360000000004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13.19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165.63680000000002</v>
      </c>
      <c r="L19" s="123"/>
      <c r="M19" s="38"/>
      <c r="N19" s="121" t="s">
        <v>631</v>
      </c>
      <c r="O19" s="119"/>
      <c r="P19" s="119"/>
      <c r="Q19" s="119"/>
      <c r="R19" s="120"/>
      <c r="S19" s="121">
        <v>1800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-172.2367999999999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-8.3187697419896983E-2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632</v>
      </c>
      <c r="F1" s="29"/>
    </row>
    <row r="2" spans="1:18" x14ac:dyDescent="0.3">
      <c r="B2" s="29">
        <f>SUM(B6:B5000)</f>
        <v>2070.46</v>
      </c>
      <c r="C2" s="29">
        <f>SUM(C6:C5000)</f>
        <v>386.76</v>
      </c>
      <c r="D2" s="29">
        <f>SUM(D6:D5000)</f>
        <v>15.41</v>
      </c>
      <c r="E2" s="29">
        <f>SUM(E6:E5000)</f>
        <v>1800</v>
      </c>
      <c r="F2" s="29">
        <f>SUM(F6:F5000)</f>
        <v>0</v>
      </c>
      <c r="G2" s="29"/>
      <c r="H2" s="29">
        <f t="shared" ref="H2:P2" si="0">SUM(H6:H5000)</f>
        <v>248.46</v>
      </c>
      <c r="I2" s="29">
        <f t="shared" si="0"/>
        <v>13.19</v>
      </c>
      <c r="J2" s="29">
        <f t="shared" si="0"/>
        <v>0</v>
      </c>
      <c r="K2" s="29">
        <f t="shared" si="0"/>
        <v>165.63680000000002</v>
      </c>
      <c r="L2" s="29">
        <f t="shared" si="0"/>
        <v>165.63680000000002</v>
      </c>
      <c r="M2" s="29">
        <f t="shared" si="0"/>
        <v>0</v>
      </c>
      <c r="N2" s="29">
        <f t="shared" si="0"/>
        <v>-172.2367999999999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305243</v>
      </c>
      <c r="B6" s="140">
        <v>1887.4</v>
      </c>
      <c r="C6" s="141">
        <v>171.76</v>
      </c>
      <c r="D6" s="140">
        <v>0</v>
      </c>
      <c r="E6" s="140">
        <v>0</v>
      </c>
      <c r="F6" s="140">
        <v>0</v>
      </c>
      <c r="G6" s="142">
        <v>0</v>
      </c>
      <c r="H6" s="140">
        <v>226.49</v>
      </c>
      <c r="I6" s="140">
        <v>12.28</v>
      </c>
      <c r="J6" s="140">
        <v>0</v>
      </c>
      <c r="K6" s="140">
        <v>150.99200000000002</v>
      </c>
      <c r="L6" s="140">
        <v>150.99200000000002</v>
      </c>
      <c r="M6" s="140">
        <v>0</v>
      </c>
      <c r="N6" s="140">
        <v>1497.6380000000001</v>
      </c>
      <c r="O6" s="142">
        <v>0.79349263537141046</v>
      </c>
      <c r="Q6"/>
    </row>
    <row r="7" spans="1:18" s="31" customFormat="1" x14ac:dyDescent="0.3">
      <c r="A7" s="139" t="s">
        <v>618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305009</v>
      </c>
      <c r="B8" s="140">
        <v>183.06</v>
      </c>
      <c r="C8" s="141">
        <v>215</v>
      </c>
      <c r="D8" s="140">
        <v>15.41</v>
      </c>
      <c r="E8" s="140">
        <v>1800</v>
      </c>
      <c r="F8" s="140">
        <v>0</v>
      </c>
      <c r="G8" s="142">
        <v>9.9170217415055184</v>
      </c>
      <c r="H8" s="140">
        <v>21.97</v>
      </c>
      <c r="I8" s="140">
        <v>0.91</v>
      </c>
      <c r="J8" s="140">
        <v>0</v>
      </c>
      <c r="K8" s="140">
        <v>14.6448</v>
      </c>
      <c r="L8" s="140">
        <v>14.6448</v>
      </c>
      <c r="M8" s="140">
        <v>0</v>
      </c>
      <c r="N8" s="140">
        <v>-1669.8748000000001</v>
      </c>
      <c r="O8" s="142">
        <v>-9.1220080847809459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109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632</v>
      </c>
    </row>
    <row r="2" spans="1:4" x14ac:dyDescent="0.3">
      <c r="B2" s="29">
        <f>SUM(B6:B5000)</f>
        <v>183.06</v>
      </c>
      <c r="C2" s="29">
        <f>SUM(C6:C5000)</f>
        <v>-1669.8748000000001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627</v>
      </c>
      <c r="B5" s="10">
        <v>1887.4</v>
      </c>
      <c r="C5" s="10">
        <v>1497.6380000000001</v>
      </c>
    </row>
    <row r="6" spans="1:4" x14ac:dyDescent="0.3">
      <c r="A6" s="139" t="s">
        <v>618</v>
      </c>
      <c r="B6" s="140">
        <v>183.06</v>
      </c>
      <c r="C6" s="140">
        <v>-1669.8748000000001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3" t="s">
        <v>631</v>
      </c>
      <c r="D395" s="87">
        <v>1800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2026-10-15T15:16:31Z</dcterms:modified>
  <cp:category/>
  <cp:contentStatus/>
</cp:coreProperties>
</file>