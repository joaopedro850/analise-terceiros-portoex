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15FCE9B-1354-4579-BA83-CBBA87BAF04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<sst xmlns="http://schemas.openxmlformats.org/spreadsheetml/2006/main" count="869" uniqueCount="595">
  <si>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</si>
  <si>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</si>
  <si>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</si>
  <si>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</si>
  <si>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</si>
  <si>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</si>
  <si>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</si>
  <si>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</si>
  <si>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</si>
  <si>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</si>
  <si>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</si>
  <si>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</si>
  <si>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</si>
  <si>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</si>
  <si>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</si>
  <si>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</si>
  <si>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</si>
  <si>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</si>
  <si>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</si>
  <si>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</si>
  <si>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</si>
  <si>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</si>
  <si>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</si>
  <si>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</si>
  <si>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</si>
  <si>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</si>
  <si>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</si>
  <si>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</si>
  <si>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</si>
  <si>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</si>
  <si>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</si>
  <si>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</si>
  <si>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</si>
  <si>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</si>
  <si>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</si>
  <si>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</si>
  <si>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</si>
  <si>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</si>
  <si>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</si>
  <si>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</si>
  <si>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</si>
  <si>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</si>
  <si>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</si>
  <si>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</si>
  <si>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</si>
  <si>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</si>
  <si>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</si>
  <si>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</si>
  <si>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</si>
  <si>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</si>
  <si>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</si>
  <si>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</si>
  <si>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</si>
  <si>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</si>
  <si>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</si>
  <si>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</si>
  <si>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</si>
  <si>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</si>
  <si>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</si>
  <si>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</si>
  <si>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</si>
  <si>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</si>
  <si>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</si>
  <si>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</si>
  <si>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</si>
  <si>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</si>
  <si>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</si>
  <si>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</si>
  <si>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</si>
  <si>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</si>
  <si>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</si>
  <si>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</si>
  <si>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</si>
  <si>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</si>
  <si>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</si>
  <si>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</si>
  <si>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</si>
  <si>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</si>
  <si>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</si>
  <si>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</si>
  <si>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</si>
  <si>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</si>
  <si>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</si>
  <si>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</si>
  <si>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</si>
  <si>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</si>
  <si>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</si>
  <si>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</si>
  <si>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</si>
  <si>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</si>
  <si>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</si>
  <si>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</si>
  <si>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</si>
  <si>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</si>
  <si>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</si>
  <si>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</si>
  <si>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</si>
  <si>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</si>
  <si>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</si>
  <si>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</si>
  <si>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</si>
  <si>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</si>
  <si>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</si>
  <si>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</si>
  <si>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</si>
  <si>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</si>
  <si>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</si>
  <si>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</si>
  <si>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</si>
  <si>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</si>
  <si>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</si>
  <si>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</si>
  <si>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</si>
  <si>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</si>
  <si>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</si>
  <si>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</si>
  <si>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</si>
  <si>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</si>
  <si>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</si>
  <si>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</si>
  <si>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</si>
  <si>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</si>
  <si>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</si>
  <si>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</si>
  <si>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</si>
  <si>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</si>
  <si>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</si>
  <si>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</si>
  <si>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</si>
  <si>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</si>
  <si>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</si>
  <si>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</si>
  <si>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</si>
  <si>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</si>
  <si>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</si>
  <si>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</si>
  <si>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</si>
  <si>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</si>
  <si>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</si>
  <si>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</si>
  <si>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</si>
  <si>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</si>
  <si>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</si>
  <si>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</si>
  <si>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</si>
  <si>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</si>
  <si>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</si>
  <si>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</si>
  <si>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</si>
  <si>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</si>
  <si>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</si>
  <si>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</si>
  <si>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</si>
  <si>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</si>
  <si>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</si>
  <si>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</si>
  <si>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</si>
  <si>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</si>
  <si>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</si>
  <si>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</si>
  <si>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</si>
  <si>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</si>
  <si>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</si>
  <si>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</si>
  <si>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</si>
  <si>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</si>
  <si>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</si>
  <si>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</si>
  <si>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</si>
  <si>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</si>
  <si>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</si>
  <si>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</si>
  <si>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</si>
  <si>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</si>
  <si>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</si>
  <si>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</si>
  <si>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</si>
  <si>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</si>
  <si>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</si>
  <si>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</si>
  <si>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</si>
  <si>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</si>
  <si>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</si>
  <si>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</si>
  <si>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</si>
  <si>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</si>
  <si>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</si>
  <si>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</si>
  <si>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</si>
  <si>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</si>
  <si>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</si>
  <si>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</si>
  <si>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</si>
  <si>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</si>
  <si>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</si>
  <si>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</si>
  <si>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</si>
  <si>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</si>
  <si>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</si>
  <si>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</si>
  <si>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</si>
  <si>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</si>
  <si>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</si>
  <si>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</si>
  <si>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</si>
  <si>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</si>
  <si>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</si>
  <si>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</si>
  <si>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</si>
  <si>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</si>
  <si>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</si>
  <si>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</si>
  <si>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</si>
  <si>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</si>
  <si>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</si>
  <si>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</si>
  <si>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</si>
  <si>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</si>
  <si>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</si>
  <si>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</si>
  <si>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</si>
  <si>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</si>
  <si>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</si>
  <si>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</si>
  <si>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</si>
  <si>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</si>
  <si>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</si>
  <si>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</si>
  <si>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</si>
  <si>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</si>
  <si>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</si>
  <si>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</si>
  <si>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</si>
  <si>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</si>
  <si>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</si>
  <si>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</si>
  <si>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</si>
  <si>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</si>
  <si>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</si>
  <si>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</si>
  <si>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</si>
  <si>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</si>
  <si>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</si>
  <si>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</si>
  <si>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</si>
  <si>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</si>
  <si>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</si>
  <si>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</si>
  <si>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</si>
  <si>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</si>
  <si>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</si>
  <si>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</si>
  <si>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</si>
  <si>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</si>
  <si>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</si>
  <si>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</si>
  <si>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</si>
  <si>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</si>
  <si>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</si>
  <si>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</si>
  <si>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</si>
  <si>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</si>
  <si>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</si>
  <si>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</si>
  <si>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</si>
  <si>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</si>
  <si>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</si>
  <si>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</si>
  <si>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</si>
  <si>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</si>
  <si>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</si>
  <si>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</si>
  <si>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</si>
  <si>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</si>
  <si>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</si>
  <si>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</si>
  <si>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</si>
  <si>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</si>
  <si>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</si>
  <si>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</si>
  <si>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</si>
  <si>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</si>
  <si>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</si>
  <si>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</si>
  <si>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</si>
  <si>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</si>
  <si>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</si>
  <si>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</si>
  <si>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</si>
  <si>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</si>
  <si>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</si>
  <si>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</si>
  <si>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</si>
  <si>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</si>
  <si>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</si>
  <si>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</si>
  <si>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</si>
  <si>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</si>
  <si>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</si>
  <si>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</si>
  <si>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</si>
  <si>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</si>
  <si>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</si>
  <si>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</si>
  <si>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</si>
  <si>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</si>
  <si>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</si>
  <si>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</si>
  <si>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</si>
  <si>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</si>
  <si>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</si>
  <si>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</si>
  <si>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</si>
  <si>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</si>
  <si>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</si>
  <si>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</si>
  <si>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</si>
  <si>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</si>
  <si>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</si>
  <si>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</si>
  <si>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</si>
  <si>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</si>
  <si>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</si>
  <si>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</si>
  <si>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</si>
  <si>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</si>
  <si>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</si>
  <si>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</si>
  <si>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</si>
  <si>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</si>
  <si>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</si>
  <si>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</si>
  <si>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</si>
  <si>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</si>
  <si>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</si>
  <si>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</si>
  <si>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</si>
  <si>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</si>
  <si>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</si>
  <si>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</si>
  <si>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</si>
  <si>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</si>
  <si>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</si>
  <si>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</si>
  <si>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</si>
  <si>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</si>
  <si>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</si>
  <si>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</si>
  <si>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</si>
  <si>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</si>
  <si>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</si>
  <si>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</si>
  <si>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</si>
  <si>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</si>
  <si>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</si>
  <si>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</si>
  <si>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</si>
  <si>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</si>
  <si>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</si>
  <si>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</si>
  <si>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</si>
  <si>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</si>
  <si>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</si>
  <si>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</si>
  <si>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</si>
  <si>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</si>
  <si>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</si>
  <si>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</si>
  <si>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</si>
  <si>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</si>
  <si>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</si>
  <si>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</si>
  <si>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</si>
  <si>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</si>
  <si>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</si>
  <si>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</si>
  <si>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</si>
  <si>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</si>
  <si>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</si>
  <si>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</si>
  <si>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</si>
  <si>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</si>
  <si>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</si>
  <si>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</si>
  <si>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</si>
  <si>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</si>
  <si>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</si>
  <si>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</si>
  <si>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</si>
  <si>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</si>
  <si>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</si>
  <si>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</si>
  <si>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</si>
  <si>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</si>
  <si>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</si>
  <si>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</si>
  <si>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</si>
  <si>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</si>
  <si>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</si>
  <si>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</si>
  <si>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</si>
  <si>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</si>
  <si>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</si>
  <si>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</si>
  <si>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</si>
  <si>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</si>
  <si>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</si>
  <si>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</si>
  <si>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</si>
  <si>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</si>
  <si>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</si>
  <si>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</si>
  <si>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</si>
  <si>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</si>
  <si>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</si>
  <si>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</si>
  <si>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</si>
  <si>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</si>
  <si>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</si>
  <si>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</si>
  <si>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</si>
  <si>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</si>
  <si>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</si>
  <si>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</si>
  <si>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</si>
  <si>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</si>
  <si>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</si>
  <si>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</si>
  <si>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</si>
  <si>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</si>
  <si>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</si>
  <si>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</si>
  <si>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</si>
  <si>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</si>
  <si>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</si>
  <si>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</si>
  <si>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</si>
  <si>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</si>
  <si>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</si>
  <si>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</si>
  <si>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</si>
  <si>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</si>
  <si>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</si>
  <si>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</si>
  <si>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</si>
  <si>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</si>
  <si>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</si>
  <si>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</si>
  <si>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</si>
  <si>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</si>
  <si>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</si>
  <si>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</si>
  <si>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</si>
  <si>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</si>
  <si>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</si>
  <si>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</si>
  <si>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</si>
  <si>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</si>
  <si>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</si>
  <si>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</si>
  <si>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</si>
  <si>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</si>
  <si>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</si>
  <si>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</si>
  <si>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</si>
  <si>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</si>
  <si>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</si>
  <si>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</si>
  <si>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</si>
  <si>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</si>
  <si>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</si>
  <si>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</si>
  <si>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</si>
  <si>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</si>
  <si>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</si>
  <si>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</si>
  <si>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</si>
  <si>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</si>
  <si>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</si>
  <si>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</si>
  <si>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</si>
  <si>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</si>
  <si>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</si>
  <si>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</si>
  <si>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</si>
  <si>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</si>
  <si>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</si>
  <si>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</si>
  <si>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</si>
  <si>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</si>
  <si>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</si>
  <si>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</si>
  <si>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</si>
  <si>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</si>
  <si>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</si>
  <si>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</si>
  <si>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</si>
  <si>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</si>
  <si>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</si>
  <si>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</si>
  <si>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</si>
  <si>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</si>
  <si>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</si>
  <si>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</si>
  <si>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</si>
  <si>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</si>
  <si>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</si>
  <si>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</si>
  <si>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</si>
  <si>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</si>
  <si>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</si>
  <si>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</si>
  <si>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</si>
  <si>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</si>
  <si>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</si>
  <si>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</si>
  <si>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</si>
  <si>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</si>
  <si>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</si>
  <si>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</si>
  <si>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</si>
  <si>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</si>
  <si>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</si>
  <si>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</si>
  <si>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</si>
  <si>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</si>
  <si>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</si>
  <si>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</si>
  <si>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</si>
  <si>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</si>
  <si>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</si>
  <si>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</si>
  <si>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</si>
  <si>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</si>
  <si>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</si>
  <si>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</si>
  <si>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</si>
  <si>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</si>
  <si>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</si>
  <si>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</si>
  <si>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</si>
  <si>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</si>
  <si>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</si>
  <si>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</si>
  <si>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</si>
  <si>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</si>
  <si>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</si>
  <si>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</si>
  <si>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</si>
  <si>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</si>
  <si>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</si>
  <si>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</si>
  <si>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</si>
  <si>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</si>
  <si>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</si>
  <si>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</si>
  <si>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</si>
  <si>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</si>
  <si>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</si>
  <si>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</si>
  <si>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</si>
  <si>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</si>
  <si>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</si>
  <si>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</si>
  <si>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</si>
  <si>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</si>
  <si>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</si>
  <si>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</si>
  <si>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</si>
  <si>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</si>
  <si>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</si>
  <si>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</si>
  <si>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</si>
  <si>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</si>
  <si>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</si>
  <si>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</si>
  <si>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</si>
  <si>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</si>
  <si>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</si>
  <si>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</si>
  <si>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201685-1</t>
  </si>
  <si>
    <t>SKO COMERCIO, I</t>
  </si>
  <si>
    <t>URIEL CORREA</t>
  </si>
  <si>
    <t>ECONOMICO_250</t>
  </si>
  <si>
    <t>CTE NORMAL</t>
  </si>
  <si>
    <t>ITATIBA - SP</t>
  </si>
  <si>
    <t>LEONARDO LAERCIO VIEIRA</t>
  </si>
  <si>
    <t>PORTOEX SP</t>
  </si>
  <si>
    <t>FELIPHE SAID</t>
  </si>
  <si>
    <t>201716-1</t>
  </si>
  <si>
    <t>CRONOS LOGISTIC</t>
  </si>
  <si>
    <t>PERSONALIZADO_V</t>
  </si>
  <si>
    <t>GUARULHOS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</si>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</sst>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[Analise_FABIANO_20082026.xlsx]Resumo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4598</c:v>
                </c:pt>
                <c:pt idx="1">
                  <c:v>159.75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3291.35</c:v>
                </c:pt>
                <c:pt idx="1">
                  <c:v>57.580000000000013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[Analise_FABIANO_20082026.xlsx]Resumo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4598</c:v>
                </c:pt>
                <c:pt idx="1">
                  <c:v>159.75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3291.35</c:v>
                </c:pt>
                <c:pt idx="1">
                  <c:v>57.580000000000013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9.3473182870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528" count="8000">
        <n v="297406"/>
        <n v="29752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9T00:00:00" maxDate="2026-08-20T00:00:00"/>
    </cacheField>
    <cacheField name="DATA" numFmtId="14">
      <sharedItems containsNonDate="0" containsDate="1" containsString="0" containsBlank="1" minDate="2026-08-19T00:00:00" maxDate="2026-08-2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KO COMERCIO, I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22.92" maxValue="866062.28"/>
    </cacheField>
    <cacheField name="SERVICO" numFmtId="0">
      <sharedItems containsBlank="1" count="28">
        <s v="ECONOMICO_250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9.75" maxValue="4598"/>
    </cacheField>
    <cacheField name="VOLUMES" numFmtId="0">
      <sharedItems containsString="0" containsBlank="1" containsNumber="1" containsInteger="1" minValue="2" maxValue="73"/>
    </cacheField>
    <cacheField name="PESO" numFmtId="0">
      <sharedItems containsString="0" containsBlank="1" containsNumber="1" minValue="35.799999999999997" maxValue="1495.0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6.23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9.17000000000000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21" maxValue="433.0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25.72" maxValue="2483.92"/>
    </cacheField>
    <cacheField name="RECEITA" numFmtId="0">
      <sharedItems containsString="0" containsBlank="1" containsNumber="1" minValue="34.03" maxValue="2114.08"/>
    </cacheField>
    <cacheField name="IMPOSTO" numFmtId="0">
      <sharedItems containsString="0" containsBlank="1" containsNumber="1" minValue="41.54" maxValue="1195.48"/>
    </cacheField>
    <cacheField name="RESULTADO" numFmtId="0">
      <sharedItems containsString="0" containsBlank="1" containsNumber="1" minValue="-11.73" maxValue="918.59999999999991"/>
    </cacheField>
    <cacheField name="COMIS" numFmtId="0">
      <sharedItems containsString="0" containsBlank="1" containsNumber="1" minValue="0" maxValue="137.94"/>
    </cacheField>
    <cacheField name="LUCRO LIQ" numFmtId="0">
      <sharedItems containsString="0" containsBlank="1" containsNumber="1" minValue="-11.73" maxValue="780.66"/>
    </cacheField>
    <cacheField name="MARGEM" numFmtId="10">
      <sharedItems containsString="0" containsBlank="1" containsNumber="1" minValue="-7.3399999999999993E-2" maxValue="0.169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9T00:00:00"/>
    <d v="2026-08-19T00:00:00"/>
    <m/>
    <s v="201685-1"/>
    <x v="0"/>
    <s v="URIEL CORREA"/>
    <n v="2422.92"/>
    <x v="0"/>
    <s v="CTE NORMAL"/>
    <s v="ITATIBA - SP"/>
    <n v="159.75"/>
    <n v="2"/>
    <n v="35.799999999999997"/>
    <s v="LEONARDO LAERCIO VIEIRA"/>
    <n v="0"/>
    <s v="PORTOEX SP"/>
    <n v="56.23"/>
    <s v="FELIPHE SAID"/>
    <n v="0"/>
    <n v="19.170000000000002"/>
    <n v="0"/>
    <n v="0"/>
    <n v="1.21"/>
    <n v="0"/>
    <n v="125.72"/>
    <n v="34.03"/>
    <n v="41.54"/>
    <n v="-11.73"/>
    <n v="0"/>
    <n v="-11.73"/>
    <n v="-7.3399999999999993E-2"/>
    <m/>
  </r>
  <r>
    <x v="1"/>
    <s v="MATRIZ"/>
    <d v="2026-08-19T00:00:00"/>
    <d v="2026-08-20T00:00:00"/>
    <m/>
    <s v="201716-1"/>
    <x v="1"/>
    <s v="URIEL CORREA"/>
    <n v="866062.28"/>
    <x v="1"/>
    <s v="CTE NORMAL"/>
    <s v="GUARULHOS - SP"/>
    <n v="4598"/>
    <n v="73"/>
    <n v="1495.04"/>
    <s v="FELIPHE SAID"/>
    <n v="0"/>
    <s v="N/D"/>
    <n v="0"/>
    <s v="FELIPHE SAID"/>
    <n v="0"/>
    <n v="0"/>
    <n v="0"/>
    <n v="0"/>
    <n v="433.03"/>
    <n v="0"/>
    <n v="2483.92"/>
    <n v="2114.08"/>
    <n v="1195.48"/>
    <n v="918.59999999999991"/>
    <n v="137.94"/>
    <n v="780.66"/>
    <n v="0.16980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8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3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8"/>
        <item m="1" x="679"/>
        <item m="1" x="80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50"/>
        <item m="1" x="89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71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8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3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8"/>
        <item m="1" x="679"/>
        <item m="1" x="80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50"/>
        <item m="1" x="89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3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3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8" s="1" nd="1"/>
        <i x="582" s="1" nd="1"/>
        <i x="19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4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2" s="1" nd="1"/>
        <i x="16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9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4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6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1" s="1" nd="1"/>
        <i x="605" s="1" nd="1"/>
        <i x="83" s="1" nd="1"/>
        <i x="325" s="1" nd="1"/>
        <i x="35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52" s="1" nd="1"/>
        <i x="851" s="1" nd="1"/>
        <i x="30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9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8" s="1" nd="1"/>
        <i x="277" s="1" nd="1"/>
        <i x="507" s="1" nd="1"/>
        <i x="499" s="1" nd="1"/>
        <i x="68" s="1" nd="1"/>
        <i x="679" s="1" nd="1"/>
        <i x="80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7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1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50" s="1" nd="1"/>
        <i x="89" s="1" nd="1"/>
        <i x="201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297406</v>
      </c>
      <c r="B2" s="12" t="s">
        <v>579</v>
      </c>
      <c r="C2" s="14">
        <v>46253</v>
      </c>
      <c r="D2" s="14">
        <v>46253</v>
      </c>
      <c r="E2" s="12"/>
      <c r="F2" s="15" t="s">
        <v>580</v>
      </c>
      <c r="G2" s="15" t="s">
        <v>581</v>
      </c>
      <c r="H2" s="15" t="s">
        <v>582</v>
      </c>
      <c r="I2" s="16">
        <v>2422.92</v>
      </c>
      <c r="J2" s="15" t="s">
        <v>583</v>
      </c>
      <c r="K2" s="15" t="s">
        <v>584</v>
      </c>
      <c r="L2" s="15" t="s">
        <v>585</v>
      </c>
      <c r="M2" s="15">
        <v>159.75</v>
      </c>
      <c r="N2" s="15">
        <v>2</v>
      </c>
      <c r="O2" s="16">
        <v>35.799999999999997</v>
      </c>
      <c r="P2" s="15" t="s">
        <v>586</v>
      </c>
      <c r="Q2" s="15">
        <v>0</v>
      </c>
      <c r="R2" s="15" t="s">
        <v>587</v>
      </c>
      <c r="S2" s="15">
        <v>56.23</v>
      </c>
      <c r="T2" s="15" t="s">
        <v>588</v>
      </c>
      <c r="U2" s="15">
        <v>0</v>
      </c>
      <c r="V2" s="15">
        <v>19.170000000000002</v>
      </c>
      <c r="W2" s="15">
        <v>0</v>
      </c>
      <c r="X2" s="15">
        <v>0</v>
      </c>
      <c r="Y2" s="15">
        <v>1.21</v>
      </c>
      <c r="Z2" s="15">
        <v>0</v>
      </c>
      <c r="AA2" s="15">
        <v>125.72</v>
      </c>
      <c r="AB2" s="15">
        <v>34.03</v>
      </c>
      <c r="AC2" s="15">
        <v>41.54</v>
      </c>
      <c r="AD2" s="15">
        <v>-11.73</v>
      </c>
      <c r="AE2" s="15">
        <v>0</v>
      </c>
      <c r="AF2" s="15">
        <v>-11.73</v>
      </c>
      <c r="AG2" s="17">
        <v>-7.3399999999999993E-2</v>
      </c>
      <c r="AH2" s="15"/>
    </row>
    <row r="3" spans="1:34" s="1" customFormat="1" ht="12" customHeight="1" x14ac:dyDescent="0.3">
      <c r="A3" s="13">
        <v>297528</v>
      </c>
      <c r="B3" s="12" t="s">
        <v>579</v>
      </c>
      <c r="C3" s="14">
        <v>46253</v>
      </c>
      <c r="D3" s="14">
        <v>46254</v>
      </c>
      <c r="E3" s="12"/>
      <c r="F3" s="15" t="s">
        <v>589</v>
      </c>
      <c r="G3" s="15" t="s">
        <v>590</v>
      </c>
      <c r="H3" s="15" t="s">
        <v>582</v>
      </c>
      <c r="I3" s="16">
        <v>866062.28</v>
      </c>
      <c r="J3" s="15" t="s">
        <v>591</v>
      </c>
      <c r="K3" s="15" t="s">
        <v>584</v>
      </c>
      <c r="L3" s="15" t="s">
        <v>592</v>
      </c>
      <c r="M3" s="16">
        <v>4598</v>
      </c>
      <c r="N3" s="15">
        <v>73</v>
      </c>
      <c r="O3" s="16">
        <v>1495.04</v>
      </c>
      <c r="P3" s="15" t="s">
        <v>588</v>
      </c>
      <c r="Q3" s="15">
        <v>0</v>
      </c>
      <c r="R3" s="15" t="s">
        <v>593</v>
      </c>
      <c r="S3" s="15">
        <v>0</v>
      </c>
      <c r="T3" s="15" t="s">
        <v>588</v>
      </c>
      <c r="U3" s="15">
        <v>0</v>
      </c>
      <c r="V3" s="15">
        <v>0</v>
      </c>
      <c r="W3" s="15">
        <v>0</v>
      </c>
      <c r="X3" s="15">
        <v>0</v>
      </c>
      <c r="Y3" s="15">
        <v>433.03</v>
      </c>
      <c r="Z3" s="15">
        <v>0</v>
      </c>
      <c r="AA3" s="16">
        <v>2483.92</v>
      </c>
      <c r="AB3" s="16">
        <v>2114.08</v>
      </c>
      <c r="AC3" s="15">
        <v>1195.48</v>
      </c>
      <c r="AD3" s="15">
        <v>918.59999999999991</v>
      </c>
      <c r="AE3" s="15">
        <v>137.94</v>
      </c>
      <c r="AF3" s="15">
        <v>780.66</v>
      </c>
      <c r="AG3" s="17">
        <v>0.16980000000000001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4757.75</v>
      </c>
      <c r="F3" s="89"/>
      <c r="G3" s="90"/>
      <c r="H3" s="133">
        <f>'Resumo Detalhado'!C2</f>
        <v>1530.84</v>
      </c>
      <c r="I3" s="134"/>
      <c r="J3" s="135">
        <f>E3/H3</f>
        <v>3.1079342060568056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2100</v>
      </c>
      <c r="F7" s="112"/>
      <c r="G7" s="112"/>
      <c r="H7" s="112"/>
      <c r="I7" s="112"/>
      <c r="J7" s="112">
        <f>E7/H3</f>
        <v>1.3717958767735361</v>
      </c>
      <c r="K7" s="112"/>
      <c r="L7" s="112"/>
      <c r="M7" s="130">
        <f>E7/E3</f>
        <v>0.4413851085071725</v>
      </c>
      <c r="N7" s="130"/>
      <c r="O7" s="130"/>
      <c r="P7" s="112">
        <f>E11+K11+Q11+E15+K15+Q15+E19+H19+K19</f>
        <v>3695.2699999999995</v>
      </c>
      <c r="Q7" s="112"/>
      <c r="R7" s="112"/>
      <c r="S7" s="112">
        <f>P7/H3</f>
        <v>2.4138838807452117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2100</v>
      </c>
      <c r="L11" s="90"/>
      <c r="M11" s="38"/>
      <c r="N11" s="88">
        <f>K11/H3</f>
        <v>1.3717958767735361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19.170000000000002</v>
      </c>
      <c r="F15" s="119"/>
      <c r="G15" s="119"/>
      <c r="H15" s="119"/>
      <c r="I15" s="132"/>
      <c r="J15" s="38"/>
      <c r="K15" s="113">
        <f>'Resumo Detalhado'!K2+'Resumo Detalhado'!L2</f>
        <v>761.24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434.23999999999995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380.62</v>
      </c>
      <c r="L19" s="123"/>
      <c r="M19" s="38"/>
      <c r="N19" s="121" t="s">
        <v>149</v>
      </c>
      <c r="O19" s="119"/>
      <c r="P19" s="119"/>
      <c r="Q19" s="119"/>
      <c r="R19" s="120"/>
      <c r="S19" s="121">
        <f>_xlfn.XLOOKUP(N19,Target!C:C,Target!D:D)</f>
        <v>1800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3348.93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0.70388944353948812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4757.75</v>
      </c>
      <c r="C2" s="29">
        <f>SUM(C6:C5000)</f>
        <v>1530.84</v>
      </c>
      <c r="D2" s="29">
        <f>SUM(D6:D5000)</f>
        <v>0</v>
      </c>
      <c r="E2" s="29">
        <f>SUM(E6:E5000)</f>
        <v>56.23</v>
      </c>
      <c r="F2" s="29">
        <f>SUM(F6:F5000)</f>
        <v>0</v>
      </c>
      <c r="G2" s="29"/>
      <c r="H2" s="29">
        <f t="shared" ref="H2:P2" si="0">SUM(H6:H5000)</f>
        <v>19.170000000000002</v>
      </c>
      <c r="I2" s="29">
        <f t="shared" si="0"/>
        <v>434.23999999999995</v>
      </c>
      <c r="J2" s="29">
        <f t="shared" si="0"/>
        <v>0</v>
      </c>
      <c r="K2" s="29">
        <f t="shared" si="0"/>
        <v>380.62</v>
      </c>
      <c r="L2" s="29">
        <f t="shared" si="0"/>
        <v>380.62</v>
      </c>
      <c r="M2" s="29">
        <f t="shared" si="0"/>
        <v>137.94</v>
      </c>
      <c r="N2" s="29">
        <f t="shared" si="0"/>
        <v>3348.93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297528</v>
      </c>
      <c r="B6" s="140">
        <v>4598</v>
      </c>
      <c r="C6" s="141">
        <v>1495.04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433.03</v>
      </c>
      <c r="J6" s="140">
        <v>0</v>
      </c>
      <c r="K6" s="140">
        <v>367.84000000000003</v>
      </c>
      <c r="L6" s="140">
        <v>367.84000000000003</v>
      </c>
      <c r="M6" s="140">
        <v>137.94</v>
      </c>
      <c r="N6" s="140">
        <v>3291.35</v>
      </c>
      <c r="O6" s="142">
        <v>0.71582209656372331</v>
      </c>
      <c r="Q6"/>
    </row>
    <row r="7" spans="1:18" s="31" customFormat="1" x14ac:dyDescent="0.3">
      <c r="A7" s="139" t="s">
        <v>581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297406</v>
      </c>
      <c r="B8" s="140">
        <v>159.75</v>
      </c>
      <c r="C8" s="141">
        <v>35.799999999999997</v>
      </c>
      <c r="D8" s="140">
        <v>0</v>
      </c>
      <c r="E8" s="140">
        <v>56.23</v>
      </c>
      <c r="F8" s="140">
        <v>0</v>
      </c>
      <c r="G8" s="142">
        <v>0.35198748043818462</v>
      </c>
      <c r="H8" s="140">
        <v>19.170000000000002</v>
      </c>
      <c r="I8" s="140">
        <v>1.21</v>
      </c>
      <c r="J8" s="140">
        <v>0</v>
      </c>
      <c r="K8" s="140">
        <v>12.780000000000001</v>
      </c>
      <c r="L8" s="140">
        <v>12.780000000000001</v>
      </c>
      <c r="M8" s="140">
        <v>0</v>
      </c>
      <c r="N8" s="140">
        <v>57.580000000000013</v>
      </c>
      <c r="O8" s="142">
        <v>0.36043818466353683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159.75</v>
      </c>
      <c r="C2" s="29">
        <f>SUM(C6:C5000)</f>
        <v>57.580000000000013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4598</v>
      </c>
      <c r="C5" s="10">
        <v>3291.35</v>
      </c>
    </row>
    <row r="6" spans="1:4" x14ac:dyDescent="0.3">
      <c r="A6" s="139" t="s">
        <v>581</v>
      </c>
      <c r="B6" s="140">
        <v>159.75</v>
      </c>
      <c r="C6" s="140">
        <v>57.580000000000013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2026-08-25T11:20:15Z</dcterms:modified>
  <cp:category/>
  <cp:contentStatus/>
</cp:coreProperties>
</file>