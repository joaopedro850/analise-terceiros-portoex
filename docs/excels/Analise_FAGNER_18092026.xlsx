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C295608-A361-4082-87E1-CB8FBF18183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<sst xmlns="http://schemas.openxmlformats.org/spreadsheetml/2006/main" count="884" uniqueCount="609">
  <si>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</si>
  <si>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</si>
  <si>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</si>
  <si>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</si>
  <si>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</si>
  <si>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</si>
  <si>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</si>
  <si>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</si>
  <si>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</si>
  <si>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</si>
  <si>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</si>
  <si>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</si>
  <si>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</si>
  <si>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</si>
  <si>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</si>
  <si>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</si>
  <si>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</si>
  <si>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</si>
  <si>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</si>
  <si>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</si>
  <si>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</si>
  <si>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</si>
  <si>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</si>
  <si>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</si>
  <si>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</si>
  <si>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</si>
  <si>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</si>
  <si>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</si>
  <si>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</si>
  <si>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</si>
  <si>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</si>
  <si>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</si>
  <si>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</si>
  <si>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</si>
  <si>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</si>
  <si>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</si>
  <si>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</si>
  <si>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</si>
  <si>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</si>
  <si>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</si>
  <si>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</si>
  <si>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</si>
  <si>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</si>
  <si>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</si>
  <si>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</si>
  <si>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</si>
  <si>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</si>
  <si>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</si>
  <si>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</si>
  <si>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</si>
  <si>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</si>
  <si>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</si>
  <si>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</si>
  <si>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</si>
  <si>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</si>
  <si>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</si>
  <si>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</si>
  <si>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</si>
  <si>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</si>
  <si>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</si>
  <si>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</si>
  <si>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</si>
  <si>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</si>
  <si>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</si>
  <si>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</si>
  <si>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</si>
  <si>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</si>
  <si>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</si>
  <si>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</si>
  <si>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</si>
  <si>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</si>
  <si>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</si>
  <si>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</si>
  <si>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</si>
  <si>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</si>
  <si>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</si>
  <si>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</si>
  <si>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</si>
  <si>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</si>
  <si>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</si>
  <si>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</si>
  <si>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</si>
  <si>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</si>
  <si>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</si>
  <si>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</si>
  <si>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</si>
  <si>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</si>
  <si>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</si>
  <si>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</si>
  <si>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</si>
  <si>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</si>
  <si>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</si>
  <si>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</si>
  <si>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</si>
  <si>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</si>
  <si>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</si>
  <si>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</si>
  <si>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</si>
  <si>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</si>
  <si>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</si>
  <si>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</si>
  <si>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</si>
  <si>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</si>
  <si>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</si>
  <si>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</si>
  <si>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</si>
  <si>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</si>
  <si>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</si>
  <si>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</si>
  <si>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</si>
  <si>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</si>
  <si>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</si>
  <si>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</si>
  <si>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</si>
  <si>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</si>
  <si>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</si>
  <si>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</si>
  <si>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</si>
  <si>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</si>
  <si>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</si>
  <si>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</si>
  <si>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</si>
  <si>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</si>
  <si>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</si>
  <si>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</si>
  <si>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</si>
  <si>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</si>
  <si>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</si>
  <si>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</si>
  <si>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</si>
  <si>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</si>
  <si>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</si>
  <si>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</si>
  <si>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</si>
  <si>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</si>
  <si>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</si>
  <si>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</si>
  <si>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</si>
  <si>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</si>
  <si>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</si>
  <si>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</si>
  <si>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</si>
  <si>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</si>
  <si>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</si>
  <si>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</si>
  <si>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</si>
  <si>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</si>
  <si>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</si>
  <si>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</si>
  <si>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</si>
  <si>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</si>
  <si>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</si>
  <si>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</si>
  <si>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</si>
  <si>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</si>
  <si>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</si>
  <si>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</si>
  <si>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</si>
  <si>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</si>
  <si>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</si>
  <si>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</si>
  <si>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</si>
  <si>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</si>
  <si>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</si>
  <si>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</si>
  <si>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</si>
  <si>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</si>
  <si>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</si>
  <si>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</si>
  <si>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</si>
  <si>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</si>
  <si>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</si>
  <si>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</si>
  <si>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</si>
  <si>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</si>
  <si>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</si>
  <si>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</si>
  <si>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</si>
  <si>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</si>
  <si>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</si>
  <si>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</si>
  <si>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</si>
  <si>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</si>
  <si>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</si>
  <si>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</si>
  <si>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</si>
  <si>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</si>
  <si>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</si>
  <si>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</si>
  <si>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</si>
  <si>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</si>
  <si>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</si>
  <si>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</si>
  <si>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</si>
  <si>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</si>
  <si>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</si>
  <si>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</si>
  <si>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</si>
  <si>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</si>
  <si>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</si>
  <si>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</si>
  <si>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</si>
  <si>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</si>
  <si>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</si>
  <si>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</si>
  <si>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</si>
  <si>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</si>
  <si>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</si>
  <si>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</si>
  <si>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</si>
  <si>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</si>
  <si>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</si>
  <si>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</si>
  <si>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</si>
  <si>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</si>
  <si>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</si>
  <si>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</si>
  <si>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</si>
  <si>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</si>
  <si>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</si>
  <si>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</si>
  <si>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</si>
  <si>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</si>
  <si>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</si>
  <si>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</si>
  <si>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</si>
  <si>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</si>
  <si>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</si>
  <si>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</si>
  <si>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</si>
  <si>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</si>
  <si>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</si>
  <si>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</si>
  <si>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</si>
  <si>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</si>
  <si>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</si>
  <si>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</si>
  <si>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</si>
  <si>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</si>
  <si>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</si>
  <si>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</si>
  <si>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</si>
  <si>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</si>
  <si>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</si>
  <si>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</si>
  <si>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</si>
  <si>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</si>
  <si>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</si>
  <si>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</si>
  <si>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</si>
  <si>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</si>
  <si>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</si>
  <si>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</si>
  <si>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</si>
  <si>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</si>
  <si>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</si>
  <si>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</si>
  <si>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</si>
  <si>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</si>
  <si>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</si>
  <si>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</si>
  <si>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</si>
  <si>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</si>
  <si>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</si>
  <si>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</si>
  <si>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</si>
  <si>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</si>
  <si>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</si>
  <si>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</si>
  <si>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</si>
  <si>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</si>
  <si>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</si>
  <si>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</si>
  <si>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</si>
  <si>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</si>
  <si>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</si>
  <si>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</si>
  <si>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</si>
  <si>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</si>
  <si>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</si>
  <si>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</si>
  <si>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</si>
  <si>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</si>
  <si>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</si>
  <si>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</si>
  <si>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</si>
  <si>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</si>
  <si>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</si>
  <si>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</si>
  <si>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</si>
  <si>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</si>
  <si>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</si>
  <si>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</si>
  <si>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</si>
  <si>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</si>
  <si>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</si>
  <si>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</si>
  <si>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</si>
  <si>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</si>
  <si>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</si>
  <si>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</si>
  <si>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</si>
  <si>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</si>
  <si>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</si>
  <si>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</si>
  <si>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</si>
  <si>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</si>
  <si>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</si>
  <si>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</si>
  <si>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</si>
  <si>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</si>
  <si>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</si>
  <si>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</si>
  <si>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</si>
  <si>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</si>
  <si>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</si>
  <si>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</si>
  <si>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</si>
  <si>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</si>
  <si>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</si>
  <si>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</si>
  <si>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</si>
  <si>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</si>
  <si>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</si>
  <si>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</si>
  <si>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</si>
  <si>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</si>
  <si>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</si>
  <si>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</si>
  <si>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</si>
  <si>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</si>
  <si>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</si>
  <si>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</si>
  <si>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</si>
  <si>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</si>
  <si>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</si>
  <si>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</si>
  <si>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</si>
  <si>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</si>
  <si>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</si>
  <si>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</si>
  <si>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</si>
  <si>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</si>
  <si>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</si>
  <si>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</si>
  <si>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</si>
  <si>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</si>
  <si>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</si>
  <si>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</si>
  <si>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</si>
  <si>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</si>
  <si>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</si>
  <si>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</si>
  <si>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</si>
  <si>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</si>
  <si>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</si>
  <si>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</si>
  <si>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</si>
  <si>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</si>
  <si>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</si>
  <si>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</si>
  <si>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</si>
  <si>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</si>
  <si>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</si>
  <si>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</si>
  <si>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</si>
  <si>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</si>
  <si>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</si>
  <si>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</si>
  <si>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</si>
  <si>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</si>
  <si>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</si>
  <si>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</si>
  <si>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</si>
  <si>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</si>
  <si>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</si>
  <si>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</si>
  <si>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</si>
  <si>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</si>
  <si>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</si>
  <si>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</si>
  <si>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</si>
  <si>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</si>
  <si>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</si>
  <si>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</si>
  <si>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</si>
  <si>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</si>
  <si>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</si>
  <si>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</si>
  <si>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</si>
  <si>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</si>
  <si>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</si>
  <si>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</si>
  <si>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</si>
  <si>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</si>
  <si>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</si>
  <si>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</si>
  <si>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</si>
  <si>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</si>
  <si>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</si>
  <si>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</si>
  <si>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</si>
  <si>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</si>
  <si>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</si>
  <si>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</si>
  <si>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</si>
  <si>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</si>
  <si>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</si>
  <si>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</si>
  <si>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</si>
  <si>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</si>
  <si>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</si>
  <si>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</si>
  <si>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</si>
  <si>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</si>
  <si>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</si>
  <si>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</si>
  <si>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</si>
  <si>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</si>
  <si>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</si>
  <si>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</si>
  <si>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</si>
  <si>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</si>
  <si>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</si>
  <si>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</si>
  <si>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</si>
  <si>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</si>
  <si>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</si>
  <si>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</si>
  <si>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</si>
  <si>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</si>
  <si>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</si>
  <si>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</si>
  <si>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</si>
  <si>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</si>
  <si>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</si>
  <si>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</si>
  <si>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</si>
  <si>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</si>
  <si>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</si>
  <si>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</si>
  <si>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</si>
  <si>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</si>
  <si>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</si>
  <si>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</si>
  <si>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</si>
  <si>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</si>
  <si>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</si>
  <si>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</si>
  <si>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</si>
  <si>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</si>
  <si>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</si>
  <si>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</si>
  <si>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</si>
  <si>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</si>
  <si>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</si>
  <si>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</si>
  <si>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</si>
  <si>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</si>
  <si>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</si>
  <si>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</si>
  <si>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</si>
  <si>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</si>
  <si>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</si>
  <si>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</si>
  <si>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</si>
  <si>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</si>
  <si>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</si>
  <si>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</si>
  <si>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</si>
  <si>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</si>
  <si>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</si>
  <si>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</si>
  <si>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</si>
  <si>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</si>
  <si>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</si>
  <si>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</si>
  <si>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</si>
  <si>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</si>
  <si>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</si>
  <si>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</si>
  <si>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</si>
  <si>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</si>
  <si>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</si>
  <si>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</si>
  <si>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</si>
  <si>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</si>
  <si>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</si>
  <si>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</si>
  <si>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</si>
  <si>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</si>
  <si>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</si>
  <si>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</si>
  <si>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</si>
  <si>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</si>
  <si>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</si>
  <si>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</si>
  <si>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</si>
  <si>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</si>
  <si>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</si>
  <si>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</si>
  <si>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</si>
  <si>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</si>
  <si>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</si>
  <si>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</si>
  <si>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</si>
  <si>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</si>
  <si>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</si>
  <si>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</si>
  <si>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</si>
  <si>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</si>
  <si>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</si>
  <si>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</si>
  <si>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</si>
  <si>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</si>
  <si>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</si>
  <si>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</si>
  <si>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</si>
  <si>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</si>
  <si>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</si>
  <si>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</si>
  <si>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</si>
  <si>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</si>
  <si>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</si>
  <si>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</si>
  <si>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</si>
  <si>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</si>
  <si>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</si>
  <si>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</si>
  <si>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</si>
  <si>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</si>
  <si>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</si>
  <si>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</si>
  <si>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</si>
  <si>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</si>
  <si>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</si>
  <si>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</si>
  <si>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</si>
  <si>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</si>
  <si>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</si>
  <si>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</si>
  <si>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</si>
  <si>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</si>
  <si>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</si>
  <si>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</si>
  <si>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</si>
  <si>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</si>
  <si>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</si>
  <si>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</si>
  <si>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</si>
  <si>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</si>
  <si>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</si>
  <si>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</si>
  <si>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</si>
  <si>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</si>
  <si>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</si>
  <si>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</si>
  <si>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</si>
  <si>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</si>
  <si>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</si>
  <si>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</si>
  <si>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</si>
  <si>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</si>
  <si>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</si>
  <si>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</si>
  <si>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</si>
  <si>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</si>
  <si>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</si>
  <si>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</si>
  <si>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</si>
  <si>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</si>
  <si>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</si>
  <si>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</si>
  <si>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</si>
  <si>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</si>
  <si>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</si>
  <si>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</si>
  <si>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</si>
  <si>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</si>
  <si>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</si>
  <si>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</si>
  <si>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</si>
  <si>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</si>
  <si>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</si>
  <si>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</si>
  <si>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</si>
  <si>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</si>
  <si>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</si>
  <si>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</si>
  <si>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</si>
  <si>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</si>
  <si>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</si>
  <si>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MATRIZ</t>
  </si>
  <si>
    <t>203451-1</t>
  </si>
  <si>
    <t>HND IMPORTADORA</t>
  </si>
  <si>
    <t>URIEL CORREA</t>
  </si>
  <si>
    <t>ECONOMICO_250</t>
  </si>
  <si>
    <t>CTE NORMAL</t>
  </si>
  <si>
    <t>ARUJA - SP</t>
  </si>
  <si>
    <t>LUIZ FELIPE FERNANDES DA</t>
  </si>
  <si>
    <t>EDSON SANTOS DA SILVA</t>
  </si>
  <si>
    <t>FAGNER DOMINGOS DA SILVA</t>
  </si>
  <si>
    <t>2239-6</t>
  </si>
  <si>
    <t>MATTEL DO BRASI</t>
  </si>
  <si>
    <t>MARLON MARQUES</t>
  </si>
  <si>
    <t>EXPRESSO_250</t>
  </si>
  <si>
    <t>GUARULHOS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</si>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</sst>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[Analise_FAGNER_18092026.xlsx]Resumo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HND IMPORTADORA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198.43</c:v>
                </c:pt>
                <c:pt idx="1">
                  <c:v>9794.5499999999993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HND IMPORTADORA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55.425599999999996</c:v>
                </c:pt>
                <c:pt idx="1">
                  <c:v>5685.6859999999979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[Analise_FAGNER_18092026.xlsx]Resumo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HND IMPORTADORA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198.43</c:v>
                </c:pt>
                <c:pt idx="1">
                  <c:v>9794.5499999999993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HND IMPORTADORA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55.425599999999996</c:v>
                </c:pt>
                <c:pt idx="1">
                  <c:v>5685.6859999999979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1837118055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1864" count="8000">
        <n v="301725"/>
        <n v="30186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7T00:00:00" maxDate="2026-09-19T00:00:00"/>
    </cacheField>
    <cacheField name="DATA" numFmtId="14">
      <sharedItems containsNonDate="0" containsDate="1" containsString="0" containsBlank="1" minDate="2026-09-18T00:00:00" maxDate="2026-09-20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HND IMPORTADORA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967.88" maxValue="339907.32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98.43" maxValue="9794.5499999999993"/>
    </cacheField>
    <cacheField name="VOLUMES" numFmtId="0">
      <sharedItems containsString="0" containsBlank="1" containsNumber="1" containsInteger="1" minValue="1" maxValue="460"/>
    </cacheField>
    <cacheField name="PESO" numFmtId="0">
      <sharedItems containsString="0" containsBlank="1" containsNumber="1" minValue="118.47" maxValue="5474"/>
    </cacheField>
    <cacheField name="RESP. COLETA" numFmtId="0">
      <sharedItems containsBlank="1"/>
    </cacheField>
    <cacheField name="CUSTO COLETA" numFmtId="0">
      <sharedItems containsString="0" containsBlank="1" containsNumber="1" minValue="0" maxValue="30.4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69.849999999999994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3.81" maxValue="1175.349999999999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98" maxValue="169.95"/>
    </cacheField>
    <cacheField name="OUTROS" numFmtId="0">
      <sharedItems containsString="0" containsBlank="1" containsNumber="1" containsInteger="1" minValue="0" maxValue="1980"/>
    </cacheField>
    <cacheField name="C.TOTAL" numFmtId="0">
      <sharedItems containsString="0" containsBlank="1" containsNumber="1" minValue="243.64" maxValue="8708.7900000000009"/>
    </cacheField>
    <cacheField name="RECEITA" numFmtId="0">
      <sharedItems containsString="0" containsBlank="1" containsNumber="1" minValue="-45.21" maxValue="1085.76"/>
    </cacheField>
    <cacheField name="IMPOSTO" numFmtId="0">
      <sharedItems containsString="0" containsBlank="1" containsNumber="1" minValue="51.59" maxValue="2546.58"/>
    </cacheField>
    <cacheField name="RESULTADO" numFmtId="0">
      <sharedItems containsString="0" containsBlank="1" containsNumber="1" minValue="-1460.82" maxValue="-96.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460.82" maxValue="-96.8"/>
    </cacheField>
    <cacheField name="MARGEM" numFmtId="10">
      <sharedItems containsString="0" containsBlank="1" containsNumber="1" minValue="-0.48780000000000001" maxValue="-0.1491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7T00:00:00"/>
    <d v="2026-09-18T00:00:00"/>
    <m/>
    <s v="203451-1"/>
    <x v="0"/>
    <s v="URIEL CORREA"/>
    <n v="5967.88"/>
    <x v="0"/>
    <s v="CTE NORMAL"/>
    <s v="ARUJA - SP"/>
    <n v="198.43"/>
    <n v="1"/>
    <n v="118.47"/>
    <s v="LUIZ FELIPE FERNANDES DA"/>
    <n v="30.49"/>
    <s v="EDSON SANTOS DA SILVA"/>
    <n v="69.849999999999994"/>
    <s v="FAGNER DOMINGOS DA SILVA"/>
    <n v="0"/>
    <n v="23.81"/>
    <n v="0"/>
    <n v="0"/>
    <n v="2.98"/>
    <n v="0"/>
    <n v="243.64"/>
    <n v="-45.21"/>
    <n v="51.59"/>
    <n v="-96.8"/>
    <n v="0"/>
    <n v="-96.8"/>
    <n v="-0.48780000000000001"/>
    <m/>
  </r>
  <r>
    <x v="1"/>
    <s v="MATRIZ"/>
    <d v="2026-09-18T00:00:00"/>
    <d v="2026-09-19T00:00:00"/>
    <m/>
    <s v="2239-6"/>
    <x v="1"/>
    <s v="MARLON MARQUES"/>
    <n v="339907.32"/>
    <x v="1"/>
    <s v="CTE NORMAL"/>
    <s v="GUARULHOS - SP"/>
    <n v="9794.5499999999993"/>
    <n v="460"/>
    <n v="5474"/>
    <s v="N/D"/>
    <n v="0"/>
    <s v="N/D"/>
    <n v="0"/>
    <s v="FAGNER DOMINGOS DA SILVA"/>
    <n v="0"/>
    <n v="1175.3499999999999"/>
    <n v="0"/>
    <n v="0"/>
    <n v="169.95"/>
    <n v="1980"/>
    <n v="8708.7900000000009"/>
    <n v="1085.76"/>
    <n v="2546.58"/>
    <n v="-1460.82"/>
    <n v="0"/>
    <n v="-1460.82"/>
    <n v="-0.14910000000000001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5"/>
        <item sd="0" m="1" x="502"/>
        <item m="1" x="25"/>
        <item m="1" x="582"/>
        <item m="1" x="852"/>
        <item m="1" x="21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2"/>
        <item m="1" x="206"/>
        <item m="1" x="674"/>
        <item m="1" x="139"/>
        <item m="1" x="688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1"/>
        <item sd="0" m="1" x="71"/>
        <item m="1" x="579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1"/>
        <item m="1" x="486"/>
        <item m="1" x="640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90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8"/>
        <item m="1" x="331"/>
        <item x="0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4"/>
        <item m="1" x="302"/>
        <item m="1" x="549"/>
        <item m="1" x="61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3"/>
        <item m="1" x="157"/>
        <item sd="0" m="1" x="561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8"/>
        <item sd="0" m="1" x="715"/>
        <item sd="0" m="1" x="55"/>
        <item m="1" x="298"/>
        <item m="1" x="682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1"/>
        <item m="1" x="371"/>
        <item m="1" x="246"/>
        <item m="1" x="398"/>
        <item sd="0" m="1" x="482"/>
        <item m="1" x="338"/>
        <item m="1" x="613"/>
        <item m="1" x="672"/>
        <item m="1" x="838"/>
        <item m="1" x="51"/>
        <item m="1" x="606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4"/>
        <item m="1" x="610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20"/>
        <item m="1" x="538"/>
        <item m="1" x="636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1"/>
        <item m="1" x="605"/>
        <item m="1" x="441"/>
        <item m="1" x="23"/>
        <item m="1" x="595"/>
        <item m="1" x="435"/>
        <item m="1" x="68"/>
        <item m="1" x="655"/>
        <item m="1" x="677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7"/>
        <item m="1" x="280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1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5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9"/>
        <item sd="0" m="1" x="179"/>
        <item m="1" x="624"/>
        <item sd="0" m="1" x="64"/>
        <item m="1" x="424"/>
        <item sd="0" m="1" x="27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8"/>
        <item m="1" x="601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345"/>
    </i>
    <i r="1">
      <x v="7998"/>
    </i>
    <i>
      <x v="495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4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1"/>
        <item m="1" x="324"/>
        <item sd="0" m="1" x="675"/>
        <item sd="0" m="1" x="502"/>
        <item m="1" x="25"/>
        <item m="1" x="582"/>
        <item m="1" x="852"/>
        <item m="1" x="21"/>
        <item m="1" x="757"/>
        <item m="1" x="112"/>
        <item m="1" x="545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2"/>
        <item m="1" x="141"/>
        <item m="1" x="617"/>
        <item m="1" x="321"/>
        <item m="1" x="820"/>
        <item m="1" x="322"/>
        <item m="1" x="461"/>
        <item m="1" x="506"/>
        <item sd="0" m="1" x="554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50"/>
        <item m="1" x="845"/>
        <item m="1" x="445"/>
        <item m="1" x="530"/>
        <item m="1" x="665"/>
        <item m="1" x="519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2"/>
        <item m="1" x="206"/>
        <item m="1" x="674"/>
        <item m="1" x="139"/>
        <item m="1" x="688"/>
        <item m="1" x="453"/>
        <item m="1" x="408"/>
        <item m="1" x="516"/>
        <item m="1" x="318"/>
        <item m="1" x="592"/>
        <item m="1" x="596"/>
        <item m="1" x="732"/>
        <item m="1" x="785"/>
        <item m="1" x="183"/>
        <item m="1" x="835"/>
        <item m="1" x="711"/>
        <item m="1" x="378"/>
        <item m="1" x="207"/>
        <item sd="0" m="1" x="522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3"/>
        <item m="1" x="806"/>
        <item sd="0" m="1" x="621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7"/>
        <item m="1" x="172"/>
        <item m="1" x="615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2"/>
        <item m="1" x="568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7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2"/>
        <item m="1" x="559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1"/>
        <item m="1" x="295"/>
        <item m="1" x="304"/>
        <item m="1" x="174"/>
        <item m="1" x="101"/>
        <item sd="0" m="1" x="71"/>
        <item m="1" x="579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7"/>
        <item m="1" x="84"/>
        <item m="1" x="603"/>
        <item sd="0" m="1" x="450"/>
        <item m="1" x="349"/>
        <item m="1" x="79"/>
        <item m="1" x="583"/>
        <item m="1" x="19"/>
        <item m="1" x="160"/>
        <item m="1" x="773"/>
        <item m="1" x="580"/>
        <item m="1" x="518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3"/>
        <item m="1" x="557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8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1"/>
        <item m="1" x="353"/>
        <item m="1" x="103"/>
        <item sd="0" m="1" x="539"/>
        <item m="1" x="208"/>
        <item m="1" x="671"/>
        <item m="1" x="486"/>
        <item m="1" x="640"/>
        <item m="1" x="607"/>
        <item m="1" x="532"/>
        <item sd="0" m="1" x="564"/>
        <item m="1" x="738"/>
        <item m="1" x="517"/>
        <item sd="0" m="1" x="386"/>
        <item m="1" x="546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9"/>
        <item m="1" x="153"/>
        <item m="1" x="16"/>
        <item m="1" x="232"/>
        <item m="1" x="241"/>
        <item m="1" x="6"/>
        <item m="1" x="388"/>
        <item m="1" x="370"/>
        <item m="1" x="616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40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90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8"/>
        <item m="1" x="161"/>
        <item m="1" x="315"/>
        <item sd="0" m="1" x="698"/>
        <item m="1" x="331"/>
        <item x="0"/>
        <item m="1" x="542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6"/>
        <item m="1" x="116"/>
        <item m="1" x="376"/>
        <item m="1" x="718"/>
        <item m="1" x="127"/>
        <item m="1" x="34"/>
        <item m="1" x="302"/>
        <item m="1" x="549"/>
        <item m="1" x="61"/>
        <item m="1" x="452"/>
        <item m="1" x="774"/>
        <item m="1" x="485"/>
        <item m="1" x="740"/>
        <item sd="0" m="1" x="454"/>
        <item m="1" x="521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3"/>
        <item m="1" x="157"/>
        <item sd="0" m="1" x="561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8"/>
        <item sd="0" m="1" x="715"/>
        <item sd="0" m="1" x="55"/>
        <item m="1" x="298"/>
        <item m="1" x="682"/>
        <item m="1" x="135"/>
        <item m="1" x="330"/>
        <item m="1" x="536"/>
        <item sd="0" m="1" x="237"/>
        <item m="1" x="558"/>
        <item m="1" x="547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70"/>
        <item m="1" x="488"/>
        <item m="1" x="182"/>
        <item sd="0" m="1" x="374"/>
        <item m="1" x="242"/>
        <item m="1" x="337"/>
        <item m="1" x="528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1"/>
        <item m="1" x="810"/>
        <item m="1" x="604"/>
        <item m="1" x="32"/>
        <item m="1" x="268"/>
        <item m="1" x="751"/>
        <item m="1" x="371"/>
        <item m="1" x="246"/>
        <item m="1" x="398"/>
        <item sd="0" m="1" x="482"/>
        <item m="1" x="338"/>
        <item m="1" x="613"/>
        <item m="1" x="672"/>
        <item m="1" x="838"/>
        <item m="1" x="51"/>
        <item m="1" x="606"/>
        <item x="1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7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5"/>
        <item m="1" x="504"/>
        <item m="1" x="228"/>
        <item m="1" x="281"/>
        <item m="1" x="93"/>
        <item m="1" x="407"/>
        <item m="1" x="320"/>
        <item m="1" x="710"/>
        <item m="1" x="535"/>
        <item m="1" x="644"/>
        <item m="1" x="610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4"/>
        <item m="1" x="184"/>
        <item m="1" x="717"/>
        <item m="1" x="111"/>
        <item m="1" x="254"/>
        <item m="1" x="512"/>
        <item m="1" x="95"/>
        <item m="1" x="523"/>
        <item m="1" x="789"/>
        <item m="1" x="20"/>
        <item m="1" x="538"/>
        <item m="1" x="636"/>
        <item m="1" x="576"/>
        <item sd="0" m="1" x="197"/>
        <item m="1" x="575"/>
        <item m="1" x="365"/>
        <item m="1" x="823"/>
        <item m="1" x="336"/>
        <item m="1" x="524"/>
        <item m="1" x="247"/>
        <item sd="0" m="1" x="11"/>
        <item m="1" x="142"/>
        <item m="1" x="651"/>
        <item m="1" x="605"/>
        <item m="1" x="441"/>
        <item m="1" x="23"/>
        <item m="1" x="595"/>
        <item m="1" x="435"/>
        <item m="1" x="68"/>
        <item m="1" x="655"/>
        <item m="1" x="677"/>
        <item m="1" x="566"/>
        <item m="1" x="515"/>
        <item m="1" x="599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9"/>
        <item m="1" x="567"/>
        <item m="1" x="687"/>
        <item m="1" x="280"/>
        <item m="1" x="525"/>
        <item m="1" x="526"/>
        <item m="1" x="38"/>
        <item m="1" x="593"/>
        <item m="1" x="801"/>
        <item m="1" x="584"/>
        <item m="1" x="749"/>
        <item m="1" x="722"/>
        <item m="1" x="533"/>
        <item sd="0" m="1" x="47"/>
        <item m="1" x="555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5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6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20"/>
        <item m="1" x="642"/>
        <item m="1" x="288"/>
        <item m="1" x="180"/>
        <item m="1" x="334"/>
        <item m="1" x="817"/>
        <item sd="0" m="1" x="611"/>
        <item m="1" x="588"/>
        <item sd="0" m="1" x="256"/>
        <item m="1" x="551"/>
        <item m="1" x="104"/>
        <item m="1" x="87"/>
        <item m="1" x="754"/>
        <item m="1" x="155"/>
        <item m="1" x="233"/>
        <item m="1" x="238"/>
        <item m="1" x="466"/>
        <item m="1" x="706"/>
        <item m="1" x="620"/>
        <item m="1" x="731"/>
        <item m="1" x="471"/>
        <item m="1" x="552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8"/>
        <item m="1" x="614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4"/>
        <item m="1" x="778"/>
        <item m="1" x="612"/>
        <item m="1" x="560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1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5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7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9"/>
        <item sd="0" m="1" x="179"/>
        <item m="1" x="624"/>
        <item sd="0" m="1" x="64"/>
        <item m="1" x="424"/>
        <item sd="0" m="1" x="27"/>
        <item sd="0" m="1" x="765"/>
        <item m="1" x="414"/>
        <item sd="0" m="1" x="553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4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3"/>
        <item m="1" x="63"/>
        <item m="1" x="569"/>
        <item m="1" x="431"/>
        <item m="1" x="426"/>
        <item m="1" x="176"/>
        <item m="1" x="366"/>
        <item m="1" x="758"/>
        <item m="1" x="601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8"/>
        <item sd="0" m="1" x="619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600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45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4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1" s="1" nd="1"/>
        <i x="324" s="1" nd="1"/>
        <i x="675" s="1" nd="1"/>
        <i x="502" s="1" nd="1"/>
        <i x="25" s="1" nd="1"/>
        <i x="582" s="1" nd="1"/>
        <i x="852" s="1" nd="1"/>
        <i x="21" s="1" nd="1"/>
        <i x="757" s="1" nd="1"/>
        <i x="112" s="1" nd="1"/>
        <i x="545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2" s="1" nd="1"/>
        <i x="141" s="1" nd="1"/>
        <i x="617" s="1" nd="1"/>
        <i x="321" s="1" nd="1"/>
        <i x="820" s="1" nd="1"/>
        <i x="322" s="1" nd="1"/>
        <i x="461" s="1" nd="1"/>
        <i x="506" s="1" nd="1"/>
        <i x="554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50" s="1" nd="1"/>
        <i x="845" s="1" nd="1"/>
        <i x="445" s="1" nd="1"/>
        <i x="530" s="1" nd="1"/>
        <i x="665" s="1" nd="1"/>
        <i x="519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2" s="1" nd="1"/>
        <i x="206" s="1" nd="1"/>
        <i x="674" s="1" nd="1"/>
        <i x="139" s="1" nd="1"/>
        <i x="688" s="1" nd="1"/>
        <i x="453" s="1" nd="1"/>
        <i x="408" s="1" nd="1"/>
        <i x="516" s="1" nd="1"/>
        <i x="318" s="1" nd="1"/>
        <i x="592" s="1" nd="1"/>
        <i x="596" s="1" nd="1"/>
        <i x="732" s="1" nd="1"/>
        <i x="785" s="1" nd="1"/>
        <i x="183" s="1" nd="1"/>
        <i x="835" s="1" nd="1"/>
        <i x="711" s="1" nd="1"/>
        <i x="378" s="1" nd="1"/>
        <i x="207" s="1" nd="1"/>
        <i x="522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3" s="1" nd="1"/>
        <i x="806" s="1" nd="1"/>
        <i x="621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7" s="1" nd="1"/>
        <i x="172" s="1" nd="1"/>
        <i x="615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2" s="1" nd="1"/>
        <i x="568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7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2" s="1" nd="1"/>
        <i x="559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1" s="1" nd="1"/>
        <i x="295" s="1" nd="1"/>
        <i x="304" s="1" nd="1"/>
        <i x="174" s="1" nd="1"/>
        <i x="101" s="1" nd="1"/>
        <i x="71" s="1" nd="1"/>
        <i x="579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7" s="1" nd="1"/>
        <i x="84" s="1" nd="1"/>
        <i x="603" s="1" nd="1"/>
        <i x="450" s="1" nd="1"/>
        <i x="349" s="1" nd="1"/>
        <i x="79" s="1" nd="1"/>
        <i x="583" s="1" nd="1"/>
        <i x="19" s="1" nd="1"/>
        <i x="160" s="1" nd="1"/>
        <i x="773" s="1" nd="1"/>
        <i x="580" s="1" nd="1"/>
        <i x="518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3" s="1" nd="1"/>
        <i x="557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8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1" s="1" nd="1"/>
        <i x="353" s="1" nd="1"/>
        <i x="103" s="1" nd="1"/>
        <i x="539" s="1" nd="1"/>
        <i x="208" s="1" nd="1"/>
        <i x="671" s="1" nd="1"/>
        <i x="486" s="1" nd="1"/>
        <i x="640" s="1" nd="1"/>
        <i x="607" s="1" nd="1"/>
        <i x="532" s="1" nd="1"/>
        <i x="564" s="1" nd="1"/>
        <i x="738" s="1" nd="1"/>
        <i x="517" s="1" nd="1"/>
        <i x="386" s="1" nd="1"/>
        <i x="546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9" s="1" nd="1"/>
        <i x="153" s="1" nd="1"/>
        <i x="16" s="1" nd="1"/>
        <i x="232" s="1" nd="1"/>
        <i x="241" s="1" nd="1"/>
        <i x="6" s="1" nd="1"/>
        <i x="388" s="1" nd="1"/>
        <i x="370" s="1" nd="1"/>
        <i x="616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40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90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8" s="1" nd="1"/>
        <i x="161" s="1" nd="1"/>
        <i x="315" s="1" nd="1"/>
        <i x="698" s="1" nd="1"/>
        <i x="331" s="1" nd="1"/>
        <i x="542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6" s="1" nd="1"/>
        <i x="116" s="1" nd="1"/>
        <i x="376" s="1" nd="1"/>
        <i x="718" s="1" nd="1"/>
        <i x="127" s="1" nd="1"/>
        <i x="34" s="1" nd="1"/>
        <i x="302" s="1" nd="1"/>
        <i x="549" s="1" nd="1"/>
        <i x="61" s="1" nd="1"/>
        <i x="452" s="1" nd="1"/>
        <i x="774" s="1" nd="1"/>
        <i x="485" s="1" nd="1"/>
        <i x="740" s="1" nd="1"/>
        <i x="454" s="1" nd="1"/>
        <i x="521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3" s="1" nd="1"/>
        <i x="157" s="1" nd="1"/>
        <i x="561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8" s="1" nd="1"/>
        <i x="715" s="1" nd="1"/>
        <i x="55" s="1" nd="1"/>
        <i x="298" s="1" nd="1"/>
        <i x="682" s="1" nd="1"/>
        <i x="135" s="1" nd="1"/>
        <i x="330" s="1" nd="1"/>
        <i x="536" s="1" nd="1"/>
        <i x="237" s="1" nd="1"/>
        <i x="558" s="1" nd="1"/>
        <i x="547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70" s="1" nd="1"/>
        <i x="488" s="1" nd="1"/>
        <i x="182" s="1" nd="1"/>
        <i x="374" s="1" nd="1"/>
        <i x="242" s="1" nd="1"/>
        <i x="337" s="1" nd="1"/>
        <i x="528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1" s="1" nd="1"/>
        <i x="810" s="1" nd="1"/>
        <i x="604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3" s="1" nd="1"/>
        <i x="672" s="1" nd="1"/>
        <i x="838" s="1" nd="1"/>
        <i x="51" s="1" nd="1"/>
        <i x="606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7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5" s="1" nd="1"/>
        <i x="504" s="1" nd="1"/>
        <i x="228" s="1" nd="1"/>
        <i x="281" s="1" nd="1"/>
        <i x="93" s="1" nd="1"/>
        <i x="407" s="1" nd="1"/>
        <i x="320" s="1" nd="1"/>
        <i x="710" s="1" nd="1"/>
        <i x="535" s="1" nd="1"/>
        <i x="644" s="1" nd="1"/>
        <i x="610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4" s="1" nd="1"/>
        <i x="184" s="1" nd="1"/>
        <i x="717" s="1" nd="1"/>
        <i x="111" s="1" nd="1"/>
        <i x="254" s="1" nd="1"/>
        <i x="512" s="1" nd="1"/>
        <i x="95" s="1" nd="1"/>
        <i x="523" s="1" nd="1"/>
        <i x="789" s="1" nd="1"/>
        <i x="20" s="1" nd="1"/>
        <i x="538" s="1" nd="1"/>
        <i x="636" s="1" nd="1"/>
        <i x="576" s="1" nd="1"/>
        <i x="197" s="1" nd="1"/>
        <i x="575" s="1" nd="1"/>
        <i x="365" s="1" nd="1"/>
        <i x="823" s="1" nd="1"/>
        <i x="336" s="1" nd="1"/>
        <i x="524" s="1" nd="1"/>
        <i x="247" s="1" nd="1"/>
        <i x="11" s="1" nd="1"/>
        <i x="142" s="1" nd="1"/>
        <i x="651" s="1" nd="1"/>
        <i x="605" s="1" nd="1"/>
        <i x="441" s="1" nd="1"/>
        <i x="23" s="1" nd="1"/>
        <i x="595" s="1" nd="1"/>
        <i x="435" s="1" nd="1"/>
        <i x="68" s="1" nd="1"/>
        <i x="655" s="1" nd="1"/>
        <i x="677" s="1" nd="1"/>
        <i x="566" s="1" nd="1"/>
        <i x="515" s="1" nd="1"/>
        <i x="599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9" s="1" nd="1"/>
        <i x="567" s="1" nd="1"/>
        <i x="687" s="1" nd="1"/>
        <i x="280" s="1" nd="1"/>
        <i x="525" s="1" nd="1"/>
        <i x="526" s="1" nd="1"/>
        <i x="38" s="1" nd="1"/>
        <i x="593" s="1" nd="1"/>
        <i x="801" s="1" nd="1"/>
        <i x="584" s="1" nd="1"/>
        <i x="749" s="1" nd="1"/>
        <i x="722" s="1" nd="1"/>
        <i x="533" s="1" nd="1"/>
        <i x="47" s="1" nd="1"/>
        <i x="555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5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6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20" s="1" nd="1"/>
        <i x="642" s="1" nd="1"/>
        <i x="288" s="1" nd="1"/>
        <i x="180" s="1" nd="1"/>
        <i x="334" s="1" nd="1"/>
        <i x="817" s="1" nd="1"/>
        <i x="611" s="1" nd="1"/>
        <i x="588" s="1" nd="1"/>
        <i x="256" s="1" nd="1"/>
        <i x="551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20" s="1" nd="1"/>
        <i x="731" s="1" nd="1"/>
        <i x="471" s="1" nd="1"/>
        <i x="552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8" s="1" nd="1"/>
        <i x="614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4" s="1" nd="1"/>
        <i x="778" s="1" nd="1"/>
        <i x="612" s="1" nd="1"/>
        <i x="560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1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5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7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9" s="1" nd="1"/>
        <i x="179" s="1" nd="1"/>
        <i x="624" s="1" nd="1"/>
        <i x="64" s="1" nd="1"/>
        <i x="424" s="1" nd="1"/>
        <i x="27" s="1" nd="1"/>
        <i x="765" s="1" nd="1"/>
        <i x="414" s="1" nd="1"/>
        <i x="553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4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3" s="1" nd="1"/>
        <i x="63" s="1" nd="1"/>
        <i x="569" s="1" nd="1"/>
        <i x="431" s="1" nd="1"/>
        <i x="426" s="1" nd="1"/>
        <i x="176" s="1" nd="1"/>
        <i x="366" s="1" nd="1"/>
        <i x="758" s="1" nd="1"/>
        <i x="601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8" s="1" nd="1"/>
        <i x="619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600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7" totalsRowShown="0" headerRowDxfId="92" dataDxfId="90" headerRowBorderDxfId="91" tableBorderDxfId="89" totalsRowBorderDxfId="88">
  <autoFilter ref="A1:D37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301725</v>
      </c>
      <c r="B2" s="12" t="s">
        <v>592</v>
      </c>
      <c r="C2" s="14">
        <v>46282</v>
      </c>
      <c r="D2" s="14">
        <v>46283</v>
      </c>
      <c r="E2" s="12"/>
      <c r="F2" s="15" t="s">
        <v>593</v>
      </c>
      <c r="G2" s="15" t="s">
        <v>594</v>
      </c>
      <c r="H2" s="15" t="s">
        <v>595</v>
      </c>
      <c r="I2" s="16">
        <v>5967.88</v>
      </c>
      <c r="J2" s="15" t="s">
        <v>596</v>
      </c>
      <c r="K2" s="15" t="s">
        <v>597</v>
      </c>
      <c r="L2" s="15" t="s">
        <v>598</v>
      </c>
      <c r="M2" s="15">
        <v>198.43</v>
      </c>
      <c r="N2" s="15">
        <v>1</v>
      </c>
      <c r="O2" s="16">
        <v>118.47</v>
      </c>
      <c r="P2" s="15" t="s">
        <v>599</v>
      </c>
      <c r="Q2" s="15">
        <v>30.49</v>
      </c>
      <c r="R2" s="15" t="s">
        <v>600</v>
      </c>
      <c r="S2" s="15">
        <v>69.849999999999994</v>
      </c>
      <c r="T2" s="15" t="s">
        <v>601</v>
      </c>
      <c r="U2" s="15">
        <v>0</v>
      </c>
      <c r="V2" s="15">
        <v>23.81</v>
      </c>
      <c r="W2" s="15">
        <v>0</v>
      </c>
      <c r="X2" s="15">
        <v>0</v>
      </c>
      <c r="Y2" s="15">
        <v>2.98</v>
      </c>
      <c r="Z2" s="15">
        <v>0</v>
      </c>
      <c r="AA2" s="15">
        <v>243.64</v>
      </c>
      <c r="AB2" s="15">
        <v>-45.21</v>
      </c>
      <c r="AC2" s="15">
        <v>51.59</v>
      </c>
      <c r="AD2" s="15">
        <v>-96.8</v>
      </c>
      <c r="AE2" s="15">
        <v>0</v>
      </c>
      <c r="AF2" s="15">
        <v>-96.8</v>
      </c>
      <c r="AG2" s="17">
        <v>-0.48780000000000001</v>
      </c>
      <c r="AH2" s="15"/>
    </row>
    <row r="3" spans="1:34" s="1" customFormat="1" ht="12" customHeight="1" x14ac:dyDescent="0.3">
      <c r="A3" s="13">
        <v>301864</v>
      </c>
      <c r="B3" s="12" t="s">
        <v>592</v>
      </c>
      <c r="C3" s="14">
        <v>46283</v>
      </c>
      <c r="D3" s="14">
        <v>46284</v>
      </c>
      <c r="E3" s="12"/>
      <c r="F3" s="15" t="s">
        <v>602</v>
      </c>
      <c r="G3" s="15" t="s">
        <v>603</v>
      </c>
      <c r="H3" s="15" t="s">
        <v>604</v>
      </c>
      <c r="I3" s="16">
        <v>339907.32</v>
      </c>
      <c r="J3" s="15" t="s">
        <v>605</v>
      </c>
      <c r="K3" s="15" t="s">
        <v>597</v>
      </c>
      <c r="L3" s="15" t="s">
        <v>606</v>
      </c>
      <c r="M3" s="16">
        <v>9794.5499999999993</v>
      </c>
      <c r="N3" s="15">
        <v>460</v>
      </c>
      <c r="O3" s="16">
        <v>5474</v>
      </c>
      <c r="P3" s="15" t="s">
        <v>607</v>
      </c>
      <c r="Q3" s="15">
        <v>0</v>
      </c>
      <c r="R3" s="15" t="s">
        <v>607</v>
      </c>
      <c r="S3" s="15">
        <v>0</v>
      </c>
      <c r="T3" s="15" t="s">
        <v>601</v>
      </c>
      <c r="U3" s="15">
        <v>0</v>
      </c>
      <c r="V3" s="15">
        <v>1175.3499999999999</v>
      </c>
      <c r="W3" s="15">
        <v>0</v>
      </c>
      <c r="X3" s="15">
        <v>0</v>
      </c>
      <c r="Y3" s="15">
        <v>169.95</v>
      </c>
      <c r="Z3" s="15">
        <v>1980</v>
      </c>
      <c r="AA3" s="16">
        <v>8708.7900000000009</v>
      </c>
      <c r="AB3" s="16">
        <v>1085.76</v>
      </c>
      <c r="AC3" s="15">
        <v>2546.58</v>
      </c>
      <c r="AD3" s="15">
        <v>-1460.82</v>
      </c>
      <c r="AE3" s="15">
        <v>0</v>
      </c>
      <c r="AF3" s="15">
        <v>-1460.82</v>
      </c>
      <c r="AG3" s="17">
        <v>-0.14910000000000001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9992.98</v>
      </c>
      <c r="F3" s="93"/>
      <c r="G3" s="94"/>
      <c r="H3" s="95">
        <f>'Resumo Detalhado'!C2</f>
        <v>5592.47</v>
      </c>
      <c r="I3" s="96"/>
      <c r="J3" s="97">
        <f>E3/H3</f>
        <v>1.7868634074031688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0.25420318181818186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5530.49</v>
      </c>
      <c r="F7" s="109"/>
      <c r="G7" s="109"/>
      <c r="H7" s="109"/>
      <c r="I7" s="109"/>
      <c r="J7" s="109">
        <f>E7/H3</f>
        <v>0.98891724050374874</v>
      </c>
      <c r="K7" s="109"/>
      <c r="L7" s="109"/>
      <c r="M7" s="110">
        <f>E7/E3</f>
        <v>0.55343751313422018</v>
      </c>
      <c r="N7" s="110"/>
      <c r="O7" s="110"/>
      <c r="P7" s="109">
        <f>E11+K11+Q11+E15+K15+Q15+E19+H19+K19</f>
        <v>11280.895199999999</v>
      </c>
      <c r="Q7" s="109"/>
      <c r="R7" s="109"/>
      <c r="S7" s="109">
        <f>P7/H3</f>
        <v>2.017157928428762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5500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5500</v>
      </c>
      <c r="L11" s="94"/>
      <c r="M11" s="38"/>
      <c r="N11" s="92">
        <f>K11/H3</f>
        <v>0.98346526668895851</v>
      </c>
      <c r="O11" s="94"/>
      <c r="P11" s="38"/>
      <c r="Q11" s="92">
        <f>'Resumo Detalhado'!D2</f>
        <v>30.49</v>
      </c>
      <c r="R11" s="94"/>
      <c r="S11" s="38"/>
      <c r="T11" s="92">
        <f>Q11/H3</f>
        <v>5.4519738147902445E-3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1199.1599999999999</v>
      </c>
      <c r="F15" s="113"/>
      <c r="G15" s="113"/>
      <c r="H15" s="113"/>
      <c r="I15" s="114"/>
      <c r="J15" s="38"/>
      <c r="K15" s="116">
        <f>'Resumo Detalhado'!K2+'Resumo Detalhado'!L2</f>
        <v>1598.8768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172.92999999999998</v>
      </c>
      <c r="F19" s="119"/>
      <c r="G19" s="38"/>
      <c r="H19" s="106">
        <f>'Resumo Detalhado'!J2</f>
        <v>1980</v>
      </c>
      <c r="I19" s="108"/>
      <c r="J19" s="38"/>
      <c r="K19" s="106">
        <f>'Resumo Detalhado'!L2</f>
        <v>799.4384</v>
      </c>
      <c r="L19" s="108"/>
      <c r="M19" s="38"/>
      <c r="N19" s="112" t="s">
        <v>255</v>
      </c>
      <c r="O19" s="113"/>
      <c r="P19" s="113"/>
      <c r="Q19" s="113"/>
      <c r="R19" s="119"/>
      <c r="S19" s="112">
        <f>_xlfn.XLOOKUP(N19,Target!C:C,Target!D:D)</f>
        <v>5500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5741.1115999999975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0.57451446915734827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20.5546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12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608</v>
      </c>
      <c r="F1" s="29"/>
    </row>
    <row r="2" spans="1:18" x14ac:dyDescent="0.3">
      <c r="B2" s="29">
        <f>SUM(B6:B5000)</f>
        <v>9992.98</v>
      </c>
      <c r="C2" s="29">
        <f>SUM(C6:C5000)</f>
        <v>5592.47</v>
      </c>
      <c r="D2" s="29">
        <f>SUM(D6:D5000)</f>
        <v>30.49</v>
      </c>
      <c r="E2" s="29">
        <f>SUM(E6:E5000)</f>
        <v>69.849999999999994</v>
      </c>
      <c r="F2" s="29">
        <f>SUM(F6:F5000)</f>
        <v>0</v>
      </c>
      <c r="G2" s="29"/>
      <c r="H2" s="29">
        <f t="shared" ref="H2:P2" si="0">SUM(H6:H5000)</f>
        <v>1199.1599999999999</v>
      </c>
      <c r="I2" s="29">
        <f t="shared" si="0"/>
        <v>172.92999999999998</v>
      </c>
      <c r="J2" s="29">
        <f t="shared" si="0"/>
        <v>1980</v>
      </c>
      <c r="K2" s="29">
        <f t="shared" si="0"/>
        <v>799.4384</v>
      </c>
      <c r="L2" s="29">
        <f t="shared" si="0"/>
        <v>799.4384</v>
      </c>
      <c r="M2" s="29">
        <f t="shared" si="0"/>
        <v>0</v>
      </c>
      <c r="N2" s="29">
        <f t="shared" si="0"/>
        <v>5741.1115999999975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594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301725</v>
      </c>
      <c r="B6" s="139">
        <v>198.43</v>
      </c>
      <c r="C6" s="140">
        <v>118.47</v>
      </c>
      <c r="D6" s="139">
        <v>30.49</v>
      </c>
      <c r="E6" s="139">
        <v>69.849999999999994</v>
      </c>
      <c r="F6" s="139">
        <v>0</v>
      </c>
      <c r="G6" s="141">
        <v>0.50566950561910995</v>
      </c>
      <c r="H6" s="139">
        <v>23.81</v>
      </c>
      <c r="I6" s="139">
        <v>2.98</v>
      </c>
      <c r="J6" s="139">
        <v>0</v>
      </c>
      <c r="K6" s="139">
        <v>15.874400000000001</v>
      </c>
      <c r="L6" s="139">
        <v>15.874400000000001</v>
      </c>
      <c r="M6" s="139">
        <v>0</v>
      </c>
      <c r="N6" s="139">
        <v>55.425599999999996</v>
      </c>
      <c r="O6" s="141">
        <v>0.27932066723781684</v>
      </c>
      <c r="Q6"/>
    </row>
    <row r="7" spans="1:18" s="31" customFormat="1" x14ac:dyDescent="0.3">
      <c r="A7" s="9" t="s">
        <v>603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>
        <v>301864</v>
      </c>
      <c r="B8" s="139">
        <v>9794.5499999999993</v>
      </c>
      <c r="C8" s="140">
        <v>5474</v>
      </c>
      <c r="D8" s="139">
        <v>0</v>
      </c>
      <c r="E8" s="139">
        <v>0</v>
      </c>
      <c r="F8" s="139">
        <v>0</v>
      </c>
      <c r="G8" s="141">
        <v>0</v>
      </c>
      <c r="H8" s="139">
        <v>1175.3499999999999</v>
      </c>
      <c r="I8" s="139">
        <v>169.95</v>
      </c>
      <c r="J8" s="139">
        <v>1980</v>
      </c>
      <c r="K8" s="139">
        <v>783.56399999999996</v>
      </c>
      <c r="L8" s="139">
        <v>783.56399999999996</v>
      </c>
      <c r="M8" s="139">
        <v>0</v>
      </c>
      <c r="N8" s="139">
        <v>5685.6859999999979</v>
      </c>
      <c r="O8" s="141">
        <v>0.58049486704340658</v>
      </c>
      <c r="P8"/>
    </row>
    <row r="9" spans="1:18" s="31" customFormat="1" x14ac:dyDescent="0.3">
      <c r="A9" s="9" t="s">
        <v>86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39"/>
      <c r="O9" s="141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8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608</v>
      </c>
    </row>
    <row r="2" spans="1:4" x14ac:dyDescent="0.3">
      <c r="B2" s="29">
        <f>SUM(B6:B5000)</f>
        <v>9794.5499999999993</v>
      </c>
      <c r="C2" s="29">
        <f>SUM(C6:C5000)</f>
        <v>5685.6859999999979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594</v>
      </c>
      <c r="B5" s="10">
        <v>198.43</v>
      </c>
      <c r="C5" s="10">
        <v>55.425599999999996</v>
      </c>
    </row>
    <row r="6" spans="1:4" x14ac:dyDescent="0.3">
      <c r="A6" s="9" t="s">
        <v>603</v>
      </c>
      <c r="B6" s="139">
        <v>9794.5499999999993</v>
      </c>
      <c r="C6" s="139">
        <v>5685.6859999999979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2026-09-23T13:02:34Z</dcterms:modified>
  <cp:category/>
  <cp:contentStatus/>
</cp:coreProperties>
</file>