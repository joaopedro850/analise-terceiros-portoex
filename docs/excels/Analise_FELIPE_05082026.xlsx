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A1BF5E9-7EB4-4B1D-99F3-BB92BFD20A4B}" xr6:coauthVersionLast="47" xr6:coauthVersionMax="47" xr10:uidLastSave="{00000000-0000-0000-0000-000000000000}"/>
  <bookViews>
    <workbookView xWindow="3312" yWindow="3312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<sst xmlns="http://schemas.openxmlformats.org/spreadsheetml/2006/main" count="866" uniqueCount="592">
  <si>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</si>
  <si>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</si>
  <si>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</si>
  <si>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</si>
  <si>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</si>
  <si>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</si>
  <si>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</si>
  <si>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</si>
  <si>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</si>
  <si>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</si>
  <si>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</si>
  <si>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</si>
  <si>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</si>
  <si>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</si>
  <si>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</si>
  <si>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</si>
  <si>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</si>
  <si>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</si>
  <si>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</si>
  <si>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</si>
  <si>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</si>
  <si>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</si>
  <si>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</si>
  <si>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</si>
  <si>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</si>
  <si>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</si>
  <si>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</si>
  <si>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</si>
  <si>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</si>
  <si>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</si>
  <si>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</si>
  <si>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</si>
  <si>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</si>
  <si>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</si>
  <si>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</si>
  <si>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</si>
  <si>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</si>
  <si>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</si>
  <si>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</si>
  <si>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</si>
  <si>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</si>
  <si>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</si>
  <si>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</si>
  <si>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</si>
  <si>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</si>
  <si>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</si>
  <si>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</si>
  <si>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</si>
  <si>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</si>
  <si>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</si>
  <si>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</si>
  <si>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</si>
  <si>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</si>
  <si>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</si>
  <si>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</si>
  <si>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</si>
  <si>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</si>
  <si>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</si>
  <si>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</si>
  <si>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</si>
  <si>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</si>
  <si>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</si>
  <si>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</si>
  <si>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</si>
  <si>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</si>
  <si>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</si>
  <si>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</si>
  <si>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</si>
  <si>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</si>
  <si>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</si>
  <si>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</si>
  <si>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</si>
  <si>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</si>
  <si>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</si>
  <si>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</si>
  <si>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</si>
  <si>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</si>
  <si>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</si>
  <si>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</si>
  <si>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</si>
  <si>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</si>
  <si>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</si>
  <si>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</si>
  <si>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</si>
  <si>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</si>
  <si>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</si>
  <si>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</si>
  <si>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</si>
  <si>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</si>
  <si>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</si>
  <si>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</si>
  <si>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</si>
  <si>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</si>
  <si>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</si>
  <si>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</si>
  <si>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</si>
  <si>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</si>
  <si>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</si>
  <si>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</si>
  <si>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</si>
  <si>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</si>
  <si>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</si>
  <si>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</si>
  <si>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</si>
  <si>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</si>
  <si>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</si>
  <si>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</si>
  <si>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</si>
  <si>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</si>
  <si>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</si>
  <si>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</si>
  <si>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</si>
  <si>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</si>
  <si>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</si>
  <si>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</si>
  <si>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</si>
  <si>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</si>
  <si>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</si>
  <si>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</si>
  <si>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</si>
  <si>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</si>
  <si>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</si>
  <si>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</si>
  <si>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</si>
  <si>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</si>
  <si>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</si>
  <si>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</si>
  <si>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</si>
  <si>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</si>
  <si>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</si>
  <si>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</si>
  <si>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</si>
  <si>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</si>
  <si>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</si>
  <si>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</si>
  <si>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</si>
  <si>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</si>
  <si>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</si>
  <si>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</si>
  <si>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</si>
  <si>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</si>
  <si>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</si>
  <si>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</si>
  <si>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</si>
  <si>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</si>
  <si>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</si>
  <si>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</si>
  <si>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</si>
  <si>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</si>
  <si>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</si>
  <si>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</si>
  <si>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</si>
  <si>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</si>
  <si>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</si>
  <si>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</si>
  <si>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</si>
  <si>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</si>
  <si>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</si>
  <si>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</si>
  <si>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</si>
  <si>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</si>
  <si>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</si>
  <si>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</si>
  <si>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</si>
  <si>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</si>
  <si>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</si>
  <si>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</si>
  <si>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</si>
  <si>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</si>
  <si>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</si>
  <si>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</si>
  <si>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</si>
  <si>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</si>
  <si>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</si>
  <si>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</si>
  <si>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</si>
  <si>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</si>
  <si>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</si>
  <si>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</si>
  <si>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</si>
  <si>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</si>
  <si>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</si>
  <si>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</si>
  <si>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</si>
  <si>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</si>
  <si>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</si>
  <si>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</si>
  <si>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</si>
  <si>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</si>
  <si>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</si>
  <si>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</si>
  <si>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</si>
  <si>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</si>
  <si>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</si>
  <si>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</si>
  <si>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</si>
  <si>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</si>
  <si>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</si>
  <si>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</si>
  <si>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</si>
  <si>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</si>
  <si>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</si>
  <si>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</si>
  <si>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</si>
  <si>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</si>
  <si>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</si>
  <si>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</si>
  <si>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</si>
  <si>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</si>
  <si>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</si>
  <si>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</si>
  <si>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</si>
  <si>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</si>
  <si>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</si>
  <si>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</si>
  <si>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</si>
  <si>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</si>
  <si>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</si>
  <si>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</si>
  <si>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</si>
  <si>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</si>
  <si>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</si>
  <si>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</si>
  <si>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</si>
  <si>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</si>
  <si>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</si>
  <si>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</si>
  <si>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</si>
  <si>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</si>
  <si>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</si>
  <si>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</si>
  <si>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</si>
  <si>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</si>
  <si>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</si>
  <si>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</si>
  <si>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</si>
  <si>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</si>
  <si>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</si>
  <si>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</si>
  <si>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</si>
  <si>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</si>
  <si>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</si>
  <si>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</si>
  <si>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</si>
  <si>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</si>
  <si>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</si>
  <si>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</si>
  <si>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</si>
  <si>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</si>
  <si>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</si>
  <si>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</si>
  <si>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</si>
  <si>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</si>
  <si>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</si>
  <si>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</si>
  <si>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</si>
  <si>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</si>
  <si>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</si>
  <si>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</si>
  <si>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</si>
  <si>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</si>
  <si>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</si>
  <si>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</si>
  <si>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</si>
  <si>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</si>
  <si>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</si>
  <si>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</si>
  <si>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</si>
  <si>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</si>
  <si>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</si>
  <si>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</si>
  <si>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</si>
  <si>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</si>
  <si>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</si>
  <si>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</si>
  <si>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</si>
  <si>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</si>
  <si>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</si>
  <si>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</si>
  <si>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</si>
  <si>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</si>
  <si>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</si>
  <si>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</si>
  <si>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</si>
  <si>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</si>
  <si>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</si>
  <si>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</si>
  <si>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</si>
  <si>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</si>
  <si>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</si>
  <si>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</si>
  <si>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</si>
  <si>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</si>
  <si>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</si>
  <si>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</si>
  <si>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</si>
  <si>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</si>
  <si>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</si>
  <si>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</si>
  <si>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</si>
  <si>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</si>
  <si>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</si>
  <si>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</si>
  <si>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</si>
  <si>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</si>
  <si>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</si>
  <si>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</si>
  <si>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</si>
  <si>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</si>
  <si>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</si>
  <si>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</si>
  <si>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</si>
  <si>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</si>
  <si>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</si>
  <si>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</si>
  <si>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</si>
  <si>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</si>
  <si>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</si>
  <si>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</si>
  <si>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</si>
  <si>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</si>
  <si>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</si>
  <si>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</si>
  <si>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</si>
  <si>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</si>
  <si>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</si>
  <si>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</si>
  <si>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</si>
  <si>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</si>
  <si>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</si>
  <si>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</si>
  <si>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</si>
  <si>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</si>
  <si>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</si>
  <si>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</si>
  <si>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</si>
  <si>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</si>
  <si>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</si>
  <si>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</si>
  <si>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</si>
  <si>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</si>
  <si>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</si>
  <si>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</si>
  <si>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</si>
  <si>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</si>
  <si>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</si>
  <si>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</si>
  <si>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</si>
  <si>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</si>
  <si>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</si>
  <si>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</si>
  <si>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</si>
  <si>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</si>
  <si>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</si>
  <si>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</si>
  <si>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</si>
  <si>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</si>
  <si>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</si>
  <si>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</si>
  <si>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</si>
  <si>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</si>
  <si>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</si>
  <si>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</si>
  <si>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</si>
  <si>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</si>
  <si>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</si>
  <si>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</si>
  <si>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</si>
  <si>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</si>
  <si>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</si>
  <si>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</si>
  <si>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</si>
  <si>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</si>
  <si>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</si>
  <si>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</si>
  <si>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</si>
  <si>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</si>
  <si>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</si>
  <si>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</si>
  <si>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</si>
  <si>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</si>
  <si>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</si>
  <si>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</si>
  <si>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</si>
  <si>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</si>
  <si>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</si>
  <si>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</si>
  <si>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</si>
  <si>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</si>
  <si>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</si>
  <si>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</si>
  <si>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</si>
  <si>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</si>
  <si>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</si>
  <si>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</si>
  <si>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</si>
  <si>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</si>
  <si>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</si>
  <si>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</si>
  <si>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</si>
  <si>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</si>
  <si>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</si>
  <si>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</si>
  <si>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</si>
  <si>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</si>
  <si>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</si>
  <si>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</si>
  <si>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</si>
  <si>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</si>
  <si>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</si>
  <si>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</si>
  <si>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</si>
  <si>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</si>
  <si>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</si>
  <si>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</si>
  <si>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</si>
  <si>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</si>
  <si>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</si>
  <si>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</si>
  <si>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</si>
  <si>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</si>
  <si>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</si>
  <si>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</si>
  <si>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</si>
  <si>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</si>
  <si>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</si>
  <si>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</si>
  <si>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</si>
  <si>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</si>
  <si>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</si>
  <si>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</si>
  <si>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</si>
  <si>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</si>
  <si>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</si>
  <si>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</si>
  <si>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</si>
  <si>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</si>
  <si>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</si>
  <si>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</si>
  <si>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</si>
  <si>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</si>
  <si>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</si>
  <si>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</si>
  <si>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</si>
  <si>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</si>
  <si>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</si>
  <si>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</si>
  <si>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</si>
  <si>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</si>
  <si>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</si>
  <si>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</si>
  <si>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</si>
  <si>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</si>
  <si>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</si>
  <si>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</si>
  <si>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</si>
  <si>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</si>
  <si>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</si>
  <si>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</si>
  <si>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</si>
  <si>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</si>
  <si>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</si>
  <si>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</si>
  <si>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</si>
  <si>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</si>
  <si>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</si>
  <si>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</si>
  <si>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</si>
  <si>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</si>
  <si>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</si>
  <si>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</si>
  <si>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</si>
  <si>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</si>
  <si>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</si>
  <si>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</si>
  <si>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</si>
  <si>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</si>
  <si>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</si>
  <si>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</si>
  <si>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</si>
  <si>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</si>
  <si>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</si>
  <si>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</si>
  <si>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</si>
  <si>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</si>
  <si>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</si>
  <si>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</si>
  <si>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</si>
  <si>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</si>
  <si>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</si>
  <si>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</si>
  <si>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</si>
  <si>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</si>
  <si>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</si>
  <si>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</si>
  <si>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</si>
  <si>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</si>
  <si>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</si>
  <si>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</si>
  <si>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</si>
  <si>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</si>
  <si>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</si>
  <si>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</si>
  <si>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</si>
  <si>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</si>
  <si>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</si>
  <si>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</si>
  <si>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</si>
  <si>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</si>
  <si>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</si>
  <si>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</si>
  <si>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</si>
  <si>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</si>
  <si>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</si>
  <si>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</si>
  <si>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</si>
  <si>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</si>
  <si>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</si>
  <si>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</si>
  <si>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</si>
  <si>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</si>
  <si>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</si>
  <si>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</si>
  <si>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</si>
  <si>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</si>
  <si>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</si>
  <si>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</si>
  <si>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</si>
  <si>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</si>
  <si>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</si>
  <si>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</si>
  <si>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</si>
  <si>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</si>
  <si>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</si>
  <si>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</si>
  <si>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</si>
  <si>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</si>
  <si>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</si>
  <si>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</si>
  <si>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</si>
  <si>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</si>
  <si>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</si>
  <si>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</si>
  <si>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</si>
  <si>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</si>
  <si>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</si>
  <si>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</si>
  <si>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</si>
  <si>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</si>
  <si>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</si>
  <si>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</si>
  <si>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</si>
  <si>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</si>
  <si>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</si>
  <si>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</si>
  <si>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</si>
  <si>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</si>
  <si>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</si>
  <si>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</si>
  <si>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</si>
  <si>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</si>
  <si>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</si>
  <si>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</si>
  <si>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</si>
  <si>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</si>
  <si>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</si>
  <si>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</si>
  <si>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</si>
  <si>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</si>
  <si>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</si>
  <si>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</si>
  <si>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</si>
  <si>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</si>
  <si>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</si>
  <si>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</si>
  <si>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</si>
  <si>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</si>
  <si>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200648-1</t>
  </si>
  <si>
    <t>BATIKI COM IMPO</t>
  </si>
  <si>
    <t>TIAGO SANTANA</t>
  </si>
  <si>
    <t>ECONOMICO_250</t>
  </si>
  <si>
    <t>CTE NORMAL</t>
  </si>
  <si>
    <t>GUARULHOS - SP</t>
  </si>
  <si>
    <t>LUIZ FELIPE FERNANDES DA</t>
  </si>
  <si>
    <t>JOAO VICTOR LOPES</t>
  </si>
  <si>
    <t>INDEFINIDO</t>
  </si>
  <si>
    <t>200691-1</t>
  </si>
  <si>
    <t>CRONOS LOGISTIC</t>
  </si>
  <si>
    <t>URIEL CORREA</t>
  </si>
  <si>
    <t>PERSONALIZADO_L</t>
  </si>
  <si>
    <t>Curitiba-Pr X Guarulhos-SpVan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</si>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</sst>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199.37</c:v>
                </c:pt>
                <c:pt idx="1">
                  <c:v>5990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89.000799999999984</c:v>
                </c:pt>
                <c:pt idx="1">
                  <c:v>1975.0100000000004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[Analise_FELIPE_05082026.xlsx]Resumo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199.37</c:v>
                </c:pt>
                <c:pt idx="1">
                  <c:v>5990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CRONOS LOGISTIC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89.000799999999984</c:v>
                </c:pt>
                <c:pt idx="1">
                  <c:v>1975.0100000000004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0.402509490741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100" count="8000">
        <n v="294980"/>
        <n v="29510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4T00:00:00" maxDate="2026-08-06T00:00:00"/>
    </cacheField>
    <cacheField name="DATA" numFmtId="14">
      <sharedItems containsNonDate="0" containsDate="1" containsString="0" containsBlank="1" minDate="2026-08-04T00:00:00" maxDate="2026-08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BATIKI COM IMPO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430.3999999999996" maxValue="1447913.85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99.37" maxValue="5990"/>
    </cacheField>
    <cacheField name="VOLUMES" numFmtId="0">
      <sharedItems containsString="0" containsBlank="1" containsNumber="1" containsInteger="1" minValue="12" maxValue="134"/>
    </cacheField>
    <cacheField name="PESO" numFmtId="0">
      <sharedItems containsString="0" containsBlank="1" containsNumber="1" minValue="60" maxValue="2744.3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47.07" maxValue="2152.929999999999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3.9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2200000000000002" maxValue="723.9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3.209999999999994" maxValue="2876.89"/>
    </cacheField>
    <cacheField name="RECEITA" numFmtId="0">
      <sharedItems containsString="0" containsBlank="1" containsNumber="1" minValue="126.16" maxValue="3113.11"/>
    </cacheField>
    <cacheField name="IMPOSTO" numFmtId="0">
      <sharedItems containsString="0" containsBlank="1" containsNumber="1" minValue="51.84" maxValue="1557.4"/>
    </cacheField>
    <cacheField name="RESULTADO" numFmtId="0">
      <sharedItems containsString="0" containsBlank="1" containsNumber="1" minValue="74.320000000000007" maxValue="1555.71"/>
    </cacheField>
    <cacheField name="COMIS" numFmtId="0">
      <sharedItems containsString="0" containsBlank="1" containsNumber="1" minValue="5.26" maxValue="179.7"/>
    </cacheField>
    <cacheField name="LUCRO LIQ" numFmtId="0">
      <sharedItems containsString="0" containsBlank="1" containsNumber="1" minValue="69.06" maxValue="1376.01"/>
    </cacheField>
    <cacheField name="MARGEM" numFmtId="10">
      <sharedItems containsString="0" containsBlank="1" containsNumber="1" minValue="0.22969999999999999" maxValue="0.3463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4T00:00:00"/>
    <d v="2026-08-04T00:00:00"/>
    <m/>
    <s v="200648-1"/>
    <x v="0"/>
    <s v="TIAGO SANTANA"/>
    <n v="4430.3999999999996"/>
    <x v="0"/>
    <s v="CTE NORMAL"/>
    <s v="GUARULHOS - SP"/>
    <n v="199.37"/>
    <n v="12"/>
    <n v="60"/>
    <s v="LUIZ FELIPE FERNANDES DA"/>
    <n v="0"/>
    <s v="JOAO VICTOR LOPES"/>
    <n v="47.07"/>
    <s v="INDEFINIDO"/>
    <n v="0"/>
    <n v="23.92"/>
    <n v="0"/>
    <n v="0"/>
    <n v="2.2200000000000002"/>
    <n v="0"/>
    <n v="73.209999999999994"/>
    <n v="126.16"/>
    <n v="51.84"/>
    <n v="74.320000000000007"/>
    <n v="5.26"/>
    <n v="69.06"/>
    <n v="0.34639999999999999"/>
    <m/>
  </r>
  <r>
    <x v="1"/>
    <s v="MATRIZ"/>
    <d v="2026-08-05T00:00:00"/>
    <d v="2026-08-05T00:00:00"/>
    <m/>
    <s v="200691-1"/>
    <x v="1"/>
    <s v="URIEL CORREA"/>
    <n v="1447913.85"/>
    <x v="1"/>
    <s v="CTE NORMAL"/>
    <s v="GUARULHOS - SP"/>
    <n v="5990"/>
    <n v="134"/>
    <n v="2744.32"/>
    <s v="MATRIZ"/>
    <n v="0"/>
    <s v="JOAO VICTOR LOPES"/>
    <n v="2152.9299999999998"/>
    <s v="INDEFINIDO"/>
    <n v="0"/>
    <n v="0"/>
    <n v="0"/>
    <n v="0"/>
    <n v="723.96"/>
    <n v="0"/>
    <n v="2876.89"/>
    <n v="3113.11"/>
    <n v="1557.4"/>
    <n v="1555.71"/>
    <n v="179.7"/>
    <n v="1376.01"/>
    <n v="0.2296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186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0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x="1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18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18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3" s="1" nd="1"/>
        <i x="602" s="1" nd="1"/>
        <i x="450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8" s="1" nd="1"/>
        <i x="679" s="1" nd="1"/>
        <i x="81" s="1" nd="1"/>
        <i x="634" s="1" nd="1"/>
        <i x="66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294980</v>
      </c>
      <c r="B2" s="12" t="s">
        <v>576</v>
      </c>
      <c r="C2" s="14">
        <v>46238</v>
      </c>
      <c r="D2" s="14">
        <v>46238</v>
      </c>
      <c r="E2" s="12"/>
      <c r="F2" s="15" t="s">
        <v>577</v>
      </c>
      <c r="G2" s="15" t="s">
        <v>578</v>
      </c>
      <c r="H2" s="15" t="s">
        <v>579</v>
      </c>
      <c r="I2" s="16">
        <v>4430.3999999999996</v>
      </c>
      <c r="J2" s="15" t="s">
        <v>580</v>
      </c>
      <c r="K2" s="15" t="s">
        <v>581</v>
      </c>
      <c r="L2" s="15" t="s">
        <v>582</v>
      </c>
      <c r="M2" s="15">
        <v>199.37</v>
      </c>
      <c r="N2" s="15">
        <v>12</v>
      </c>
      <c r="O2" s="16">
        <v>60</v>
      </c>
      <c r="P2" s="15" t="s">
        <v>583</v>
      </c>
      <c r="Q2" s="15">
        <v>0</v>
      </c>
      <c r="R2" s="15" t="s">
        <v>584</v>
      </c>
      <c r="S2" s="15">
        <v>47.07</v>
      </c>
      <c r="T2" s="15" t="s">
        <v>585</v>
      </c>
      <c r="U2" s="15">
        <v>0</v>
      </c>
      <c r="V2" s="15">
        <v>23.92</v>
      </c>
      <c r="W2" s="15">
        <v>0</v>
      </c>
      <c r="X2" s="15">
        <v>0</v>
      </c>
      <c r="Y2" s="15">
        <v>2.2200000000000002</v>
      </c>
      <c r="Z2" s="15">
        <v>0</v>
      </c>
      <c r="AA2" s="15">
        <v>73.209999999999994</v>
      </c>
      <c r="AB2" s="15">
        <v>126.16</v>
      </c>
      <c r="AC2" s="15">
        <v>51.84</v>
      </c>
      <c r="AD2" s="15">
        <v>74.320000000000007</v>
      </c>
      <c r="AE2" s="15">
        <v>5.26</v>
      </c>
      <c r="AF2" s="15">
        <v>69.06</v>
      </c>
      <c r="AG2" s="17">
        <v>0.34639999999999999</v>
      </c>
      <c r="AH2" s="15"/>
    </row>
    <row r="3" spans="1:34" s="1" customFormat="1" ht="12" customHeight="1" x14ac:dyDescent="0.3">
      <c r="A3" s="13">
        <v>295100</v>
      </c>
      <c r="B3" s="12" t="s">
        <v>576</v>
      </c>
      <c r="C3" s="14">
        <v>46239</v>
      </c>
      <c r="D3" s="14">
        <v>46239</v>
      </c>
      <c r="E3" s="12"/>
      <c r="F3" s="15" t="s">
        <v>586</v>
      </c>
      <c r="G3" s="15" t="s">
        <v>587</v>
      </c>
      <c r="H3" s="15" t="s">
        <v>588</v>
      </c>
      <c r="I3" s="16">
        <v>1447913.85</v>
      </c>
      <c r="J3" s="15" t="s">
        <v>589</v>
      </c>
      <c r="K3" s="15" t="s">
        <v>581</v>
      </c>
      <c r="L3" s="15" t="s">
        <v>582</v>
      </c>
      <c r="M3" s="16">
        <v>5990</v>
      </c>
      <c r="N3" s="15">
        <v>134</v>
      </c>
      <c r="O3" s="16">
        <v>2744.32</v>
      </c>
      <c r="P3" s="15" t="s">
        <v>576</v>
      </c>
      <c r="Q3" s="15">
        <v>0</v>
      </c>
      <c r="R3" s="15" t="s">
        <v>584</v>
      </c>
      <c r="S3" s="15">
        <v>2152.9299999999998</v>
      </c>
      <c r="T3" s="15" t="s">
        <v>585</v>
      </c>
      <c r="U3" s="15">
        <v>0</v>
      </c>
      <c r="V3" s="15">
        <v>0</v>
      </c>
      <c r="W3" s="15">
        <v>0</v>
      </c>
      <c r="X3" s="15">
        <v>0</v>
      </c>
      <c r="Y3" s="15">
        <v>723.96</v>
      </c>
      <c r="Z3" s="15">
        <v>0</v>
      </c>
      <c r="AA3" s="16">
        <v>2876.89</v>
      </c>
      <c r="AB3" s="16">
        <v>3113.11</v>
      </c>
      <c r="AC3" s="15">
        <v>1557.4</v>
      </c>
      <c r="AD3" s="15">
        <v>1555.71</v>
      </c>
      <c r="AE3" s="15">
        <v>179.7</v>
      </c>
      <c r="AF3" s="15">
        <v>1376.01</v>
      </c>
      <c r="AG3" s="17">
        <v>0.22969999999999999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6189.37</v>
      </c>
      <c r="F3" s="93"/>
      <c r="G3" s="94"/>
      <c r="H3" s="95">
        <f>'Resumo Detalhado'!C2</f>
        <v>2804.32</v>
      </c>
      <c r="I3" s="96"/>
      <c r="J3" s="97">
        <f>E3/H3</f>
        <v>2.20708407029155</v>
      </c>
      <c r="K3" s="98"/>
      <c r="L3" s="99"/>
      <c r="M3" s="138" t="s">
        <v>62</v>
      </c>
      <c r="N3" s="93"/>
      <c r="O3" s="94"/>
      <c r="P3" s="135">
        <v>1200</v>
      </c>
      <c r="Q3" s="136"/>
      <c r="R3" s="137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2200</v>
      </c>
      <c r="F7" s="109"/>
      <c r="G7" s="109"/>
      <c r="H7" s="109"/>
      <c r="I7" s="109"/>
      <c r="J7" s="109">
        <f>E7/H3</f>
        <v>0.78450390825583383</v>
      </c>
      <c r="K7" s="109"/>
      <c r="L7" s="109"/>
      <c r="M7" s="110">
        <f>E7/E3</f>
        <v>0.35544813123145008</v>
      </c>
      <c r="N7" s="110"/>
      <c r="O7" s="110"/>
      <c r="P7" s="109">
        <f>E11+K11+Q11+E15+K15+Q15+E19+H19+K19</f>
        <v>4435.5487999999996</v>
      </c>
      <c r="Q7" s="109"/>
      <c r="R7" s="109"/>
      <c r="S7" s="109">
        <f>P7/H3</f>
        <v>1.581684258572488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2200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2200</v>
      </c>
      <c r="L11" s="94"/>
      <c r="M11" s="38"/>
      <c r="N11" s="92">
        <f>K11/H3</f>
        <v>0.78450390825583383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23.92</v>
      </c>
      <c r="F15" s="113"/>
      <c r="G15" s="113"/>
      <c r="H15" s="113"/>
      <c r="I15" s="114"/>
      <c r="J15" s="38"/>
      <c r="K15" s="116">
        <f>'Resumo Detalhado'!K2+'Resumo Detalhado'!L2</f>
        <v>990.29919999999993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726.18000000000006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495.14959999999996</v>
      </c>
      <c r="L19" s="108"/>
      <c r="M19" s="38"/>
      <c r="N19" s="112" t="s">
        <v>590</v>
      </c>
      <c r="O19" s="113"/>
      <c r="P19" s="113"/>
      <c r="Q19" s="113"/>
      <c r="R19" s="119"/>
      <c r="S19" s="112">
        <f>_xlfn.XLOOKUP(N19,Target!C:C,Target!D:D)</f>
        <v>1800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2064.0108000000005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0.33347671895524106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6189.37</v>
      </c>
      <c r="C2" s="29">
        <f>SUM(C6:C5000)</f>
        <v>2804.32</v>
      </c>
      <c r="D2" s="29">
        <f>SUM(D6:D5000)</f>
        <v>0</v>
      </c>
      <c r="E2" s="29">
        <f>SUM(E6:E5000)</f>
        <v>2200</v>
      </c>
      <c r="F2" s="29">
        <f>SUM(F6:F5000)</f>
        <v>0</v>
      </c>
      <c r="G2" s="29"/>
      <c r="H2" s="29">
        <f t="shared" ref="H2:P2" si="0">SUM(H6:H5000)</f>
        <v>23.92</v>
      </c>
      <c r="I2" s="29">
        <f t="shared" si="0"/>
        <v>726.18000000000006</v>
      </c>
      <c r="J2" s="29">
        <f t="shared" si="0"/>
        <v>0</v>
      </c>
      <c r="K2" s="29">
        <f t="shared" si="0"/>
        <v>495.14959999999996</v>
      </c>
      <c r="L2" s="29">
        <f t="shared" si="0"/>
        <v>495.14959999999996</v>
      </c>
      <c r="M2" s="29">
        <f t="shared" si="0"/>
        <v>184.95999999999998</v>
      </c>
      <c r="N2" s="29">
        <f t="shared" si="0"/>
        <v>2064.0108000000005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294980</v>
      </c>
      <c r="B6" s="140">
        <v>199.37</v>
      </c>
      <c r="C6" s="141">
        <v>60</v>
      </c>
      <c r="D6" s="140">
        <v>0</v>
      </c>
      <c r="E6" s="140">
        <v>47.07</v>
      </c>
      <c r="F6" s="140">
        <v>0</v>
      </c>
      <c r="G6" s="142">
        <v>0.23609369513969003</v>
      </c>
      <c r="H6" s="140">
        <v>23.92</v>
      </c>
      <c r="I6" s="140">
        <v>2.2200000000000002</v>
      </c>
      <c r="J6" s="140">
        <v>0</v>
      </c>
      <c r="K6" s="140">
        <v>15.9496</v>
      </c>
      <c r="L6" s="140">
        <v>15.9496</v>
      </c>
      <c r="M6" s="140">
        <v>5.26</v>
      </c>
      <c r="N6" s="140">
        <v>89.000799999999984</v>
      </c>
      <c r="O6" s="142">
        <v>0.44641019210513105</v>
      </c>
      <c r="Q6"/>
    </row>
    <row r="7" spans="1:18" s="31" customFormat="1" x14ac:dyDescent="0.3">
      <c r="A7" s="9" t="s">
        <v>587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295100</v>
      </c>
      <c r="B8" s="140">
        <v>5990</v>
      </c>
      <c r="C8" s="141">
        <v>2744.32</v>
      </c>
      <c r="D8" s="140">
        <v>0</v>
      </c>
      <c r="E8" s="140">
        <v>2152.9299999999998</v>
      </c>
      <c r="F8" s="140">
        <v>0</v>
      </c>
      <c r="G8" s="142">
        <v>0.35942070116861435</v>
      </c>
      <c r="H8" s="140">
        <v>0</v>
      </c>
      <c r="I8" s="140">
        <v>723.96</v>
      </c>
      <c r="J8" s="140">
        <v>0</v>
      </c>
      <c r="K8" s="140">
        <v>479.2</v>
      </c>
      <c r="L8" s="140">
        <v>479.2</v>
      </c>
      <c r="M8" s="140">
        <v>179.7</v>
      </c>
      <c r="N8" s="140">
        <v>1975.0100000000004</v>
      </c>
      <c r="O8" s="142">
        <v>0.32971786310517537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5990</v>
      </c>
      <c r="C2" s="29">
        <f>SUM(C6:C5000)</f>
        <v>1975.0100000000004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199.37</v>
      </c>
      <c r="C5" s="10">
        <v>89.000799999999984</v>
      </c>
    </row>
    <row r="6" spans="1:4" x14ac:dyDescent="0.3">
      <c r="A6" s="9" t="s">
        <v>587</v>
      </c>
      <c r="B6" s="140">
        <v>5990</v>
      </c>
      <c r="C6" s="140">
        <v>1975.0100000000004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2026-08-06T12:39:43Z</dcterms:modified>
  <cp:category/>
  <cp:contentStatus/>
</cp:coreProperties>
</file>