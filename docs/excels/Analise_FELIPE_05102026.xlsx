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93253BA-BA9B-484F-A289-664BBD1B1FCC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<sst xmlns="http://schemas.openxmlformats.org/spreadsheetml/2006/main" count="914" uniqueCount="633">
  <si>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</si>
  <si>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</si>
  <si>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</si>
  <si>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</si>
  <si>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</si>
  <si>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</si>
  <si>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</si>
  <si>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</si>
  <si>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</si>
  <si>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</si>
  <si>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</si>
  <si>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</si>
  <si>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</si>
  <si>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</si>
  <si>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</si>
  <si>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</si>
  <si>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</si>
  <si>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</si>
  <si>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</si>
  <si>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</si>
  <si>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</si>
  <si>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</si>
  <si>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</si>
  <si>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</si>
  <si>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</si>
  <si>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</si>
  <si>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</si>
  <si>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</si>
  <si>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</si>
  <si>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</si>
  <si>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</si>
  <si>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</si>
  <si>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</si>
  <si>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</si>
  <si>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</si>
  <si>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</si>
  <si>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</si>
  <si>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</si>
  <si>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</si>
  <si>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</si>
  <si>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</si>
  <si>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</si>
  <si>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</si>
  <si>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</si>
  <si>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</si>
  <si>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</si>
  <si>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</si>
  <si>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</si>
  <si>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</si>
  <si>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</si>
  <si>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</si>
  <si>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</si>
  <si>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</si>
  <si>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</si>
  <si>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</si>
  <si>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</si>
  <si>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</si>
  <si>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</si>
  <si>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</si>
  <si>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</si>
  <si>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</si>
  <si>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</si>
  <si>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</si>
  <si>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</si>
  <si>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</si>
  <si>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</si>
  <si>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</si>
  <si>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</si>
  <si>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</si>
  <si>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</si>
  <si>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</si>
  <si>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</si>
  <si>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</si>
  <si>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</si>
  <si>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</si>
  <si>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</si>
  <si>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</si>
  <si>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</si>
  <si>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</si>
  <si>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</si>
  <si>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</si>
  <si>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</si>
  <si>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</si>
  <si>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</si>
  <si>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</si>
  <si>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</si>
  <si>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</si>
  <si>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</si>
  <si>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</si>
  <si>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</si>
  <si>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</si>
  <si>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</si>
  <si>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</si>
  <si>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</si>
  <si>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</si>
  <si>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</si>
  <si>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</si>
  <si>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</si>
  <si>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</si>
  <si>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</si>
  <si>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</si>
  <si>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</si>
  <si>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</si>
  <si>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</si>
  <si>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</si>
  <si>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</si>
  <si>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</si>
  <si>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</si>
  <si>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</si>
  <si>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</si>
  <si>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</si>
  <si>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</si>
  <si>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</si>
  <si>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</si>
  <si>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</si>
  <si>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</si>
  <si>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</si>
  <si>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</si>
  <si>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</si>
  <si>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</si>
  <si>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</si>
  <si>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</si>
  <si>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</si>
  <si>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</si>
  <si>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</si>
  <si>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</si>
  <si>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</si>
  <si>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</si>
  <si>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</si>
  <si>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</si>
  <si>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</si>
  <si>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</si>
  <si>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</si>
  <si>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</si>
  <si>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</si>
  <si>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</si>
  <si>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</si>
  <si>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</si>
  <si>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</si>
  <si>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</si>
  <si>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</si>
  <si>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</si>
  <si>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</si>
  <si>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</si>
  <si>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</si>
  <si>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</si>
  <si>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</si>
  <si>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</si>
  <si>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</si>
  <si>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</si>
  <si>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</si>
  <si>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</si>
  <si>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</si>
  <si>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</si>
  <si>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</si>
  <si>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</si>
  <si>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</si>
  <si>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</si>
  <si>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</si>
  <si>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</si>
  <si>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</si>
  <si>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</si>
  <si>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</si>
  <si>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</si>
  <si>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</si>
  <si>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</si>
  <si>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</si>
  <si>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</si>
  <si>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</si>
  <si>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</si>
  <si>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</si>
  <si>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</si>
  <si>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</si>
  <si>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</si>
  <si>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</si>
  <si>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</si>
  <si>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</si>
  <si>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</si>
  <si>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</si>
  <si>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</si>
  <si>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</si>
  <si>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</si>
  <si>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</si>
  <si>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</si>
  <si>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</si>
  <si>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</si>
  <si>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</si>
  <si>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</si>
  <si>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</si>
  <si>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</si>
  <si>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</si>
  <si>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</si>
  <si>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</si>
  <si>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</si>
  <si>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</si>
  <si>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</si>
  <si>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</si>
  <si>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</si>
  <si>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</si>
  <si>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</si>
  <si>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</si>
  <si>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</si>
  <si>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</si>
  <si>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</si>
  <si>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</si>
  <si>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</si>
  <si>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</si>
  <si>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</si>
  <si>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</si>
  <si>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</si>
  <si>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</si>
  <si>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</si>
  <si>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</si>
  <si>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</si>
  <si>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</si>
  <si>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</si>
  <si>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</si>
  <si>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</si>
  <si>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</si>
  <si>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</si>
  <si>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</si>
  <si>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</si>
  <si>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</si>
  <si>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</si>
  <si>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</si>
  <si>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</si>
  <si>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</si>
  <si>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</si>
  <si>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</si>
  <si>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</si>
  <si>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</si>
  <si>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</si>
  <si>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</si>
  <si>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</si>
  <si>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</si>
  <si>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</si>
  <si>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</si>
  <si>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</si>
  <si>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</si>
  <si>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</si>
  <si>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</si>
  <si>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</si>
  <si>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</si>
  <si>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</si>
  <si>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</si>
  <si>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</si>
  <si>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</si>
  <si>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</si>
  <si>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</si>
  <si>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</si>
  <si>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</si>
  <si>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</si>
  <si>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</si>
  <si>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</si>
  <si>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</si>
  <si>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</si>
  <si>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</si>
  <si>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</si>
  <si>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</si>
  <si>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</si>
  <si>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</si>
  <si>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</si>
  <si>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</si>
  <si>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</si>
  <si>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</si>
  <si>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</si>
  <si>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</si>
  <si>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</si>
  <si>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</si>
  <si>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</si>
  <si>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</si>
  <si>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</si>
  <si>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</si>
  <si>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</si>
  <si>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</si>
  <si>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</si>
  <si>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</si>
  <si>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</si>
  <si>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</si>
  <si>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</si>
  <si>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</si>
  <si>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</si>
  <si>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</si>
  <si>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</si>
  <si>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</si>
  <si>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</si>
  <si>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</si>
  <si>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</si>
  <si>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</si>
  <si>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</si>
  <si>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</si>
  <si>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</si>
  <si>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</si>
  <si>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</si>
  <si>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</si>
  <si>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</si>
  <si>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</si>
  <si>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</si>
  <si>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</si>
  <si>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</si>
  <si>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</si>
  <si>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</si>
  <si>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</si>
  <si>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</si>
  <si>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</si>
  <si>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</si>
  <si>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</si>
  <si>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</si>
  <si>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</si>
  <si>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</si>
  <si>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</si>
  <si>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</si>
  <si>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</si>
  <si>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</si>
  <si>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</si>
  <si>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</si>
  <si>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</si>
  <si>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</si>
  <si>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</si>
  <si>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</si>
  <si>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</si>
  <si>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</si>
  <si>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</si>
  <si>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</si>
  <si>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</si>
  <si>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</si>
  <si>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</si>
  <si>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</si>
  <si>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</si>
  <si>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</si>
  <si>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</si>
  <si>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</si>
  <si>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</si>
  <si>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</si>
  <si>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</si>
  <si>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</si>
  <si>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</si>
  <si>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</si>
  <si>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</si>
  <si>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</si>
  <si>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</si>
  <si>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</si>
  <si>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</si>
  <si>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</si>
  <si>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</si>
  <si>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</si>
  <si>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</si>
  <si>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</si>
  <si>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</si>
  <si>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</si>
  <si>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</si>
  <si>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</si>
  <si>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</si>
  <si>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</si>
  <si>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</si>
  <si>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</si>
  <si>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</si>
  <si>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</si>
  <si>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</si>
  <si>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</si>
  <si>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</si>
  <si>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</si>
  <si>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</si>
  <si>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</si>
  <si>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</si>
  <si>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</si>
  <si>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</si>
  <si>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</si>
  <si>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</si>
  <si>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</si>
  <si>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</si>
  <si>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</si>
  <si>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</si>
  <si>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</si>
  <si>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</si>
  <si>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</si>
  <si>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</si>
  <si>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</si>
  <si>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</si>
  <si>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</si>
  <si>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</si>
  <si>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</si>
  <si>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</si>
  <si>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</si>
  <si>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</si>
  <si>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</si>
  <si>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</si>
  <si>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</si>
  <si>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</si>
  <si>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</si>
  <si>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</si>
  <si>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</si>
  <si>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</si>
  <si>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</si>
  <si>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</si>
  <si>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</si>
  <si>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</si>
  <si>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</si>
  <si>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</si>
  <si>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</si>
  <si>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</si>
  <si>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</si>
  <si>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</si>
  <si>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</si>
  <si>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</si>
  <si>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</si>
  <si>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</si>
  <si>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</si>
  <si>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</si>
  <si>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</si>
  <si>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</si>
  <si>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</si>
  <si>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</si>
  <si>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</si>
  <si>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</si>
  <si>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</si>
  <si>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</si>
  <si>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</si>
  <si>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</si>
  <si>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</si>
  <si>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</si>
  <si>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</si>
  <si>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</si>
  <si>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</si>
  <si>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</si>
  <si>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</si>
  <si>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</si>
  <si>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</si>
  <si>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</si>
  <si>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</si>
  <si>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</si>
  <si>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</si>
  <si>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</si>
  <si>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</si>
  <si>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</si>
  <si>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</si>
  <si>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</si>
  <si>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</si>
  <si>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</si>
  <si>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</si>
  <si>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</si>
  <si>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</si>
  <si>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</si>
  <si>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</si>
  <si>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</si>
  <si>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</si>
  <si>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</si>
  <si>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</si>
  <si>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</si>
  <si>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</si>
  <si>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</si>
  <si>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</si>
  <si>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</si>
  <si>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</si>
  <si>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</si>
  <si>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</si>
  <si>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</si>
  <si>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</si>
  <si>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</si>
  <si>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</si>
  <si>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</si>
  <si>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</si>
  <si>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</si>
  <si>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</si>
  <si>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</si>
  <si>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</si>
  <si>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</si>
  <si>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</si>
  <si>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</si>
  <si>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</si>
  <si>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</si>
  <si>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</si>
  <si>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</si>
  <si>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</si>
  <si>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</si>
  <si>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</si>
  <si>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</si>
  <si>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</si>
  <si>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</si>
  <si>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</si>
  <si>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</si>
  <si>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</si>
  <si>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</si>
  <si>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</si>
  <si>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</si>
  <si>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</si>
  <si>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</si>
  <si>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</si>
  <si>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</si>
  <si>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</si>
  <si>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</si>
  <si>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</si>
  <si>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</si>
  <si>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</si>
  <si>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</si>
  <si>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</si>
  <si>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</si>
  <si>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</si>
  <si>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</si>
  <si>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</si>
  <si>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</si>
  <si>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</si>
  <si>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</si>
  <si>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</si>
  <si>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</si>
  <si>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</si>
  <si>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</si>
  <si>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</si>
  <si>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</si>
  <si>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</si>
  <si>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</si>
  <si>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</si>
  <si>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</si>
  <si>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</si>
  <si>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</si>
  <si>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</si>
  <si>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</si>
  <si>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</si>
  <si>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</si>
  <si>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</si>
  <si>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</si>
  <si>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</si>
  <si>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</si>
  <si>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</si>
  <si>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</si>
  <si>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</si>
  <si>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</si>
  <si>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</si>
  <si>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</si>
  <si>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</si>
  <si>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</si>
  <si>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</si>
  <si>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</si>
  <si>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</si>
  <si>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</si>
  <si>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</si>
  <si>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</si>
  <si>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</si>
  <si>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</si>
  <si>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</si>
  <si>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</si>
  <si>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</si>
  <si>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</si>
  <si>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</si>
  <si>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</si>
  <si>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</si>
  <si>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</si>
  <si>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</si>
  <si>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</si>
  <si>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</si>
  <si>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</si>
  <si>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</si>
  <si>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</si>
  <si>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</si>
  <si>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</si>
  <si>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</si>
  <si>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</si>
  <si>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</si>
  <si>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</si>
  <si>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</si>
  <si>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</si>
  <si>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</si>
  <si>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</si>
  <si>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</si>
  <si>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</si>
  <si>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</si>
  <si>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</si>
  <si>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</si>
  <si>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</si>
  <si>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</si>
  <si>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</si>
  <si>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</si>
  <si>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</si>
  <si>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</si>
  <si>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</si>
  <si>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</si>
  <si>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</si>
  <si>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</si>
  <si>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</si>
  <si>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</si>
  <si>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</si>
  <si>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</si>
  <si>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</si>
  <si>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</si>
  <si>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</si>
  <si>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</si>
  <si>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</si>
  <si>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</si>
  <si>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</si>
  <si>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</si>
  <si>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</si>
  <si>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</si>
  <si>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</si>
  <si>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</si>
  <si>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</si>
  <si>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</si>
  <si>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</si>
  <si>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</si>
  <si>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</si>
  <si>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</si>
  <si>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</si>
  <si>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</si>
  <si>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</si>
  <si>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</si>
  <si>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</si>
  <si>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</si>
  <si>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</si>
  <si>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</si>
  <si>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</si>
  <si>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</si>
  <si>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</si>
  <si>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</si>
  <si>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</si>
  <si>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</si>
  <si>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</si>
  <si>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</si>
  <si>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</si>
  <si>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204362-1</t>
  </si>
  <si>
    <t>SKO COMERCIO, I</t>
  </si>
  <si>
    <t>URIEL CORREA</t>
  </si>
  <si>
    <t>ECONOMICO_250</t>
  </si>
  <si>
    <t>CTE NORMAL</t>
  </si>
  <si>
    <t>SAO PAULO - SP</t>
  </si>
  <si>
    <t>HEBER ANDRE PEREZ</t>
  </si>
  <si>
    <t>EDSON SANTOS DA SILVA</t>
  </si>
  <si>
    <t>UILIAN PRAZITO RODRIGUES.</t>
  </si>
  <si>
    <t>204372-1</t>
  </si>
  <si>
    <t>WINWIN TEXTILCO</t>
  </si>
  <si>
    <t>MURILO PEREIRA</t>
  </si>
  <si>
    <t>PERSONALIZADO_L</t>
  </si>
  <si>
    <t>RIO DE JANEIRO - RJ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</si>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</sst>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[Analise_FELIPE_05102026.xlsx]Resumo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SKO COMERCIO, I</c:v>
                </c:pt>
                <c:pt idx="1">
                  <c:v>WINWIN TEXTILCO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129.38999999999999</c:v>
                </c:pt>
                <c:pt idx="1">
                  <c:v>11990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SKO COMERCIO, I</c:v>
                </c:pt>
                <c:pt idx="1">
                  <c:v>WINWIN TEXTILCO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-237.03120000000001</c:v>
                </c:pt>
                <c:pt idx="1">
                  <c:v>9279.49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[Analise_FELIPE_05102026.xlsx]Resumo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SKO COMERCIO, I</c:v>
                </c:pt>
                <c:pt idx="1">
                  <c:v>WINWIN TEXTILCO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129.38999999999999</c:v>
                </c:pt>
                <c:pt idx="1">
                  <c:v>11990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SKO COMERCIO, I</c:v>
                </c:pt>
                <c:pt idx="1">
                  <c:v>WINWIN TEXTILCO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-237.03120000000001</c:v>
                </c:pt>
                <c:pt idx="1">
                  <c:v>9279.49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3.48013368055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181" count="8000">
        <n v="304168"/>
        <n v="30418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2T00:00:00" maxDate="2026-10-03T00:00:00"/>
    </cacheField>
    <cacheField name="DATA" numFmtId="14">
      <sharedItems containsNonDate="0" containsDate="1" containsString="0" containsBlank="1" minDate="2026-10-05T00:00:00" maxDate="2026-10-0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KO COMERCIO, I"/>
        <s v="WINWIN TEXTILC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86.3" maxValue="625021.6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9.38999999999999" maxValue="11990"/>
    </cacheField>
    <cacheField name="VOLUMES" numFmtId="0">
      <sharedItems containsString="0" containsBlank="1" containsNumber="1" containsInteger="1" minValue="2" maxValue="143"/>
    </cacheField>
    <cacheField name="PESO" numFmtId="0">
      <sharedItems containsString="0" containsBlank="1" containsNumber="1" minValue="36.799999999999997" maxValue="2836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30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5.53" maxValue="1438.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54" maxValue="312.5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39.33" maxValue="8168.05"/>
    </cacheField>
    <cacheField name="RECEITA" numFmtId="0">
      <sharedItems containsString="0" containsBlank="1" containsNumber="1" minValue="-309.94" maxValue="3821.95"/>
    </cacheField>
    <cacheField name="IMPOSTO" numFmtId="0">
      <sharedItems containsString="0" containsBlank="1" containsNumber="1" minValue="33.64" maxValue="3117.4"/>
    </cacheField>
    <cacheField name="RESULTADO" numFmtId="0">
      <sharedItems containsString="0" containsBlank="1" containsNumber="1" minValue="-343.58" maxValue="704.5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43.58" maxValue="704.55"/>
    </cacheField>
    <cacheField name="MARGEM" numFmtId="10">
      <sharedItems containsString="0" containsBlank="1" containsNumber="1" minValue="-2.6554000000000002" maxValue="5.8799999999999998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2T00:00:00"/>
    <d v="2026-10-05T00:00:00"/>
    <m/>
    <s v="204362-1"/>
    <x v="0"/>
    <s v="URIEL CORREA"/>
    <n v="1086.3"/>
    <x v="0"/>
    <s v="CTE NORMAL"/>
    <s v="SAO PAULO - SP"/>
    <n v="129.38999999999999"/>
    <n v="2"/>
    <n v="36.799999999999997"/>
    <s v="HEBER ANDRE PEREZ"/>
    <n v="300"/>
    <s v="EDSON SANTOS DA SILVA"/>
    <n v="40"/>
    <s v="UILIAN PRAZITO RODRIGUES."/>
    <n v="0"/>
    <n v="15.53"/>
    <n v="0"/>
    <n v="0"/>
    <n v="0.54"/>
    <n v="0"/>
    <n v="439.33"/>
    <n v="-309.94"/>
    <n v="33.64"/>
    <n v="-343.58"/>
    <n v="0"/>
    <n v="-343.58"/>
    <n v="-2.6554000000000002"/>
    <m/>
  </r>
  <r>
    <x v="1"/>
    <s v="MATRIZ"/>
    <d v="2026-10-02T00:00:00"/>
    <d v="2026-10-05T00:00:00"/>
    <m/>
    <s v="204372-1"/>
    <x v="1"/>
    <s v="MURILO PEREIRA"/>
    <n v="625021.6"/>
    <x v="1"/>
    <s v="CTE NORMAL"/>
    <s v="RIO DE JANEIRO - RJ"/>
    <n v="11990"/>
    <n v="143"/>
    <n v="2836"/>
    <s v="N/D"/>
    <n v="0"/>
    <s v="N/D"/>
    <n v="0"/>
    <s v="UILIAN PRAZITO RODRIGUES."/>
    <n v="0"/>
    <n v="1438.8"/>
    <n v="0"/>
    <n v="0"/>
    <n v="312.51"/>
    <n v="0"/>
    <n v="8168.05"/>
    <n v="3821.95"/>
    <n v="3117.4"/>
    <n v="704.55"/>
    <n v="0"/>
    <n v="704.55"/>
    <n v="5.8799999999999998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2"/>
        <item m="1" x="12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5"/>
        <item m="1" x="686"/>
        <item m="1" x="311"/>
        <item m="1" x="136"/>
        <item m="1" x="293"/>
        <item m="1" x="601"/>
        <item m="1" x="206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6"/>
        <item sd="0" m="1" x="186"/>
        <item sd="0" m="1" x="306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3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60"/>
        <item m="1" x="631"/>
        <item m="1" x="530"/>
        <item m="1" x="294"/>
        <item m="1" x="303"/>
        <item m="1" x="174"/>
        <item m="1" x="101"/>
        <item sd="0" m="1" x="71"/>
        <item m="1" x="578"/>
        <item sd="0" m="1" x="798"/>
        <item m="1" x="33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4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0"/>
        <item m="1" x="222"/>
        <item m="1" x="65"/>
        <item m="1" x="635"/>
        <item m="1" x="457"/>
        <item m="1" x="790"/>
        <item m="1" x="703"/>
        <item m="1" x="233"/>
        <item m="1" x="597"/>
        <item m="1" x="44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1"/>
        <item m="1" x="240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1"/>
        <item m="1" x="314"/>
        <item sd="0" m="1" x="698"/>
        <item m="1" x="330"/>
        <item m="1" x="625"/>
        <item m="1" x="541"/>
        <item sd="0" m="1" x="368"/>
        <item sd="0" m="1" x="334"/>
        <item sd="0" m="1" x="175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4"/>
        <item m="1" x="301"/>
        <item m="1" x="548"/>
        <item m="1" x="61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5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6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9"/>
        <item m="1" x="681"/>
        <item m="1" x="274"/>
        <item m="1" x="471"/>
        <item m="1" x="799"/>
        <item m="1" x="216"/>
        <item m="1" x="827"/>
        <item m="1" x="70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8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1"/>
        <item m="1" x="605"/>
        <item m="1" x="84"/>
        <item m="1" x="325"/>
        <item m="1" x="35"/>
        <item m="1" x="495"/>
        <item sd="0" m="1" x="506"/>
        <item m="1" x="446"/>
        <item m="1" x="166"/>
        <item m="1" x="133"/>
        <item m="1" x="251"/>
        <item m="1" x="299"/>
        <item m="1" x="819"/>
        <item m="1" x="169"/>
        <item m="1" x="709"/>
        <item m="1" x="171"/>
        <item m="1" x="586"/>
        <item m="1" x="226"/>
        <item m="1" x="390"/>
        <item m="1" x="657"/>
        <item m="1" x="309"/>
        <item m="1" x="75"/>
        <item sd="0" m="1" x="669"/>
        <item m="1" x="94"/>
        <item m="1" x="439"/>
        <item sd="0" m="1" x="350"/>
        <item m="1" x="784"/>
        <item m="1" x="498"/>
        <item m="1" x="62"/>
        <item m="1" x="455"/>
        <item m="1" x="82"/>
        <item m="1" x="324"/>
        <item sd="0" m="1" x="168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3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4"/>
        <item m="1" x="823"/>
        <item m="1" x="335"/>
        <item m="1" x="523"/>
        <item m="1" x="246"/>
        <item sd="0" m="1" x="11"/>
        <item m="1" x="142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3"/>
        <item m="1" x="78"/>
        <item m="1" x="528"/>
        <item m="1" x="566"/>
        <item m="1" x="687"/>
        <item m="1" x="279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5"/>
        <item m="1" x="502"/>
        <item m="1" x="786"/>
        <item m="1" x="258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80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3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x="0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9"/>
        <item m="1" x="680"/>
        <item sd="0" m="1" x="282"/>
        <item m="1" x="218"/>
        <item m="1" x="318"/>
        <item m="1" x="254"/>
        <item sd="0" m="1" x="192"/>
        <item m="1" x="729"/>
        <item m="1" x="384"/>
        <item m="1" x="576"/>
        <item m="1" x="359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5"/>
        <item m="1" x="119"/>
        <item m="1" x="289"/>
        <item sd="0" m="1" x="199"/>
        <item m="1" x="205"/>
        <item m="1" x="89"/>
        <item sd="0" m="1" x="28"/>
        <item m="1" x="277"/>
        <item m="1" x="507"/>
        <item sd="0" m="1" x="499"/>
        <item m="1" x="69"/>
        <item m="1" x="679"/>
        <item m="1" x="81"/>
        <item m="1" x="634"/>
        <item m="1" x="67"/>
        <item m="1" x="650"/>
        <item m="1" x="488"/>
        <item m="1" x="753"/>
        <item m="1" x="163"/>
        <item m="1" x="191"/>
        <item m="1" x="678"/>
        <item m="1" x="298"/>
        <item m="1" x="588"/>
        <item sd="0" m="1" x="179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2"/>
        <item m="1" x="195"/>
        <item sd="0" m="1" x="496"/>
        <item m="1" x="261"/>
        <item m="1" x="31"/>
        <item m="1" x="105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3"/>
        <item m="1" x="568"/>
        <item m="1" x="430"/>
        <item m="1" x="425"/>
        <item m="1" x="176"/>
        <item m="1" x="365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8"/>
        <item m="1" x="213"/>
        <item m="1" x="181"/>
        <item m="1" x="74"/>
        <item x="1"/>
        <item m="1" x="599"/>
        <item m="1" x="190"/>
        <item m="1" x="225"/>
        <item m="1" x="842"/>
        <item m="1" x="836"/>
        <item m="1" x="491"/>
        <item m="1" x="684"/>
        <item m="1" x="242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711"/>
    </i>
    <i r="1">
      <x v="7998"/>
    </i>
    <i>
      <x v="838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2"/>
        <item m="1" x="12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5"/>
        <item m="1" x="686"/>
        <item m="1" x="311"/>
        <item m="1" x="136"/>
        <item m="1" x="293"/>
        <item m="1" x="601"/>
        <item m="1" x="206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6"/>
        <item sd="0" m="1" x="186"/>
        <item sd="0" m="1" x="306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3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60"/>
        <item m="1" x="631"/>
        <item m="1" x="530"/>
        <item m="1" x="294"/>
        <item m="1" x="303"/>
        <item m="1" x="174"/>
        <item m="1" x="101"/>
        <item sd="0" m="1" x="71"/>
        <item m="1" x="578"/>
        <item sd="0" m="1" x="798"/>
        <item m="1" x="33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4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0"/>
        <item m="1" x="222"/>
        <item m="1" x="65"/>
        <item m="1" x="635"/>
        <item m="1" x="457"/>
        <item m="1" x="790"/>
        <item sd="0" m="1" x="703"/>
        <item m="1" x="233"/>
        <item m="1" x="597"/>
        <item m="1" x="44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1"/>
        <item m="1" x="240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1"/>
        <item m="1" x="314"/>
        <item sd="0" m="1" x="698"/>
        <item m="1" x="330"/>
        <item m="1" x="625"/>
        <item m="1" x="541"/>
        <item sd="0" m="1" x="368"/>
        <item sd="0" m="1" x="334"/>
        <item sd="0" m="1" x="175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4"/>
        <item m="1" x="301"/>
        <item m="1" x="548"/>
        <item m="1" x="61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5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6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9"/>
        <item m="1" x="681"/>
        <item m="1" x="274"/>
        <item m="1" x="471"/>
        <item m="1" x="799"/>
        <item m="1" x="216"/>
        <item m="1" x="827"/>
        <item m="1" x="70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8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1"/>
        <item m="1" x="605"/>
        <item m="1" x="84"/>
        <item m="1" x="325"/>
        <item m="1" x="35"/>
        <item m="1" x="495"/>
        <item sd="0" m="1" x="506"/>
        <item m="1" x="446"/>
        <item m="1" x="166"/>
        <item m="1" x="133"/>
        <item m="1" x="251"/>
        <item m="1" x="299"/>
        <item m="1" x="819"/>
        <item m="1" x="169"/>
        <item m="1" x="709"/>
        <item m="1" x="171"/>
        <item m="1" x="586"/>
        <item m="1" x="226"/>
        <item m="1" x="390"/>
        <item m="1" x="657"/>
        <item m="1" x="309"/>
        <item m="1" x="75"/>
        <item sd="0" m="1" x="669"/>
        <item m="1" x="94"/>
        <item m="1" x="439"/>
        <item sd="0" m="1" x="350"/>
        <item m="1" x="784"/>
        <item m="1" x="498"/>
        <item m="1" x="62"/>
        <item m="1" x="455"/>
        <item m="1" x="82"/>
        <item m="1" x="324"/>
        <item sd="0" m="1" x="168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3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4"/>
        <item m="1" x="823"/>
        <item m="1" x="335"/>
        <item m="1" x="523"/>
        <item m="1" x="246"/>
        <item sd="0" m="1" x="11"/>
        <item m="1" x="142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3"/>
        <item m="1" x="78"/>
        <item m="1" x="528"/>
        <item m="1" x="566"/>
        <item m="1" x="687"/>
        <item m="1" x="279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5"/>
        <item m="1" x="502"/>
        <item m="1" x="786"/>
        <item m="1" x="258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80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3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x="0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9"/>
        <item m="1" x="680"/>
        <item sd="0" m="1" x="282"/>
        <item m="1" x="218"/>
        <item m="1" x="318"/>
        <item m="1" x="254"/>
        <item sd="0" m="1" x="192"/>
        <item m="1" x="729"/>
        <item m="1" x="384"/>
        <item m="1" x="576"/>
        <item m="1" x="359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5"/>
        <item m="1" x="119"/>
        <item m="1" x="289"/>
        <item sd="0" m="1" x="199"/>
        <item m="1" x="205"/>
        <item m="1" x="89"/>
        <item sd="0" m="1" x="28"/>
        <item m="1" x="277"/>
        <item m="1" x="507"/>
        <item sd="0" m="1" x="499"/>
        <item m="1" x="69"/>
        <item m="1" x="679"/>
        <item m="1" x="81"/>
        <item m="1" x="634"/>
        <item m="1" x="67"/>
        <item m="1" x="650"/>
        <item m="1" x="488"/>
        <item m="1" x="753"/>
        <item m="1" x="163"/>
        <item m="1" x="191"/>
        <item m="1" x="678"/>
        <item m="1" x="298"/>
        <item m="1" x="588"/>
        <item sd="0" m="1" x="179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2"/>
        <item m="1" x="195"/>
        <item sd="0" m="1" x="496"/>
        <item m="1" x="261"/>
        <item m="1" x="31"/>
        <item m="1" x="105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3"/>
        <item m="1" x="568"/>
        <item m="1" x="430"/>
        <item m="1" x="425"/>
        <item m="1" x="176"/>
        <item m="1" x="365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8"/>
        <item m="1" x="213"/>
        <item m="1" x="181"/>
        <item m="1" x="74"/>
        <item x="1"/>
        <item m="1" x="599"/>
        <item m="1" x="190"/>
        <item m="1" x="225"/>
        <item m="1" x="842"/>
        <item m="1" x="836"/>
        <item m="1" x="491"/>
        <item m="1" x="684"/>
        <item m="1" x="242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711"/>
    </i>
    <i>
      <x v="83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83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2" s="1" nd="1"/>
        <i x="12" s="1" nd="1"/>
        <i x="761" s="1" nd="1"/>
        <i x="391" s="1" nd="1"/>
        <i x="712" s="1" nd="1"/>
        <i x="295" s="1" nd="1"/>
        <i x="113" s="1" nd="1"/>
        <i x="270" s="1" nd="1"/>
        <i x="590" s="1" nd="1"/>
        <i x="323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1" s="1" nd="1"/>
        <i x="221" s="1" nd="1"/>
        <i x="158" s="1" nd="1"/>
        <i x="229" s="1" nd="1"/>
        <i x="109" s="1" nd="1"/>
        <i x="621" s="1" nd="1"/>
        <i x="141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9" s="1" nd="1"/>
        <i x="355" s="1" nd="1"/>
        <i x="686" s="1" nd="1"/>
        <i x="311" s="1" nd="1"/>
        <i x="136" s="1" nd="1"/>
        <i x="293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5" s="1" nd="1"/>
        <i x="66" s="1" nd="1"/>
        <i x="186" s="1" nd="1"/>
        <i x="306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6" s="1" nd="1"/>
        <i x="203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60" s="1" nd="1"/>
        <i x="631" s="1" nd="1"/>
        <i x="530" s="1" nd="1"/>
        <i x="294" s="1" nd="1"/>
        <i x="303" s="1" nd="1"/>
        <i x="174" s="1" nd="1"/>
        <i x="101" s="1" nd="1"/>
        <i x="71" s="1" nd="1"/>
        <i x="578" s="1" nd="1"/>
        <i x="798" s="1" nd="1"/>
        <i x="33" s="1" nd="1"/>
        <i x="673" s="1" nd="1"/>
        <i x="286" s="1" nd="1"/>
        <i x="629" s="1" nd="1"/>
        <i x="264" s="1" nd="1"/>
        <i x="115" s="1" nd="1"/>
        <i x="332" s="1" nd="1"/>
        <i x="219" s="1" nd="1"/>
        <i x="509" s="1" nd="1"/>
        <i x="117" s="1" nd="1"/>
        <i x="536" s="1" nd="1"/>
        <i x="83" s="1" nd="1"/>
        <i x="602" s="1" nd="1"/>
        <i x="449" s="1" nd="1"/>
        <i x="348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4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0" s="1" nd="1"/>
        <i x="222" s="1" nd="1"/>
        <i x="65" s="1" nd="1"/>
        <i x="635" s="1" nd="1"/>
        <i x="457" s="1" nd="1"/>
        <i x="790" s="1" nd="1"/>
        <i x="703" s="1" nd="1"/>
        <i x="233" s="1" nd="1"/>
        <i x="597" s="1" nd="1"/>
        <i x="44" s="1" nd="1"/>
        <i x="843" s="1" nd="1"/>
        <i x="123" s="1" nd="1"/>
        <i x="266" s="1" nd="1"/>
        <i x="291" s="1" nd="1"/>
        <i x="353" s="1" nd="1"/>
        <i x="98" s="1" nd="1"/>
        <i x="459" s="1" nd="1"/>
        <i x="580" s="1" nd="1"/>
        <i x="352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1" s="1" nd="1"/>
        <i x="240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8" s="1" nd="1"/>
        <i x="18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1" s="1" nd="1"/>
        <i x="314" s="1" nd="1"/>
        <i x="698" s="1" nd="1"/>
        <i x="330" s="1" nd="1"/>
        <i x="625" s="1" nd="1"/>
        <i x="541" s="1" nd="1"/>
        <i x="368" s="1" nd="1"/>
        <i x="334" s="1" nd="1"/>
        <i x="175" s="1" nd="1"/>
        <i x="419" s="1" nd="1"/>
        <i x="701" s="1" nd="1"/>
        <i x="697" s="1" nd="1"/>
        <i x="378" s="1" nd="1"/>
        <i x="347" s="1" nd="1"/>
        <i x="150" s="1" nd="1"/>
        <i x="759" s="1" nd="1"/>
        <i x="690" s="1" nd="1"/>
        <i x="22" s="1" nd="1"/>
        <i x="727" s="1" nd="1"/>
        <i x="780" s="1" nd="1"/>
        <i x="639" s="1" nd="1"/>
        <i x="328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3" s="1" nd="1"/>
        <i x="720" s="1" nd="1"/>
        <i x="555" s="1" nd="1"/>
        <i x="116" s="1" nd="1"/>
        <i x="375" s="1" nd="1"/>
        <i x="718" s="1" nd="1"/>
        <i x="127" s="1" nd="1"/>
        <i x="34" s="1" nd="1"/>
        <i x="301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5" s="1" nd="1"/>
        <i x="297" s="1" nd="1"/>
        <i x="682" s="1" nd="1"/>
        <i x="135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6" s="1" nd="1"/>
        <i x="130" s="1" nd="1"/>
        <i x="654" s="1" nd="1"/>
        <i x="721" s="1" nd="1"/>
        <i x="641" s="1" nd="1"/>
        <i x="230" s="1" nd="1"/>
        <i x="372" s="1" nd="1"/>
        <i x="735" s="1" nd="1"/>
        <i x="132" s="1" nd="1"/>
        <i x="86" s="1" nd="1"/>
        <i x="209" s="1" nd="1"/>
        <i x="681" s="1" nd="1"/>
        <i x="274" s="1" nd="1"/>
        <i x="471" s="1" nd="1"/>
        <i x="799" s="1" nd="1"/>
        <i x="216" s="1" nd="1"/>
        <i x="827" s="1" nd="1"/>
        <i x="70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8" s="1" nd="1"/>
        <i x="659" s="1" nd="1"/>
        <i x="220" s="1" nd="1"/>
        <i x="448" s="1" nd="1"/>
        <i x="147" s="1" nd="1"/>
        <i x="361" s="1" nd="1"/>
        <i x="262" s="1" nd="1"/>
        <i x="290" s="1" nd="1"/>
        <i x="540" s="1" nd="1"/>
        <i x="810" s="1" nd="1"/>
        <i x="603" s="1" nd="1"/>
        <i x="32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1" s="1" nd="1"/>
        <i x="605" s="1" nd="1"/>
        <i x="84" s="1" nd="1"/>
        <i x="325" s="1" nd="1"/>
        <i x="35" s="1" nd="1"/>
        <i x="495" s="1" nd="1"/>
        <i x="506" s="1" nd="1"/>
        <i x="446" s="1" nd="1"/>
        <i x="166" s="1" nd="1"/>
        <i x="133" s="1" nd="1"/>
        <i x="251" s="1" nd="1"/>
        <i x="299" s="1" nd="1"/>
        <i x="819" s="1" nd="1"/>
        <i x="169" s="1" nd="1"/>
        <i x="709" s="1" nd="1"/>
        <i x="171" s="1" nd="1"/>
        <i x="586" s="1" nd="1"/>
        <i x="226" s="1" nd="1"/>
        <i x="390" s="1" nd="1"/>
        <i x="657" s="1" nd="1"/>
        <i x="309" s="1" nd="1"/>
        <i x="75" s="1" nd="1"/>
        <i x="669" s="1" nd="1"/>
        <i x="94" s="1" nd="1"/>
        <i x="439" s="1" nd="1"/>
        <i x="350" s="1" nd="1"/>
        <i x="784" s="1" nd="1"/>
        <i x="498" s="1" nd="1"/>
        <i x="62" s="1" nd="1"/>
        <i x="455" s="1" nd="1"/>
        <i x="82" s="1" nd="1"/>
        <i x="324" s="1" nd="1"/>
        <i x="168" s="1" nd="1"/>
        <i x="331" s="1" nd="1"/>
        <i x="564" s="1" nd="1"/>
        <i x="503" s="1" nd="1"/>
        <i x="227" s="1" nd="1"/>
        <i x="280" s="1" nd="1"/>
        <i x="93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3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4" s="1" nd="1"/>
        <i x="823" s="1" nd="1"/>
        <i x="335" s="1" nd="1"/>
        <i x="523" s="1" nd="1"/>
        <i x="246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3" s="1" nd="1"/>
        <i x="78" s="1" nd="1"/>
        <i x="528" s="1" nd="1"/>
        <i x="566" s="1" nd="1"/>
        <i x="687" s="1" nd="1"/>
        <i x="279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4" s="1" nd="1"/>
        <i x="358" s="1" nd="1"/>
        <i x="259" s="1" nd="1"/>
        <i x="363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5" s="1" nd="1"/>
        <i x="502" s="1" nd="1"/>
        <i x="786" s="1" nd="1"/>
        <i x="258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6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80" s="1" nd="1"/>
        <i x="333" s="1" nd="1"/>
        <i x="817" s="1" nd="1"/>
        <i x="610" s="1" nd="1"/>
        <i x="587" s="1" nd="1"/>
        <i x="255" s="1" nd="1"/>
        <i x="550" s="1" nd="1"/>
        <i x="104" s="1" nd="1"/>
        <i x="87" s="1" nd="1"/>
        <i x="754" s="1" nd="1"/>
        <i x="155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4" s="1" nd="1"/>
        <i x="224" s="1" nd="1"/>
        <i x="783" s="1" nd="1"/>
        <i x="724" s="1" nd="1"/>
        <i x="841" s="1" nd="1"/>
        <i x="443" s="1" nd="1"/>
        <i x="193" s="1" nd="1"/>
        <i x="305" s="1" nd="1"/>
        <i x="339" s="1" nd="1"/>
        <i x="96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0" s="1" nd="1"/>
        <i x="705" s="1" nd="1"/>
        <i x="302" s="1" nd="1"/>
        <i x="189" s="1" nd="1"/>
        <i x="680" s="1" nd="1"/>
        <i x="282" s="1" nd="1"/>
        <i x="218" s="1" nd="1"/>
        <i x="318" s="1" nd="1"/>
        <i x="254" s="1" nd="1"/>
        <i x="192" s="1" nd="1"/>
        <i x="729" s="1" nd="1"/>
        <i x="384" s="1" nd="1"/>
        <i x="576" s="1" nd="1"/>
        <i x="359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4" s="1" nd="1"/>
        <i x="345" s="1" nd="1"/>
        <i x="119" s="1" nd="1"/>
        <i x="289" s="1" nd="1"/>
        <i x="199" s="1" nd="1"/>
        <i x="205" s="1" nd="1"/>
        <i x="89" s="1" nd="1"/>
        <i x="28" s="1" nd="1"/>
        <i x="277" s="1" nd="1"/>
        <i x="507" s="1" nd="1"/>
        <i x="499" s="1" nd="1"/>
        <i x="69" s="1" nd="1"/>
        <i x="679" s="1" nd="1"/>
        <i x="81" s="1" nd="1"/>
        <i x="634" s="1" nd="1"/>
        <i x="67" s="1" nd="1"/>
        <i x="650" s="1" nd="1"/>
        <i x="488" s="1" nd="1"/>
        <i x="753" s="1" nd="1"/>
        <i x="163" s="1" nd="1"/>
        <i x="191" s="1" nd="1"/>
        <i x="678" s="1" nd="1"/>
        <i x="298" s="1" nd="1"/>
        <i x="588" s="1" nd="1"/>
        <i x="179" s="1" nd="1"/>
        <i x="623" s="1" nd="1"/>
        <i x="64" s="1" nd="1"/>
        <i x="423" s="1" nd="1"/>
        <i x="27" s="1" nd="1"/>
        <i x="765" s="1" nd="1"/>
        <i x="413" s="1" nd="1"/>
        <i x="552" s="1" nd="1"/>
        <i x="97" s="1" nd="1"/>
        <i x="85" s="1" nd="1"/>
        <i x="292" s="1" nd="1"/>
        <i x="195" s="1" nd="1"/>
        <i x="496" s="1" nd="1"/>
        <i x="261" s="1" nd="1"/>
        <i x="31" s="1" nd="1"/>
        <i x="105" s="1" nd="1"/>
        <i x="533" s="1" nd="1"/>
        <i x="296" s="1" nd="1"/>
        <i x="396" s="1" nd="1"/>
        <i x="228" s="1" nd="1"/>
        <i x="8" s="1" nd="1"/>
        <i x="472" s="1" nd="1"/>
        <i x="824" s="1" nd="1"/>
        <i x="36" s="1" nd="1"/>
        <i x="310" s="1" nd="1"/>
        <i x="825" s="1" nd="1"/>
        <i x="562" s="1" nd="1"/>
        <i x="63" s="1" nd="1"/>
        <i x="568" s="1" nd="1"/>
        <i x="430" s="1" nd="1"/>
        <i x="425" s="1" nd="1"/>
        <i x="176" s="1" nd="1"/>
        <i x="365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7" s="1" nd="1"/>
        <i x="811" s="1" nd="1"/>
        <i x="278" s="1" nd="1"/>
        <i x="107" s="1" nd="1"/>
        <i x="198" s="1" nd="1"/>
        <i x="213" s="1" nd="1"/>
        <i x="181" s="1" nd="1"/>
        <i x="74" s="1" nd="1"/>
        <i x="599" s="1" nd="1"/>
        <i x="190" s="1" nd="1"/>
        <i x="225" s="1" nd="1"/>
        <i x="842" s="1" nd="1"/>
        <i x="836" s="1" nd="1"/>
        <i x="491" s="1" nd="1"/>
        <i x="684" s="1" nd="1"/>
        <i x="242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304168</v>
      </c>
      <c r="B2" s="12" t="s">
        <v>616</v>
      </c>
      <c r="C2" s="14">
        <v>46297</v>
      </c>
      <c r="D2" s="14">
        <v>46300</v>
      </c>
      <c r="E2" s="12"/>
      <c r="F2" s="15" t="s">
        <v>617</v>
      </c>
      <c r="G2" s="15" t="s">
        <v>618</v>
      </c>
      <c r="H2" s="15" t="s">
        <v>619</v>
      </c>
      <c r="I2" s="16">
        <v>1086.3</v>
      </c>
      <c r="J2" s="15" t="s">
        <v>620</v>
      </c>
      <c r="K2" s="15" t="s">
        <v>621</v>
      </c>
      <c r="L2" s="15" t="s">
        <v>622</v>
      </c>
      <c r="M2" s="15">
        <v>129.38999999999999</v>
      </c>
      <c r="N2" s="15">
        <v>2</v>
      </c>
      <c r="O2" s="16">
        <v>36.799999999999997</v>
      </c>
      <c r="P2" s="15" t="s">
        <v>623</v>
      </c>
      <c r="Q2" s="15">
        <v>300</v>
      </c>
      <c r="R2" s="15" t="s">
        <v>624</v>
      </c>
      <c r="S2" s="15">
        <v>40</v>
      </c>
      <c r="T2" s="15" t="s">
        <v>625</v>
      </c>
      <c r="U2" s="15">
        <v>0</v>
      </c>
      <c r="V2" s="15">
        <v>15.53</v>
      </c>
      <c r="W2" s="15">
        <v>0</v>
      </c>
      <c r="X2" s="15">
        <v>0</v>
      </c>
      <c r="Y2" s="15">
        <v>0.54</v>
      </c>
      <c r="Z2" s="15">
        <v>0</v>
      </c>
      <c r="AA2" s="15">
        <v>439.33</v>
      </c>
      <c r="AB2" s="15">
        <v>-309.94</v>
      </c>
      <c r="AC2" s="15">
        <v>33.64</v>
      </c>
      <c r="AD2" s="15">
        <v>-343.58</v>
      </c>
      <c r="AE2" s="15">
        <v>0</v>
      </c>
      <c r="AF2" s="15">
        <v>-343.58</v>
      </c>
      <c r="AG2" s="17">
        <v>-2.6554000000000002</v>
      </c>
      <c r="AH2" s="15"/>
    </row>
    <row r="3" spans="1:34" s="1" customFormat="1" ht="12" customHeight="1" x14ac:dyDescent="0.3">
      <c r="A3" s="13">
        <v>304181</v>
      </c>
      <c r="B3" s="12" t="s">
        <v>616</v>
      </c>
      <c r="C3" s="14">
        <v>46297</v>
      </c>
      <c r="D3" s="14">
        <v>46300</v>
      </c>
      <c r="E3" s="12"/>
      <c r="F3" s="15" t="s">
        <v>626</v>
      </c>
      <c r="G3" s="15" t="s">
        <v>627</v>
      </c>
      <c r="H3" s="15" t="s">
        <v>628</v>
      </c>
      <c r="I3" s="16">
        <v>625021.6</v>
      </c>
      <c r="J3" s="15" t="s">
        <v>629</v>
      </c>
      <c r="K3" s="15" t="s">
        <v>621</v>
      </c>
      <c r="L3" s="15" t="s">
        <v>630</v>
      </c>
      <c r="M3" s="16">
        <v>11990</v>
      </c>
      <c r="N3" s="15">
        <v>143</v>
      </c>
      <c r="O3" s="16">
        <v>2836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1438.8</v>
      </c>
      <c r="W3" s="15">
        <v>0</v>
      </c>
      <c r="X3" s="15">
        <v>0</v>
      </c>
      <c r="Y3" s="15">
        <v>312.51</v>
      </c>
      <c r="Z3" s="15">
        <v>0</v>
      </c>
      <c r="AA3" s="16">
        <v>8168.05</v>
      </c>
      <c r="AB3" s="16">
        <v>3821.95</v>
      </c>
      <c r="AC3" s="15">
        <v>3117.4</v>
      </c>
      <c r="AD3" s="15">
        <v>704.55</v>
      </c>
      <c r="AE3" s="15">
        <v>0</v>
      </c>
      <c r="AF3" s="15">
        <v>704.55</v>
      </c>
      <c r="AG3" s="17">
        <v>5.8799999999999998E-2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12119.39</v>
      </c>
      <c r="F3" s="89"/>
      <c r="G3" s="90"/>
      <c r="H3" s="133">
        <f>'Resumo Detalhado'!C2</f>
        <v>2872.8</v>
      </c>
      <c r="I3" s="134"/>
      <c r="J3" s="135">
        <f>E3/H3</f>
        <v>4.2186681982734608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0.82080000000000009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6800</v>
      </c>
      <c r="F7" s="112"/>
      <c r="G7" s="112"/>
      <c r="H7" s="112"/>
      <c r="I7" s="112"/>
      <c r="J7" s="112">
        <f>E7/H3</f>
        <v>2.3670286828181561</v>
      </c>
      <c r="K7" s="112"/>
      <c r="L7" s="112"/>
      <c r="M7" s="130">
        <f>E7/E3</f>
        <v>0.56108434500416282</v>
      </c>
      <c r="N7" s="130"/>
      <c r="O7" s="130"/>
      <c r="P7" s="112">
        <f>E11+K11+Q11+E15+K15+Q15+E19+H19+K19</f>
        <v>11476.033599999999</v>
      </c>
      <c r="Q7" s="112"/>
      <c r="R7" s="112"/>
      <c r="S7" s="112">
        <f>P7/H3</f>
        <v>3.9947206906154267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6500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6500</v>
      </c>
      <c r="L11" s="90"/>
      <c r="M11" s="38"/>
      <c r="N11" s="88">
        <f>K11/H3</f>
        <v>2.2626009468114732</v>
      </c>
      <c r="O11" s="90"/>
      <c r="P11" s="38"/>
      <c r="Q11" s="88">
        <f>'Resumo Detalhado'!D2</f>
        <v>300</v>
      </c>
      <c r="R11" s="90"/>
      <c r="S11" s="38"/>
      <c r="T11" s="88">
        <f>Q11/H3</f>
        <v>0.10442773600668337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1454.33</v>
      </c>
      <c r="F15" s="119"/>
      <c r="G15" s="119"/>
      <c r="H15" s="119"/>
      <c r="I15" s="132"/>
      <c r="J15" s="38"/>
      <c r="K15" s="113">
        <f>'Resumo Detalhado'!K2+'Resumo Detalhado'!L2</f>
        <v>1939.1024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313.05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969.55119999999999</v>
      </c>
      <c r="L19" s="123"/>
      <c r="M19" s="38"/>
      <c r="N19" s="121" t="s">
        <v>268</v>
      </c>
      <c r="O19" s="119"/>
      <c r="P19" s="119"/>
      <c r="Q19" s="119"/>
      <c r="R19" s="120"/>
      <c r="S19" s="121">
        <f>_xlfn.XLOOKUP(N19,Target!C:C,Target!D:D)</f>
        <v>6500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9042.4588000000003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0.74611501073898945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886718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12119.39</v>
      </c>
      <c r="C2" s="29">
        <f>SUM(C6:C5000)</f>
        <v>2872.8</v>
      </c>
      <c r="D2" s="29">
        <f>SUM(D6:D5000)</f>
        <v>300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1454.33</v>
      </c>
      <c r="I2" s="29">
        <f t="shared" si="0"/>
        <v>313.05</v>
      </c>
      <c r="J2" s="29">
        <f t="shared" si="0"/>
        <v>0</v>
      </c>
      <c r="K2" s="29">
        <f t="shared" si="0"/>
        <v>969.55119999999999</v>
      </c>
      <c r="L2" s="29">
        <f t="shared" si="0"/>
        <v>969.55119999999999</v>
      </c>
      <c r="M2" s="29">
        <f t="shared" si="0"/>
        <v>0</v>
      </c>
      <c r="N2" s="29">
        <f t="shared" si="0"/>
        <v>9042.4588000000003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304168</v>
      </c>
      <c r="B6" s="140">
        <v>129.38999999999999</v>
      </c>
      <c r="C6" s="141">
        <v>36.799999999999997</v>
      </c>
      <c r="D6" s="140">
        <v>300</v>
      </c>
      <c r="E6" s="140">
        <v>40</v>
      </c>
      <c r="F6" s="140">
        <v>0</v>
      </c>
      <c r="G6" s="142">
        <v>2.6277146611020945</v>
      </c>
      <c r="H6" s="140">
        <v>15.53</v>
      </c>
      <c r="I6" s="140">
        <v>0.54</v>
      </c>
      <c r="J6" s="140">
        <v>0</v>
      </c>
      <c r="K6" s="140">
        <v>10.351199999999999</v>
      </c>
      <c r="L6" s="140">
        <v>10.351199999999999</v>
      </c>
      <c r="M6" s="140">
        <v>0</v>
      </c>
      <c r="N6" s="140">
        <v>-237.03120000000001</v>
      </c>
      <c r="O6" s="142">
        <v>-1.8319128217018319</v>
      </c>
      <c r="Q6"/>
    </row>
    <row r="7" spans="1:18" s="31" customFormat="1" x14ac:dyDescent="0.3">
      <c r="A7" s="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304181</v>
      </c>
      <c r="B8" s="140">
        <v>11990</v>
      </c>
      <c r="C8" s="141">
        <v>2836</v>
      </c>
      <c r="D8" s="140">
        <v>0</v>
      </c>
      <c r="E8" s="140">
        <v>0</v>
      </c>
      <c r="F8" s="140">
        <v>0</v>
      </c>
      <c r="G8" s="142">
        <v>0</v>
      </c>
      <c r="H8" s="140">
        <v>1438.8</v>
      </c>
      <c r="I8" s="140">
        <v>312.51</v>
      </c>
      <c r="J8" s="140">
        <v>0</v>
      </c>
      <c r="K8" s="140">
        <v>959.2</v>
      </c>
      <c r="L8" s="140">
        <v>959.2</v>
      </c>
      <c r="M8" s="140">
        <v>0</v>
      </c>
      <c r="N8" s="140">
        <v>9279.49</v>
      </c>
      <c r="O8" s="142">
        <v>0.77393577981651374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11990</v>
      </c>
      <c r="C2" s="29">
        <f>SUM(C6:C5000)</f>
        <v>9279.49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618</v>
      </c>
      <c r="B5" s="10">
        <v>129.38999999999999</v>
      </c>
      <c r="C5" s="10">
        <v>-237.03120000000001</v>
      </c>
    </row>
    <row r="6" spans="1:4" x14ac:dyDescent="0.3">
      <c r="A6" s="9" t="s">
        <v>627</v>
      </c>
      <c r="B6" s="140">
        <v>11990</v>
      </c>
      <c r="C6" s="140">
        <v>9279.49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2026-10-08T14:31:30Z</dcterms:modified>
  <cp:category/>
  <cp:contentStatus/>
</cp:coreProperties>
</file>