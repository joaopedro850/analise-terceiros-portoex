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B7EAC8E0-80CB-48B5-9177-480D0AF87E6B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<sst xmlns="http://schemas.openxmlformats.org/spreadsheetml/2006/main" count="914" uniqueCount="633">
  <si>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</si>
  <si>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</si>
  <si>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</si>
  <si>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</si>
  <si>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</si>
  <si>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</si>
  <si>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</si>
  <si>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</si>
  <si>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</si>
  <si>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</si>
  <si>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</si>
  <si>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</si>
  <si>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</si>
  <si>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</si>
  <si>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</si>
  <si>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</si>
  <si>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</si>
  <si>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</si>
  <si>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</si>
  <si>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</si>
  <si>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</si>
  <si>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</si>
  <si>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</si>
  <si>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</si>
  <si>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</si>
  <si>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</si>
  <si>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</si>
  <si>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</si>
  <si>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</si>
  <si>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</si>
  <si>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</si>
  <si>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</si>
  <si>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</si>
  <si>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</si>
  <si>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</si>
  <si>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</si>
  <si>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</si>
  <si>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</si>
  <si>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</si>
  <si>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</si>
  <si>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</si>
  <si>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</si>
  <si>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</si>
  <si>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</si>
  <si>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</si>
  <si>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</si>
  <si>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</si>
  <si>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</si>
  <si>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</si>
  <si>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</si>
  <si>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</si>
  <si>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</si>
  <si>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</si>
  <si>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</si>
  <si>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</si>
  <si>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</si>
  <si>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</si>
  <si>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</si>
  <si>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</si>
  <si>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</si>
  <si>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</si>
  <si>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</si>
  <si>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</si>
  <si>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</si>
  <si>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</si>
  <si>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</si>
  <si>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</si>
  <si>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</si>
  <si>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</si>
  <si>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</si>
  <si>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</si>
  <si>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</si>
  <si>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</si>
  <si>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</si>
  <si>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</si>
  <si>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</si>
  <si>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</si>
  <si>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</si>
  <si>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</si>
  <si>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</si>
  <si>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</si>
  <si>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</si>
  <si>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</si>
  <si>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</si>
  <si>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</si>
  <si>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</si>
  <si>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</si>
  <si>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</si>
  <si>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</si>
  <si>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</si>
  <si>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</si>
  <si>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</si>
  <si>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</si>
  <si>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</si>
  <si>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</si>
  <si>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</si>
  <si>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</si>
  <si>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</si>
  <si>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</si>
  <si>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</si>
  <si>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</si>
  <si>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</si>
  <si>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</si>
  <si>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</si>
  <si>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</si>
  <si>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</si>
  <si>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</si>
  <si>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</si>
  <si>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</si>
  <si>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</si>
  <si>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</si>
  <si>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</si>
  <si>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</si>
  <si>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</si>
  <si>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</si>
  <si>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</si>
  <si>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</si>
  <si>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</si>
  <si>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</si>
  <si>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</si>
  <si>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</si>
  <si>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</si>
  <si>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</si>
  <si>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</si>
  <si>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</si>
  <si>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</si>
  <si>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</si>
  <si>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</si>
  <si>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</si>
  <si>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</si>
  <si>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</si>
  <si>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</si>
  <si>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</si>
  <si>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</si>
  <si>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</si>
  <si>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</si>
  <si>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</si>
  <si>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</si>
  <si>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</si>
  <si>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</si>
  <si>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</si>
  <si>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</si>
  <si>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</si>
  <si>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</si>
  <si>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</si>
  <si>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</si>
  <si>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</si>
  <si>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</si>
  <si>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</si>
  <si>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</si>
  <si>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</si>
  <si>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</si>
  <si>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</si>
  <si>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</si>
  <si>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</si>
  <si>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</si>
  <si>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</si>
  <si>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</si>
  <si>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</si>
  <si>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</si>
  <si>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</si>
  <si>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</si>
  <si>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</si>
  <si>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</si>
  <si>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</si>
  <si>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</si>
  <si>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</si>
  <si>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</si>
  <si>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</si>
  <si>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</si>
  <si>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</si>
  <si>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</si>
  <si>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</si>
  <si>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</si>
  <si>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</si>
  <si>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</si>
  <si>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</si>
  <si>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</si>
  <si>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</si>
  <si>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</si>
  <si>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</si>
  <si>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</si>
  <si>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</si>
  <si>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</si>
  <si>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</si>
  <si>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</si>
  <si>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</si>
  <si>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</si>
  <si>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</si>
  <si>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</si>
  <si>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</si>
  <si>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</si>
  <si>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</si>
  <si>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</si>
  <si>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</si>
  <si>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</si>
  <si>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</si>
  <si>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</si>
  <si>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</si>
  <si>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</si>
  <si>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</si>
  <si>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</si>
  <si>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</si>
  <si>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</si>
  <si>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</si>
  <si>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</si>
  <si>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</si>
  <si>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</si>
  <si>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</si>
  <si>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</si>
  <si>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</si>
  <si>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</si>
  <si>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</si>
  <si>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</si>
  <si>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</si>
  <si>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</si>
  <si>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</si>
  <si>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</si>
  <si>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</si>
  <si>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</si>
  <si>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</si>
  <si>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</si>
  <si>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</si>
  <si>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</si>
  <si>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</si>
  <si>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</si>
  <si>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</si>
  <si>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</si>
  <si>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</si>
  <si>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</si>
  <si>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</si>
  <si>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</si>
  <si>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</si>
  <si>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</si>
  <si>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</si>
  <si>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</si>
  <si>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</si>
  <si>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</si>
  <si>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</si>
  <si>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</si>
  <si>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</si>
  <si>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</si>
  <si>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</si>
  <si>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</si>
  <si>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</si>
  <si>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</si>
  <si>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</si>
  <si>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</si>
  <si>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</si>
  <si>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</si>
  <si>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</si>
  <si>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</si>
  <si>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</si>
  <si>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</si>
  <si>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</si>
  <si>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</si>
  <si>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</si>
  <si>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</si>
  <si>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</si>
  <si>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</si>
  <si>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</si>
  <si>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</si>
  <si>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</si>
  <si>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</si>
  <si>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</si>
  <si>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</si>
  <si>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</si>
  <si>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</si>
  <si>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</si>
  <si>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</si>
  <si>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</si>
  <si>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</si>
  <si>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</si>
  <si>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</si>
  <si>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</si>
  <si>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</si>
  <si>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</si>
  <si>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</si>
  <si>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</si>
  <si>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</si>
  <si>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</si>
  <si>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</si>
  <si>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</si>
  <si>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</si>
  <si>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</si>
  <si>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</si>
  <si>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</si>
  <si>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</si>
  <si>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</si>
  <si>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</si>
  <si>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</si>
  <si>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</si>
  <si>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</si>
  <si>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</si>
  <si>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</si>
  <si>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</si>
  <si>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</si>
  <si>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</si>
  <si>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</si>
  <si>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</si>
  <si>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</si>
  <si>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</si>
  <si>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</si>
  <si>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</si>
  <si>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</si>
  <si>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</si>
  <si>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</si>
  <si>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</si>
  <si>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</si>
  <si>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</si>
  <si>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</si>
  <si>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</si>
  <si>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</si>
  <si>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</si>
  <si>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</si>
  <si>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</si>
  <si>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</si>
  <si>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</si>
  <si>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</si>
  <si>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</si>
  <si>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</si>
  <si>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</si>
  <si>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</si>
  <si>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</si>
  <si>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</si>
  <si>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</si>
  <si>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</si>
  <si>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</si>
  <si>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</si>
  <si>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</si>
  <si>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</si>
  <si>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</si>
  <si>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</si>
  <si>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</si>
  <si>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</si>
  <si>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</si>
  <si>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</si>
  <si>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</si>
  <si>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</si>
  <si>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</si>
  <si>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</si>
  <si>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</si>
  <si>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</si>
  <si>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</si>
  <si>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</si>
  <si>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</si>
  <si>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</si>
  <si>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</si>
  <si>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</si>
  <si>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</si>
  <si>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</si>
  <si>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</si>
  <si>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</si>
  <si>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</si>
  <si>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</si>
  <si>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</si>
  <si>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</si>
  <si>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</si>
  <si>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</si>
  <si>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</si>
  <si>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</si>
  <si>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</si>
  <si>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</si>
  <si>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</si>
  <si>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</si>
  <si>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</si>
  <si>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</si>
  <si>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</si>
  <si>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</si>
  <si>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</si>
  <si>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</si>
  <si>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</si>
  <si>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</si>
  <si>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</si>
  <si>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</si>
  <si>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</si>
  <si>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</si>
  <si>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</si>
  <si>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</si>
  <si>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</si>
  <si>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</si>
  <si>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</si>
  <si>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</si>
  <si>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</si>
  <si>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</si>
  <si>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</si>
  <si>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</si>
  <si>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</si>
  <si>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</si>
  <si>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</si>
  <si>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</si>
  <si>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</si>
  <si>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</si>
  <si>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</si>
  <si>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</si>
  <si>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</si>
  <si>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</si>
  <si>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</si>
  <si>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</si>
  <si>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</si>
  <si>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</si>
  <si>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</si>
  <si>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</si>
  <si>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</si>
  <si>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</si>
  <si>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</si>
  <si>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</si>
  <si>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</si>
  <si>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</si>
  <si>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</si>
  <si>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</si>
  <si>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</si>
  <si>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</si>
  <si>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</si>
  <si>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</si>
  <si>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</si>
  <si>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</si>
  <si>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</si>
  <si>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</si>
  <si>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</si>
  <si>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</si>
  <si>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</si>
  <si>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</si>
  <si>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</si>
  <si>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</si>
  <si>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</si>
  <si>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</si>
  <si>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</si>
  <si>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</si>
  <si>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</si>
  <si>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</si>
  <si>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</si>
  <si>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</si>
  <si>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</si>
  <si>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</si>
  <si>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</si>
  <si>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</si>
  <si>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</si>
  <si>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</si>
  <si>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</si>
  <si>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</si>
  <si>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</si>
  <si>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</si>
  <si>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</si>
  <si>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</si>
  <si>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</si>
  <si>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</si>
  <si>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</si>
  <si>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</si>
  <si>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</si>
  <si>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</si>
  <si>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</si>
  <si>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</si>
  <si>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</si>
  <si>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</si>
  <si>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</si>
  <si>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</si>
  <si>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</si>
  <si>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</si>
  <si>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</si>
  <si>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</si>
  <si>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</si>
  <si>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</si>
  <si>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</si>
  <si>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</si>
  <si>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</si>
  <si>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</si>
  <si>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</si>
  <si>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</si>
  <si>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</si>
  <si>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</si>
  <si>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</si>
  <si>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</si>
  <si>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</si>
  <si>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</si>
  <si>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</si>
  <si>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</si>
  <si>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</si>
  <si>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</si>
  <si>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</si>
  <si>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</si>
  <si>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</si>
  <si>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</si>
  <si>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</si>
  <si>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</si>
  <si>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</si>
  <si>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</si>
  <si>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</si>
  <si>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</si>
  <si>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</si>
  <si>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</si>
  <si>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</si>
  <si>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</si>
  <si>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</si>
  <si>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</si>
  <si>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</si>
  <si>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</si>
  <si>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</si>
  <si>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</si>
  <si>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</si>
  <si>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</si>
  <si>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</si>
  <si>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</si>
  <si>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</si>
  <si>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</si>
  <si>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</si>
  <si>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</si>
  <si>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</si>
  <si>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</si>
  <si>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</si>
  <si>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</si>
  <si>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</si>
  <si>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</si>
  <si>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</si>
  <si>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</si>
  <si>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</si>
  <si>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</si>
  <si>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</si>
  <si>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</si>
  <si>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</si>
  <si>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</si>
  <si>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</si>
  <si>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</si>
  <si>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</si>
  <si>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</si>
  <si>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</si>
  <si>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</si>
  <si>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</si>
  <si>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</si>
  <si>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</si>
  <si>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</si>
  <si>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</si>
  <si>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</si>
  <si>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</si>
  <si>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</si>
  <si>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</si>
  <si>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</si>
  <si>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</si>
  <si>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</si>
  <si>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</si>
  <si>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</si>
  <si>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</si>
  <si>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</si>
  <si>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</si>
  <si>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</si>
  <si>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</si>
  <si>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</si>
  <si>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</si>
  <si>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</si>
  <si>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</si>
  <si>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</si>
  <si>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</si>
  <si>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</si>
  <si>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</si>
  <si>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</si>
  <si>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</si>
  <si>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</si>
  <si>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</si>
  <si>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</si>
  <si>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</si>
  <si>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</si>
  <si>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</si>
  <si>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</si>
  <si>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</si>
  <si>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</si>
  <si>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</si>
  <si>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</si>
  <si>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</si>
  <si>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</si>
  <si>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</si>
  <si>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</si>
  <si>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</si>
  <si>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</si>
  <si>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</si>
  <si>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</si>
  <si>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</si>
  <si>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</si>
  <si>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</si>
  <si>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</si>
  <si>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</si>
  <si>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</si>
  <si>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</si>
  <si>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</si>
  <si>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</si>
  <si>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</si>
  <si>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</si>
  <si>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</si>
  <si>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</si>
  <si>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</si>
  <si>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</si>
  <si>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</si>
  <si>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</si>
  <si>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</si>
  <si>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</si>
  <si>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</si>
  <si>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</si>
  <si>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</si>
  <si>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</si>
  <si>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</si>
  <si>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</si>
  <si>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</si>
  <si>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</si>
  <si>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</si>
  <si>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</si>
  <si>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</si>
  <si>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</si>
  <si>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</si>
  <si>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</si>
  <si>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</si>
  <si>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</si>
  <si>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</si>
  <si>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</si>
  <si>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</si>
  <si>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</si>
  <si>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</si>
  <si>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</si>
  <si>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</si>
  <si>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204362-1</t>
  </si>
  <si>
    <t>SKO COMERCIO, I</t>
  </si>
  <si>
    <t>URIEL CORREA</t>
  </si>
  <si>
    <t>ECONOMICO_250</t>
  </si>
  <si>
    <t>CTE NORMAL</t>
  </si>
  <si>
    <t>SAO PAULO - SP</t>
  </si>
  <si>
    <t>HEBER ANDRE PEREZ</t>
  </si>
  <si>
    <t>EDSON SANTOS DA SILVA</t>
  </si>
  <si>
    <t>UILIAN PRAZITO RODRIGUES.</t>
  </si>
  <si>
    <t>204372-1</t>
  </si>
  <si>
    <t>WINWIN TEXTILCO</t>
  </si>
  <si>
    <t>MURILO PEREIRA</t>
  </si>
  <si>
    <t>PERSONALIZADO_L</t>
  </si>
  <si>
    <t>RIO DE JANEIRO - RJ</t>
  </si>
  <si>
    <t>N/D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</si>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</sst>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[Analise_FELIPE_05102026.xlsx]Resumo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SKO COMERCIO, I</c:v>
                </c:pt>
                <c:pt idx="1">
                  <c:v>WINWIN TEXTILCO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129.38999999999999</c:v>
                </c:pt>
                <c:pt idx="1">
                  <c:v>11990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SKO COMERCIO, I</c:v>
                </c:pt>
                <c:pt idx="1">
                  <c:v>WINWIN TEXTILCO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-237.03120000000001</c:v>
                </c:pt>
                <c:pt idx="1">
                  <c:v>9279.49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[Analise_FELIPE_05102026.xlsx]Resumo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SKO COMERCIO, I</c:v>
                </c:pt>
                <c:pt idx="1">
                  <c:v>WINWIN TEXTILCO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129.38999999999999</c:v>
                </c:pt>
                <c:pt idx="1">
                  <c:v>11990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SKO COMERCIO, I</c:v>
                </c:pt>
                <c:pt idx="1">
                  <c:v>WINWIN TEXTILCO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-237.03120000000001</c:v>
                </c:pt>
                <c:pt idx="1">
                  <c:v>9279.49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3.444201157406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4181" count="8000">
        <n v="304168"/>
        <n v="304181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2T00:00:00" maxDate="2026-10-03T00:00:00"/>
    </cacheField>
    <cacheField name="DATA" numFmtId="14">
      <sharedItems containsNonDate="0" containsDate="1" containsString="0" containsBlank="1" minDate="2026-10-05T00:00:00" maxDate="2026-10-06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SKO COMERCIO, I"/>
        <s v="WINWIN TEXTILCO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086.3" maxValue="625021.6"/>
    </cacheField>
    <cacheField name="SERVICO" numFmtId="0">
      <sharedItems containsBlank="1" count="27">
        <s v="ECONOMICO_250"/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29.38999999999999" maxValue="11990"/>
    </cacheField>
    <cacheField name="VOLUMES" numFmtId="0">
      <sharedItems containsString="0" containsBlank="1" containsNumber="1" containsInteger="1" minValue="2" maxValue="143"/>
    </cacheField>
    <cacheField name="PESO" numFmtId="0">
      <sharedItems containsString="0" containsBlank="1" containsNumber="1" minValue="36.799999999999997" maxValue="2836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300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4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5.53" maxValue="1438.8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54" maxValue="312.51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439.33" maxValue="8168.05"/>
    </cacheField>
    <cacheField name="RECEITA" numFmtId="0">
      <sharedItems containsString="0" containsBlank="1" containsNumber="1" minValue="-309.94" maxValue="3821.95"/>
    </cacheField>
    <cacheField name="IMPOSTO" numFmtId="0">
      <sharedItems containsString="0" containsBlank="1" containsNumber="1" minValue="33.64" maxValue="3117.4"/>
    </cacheField>
    <cacheField name="RESULTADO" numFmtId="0">
      <sharedItems containsString="0" containsBlank="1" containsNumber="1" minValue="-343.58" maxValue="704.55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343.58" maxValue="704.55"/>
    </cacheField>
    <cacheField name="MARGEM" numFmtId="10">
      <sharedItems containsString="0" containsBlank="1" containsNumber="1" minValue="-2.6554000000000002" maxValue="5.8799999999999998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10-02T00:00:00"/>
    <d v="2026-10-05T00:00:00"/>
    <m/>
    <s v="204362-1"/>
    <x v="0"/>
    <s v="URIEL CORREA"/>
    <n v="1086.3"/>
    <x v="0"/>
    <s v="CTE NORMAL"/>
    <s v="SAO PAULO - SP"/>
    <n v="129.38999999999999"/>
    <n v="2"/>
    <n v="36.799999999999997"/>
    <s v="HEBER ANDRE PEREZ"/>
    <n v="300"/>
    <s v="EDSON SANTOS DA SILVA"/>
    <n v="40"/>
    <s v="UILIAN PRAZITO RODRIGUES."/>
    <n v="0"/>
    <n v="15.53"/>
    <n v="0"/>
    <n v="0"/>
    <n v="0.54"/>
    <n v="0"/>
    <n v="439.33"/>
    <n v="-309.94"/>
    <n v="33.64"/>
    <n v="-343.58"/>
    <n v="0"/>
    <n v="-343.58"/>
    <n v="-2.6554000000000002"/>
    <m/>
  </r>
  <r>
    <x v="1"/>
    <s v="MATRIZ"/>
    <d v="2026-10-02T00:00:00"/>
    <d v="2026-10-05T00:00:00"/>
    <m/>
    <s v="204372-1"/>
    <x v="1"/>
    <s v="MURILO PEREIRA"/>
    <n v="625021.6"/>
    <x v="1"/>
    <s v="CTE NORMAL"/>
    <s v="RIO DE JANEIRO - RJ"/>
    <n v="11990"/>
    <n v="143"/>
    <n v="2836"/>
    <s v="N/D"/>
    <n v="0"/>
    <s v="N/D"/>
    <n v="0"/>
    <s v="UILIAN PRAZITO RODRIGUES."/>
    <n v="0"/>
    <n v="1438.8"/>
    <n v="0"/>
    <n v="0"/>
    <n v="312.51"/>
    <n v="0"/>
    <n v="8168.05"/>
    <n v="3821.95"/>
    <n v="3117.4"/>
    <n v="704.55"/>
    <n v="0"/>
    <n v="704.55"/>
    <n v="5.8799999999999998E-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2"/>
        <item m="1" x="12"/>
        <item m="1" x="761"/>
        <item m="1" x="391"/>
        <item sd="0" m="1" x="712"/>
        <item m="1" x="295"/>
        <item sd="0" m="1" x="113"/>
        <item m="1" x="270"/>
        <item m="1" x="590"/>
        <item m="1" x="323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7"/>
        <item m="1" x="48"/>
        <item sd="0" m="1" x="668"/>
        <item m="1" x="660"/>
        <item m="1" x="468"/>
        <item m="1" x="45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1"/>
        <item m="1" x="221"/>
        <item m="1" x="158"/>
        <item m="1" x="229"/>
        <item m="1" x="109"/>
        <item m="1" x="621"/>
        <item m="1" x="141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9"/>
        <item m="1" x="355"/>
        <item m="1" x="686"/>
        <item m="1" x="311"/>
        <item m="1" x="136"/>
        <item m="1" x="293"/>
        <item m="1" x="601"/>
        <item m="1" x="206"/>
        <item m="1" x="674"/>
        <item m="1" x="139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3"/>
        <item m="1" x="835"/>
        <item m="1" x="711"/>
        <item m="1" x="377"/>
        <item m="1" x="207"/>
        <item sd="0" m="1" x="521"/>
        <item m="1" x="462"/>
        <item m="1" x="138"/>
        <item m="1" x="661"/>
        <item m="1" x="371"/>
        <item m="1" x="154"/>
        <item m="1" x="250"/>
        <item m="1" x="628"/>
        <item m="1" x="736"/>
        <item m="1" x="420"/>
        <item m="1" x="80"/>
        <item m="1" x="696"/>
        <item m="1" x="283"/>
        <item m="1" x="846"/>
        <item m="1" x="247"/>
        <item sd="0" m="1" x="763"/>
        <item m="1" x="424"/>
        <item m="1" x="435"/>
        <item m="1" x="167"/>
        <item m="1" x="542"/>
        <item m="1" x="806"/>
        <item sd="0" m="1" x="620"/>
        <item m="1" x="5"/>
        <item m="1" x="770"/>
        <item m="1" x="15"/>
        <item m="1" x="739"/>
        <item m="1" x="392"/>
        <item m="1" x="275"/>
        <item m="1" x="66"/>
        <item sd="0" m="1" x="186"/>
        <item sd="0" m="1" x="306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20"/>
        <item m="1" x="389"/>
        <item sd="0" m="1" x="88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6"/>
        <item m="1" x="400"/>
        <item m="1" x="114"/>
        <item sd="0" m="1" x="652"/>
        <item m="1" x="656"/>
        <item m="1" x="795"/>
        <item sd="0" m="1" x="695"/>
        <item m="1" x="454"/>
        <item m="1" x="380"/>
        <item m="1" x="447"/>
        <item m="1" x="159"/>
        <item m="1" x="276"/>
        <item sd="0" m="1" x="203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4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3"/>
        <item m="1" x="627"/>
        <item m="1" x="374"/>
        <item m="1" x="807"/>
        <item m="1" x="60"/>
        <item m="1" x="631"/>
        <item m="1" x="530"/>
        <item m="1" x="294"/>
        <item m="1" x="303"/>
        <item m="1" x="174"/>
        <item m="1" x="101"/>
        <item sd="0" m="1" x="71"/>
        <item m="1" x="578"/>
        <item sd="0" m="1" x="798"/>
        <item m="1" x="33"/>
        <item m="1" x="673"/>
        <item m="1" x="286"/>
        <item m="1" x="629"/>
        <item m="1" x="264"/>
        <item m="1" x="115"/>
        <item m="1" x="332"/>
        <item m="1" x="219"/>
        <item m="1" x="509"/>
        <item m="1" x="117"/>
        <item sd="0" m="1" x="536"/>
        <item m="1" x="83"/>
        <item m="1" x="602"/>
        <item sd="0" m="1" x="449"/>
        <item m="1" x="348"/>
        <item m="1" x="79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1"/>
        <item m="1" x="426"/>
        <item sd="0" m="1" x="10"/>
        <item m="1" x="43"/>
        <item m="1" x="17"/>
        <item m="1" x="622"/>
        <item m="1" x="556"/>
        <item m="1" x="626"/>
        <item m="1" x="344"/>
        <item m="1" x="432"/>
        <item m="1" x="708"/>
        <item m="1" x="210"/>
        <item m="1" x="438"/>
        <item sd="0" m="1" x="102"/>
        <item sd="0" m="1" x="196"/>
        <item m="1" x="831"/>
        <item m="1" x="764"/>
        <item m="1" x="508"/>
        <item m="1" x="821"/>
        <item m="1" x="340"/>
        <item m="1" x="222"/>
        <item m="1" x="65"/>
        <item m="1" x="635"/>
        <item m="1" x="457"/>
        <item m="1" x="790"/>
        <item m="1" x="703"/>
        <item m="1" x="233"/>
        <item m="1" x="597"/>
        <item m="1" x="44"/>
        <item sd="0" m="1" x="843"/>
        <item sd="0" m="1" x="123"/>
        <item m="1" x="266"/>
        <item m="1" x="291"/>
        <item m="1" x="353"/>
        <item m="1" x="98"/>
        <item m="1" x="459"/>
        <item m="1" x="580"/>
        <item m="1" x="352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2"/>
        <item m="1" x="805"/>
        <item sd="0" m="1" x="486"/>
        <item m="1" x="442"/>
        <item m="1" x="398"/>
        <item sd="0" m="1" x="608"/>
        <item m="1" x="153"/>
        <item m="1" x="16"/>
        <item m="1" x="231"/>
        <item m="1" x="240"/>
        <item m="1" x="6"/>
        <item m="1" x="387"/>
        <item m="1" x="369"/>
        <item m="1" x="615"/>
        <item m="1" x="58"/>
        <item m="1" x="707"/>
        <item m="1" x="24"/>
        <item m="1" x="37"/>
        <item m="1" x="9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3"/>
        <item m="1" x="666"/>
        <item sd="0" m="1" x="839"/>
        <item sd="0" m="1" x="39"/>
        <item m="1" x="382"/>
        <item m="1" x="589"/>
        <item m="1" x="747"/>
        <item sd="0" m="1" x="268"/>
        <item m="1" x="18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7"/>
        <item m="1" x="349"/>
        <item m="1" x="577"/>
        <item m="1" x="161"/>
        <item m="1" x="314"/>
        <item sd="0" m="1" x="698"/>
        <item m="1" x="330"/>
        <item m="1" x="625"/>
        <item m="1" x="541"/>
        <item sd="0" m="1" x="368"/>
        <item sd="0" m="1" x="334"/>
        <item sd="0" m="1" x="175"/>
        <item m="1" x="419"/>
        <item m="1" x="701"/>
        <item m="1" x="697"/>
        <item m="1" x="378"/>
        <item m="1" x="347"/>
        <item m="1" x="150"/>
        <item m="1" x="759"/>
        <item sd="0" m="1" x="690"/>
        <item sd="0" m="1" x="22"/>
        <item m="1" x="727"/>
        <item m="1" x="780"/>
        <item m="1" x="639"/>
        <item m="1" x="328"/>
        <item m="1" x="367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3"/>
        <item m="1" x="720"/>
        <item m="1" x="555"/>
        <item m="1" x="116"/>
        <item m="1" x="375"/>
        <item m="1" x="718"/>
        <item m="1" x="127"/>
        <item m="1" x="34"/>
        <item m="1" x="301"/>
        <item m="1" x="548"/>
        <item m="1" x="61"/>
        <item m="1" x="451"/>
        <item m="1" x="774"/>
        <item m="1" x="484"/>
        <item m="1" x="740"/>
        <item sd="0" m="1" x="453"/>
        <item m="1" x="520"/>
        <item m="1" x="162"/>
        <item sd="0" m="1" x="403"/>
        <item m="1" x="741"/>
        <item m="1" x="194"/>
        <item m="1" x="746"/>
        <item m="1" x="383"/>
        <item sd="0" m="1" x="137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4"/>
        <item m="1" x="700"/>
        <item m="1" x="427"/>
        <item m="1" x="362"/>
        <item m="1" x="100"/>
        <item m="1" x="480"/>
        <item m="1" x="607"/>
        <item sd="0" m="1" x="715"/>
        <item sd="0" m="1" x="55"/>
        <item m="1" x="297"/>
        <item m="1" x="682"/>
        <item m="1" x="135"/>
        <item m="1" x="329"/>
        <item m="1" x="535"/>
        <item sd="0" m="1" x="236"/>
        <item m="1" x="557"/>
        <item m="1" x="546"/>
        <item m="1" x="850"/>
        <item m="1" x="3"/>
        <item m="1" x="271"/>
        <item sd="0" m="1" x="76"/>
        <item m="1" x="130"/>
        <item m="1" x="654"/>
        <item sd="0" m="1" x="721"/>
        <item m="1" x="641"/>
        <item m="1" x="230"/>
        <item m="1" x="372"/>
        <item m="1" x="735"/>
        <item sd="0" m="1" x="132"/>
        <item m="1" x="86"/>
        <item m="1" x="209"/>
        <item m="1" x="681"/>
        <item m="1" x="274"/>
        <item m="1" x="471"/>
        <item m="1" x="799"/>
        <item m="1" x="216"/>
        <item m="1" x="827"/>
        <item m="1" x="70"/>
        <item m="1" x="118"/>
        <item m="1" x="645"/>
        <item m="1" x="410"/>
        <item m="1" x="854"/>
        <item m="1" x="431"/>
        <item m="1" x="569"/>
        <item m="1" x="487"/>
        <item m="1" x="182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8"/>
        <item m="1" x="659"/>
        <item m="1" x="220"/>
        <item m="1" x="448"/>
        <item m="1" x="147"/>
        <item m="1" x="361"/>
        <item m="1" x="262"/>
        <item m="1" x="290"/>
        <item m="1" x="540"/>
        <item m="1" x="810"/>
        <item m="1" x="603"/>
        <item m="1" x="32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51"/>
        <item m="1" x="605"/>
        <item m="1" x="84"/>
        <item m="1" x="325"/>
        <item m="1" x="35"/>
        <item m="1" x="495"/>
        <item sd="0" m="1" x="506"/>
        <item m="1" x="446"/>
        <item m="1" x="166"/>
        <item m="1" x="133"/>
        <item m="1" x="251"/>
        <item m="1" x="299"/>
        <item m="1" x="819"/>
        <item m="1" x="169"/>
        <item m="1" x="709"/>
        <item m="1" x="171"/>
        <item m="1" x="586"/>
        <item m="1" x="226"/>
        <item m="1" x="390"/>
        <item m="1" x="657"/>
        <item m="1" x="309"/>
        <item m="1" x="75"/>
        <item sd="0" m="1" x="669"/>
        <item m="1" x="94"/>
        <item m="1" x="439"/>
        <item sd="0" m="1" x="350"/>
        <item m="1" x="784"/>
        <item m="1" x="498"/>
        <item m="1" x="62"/>
        <item m="1" x="455"/>
        <item m="1" x="82"/>
        <item m="1" x="324"/>
        <item sd="0" m="1" x="168"/>
        <item m="1" x="331"/>
        <item m="1" x="564"/>
        <item m="1" x="503"/>
        <item m="1" x="227"/>
        <item m="1" x="280"/>
        <item m="1" x="93"/>
        <item m="1" x="406"/>
        <item m="1" x="319"/>
        <item m="1" x="710"/>
        <item m="1" x="534"/>
        <item m="1" x="644"/>
        <item m="1" x="609"/>
        <item m="1" x="834"/>
        <item m="1" x="787"/>
        <item m="1" x="29"/>
        <item m="1" x="782"/>
        <item m="1" x="252"/>
        <item m="1" x="474"/>
        <item m="1" x="812"/>
        <item m="1" x="463"/>
        <item m="1" x="745"/>
        <item m="1" x="648"/>
        <item m="1" x="775"/>
        <item sd="0" m="1" x="72"/>
        <item m="1" x="713"/>
        <item m="1" x="573"/>
        <item m="1" x="184"/>
        <item m="1" x="717"/>
        <item m="1" x="111"/>
        <item m="1" x="253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4"/>
        <item m="1" x="823"/>
        <item m="1" x="335"/>
        <item m="1" x="523"/>
        <item m="1" x="246"/>
        <item sd="0" m="1" x="11"/>
        <item m="1" x="142"/>
        <item m="1" x="651"/>
        <item m="1" x="604"/>
        <item m="1" x="440"/>
        <item m="1" x="23"/>
        <item m="1" x="594"/>
        <item m="1" x="434"/>
        <item m="1" x="68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3"/>
        <item m="1" x="78"/>
        <item m="1" x="528"/>
        <item m="1" x="566"/>
        <item m="1" x="687"/>
        <item m="1" x="279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4"/>
        <item sd="0" m="1" x="358"/>
        <item m="1" x="259"/>
        <item m="1" x="363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5"/>
        <item m="1" x="502"/>
        <item m="1" x="786"/>
        <item m="1" x="258"/>
        <item sd="0" m="1" x="752"/>
        <item m="1" x="128"/>
        <item m="1" x="211"/>
        <item m="1" x="833"/>
        <item m="1" x="585"/>
        <item m="1" x="796"/>
        <item m="1" x="726"/>
        <item m="1" x="411"/>
        <item m="1" x="26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80"/>
        <item m="1" x="333"/>
        <item m="1" x="817"/>
        <item sd="0" m="1" x="610"/>
        <item m="1" x="587"/>
        <item sd="0" m="1" x="255"/>
        <item m="1" x="550"/>
        <item m="1" x="104"/>
        <item m="1" x="87"/>
        <item m="1" x="754"/>
        <item m="1" x="155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4"/>
        <item m="1" x="224"/>
        <item m="1" x="783"/>
        <item m="1" x="724"/>
        <item m="1" x="841"/>
        <item m="1" x="443"/>
        <item m="1" x="193"/>
        <item m="1" x="305"/>
        <item m="1" x="339"/>
        <item sd="0" m="1" x="96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5"/>
        <item sd="0" m="1" x="408"/>
        <item m="1" x="473"/>
        <item m="1" x="837"/>
        <item m="1" x="125"/>
        <item sd="0" m="1" x="152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x="0"/>
        <item m="1" x="52"/>
        <item m="1" x="851"/>
        <item m="1" x="30"/>
        <item sd="0" m="1" x="570"/>
        <item m="1" x="512"/>
        <item m="1" x="412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09"/>
        <item m="1" x="692"/>
        <item m="1" x="441"/>
        <item m="1" x="360"/>
        <item sd="0" m="1" x="705"/>
        <item m="1" x="302"/>
        <item m="1" x="189"/>
        <item m="1" x="680"/>
        <item sd="0" m="1" x="282"/>
        <item m="1" x="218"/>
        <item m="1" x="318"/>
        <item m="1" x="254"/>
        <item sd="0" m="1" x="192"/>
        <item m="1" x="729"/>
        <item m="1" x="384"/>
        <item m="1" x="576"/>
        <item m="1" x="359"/>
        <item m="1" x="450"/>
        <item m="1" x="513"/>
        <item m="1" x="122"/>
        <item m="1" x="646"/>
        <item m="1" x="49"/>
        <item m="1" x="415"/>
        <item m="1" x="145"/>
        <item sd="0" m="1" x="728"/>
        <item m="1" x="164"/>
        <item m="1" x="345"/>
        <item m="1" x="119"/>
        <item m="1" x="289"/>
        <item sd="0" m="1" x="199"/>
        <item m="1" x="205"/>
        <item m="1" x="89"/>
        <item sd="0" m="1" x="28"/>
        <item m="1" x="277"/>
        <item m="1" x="507"/>
        <item sd="0" m="1" x="499"/>
        <item m="1" x="69"/>
        <item m="1" x="679"/>
        <item m="1" x="81"/>
        <item m="1" x="634"/>
        <item m="1" x="67"/>
        <item m="1" x="650"/>
        <item m="1" x="488"/>
        <item m="1" x="753"/>
        <item m="1" x="163"/>
        <item m="1" x="191"/>
        <item m="1" x="678"/>
        <item m="1" x="298"/>
        <item m="1" x="588"/>
        <item sd="0" m="1" x="179"/>
        <item m="1" x="623"/>
        <item sd="0" m="1" x="64"/>
        <item m="1" x="423"/>
        <item sd="0" m="1" x="27"/>
        <item sd="0" m="1" x="765"/>
        <item m="1" x="413"/>
        <item sd="0" m="1" x="552"/>
        <item m="1" x="97"/>
        <item m="1" x="85"/>
        <item sd="0" m="1" x="292"/>
        <item m="1" x="195"/>
        <item sd="0" m="1" x="496"/>
        <item m="1" x="261"/>
        <item m="1" x="31"/>
        <item m="1" x="105"/>
        <item m="1" x="533"/>
        <item sd="0" m="1" x="296"/>
        <item sd="0" m="1" x="396"/>
        <item sd="0" m="1" x="228"/>
        <item sd="0" m="1" x="8"/>
        <item m="1" x="472"/>
        <item sd="0" m="1" x="824"/>
        <item m="1" x="36"/>
        <item m="1" x="310"/>
        <item m="1" x="825"/>
        <item m="1" x="562"/>
        <item m="1" x="63"/>
        <item m="1" x="568"/>
        <item m="1" x="430"/>
        <item m="1" x="425"/>
        <item m="1" x="176"/>
        <item m="1" x="365"/>
        <item m="1" x="758"/>
        <item m="1" x="600"/>
        <item m="1" x="13"/>
        <item m="1" x="92"/>
        <item m="1" x="437"/>
        <item m="1" x="433"/>
        <item m="1" x="121"/>
        <item m="1" x="630"/>
        <item m="1" x="201"/>
        <item m="1" x="156"/>
        <item m="1" x="56"/>
        <item m="1" x="547"/>
        <item sd="0" m="1" x="618"/>
        <item m="1" x="99"/>
        <item m="1" x="766"/>
        <item m="1" x="126"/>
        <item m="1" x="217"/>
        <item m="1" x="811"/>
        <item m="1" x="278"/>
        <item m="1" x="107"/>
        <item m="1" x="198"/>
        <item m="1" x="213"/>
        <item m="1" x="181"/>
        <item m="1" x="74"/>
        <item x="1"/>
        <item m="1" x="599"/>
        <item m="1" x="190"/>
        <item m="1" x="225"/>
        <item m="1" x="842"/>
        <item m="1" x="836"/>
        <item m="1" x="491"/>
        <item m="1" x="684"/>
        <item m="1" x="242"/>
        <item m="1" x="57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711"/>
    </i>
    <i r="1">
      <x v="7998"/>
    </i>
    <i>
      <x v="838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2"/>
        <item m="1" x="12"/>
        <item m="1" x="761"/>
        <item m="1" x="391"/>
        <item sd="0" m="1" x="712"/>
        <item m="1" x="295"/>
        <item sd="0" m="1" x="113"/>
        <item m="1" x="270"/>
        <item m="1" x="590"/>
        <item m="1" x="323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7"/>
        <item m="1" x="48"/>
        <item sd="0" m="1" x="668"/>
        <item m="1" x="660"/>
        <item m="1" x="468"/>
        <item m="1" x="45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1"/>
        <item m="1" x="221"/>
        <item m="1" x="158"/>
        <item m="1" x="229"/>
        <item m="1" x="109"/>
        <item m="1" x="621"/>
        <item m="1" x="141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9"/>
        <item m="1" x="355"/>
        <item m="1" x="686"/>
        <item m="1" x="311"/>
        <item m="1" x="136"/>
        <item m="1" x="293"/>
        <item m="1" x="601"/>
        <item m="1" x="206"/>
        <item m="1" x="674"/>
        <item m="1" x="139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3"/>
        <item m="1" x="835"/>
        <item m="1" x="711"/>
        <item m="1" x="377"/>
        <item m="1" x="207"/>
        <item sd="0" m="1" x="521"/>
        <item m="1" x="462"/>
        <item m="1" x="138"/>
        <item m="1" x="661"/>
        <item m="1" x="371"/>
        <item m="1" x="154"/>
        <item m="1" x="250"/>
        <item m="1" x="628"/>
        <item m="1" x="736"/>
        <item m="1" x="420"/>
        <item m="1" x="80"/>
        <item m="1" x="696"/>
        <item m="1" x="283"/>
        <item m="1" x="846"/>
        <item m="1" x="247"/>
        <item sd="0" m="1" x="763"/>
        <item m="1" x="424"/>
        <item m="1" x="435"/>
        <item m="1" x="167"/>
        <item m="1" x="542"/>
        <item m="1" x="806"/>
        <item sd="0" m="1" x="620"/>
        <item m="1" x="5"/>
        <item m="1" x="770"/>
        <item m="1" x="15"/>
        <item m="1" x="739"/>
        <item m="1" x="392"/>
        <item m="1" x="275"/>
        <item m="1" x="66"/>
        <item sd="0" m="1" x="186"/>
        <item sd="0" m="1" x="306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20"/>
        <item m="1" x="389"/>
        <item sd="0" m="1" x="88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6"/>
        <item m="1" x="400"/>
        <item m="1" x="114"/>
        <item sd="0" m="1" x="652"/>
        <item m="1" x="656"/>
        <item m="1" x="795"/>
        <item sd="0" m="1" x="695"/>
        <item m="1" x="454"/>
        <item m="1" x="380"/>
        <item m="1" x="447"/>
        <item m="1" x="159"/>
        <item m="1" x="276"/>
        <item sd="0" m="1" x="203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4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3"/>
        <item m="1" x="627"/>
        <item m="1" x="374"/>
        <item m="1" x="807"/>
        <item m="1" x="60"/>
        <item m="1" x="631"/>
        <item m="1" x="530"/>
        <item m="1" x="294"/>
        <item m="1" x="303"/>
        <item m="1" x="174"/>
        <item m="1" x="101"/>
        <item sd="0" m="1" x="71"/>
        <item m="1" x="578"/>
        <item sd="0" m="1" x="798"/>
        <item m="1" x="33"/>
        <item m="1" x="673"/>
        <item m="1" x="286"/>
        <item m="1" x="629"/>
        <item m="1" x="264"/>
        <item m="1" x="115"/>
        <item m="1" x="332"/>
        <item m="1" x="219"/>
        <item m="1" x="509"/>
        <item m="1" x="117"/>
        <item sd="0" m="1" x="536"/>
        <item m="1" x="83"/>
        <item m="1" x="602"/>
        <item sd="0" m="1" x="449"/>
        <item m="1" x="348"/>
        <item m="1" x="79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1"/>
        <item m="1" x="426"/>
        <item sd="0" m="1" x="10"/>
        <item m="1" x="43"/>
        <item m="1" x="17"/>
        <item m="1" x="622"/>
        <item m="1" x="556"/>
        <item m="1" x="626"/>
        <item m="1" x="344"/>
        <item m="1" x="432"/>
        <item m="1" x="708"/>
        <item m="1" x="210"/>
        <item m="1" x="438"/>
        <item sd="0" m="1" x="102"/>
        <item sd="0" m="1" x="196"/>
        <item m="1" x="831"/>
        <item m="1" x="764"/>
        <item m="1" x="508"/>
        <item m="1" x="821"/>
        <item m="1" x="340"/>
        <item m="1" x="222"/>
        <item m="1" x="65"/>
        <item m="1" x="635"/>
        <item m="1" x="457"/>
        <item m="1" x="790"/>
        <item sd="0" m="1" x="703"/>
        <item m="1" x="233"/>
        <item m="1" x="597"/>
        <item m="1" x="44"/>
        <item sd="0" m="1" x="843"/>
        <item sd="0" m="1" x="123"/>
        <item m="1" x="266"/>
        <item m="1" x="291"/>
        <item m="1" x="353"/>
        <item m="1" x="98"/>
        <item m="1" x="459"/>
        <item m="1" x="580"/>
        <item m="1" x="352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2"/>
        <item m="1" x="805"/>
        <item sd="0" m="1" x="486"/>
        <item m="1" x="442"/>
        <item m="1" x="398"/>
        <item sd="0" m="1" x="608"/>
        <item m="1" x="153"/>
        <item m="1" x="16"/>
        <item m="1" x="231"/>
        <item m="1" x="240"/>
        <item m="1" x="6"/>
        <item m="1" x="387"/>
        <item m="1" x="369"/>
        <item m="1" x="615"/>
        <item m="1" x="58"/>
        <item m="1" x="707"/>
        <item m="1" x="24"/>
        <item m="1" x="37"/>
        <item m="1" x="9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3"/>
        <item m="1" x="666"/>
        <item sd="0" m="1" x="839"/>
        <item sd="0" m="1" x="39"/>
        <item m="1" x="382"/>
        <item m="1" x="589"/>
        <item m="1" x="747"/>
        <item sd="0" m="1" x="268"/>
        <item m="1" x="18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7"/>
        <item m="1" x="349"/>
        <item m="1" x="577"/>
        <item m="1" x="161"/>
        <item m="1" x="314"/>
        <item sd="0" m="1" x="698"/>
        <item m="1" x="330"/>
        <item m="1" x="625"/>
        <item m="1" x="541"/>
        <item sd="0" m="1" x="368"/>
        <item sd="0" m="1" x="334"/>
        <item sd="0" m="1" x="175"/>
        <item m="1" x="419"/>
        <item m="1" x="701"/>
        <item m="1" x="697"/>
        <item m="1" x="378"/>
        <item m="1" x="347"/>
        <item m="1" x="150"/>
        <item m="1" x="759"/>
        <item sd="0" m="1" x="690"/>
        <item sd="0" m="1" x="22"/>
        <item m="1" x="727"/>
        <item m="1" x="780"/>
        <item m="1" x="639"/>
        <item m="1" x="328"/>
        <item m="1" x="367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3"/>
        <item m="1" x="720"/>
        <item m="1" x="555"/>
        <item m="1" x="116"/>
        <item m="1" x="375"/>
        <item m="1" x="718"/>
        <item m="1" x="127"/>
        <item m="1" x="34"/>
        <item m="1" x="301"/>
        <item m="1" x="548"/>
        <item m="1" x="61"/>
        <item m="1" x="451"/>
        <item m="1" x="774"/>
        <item m="1" x="484"/>
        <item m="1" x="740"/>
        <item sd="0" m="1" x="453"/>
        <item m="1" x="520"/>
        <item m="1" x="162"/>
        <item sd="0" m="1" x="403"/>
        <item m="1" x="741"/>
        <item m="1" x="194"/>
        <item m="1" x="746"/>
        <item m="1" x="383"/>
        <item sd="0" m="1" x="137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4"/>
        <item m="1" x="700"/>
        <item m="1" x="427"/>
        <item m="1" x="362"/>
        <item m="1" x="100"/>
        <item m="1" x="480"/>
        <item m="1" x="607"/>
        <item sd="0" m="1" x="715"/>
        <item sd="0" m="1" x="55"/>
        <item m="1" x="297"/>
        <item m="1" x="682"/>
        <item m="1" x="135"/>
        <item m="1" x="329"/>
        <item m="1" x="535"/>
        <item sd="0" m="1" x="236"/>
        <item m="1" x="557"/>
        <item m="1" x="546"/>
        <item m="1" x="850"/>
        <item m="1" x="3"/>
        <item m="1" x="271"/>
        <item sd="0" m="1" x="76"/>
        <item m="1" x="130"/>
        <item m="1" x="654"/>
        <item sd="0" m="1" x="721"/>
        <item m="1" x="641"/>
        <item m="1" x="230"/>
        <item m="1" x="372"/>
        <item m="1" x="735"/>
        <item sd="0" m="1" x="132"/>
        <item m="1" x="86"/>
        <item m="1" x="209"/>
        <item m="1" x="681"/>
        <item m="1" x="274"/>
        <item m="1" x="471"/>
        <item m="1" x="799"/>
        <item m="1" x="216"/>
        <item m="1" x="827"/>
        <item m="1" x="70"/>
        <item m="1" x="118"/>
        <item m="1" x="645"/>
        <item m="1" x="410"/>
        <item m="1" x="854"/>
        <item m="1" x="431"/>
        <item m="1" x="569"/>
        <item m="1" x="487"/>
        <item m="1" x="182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8"/>
        <item m="1" x="659"/>
        <item m="1" x="220"/>
        <item m="1" x="448"/>
        <item m="1" x="147"/>
        <item m="1" x="361"/>
        <item m="1" x="262"/>
        <item m="1" x="290"/>
        <item m="1" x="540"/>
        <item m="1" x="810"/>
        <item m="1" x="603"/>
        <item m="1" x="32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51"/>
        <item m="1" x="605"/>
        <item m="1" x="84"/>
        <item m="1" x="325"/>
        <item m="1" x="35"/>
        <item m="1" x="495"/>
        <item sd="0" m="1" x="506"/>
        <item m="1" x="446"/>
        <item m="1" x="166"/>
        <item m="1" x="133"/>
        <item m="1" x="251"/>
        <item m="1" x="299"/>
        <item m="1" x="819"/>
        <item m="1" x="169"/>
        <item m="1" x="709"/>
        <item m="1" x="171"/>
        <item m="1" x="586"/>
        <item m="1" x="226"/>
        <item m="1" x="390"/>
        <item m="1" x="657"/>
        <item m="1" x="309"/>
        <item m="1" x="75"/>
        <item sd="0" m="1" x="669"/>
        <item m="1" x="94"/>
        <item m="1" x="439"/>
        <item sd="0" m="1" x="350"/>
        <item m="1" x="784"/>
        <item m="1" x="498"/>
        <item m="1" x="62"/>
        <item m="1" x="455"/>
        <item m="1" x="82"/>
        <item m="1" x="324"/>
        <item sd="0" m="1" x="168"/>
        <item m="1" x="331"/>
        <item m="1" x="564"/>
        <item m="1" x="503"/>
        <item m="1" x="227"/>
        <item m="1" x="280"/>
        <item m="1" x="93"/>
        <item m="1" x="406"/>
        <item m="1" x="319"/>
        <item m="1" x="710"/>
        <item m="1" x="534"/>
        <item m="1" x="644"/>
        <item m="1" x="609"/>
        <item m="1" x="834"/>
        <item m="1" x="787"/>
        <item m="1" x="29"/>
        <item m="1" x="782"/>
        <item m="1" x="252"/>
        <item m="1" x="474"/>
        <item m="1" x="812"/>
        <item m="1" x="463"/>
        <item m="1" x="745"/>
        <item m="1" x="648"/>
        <item m="1" x="775"/>
        <item sd="0" m="1" x="72"/>
        <item m="1" x="713"/>
        <item m="1" x="573"/>
        <item m="1" x="184"/>
        <item m="1" x="717"/>
        <item m="1" x="111"/>
        <item m="1" x="253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4"/>
        <item m="1" x="823"/>
        <item m="1" x="335"/>
        <item m="1" x="523"/>
        <item m="1" x="246"/>
        <item sd="0" m="1" x="11"/>
        <item m="1" x="142"/>
        <item m="1" x="651"/>
        <item m="1" x="604"/>
        <item m="1" x="440"/>
        <item m="1" x="23"/>
        <item m="1" x="594"/>
        <item m="1" x="434"/>
        <item m="1" x="68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3"/>
        <item m="1" x="78"/>
        <item m="1" x="528"/>
        <item m="1" x="566"/>
        <item m="1" x="687"/>
        <item m="1" x="279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4"/>
        <item sd="0" m="1" x="358"/>
        <item m="1" x="259"/>
        <item m="1" x="363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5"/>
        <item m="1" x="502"/>
        <item m="1" x="786"/>
        <item m="1" x="258"/>
        <item sd="0" m="1" x="752"/>
        <item m="1" x="128"/>
        <item m="1" x="211"/>
        <item m="1" x="833"/>
        <item m="1" x="585"/>
        <item m="1" x="796"/>
        <item m="1" x="726"/>
        <item m="1" x="411"/>
        <item m="1" x="26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80"/>
        <item m="1" x="333"/>
        <item m="1" x="817"/>
        <item sd="0" m="1" x="610"/>
        <item m="1" x="587"/>
        <item sd="0" m="1" x="255"/>
        <item m="1" x="550"/>
        <item m="1" x="104"/>
        <item m="1" x="87"/>
        <item m="1" x="754"/>
        <item m="1" x="155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4"/>
        <item m="1" x="224"/>
        <item m="1" x="783"/>
        <item m="1" x="724"/>
        <item m="1" x="841"/>
        <item m="1" x="443"/>
        <item m="1" x="193"/>
        <item m="1" x="305"/>
        <item m="1" x="339"/>
        <item sd="0" m="1" x="96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5"/>
        <item sd="0" m="1" x="408"/>
        <item m="1" x="473"/>
        <item m="1" x="837"/>
        <item m="1" x="125"/>
        <item sd="0" m="1" x="152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x="0"/>
        <item m="1" x="52"/>
        <item m="1" x="851"/>
        <item m="1" x="30"/>
        <item sd="0" m="1" x="570"/>
        <item m="1" x="512"/>
        <item m="1" x="412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09"/>
        <item m="1" x="692"/>
        <item m="1" x="441"/>
        <item m="1" x="360"/>
        <item sd="0" m="1" x="705"/>
        <item m="1" x="302"/>
        <item m="1" x="189"/>
        <item m="1" x="680"/>
        <item sd="0" m="1" x="282"/>
        <item m="1" x="218"/>
        <item m="1" x="318"/>
        <item m="1" x="254"/>
        <item sd="0" m="1" x="192"/>
        <item m="1" x="729"/>
        <item m="1" x="384"/>
        <item m="1" x="576"/>
        <item m="1" x="359"/>
        <item m="1" x="450"/>
        <item m="1" x="513"/>
        <item m="1" x="122"/>
        <item m="1" x="646"/>
        <item m="1" x="49"/>
        <item m="1" x="415"/>
        <item m="1" x="145"/>
        <item sd="0" m="1" x="728"/>
        <item m="1" x="164"/>
        <item m="1" x="345"/>
        <item m="1" x="119"/>
        <item m="1" x="289"/>
        <item sd="0" m="1" x="199"/>
        <item m="1" x="205"/>
        <item m="1" x="89"/>
        <item sd="0" m="1" x="28"/>
        <item m="1" x="277"/>
        <item m="1" x="507"/>
        <item sd="0" m="1" x="499"/>
        <item m="1" x="69"/>
        <item m="1" x="679"/>
        <item m="1" x="81"/>
        <item m="1" x="634"/>
        <item m="1" x="67"/>
        <item m="1" x="650"/>
        <item m="1" x="488"/>
        <item m="1" x="753"/>
        <item m="1" x="163"/>
        <item m="1" x="191"/>
        <item m="1" x="678"/>
        <item m="1" x="298"/>
        <item m="1" x="588"/>
        <item sd="0" m="1" x="179"/>
        <item m="1" x="623"/>
        <item sd="0" m="1" x="64"/>
        <item m="1" x="423"/>
        <item sd="0" m="1" x="27"/>
        <item sd="0" m="1" x="765"/>
        <item m="1" x="413"/>
        <item sd="0" m="1" x="552"/>
        <item m="1" x="97"/>
        <item m="1" x="85"/>
        <item sd="0" m="1" x="292"/>
        <item m="1" x="195"/>
        <item sd="0" m="1" x="496"/>
        <item m="1" x="261"/>
        <item m="1" x="31"/>
        <item m="1" x="105"/>
        <item m="1" x="533"/>
        <item sd="0" m="1" x="296"/>
        <item sd="0" m="1" x="396"/>
        <item sd="0" m="1" x="228"/>
        <item sd="0" m="1" x="8"/>
        <item m="1" x="472"/>
        <item sd="0" m="1" x="824"/>
        <item m="1" x="36"/>
        <item m="1" x="310"/>
        <item m="1" x="825"/>
        <item m="1" x="562"/>
        <item m="1" x="63"/>
        <item m="1" x="568"/>
        <item m="1" x="430"/>
        <item m="1" x="425"/>
        <item m="1" x="176"/>
        <item m="1" x="365"/>
        <item m="1" x="758"/>
        <item m="1" x="600"/>
        <item m="1" x="13"/>
        <item m="1" x="92"/>
        <item m="1" x="437"/>
        <item m="1" x="433"/>
        <item m="1" x="121"/>
        <item m="1" x="630"/>
        <item m="1" x="201"/>
        <item m="1" x="156"/>
        <item m="1" x="56"/>
        <item m="1" x="547"/>
        <item sd="0" m="1" x="618"/>
        <item m="1" x="99"/>
        <item m="1" x="766"/>
        <item m="1" x="126"/>
        <item m="1" x="217"/>
        <item m="1" x="811"/>
        <item m="1" x="278"/>
        <item m="1" x="107"/>
        <item m="1" x="198"/>
        <item m="1" x="213"/>
        <item m="1" x="181"/>
        <item m="1" x="74"/>
        <item x="1"/>
        <item m="1" x="599"/>
        <item m="1" x="190"/>
        <item m="1" x="225"/>
        <item m="1" x="842"/>
        <item m="1" x="836"/>
        <item m="1" x="491"/>
        <item m="1" x="684"/>
        <item m="1" x="242"/>
        <item m="1" x="57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711"/>
    </i>
    <i>
      <x v="838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838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2" s="1"/>
        <i x="818" s="1" nd="1"/>
        <i x="762" s="1" nd="1"/>
        <i x="794" s="1" nd="1"/>
        <i x="543" s="1" nd="1"/>
        <i x="149" s="1" nd="1"/>
        <i x="187" s="1" nd="1"/>
        <i x="272" s="1" nd="1"/>
        <i x="12" s="1" nd="1"/>
        <i x="761" s="1" nd="1"/>
        <i x="391" s="1" nd="1"/>
        <i x="712" s="1" nd="1"/>
        <i x="295" s="1" nd="1"/>
        <i x="113" s="1" nd="1"/>
        <i x="270" s="1" nd="1"/>
        <i x="590" s="1" nd="1"/>
        <i x="323" s="1" nd="1"/>
        <i x="675" s="1" nd="1"/>
        <i x="501" s="1" nd="1"/>
        <i x="25" s="1" nd="1"/>
        <i x="581" s="1" nd="1"/>
        <i x="852" s="1" nd="1"/>
        <i x="21" s="1" nd="1"/>
        <i x="757" s="1" nd="1"/>
        <i x="112" s="1" nd="1"/>
        <i x="544" s="1" nd="1"/>
        <i x="828" s="1" nd="1"/>
        <i x="269" s="1" nd="1"/>
        <i x="478" s="1" nd="1"/>
        <i x="772" s="1" nd="1"/>
        <i x="265" s="1" nd="1"/>
        <i x="342" s="1" nd="1"/>
        <i x="676" s="1" nd="1"/>
        <i x="800" s="1" nd="1"/>
        <i x="77" s="1" nd="1"/>
        <i x="48" s="1" nd="1"/>
        <i x="668" s="1" nd="1"/>
        <i x="660" s="1" nd="1"/>
        <i x="468" s="1" nd="1"/>
        <i x="45" s="1" nd="1"/>
        <i x="730" s="1" nd="1"/>
        <i x="689" s="1" nd="1"/>
        <i x="215" s="1" nd="1"/>
        <i x="475" s="1" nd="1"/>
        <i x="633" s="1" nd="1"/>
        <i x="445" s="1" nd="1"/>
        <i x="809" s="1" nd="1"/>
        <i x="667" s="1" nd="1"/>
        <i x="214" s="1" nd="1"/>
        <i x="131" s="1" nd="1"/>
        <i x="221" s="1" nd="1"/>
        <i x="158" s="1" nd="1"/>
        <i x="229" s="1" nd="1"/>
        <i x="109" s="1" nd="1"/>
        <i x="621" s="1" nd="1"/>
        <i x="141" s="1" nd="1"/>
        <i x="616" s="1" nd="1"/>
        <i x="320" s="1" nd="1"/>
        <i x="820" s="1" nd="1"/>
        <i x="321" s="1" nd="1"/>
        <i x="460" s="1" nd="1"/>
        <i x="505" s="1" nd="1"/>
        <i x="553" s="1" nd="1"/>
        <i x="476" s="1" nd="1"/>
        <i x="243" s="1" nd="1"/>
        <i x="848" s="1" nd="1"/>
        <i x="832" s="1" nd="1"/>
        <i x="742" s="1" nd="1"/>
        <i x="239" s="1" nd="1"/>
        <i x="238" s="1" nd="1"/>
        <i x="461" s="1" nd="1"/>
        <i x="285" s="1" nd="1"/>
        <i x="549" s="1" nd="1"/>
        <i x="845" s="1" nd="1"/>
        <i x="444" s="1" nd="1"/>
        <i x="529" s="1" nd="1"/>
        <i x="665" s="1" nd="1"/>
        <i x="518" s="1" nd="1"/>
        <i x="792" s="1" nd="1"/>
        <i x="178" s="1" nd="1"/>
        <i x="59" s="1" nd="1"/>
        <i x="355" s="1" nd="1"/>
        <i x="686" s="1" nd="1"/>
        <i x="311" s="1" nd="1"/>
        <i x="136" s="1" nd="1"/>
        <i x="293" s="1" nd="1"/>
        <i x="601" s="1" nd="1"/>
        <i x="206" s="1" nd="1"/>
        <i x="674" s="1" nd="1"/>
        <i x="139" s="1" nd="1"/>
        <i x="688" s="1" nd="1"/>
        <i x="452" s="1" nd="1"/>
        <i x="407" s="1" nd="1"/>
        <i x="515" s="1" nd="1"/>
        <i x="317" s="1" nd="1"/>
        <i x="591" s="1" nd="1"/>
        <i x="595" s="1" nd="1"/>
        <i x="732" s="1" nd="1"/>
        <i x="785" s="1" nd="1"/>
        <i x="183" s="1" nd="1"/>
        <i x="835" s="1" nd="1"/>
        <i x="711" s="1" nd="1"/>
        <i x="377" s="1" nd="1"/>
        <i x="207" s="1" nd="1"/>
        <i x="521" s="1" nd="1"/>
        <i x="462" s="1" nd="1"/>
        <i x="138" s="1" nd="1"/>
        <i x="661" s="1" nd="1"/>
        <i x="371" s="1" nd="1"/>
        <i x="154" s="1" nd="1"/>
        <i x="250" s="1" nd="1"/>
        <i x="628" s="1" nd="1"/>
        <i x="736" s="1" nd="1"/>
        <i x="420" s="1" nd="1"/>
        <i x="80" s="1" nd="1"/>
        <i x="696" s="1" nd="1"/>
        <i x="283" s="1" nd="1"/>
        <i x="846" s="1" nd="1"/>
        <i x="247" s="1" nd="1"/>
        <i x="763" s="1" nd="1"/>
        <i x="424" s="1" nd="1"/>
        <i x="435" s="1" nd="1"/>
        <i x="167" s="1" nd="1"/>
        <i x="542" s="1" nd="1"/>
        <i x="806" s="1" nd="1"/>
        <i x="620" s="1" nd="1"/>
        <i x="5" s="1" nd="1"/>
        <i x="770" s="1" nd="1"/>
        <i x="15" s="1" nd="1"/>
        <i x="739" s="1" nd="1"/>
        <i x="392" s="1" nd="1"/>
        <i x="275" s="1" nd="1"/>
        <i x="66" s="1" nd="1"/>
        <i x="186" s="1" nd="1"/>
        <i x="306" s="1" nd="1"/>
        <i x="177" s="1" nd="1"/>
        <i x="596" s="1" nd="1"/>
        <i x="172" s="1" nd="1"/>
        <i x="614" s="1" nd="1"/>
        <i x="767" s="1" nd="1"/>
        <i x="482" s="1" nd="1"/>
        <i x="53" s="1" nd="1"/>
        <i x="649" s="1" nd="1"/>
        <i x="469" s="1" nd="1"/>
        <i x="248" s="1" nd="1"/>
        <i x="327" s="1" nd="1"/>
        <i x="436" s="1" nd="1"/>
        <i x="351" s="1" nd="1"/>
        <i x="571" s="1" nd="1"/>
        <i x="567" s="1" nd="1"/>
        <i x="733" s="1" nd="1"/>
        <i x="755" s="1" nd="1"/>
        <i x="120" s="1" nd="1"/>
        <i x="389" s="1" nd="1"/>
        <i x="88" s="1" nd="1"/>
        <i x="381" s="1" nd="1"/>
        <i x="814" s="1" nd="1"/>
        <i x="395" s="1" nd="1"/>
        <i x="257" s="1" nd="1"/>
        <i x="376" s="1" nd="1"/>
        <i x="849" s="1" nd="1"/>
        <i x="647" s="1" nd="1"/>
        <i x="853" s="1" nd="1"/>
        <i x="829" s="1" nd="1"/>
        <i x="106" s="1" nd="1"/>
        <i x="400" s="1" nd="1"/>
        <i x="114" s="1" nd="1"/>
        <i x="652" s="1" nd="1"/>
        <i x="656" s="1" nd="1"/>
        <i x="795" s="1" nd="1"/>
        <i x="695" s="1" nd="1"/>
        <i x="454" s="1" nd="1"/>
        <i x="380" s="1" nd="1"/>
        <i x="447" s="1" nd="1"/>
        <i x="159" s="1" nd="1"/>
        <i x="276" s="1" nd="1"/>
        <i x="203" s="1" nd="1"/>
        <i x="493" s="1" nd="1"/>
        <i x="288" s="1" nd="1"/>
        <i x="526" s="1" nd="1"/>
        <i x="256" s="1" nd="1"/>
        <i x="405" s="1" nd="1"/>
        <i x="840" s="1" nd="1"/>
        <i x="456" s="1" nd="1"/>
        <i x="477" s="1" nd="1"/>
        <i x="750" s="1" nd="1"/>
        <i x="638" s="1" nd="1"/>
        <i x="54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3" s="1" nd="1"/>
        <i x="627" s="1" nd="1"/>
        <i x="374" s="1" nd="1"/>
        <i x="807" s="1" nd="1"/>
        <i x="60" s="1" nd="1"/>
        <i x="631" s="1" nd="1"/>
        <i x="530" s="1" nd="1"/>
        <i x="294" s="1" nd="1"/>
        <i x="303" s="1" nd="1"/>
        <i x="174" s="1" nd="1"/>
        <i x="101" s="1" nd="1"/>
        <i x="71" s="1" nd="1"/>
        <i x="578" s="1" nd="1"/>
        <i x="798" s="1" nd="1"/>
        <i x="33" s="1" nd="1"/>
        <i x="673" s="1" nd="1"/>
        <i x="286" s="1" nd="1"/>
        <i x="629" s="1" nd="1"/>
        <i x="264" s="1" nd="1"/>
        <i x="115" s="1" nd="1"/>
        <i x="332" s="1" nd="1"/>
        <i x="219" s="1" nd="1"/>
        <i x="509" s="1" nd="1"/>
        <i x="117" s="1" nd="1"/>
        <i x="536" s="1" nd="1"/>
        <i x="83" s="1" nd="1"/>
        <i x="602" s="1" nd="1"/>
        <i x="449" s="1" nd="1"/>
        <i x="348" s="1" nd="1"/>
        <i x="79" s="1" nd="1"/>
        <i x="582" s="1" nd="1"/>
        <i x="19" s="1" nd="1"/>
        <i x="160" s="1" nd="1"/>
        <i x="773" s="1" nd="1"/>
        <i x="579" s="1" nd="1"/>
        <i x="517" s="1" nd="1"/>
        <i x="797" s="1" nd="1"/>
        <i x="165" s="1" nd="1"/>
        <i x="826" s="1" nd="1"/>
        <i x="110" s="1" nd="1"/>
        <i x="421" s="1" nd="1"/>
        <i x="426" s="1" nd="1"/>
        <i x="10" s="1" nd="1"/>
        <i x="43" s="1" nd="1"/>
        <i x="17" s="1" nd="1"/>
        <i x="622" s="1" nd="1"/>
        <i x="556" s="1" nd="1"/>
        <i x="626" s="1" nd="1"/>
        <i x="344" s="1" nd="1"/>
        <i x="432" s="1" nd="1"/>
        <i x="708" s="1" nd="1"/>
        <i x="210" s="1" nd="1"/>
        <i x="438" s="1" nd="1"/>
        <i x="102" s="1" nd="1"/>
        <i x="196" s="1" nd="1"/>
        <i x="831" s="1" nd="1"/>
        <i x="764" s="1" nd="1"/>
        <i x="508" s="1" nd="1"/>
        <i x="821" s="1" nd="1"/>
        <i x="340" s="1" nd="1"/>
        <i x="222" s="1" nd="1"/>
        <i x="65" s="1" nd="1"/>
        <i x="635" s="1" nd="1"/>
        <i x="457" s="1" nd="1"/>
        <i x="790" s="1" nd="1"/>
        <i x="703" s="1" nd="1"/>
        <i x="233" s="1" nd="1"/>
        <i x="597" s="1" nd="1"/>
        <i x="44" s="1" nd="1"/>
        <i x="843" s="1" nd="1"/>
        <i x="123" s="1" nd="1"/>
        <i x="266" s="1" nd="1"/>
        <i x="291" s="1" nd="1"/>
        <i x="353" s="1" nd="1"/>
        <i x="98" s="1" nd="1"/>
        <i x="459" s="1" nd="1"/>
        <i x="580" s="1" nd="1"/>
        <i x="352" s="1" nd="1"/>
        <i x="103" s="1" nd="1"/>
        <i x="538" s="1" nd="1"/>
        <i x="208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2" s="1" nd="1"/>
        <i x="414" s="1" nd="1"/>
        <i x="418" s="1" nd="1"/>
        <i x="802" s="1" nd="1"/>
        <i x="42" s="1" nd="1"/>
        <i x="805" s="1" nd="1"/>
        <i x="486" s="1" nd="1"/>
        <i x="442" s="1" nd="1"/>
        <i x="398" s="1" nd="1"/>
        <i x="608" s="1" nd="1"/>
        <i x="153" s="1" nd="1"/>
        <i x="16" s="1" nd="1"/>
        <i x="231" s="1" nd="1"/>
        <i x="240" s="1" nd="1"/>
        <i x="6" s="1" nd="1"/>
        <i x="387" s="1" nd="1"/>
        <i x="369" s="1" nd="1"/>
        <i x="615" s="1" nd="1"/>
        <i x="58" s="1" nd="1"/>
        <i x="707" s="1" nd="1"/>
        <i x="24" s="1" nd="1"/>
        <i x="37" s="1" nd="1"/>
        <i x="9" s="1" nd="1"/>
        <i x="417" s="1" nd="1"/>
        <i x="683" s="1" nd="1"/>
        <i x="284" s="1" nd="1"/>
        <i x="315" s="1" nd="1"/>
        <i x="379" s="1" nd="1"/>
        <i x="539" s="1" nd="1"/>
        <i x="313" s="1" nd="1"/>
        <i x="338" s="1" nd="1"/>
        <i x="771" s="1" nd="1"/>
        <i x="143" s="1" nd="1"/>
        <i x="666" s="1" nd="1"/>
        <i x="839" s="1" nd="1"/>
        <i x="39" s="1" nd="1"/>
        <i x="382" s="1" nd="1"/>
        <i x="589" s="1" nd="1"/>
        <i x="747" s="1" nd="1"/>
        <i x="268" s="1" nd="1"/>
        <i x="18" s="1" nd="1"/>
        <i x="637" s="1" nd="1"/>
        <i x="388" s="1" nd="1"/>
        <i x="479" s="1" nd="1"/>
        <i x="343" s="1" nd="1"/>
        <i x="737" s="1" nd="1"/>
        <i x="244" s="1" nd="1"/>
        <i x="260" s="1" nd="1"/>
        <i x="273" s="1" nd="1"/>
        <i x="822" s="1" nd="1"/>
        <i x="7" s="1" nd="1"/>
        <i x="349" s="1" nd="1"/>
        <i x="577" s="1" nd="1"/>
        <i x="161" s="1" nd="1"/>
        <i x="314" s="1" nd="1"/>
        <i x="698" s="1" nd="1"/>
        <i x="330" s="1" nd="1"/>
        <i x="625" s="1" nd="1"/>
        <i x="541" s="1" nd="1"/>
        <i x="368" s="1" nd="1"/>
        <i x="334" s="1" nd="1"/>
        <i x="175" s="1" nd="1"/>
        <i x="419" s="1" nd="1"/>
        <i x="701" s="1" nd="1"/>
        <i x="697" s="1" nd="1"/>
        <i x="378" s="1" nd="1"/>
        <i x="347" s="1" nd="1"/>
        <i x="150" s="1" nd="1"/>
        <i x="759" s="1" nd="1"/>
        <i x="690" s="1" nd="1"/>
        <i x="22" s="1" nd="1"/>
        <i x="727" s="1" nd="1"/>
        <i x="780" s="1" nd="1"/>
        <i x="639" s="1" nd="1"/>
        <i x="328" s="1" nd="1"/>
        <i x="367" s="1" nd="1"/>
        <i x="815" s="1" nd="1"/>
        <i x="776" s="1" nd="1"/>
        <i x="144" s="1" nd="1"/>
        <i x="497" s="1" nd="1"/>
        <i x="466" s="1" nd="1"/>
        <i x="140" s="1" nd="1"/>
        <i x="756" s="1" nd="1"/>
        <i x="148" s="1" nd="1"/>
        <i x="223" s="1" nd="1"/>
        <i x="720" s="1" nd="1"/>
        <i x="555" s="1" nd="1"/>
        <i x="116" s="1" nd="1"/>
        <i x="375" s="1" nd="1"/>
        <i x="718" s="1" nd="1"/>
        <i x="127" s="1" nd="1"/>
        <i x="34" s="1" nd="1"/>
        <i x="301" s="1" nd="1"/>
        <i x="548" s="1" nd="1"/>
        <i x="61" s="1" nd="1"/>
        <i x="451" s="1" nd="1"/>
        <i x="774" s="1" nd="1"/>
        <i x="484" s="1" nd="1"/>
        <i x="740" s="1" nd="1"/>
        <i x="453" s="1" nd="1"/>
        <i x="520" s="1" nd="1"/>
        <i x="162" s="1" nd="1"/>
        <i x="403" s="1" nd="1"/>
        <i x="741" s="1" nd="1"/>
        <i x="194" s="1" nd="1"/>
        <i x="746" s="1" nd="1"/>
        <i x="383" s="1" nd="1"/>
        <i x="137" s="1" nd="1"/>
        <i x="658" s="1" nd="1"/>
        <i x="429" s="1" nd="1"/>
        <i x="664" s="1" nd="1"/>
        <i x="492" s="1" nd="1"/>
        <i x="685" s="1" nd="1"/>
        <i x="326" s="1" nd="1"/>
        <i x="768" s="1" nd="1"/>
        <i x="804" s="1" nd="1"/>
        <i x="91" s="1" nd="1"/>
        <i x="572" s="1" nd="1"/>
        <i x="157" s="1" nd="1"/>
        <i x="560" s="1" nd="1"/>
        <i x="46" s="1" nd="1"/>
        <i x="723" s="1" nd="1"/>
        <i x="748" s="1" nd="1"/>
        <i x="743" s="1" nd="1"/>
        <i x="847" s="1" nd="1"/>
        <i x="124" s="1" nd="1"/>
        <i x="464" s="1" nd="1"/>
        <i x="700" s="1" nd="1"/>
        <i x="427" s="1" nd="1"/>
        <i x="362" s="1" nd="1"/>
        <i x="100" s="1" nd="1"/>
        <i x="480" s="1" nd="1"/>
        <i x="607" s="1" nd="1"/>
        <i x="715" s="1" nd="1"/>
        <i x="55" s="1" nd="1"/>
        <i x="297" s="1" nd="1"/>
        <i x="682" s="1" nd="1"/>
        <i x="135" s="1" nd="1"/>
        <i x="329" s="1" nd="1"/>
        <i x="535" s="1" nd="1"/>
        <i x="236" s="1" nd="1"/>
        <i x="557" s="1" nd="1"/>
        <i x="546" s="1" nd="1"/>
        <i x="850" s="1" nd="1"/>
        <i x="3" s="1" nd="1"/>
        <i x="271" s="1" nd="1"/>
        <i x="76" s="1" nd="1"/>
        <i x="130" s="1" nd="1"/>
        <i x="654" s="1" nd="1"/>
        <i x="721" s="1" nd="1"/>
        <i x="641" s="1" nd="1"/>
        <i x="230" s="1" nd="1"/>
        <i x="372" s="1" nd="1"/>
        <i x="735" s="1" nd="1"/>
        <i x="132" s="1" nd="1"/>
        <i x="86" s="1" nd="1"/>
        <i x="209" s="1" nd="1"/>
        <i x="681" s="1" nd="1"/>
        <i x="274" s="1" nd="1"/>
        <i x="471" s="1" nd="1"/>
        <i x="799" s="1" nd="1"/>
        <i x="216" s="1" nd="1"/>
        <i x="827" s="1" nd="1"/>
        <i x="70" s="1" nd="1"/>
        <i x="118" s="1" nd="1"/>
        <i x="645" s="1" nd="1"/>
        <i x="410" s="1" nd="1"/>
        <i x="854" s="1" nd="1"/>
        <i x="431" s="1" nd="1"/>
        <i x="569" s="1" nd="1"/>
        <i x="487" s="1" nd="1"/>
        <i x="182" s="1" nd="1"/>
        <i x="373" s="1" nd="1"/>
        <i x="241" s="1" nd="1"/>
        <i x="336" s="1" nd="1"/>
        <i x="527" s="1" nd="1"/>
        <i x="422" s="1" nd="1"/>
        <i x="788" s="1" nd="1"/>
        <i x="300" s="1" nd="1"/>
        <i x="308" s="1" nd="1"/>
        <i x="366" s="1" nd="1"/>
        <i x="490" s="1" nd="1"/>
        <i x="662" s="1" nd="1"/>
        <i x="188" s="1" nd="1"/>
        <i x="659" s="1" nd="1"/>
        <i x="220" s="1" nd="1"/>
        <i x="448" s="1" nd="1"/>
        <i x="147" s="1" nd="1"/>
        <i x="361" s="1" nd="1"/>
        <i x="262" s="1" nd="1"/>
        <i x="290" s="1" nd="1"/>
        <i x="540" s="1" nd="1"/>
        <i x="810" s="1" nd="1"/>
        <i x="603" s="1" nd="1"/>
        <i x="32" s="1" nd="1"/>
        <i x="267" s="1" nd="1"/>
        <i x="751" s="1" nd="1"/>
        <i x="370" s="1" nd="1"/>
        <i x="245" s="1" nd="1"/>
        <i x="397" s="1" nd="1"/>
        <i x="481" s="1" nd="1"/>
        <i x="337" s="1" nd="1"/>
        <i x="612" s="1" nd="1"/>
        <i x="672" s="1" nd="1"/>
        <i x="838" s="1" nd="1"/>
        <i x="51" s="1" nd="1"/>
        <i x="605" s="1" nd="1"/>
        <i x="84" s="1" nd="1"/>
        <i x="325" s="1" nd="1"/>
        <i x="35" s="1" nd="1"/>
        <i x="495" s="1" nd="1"/>
        <i x="506" s="1" nd="1"/>
        <i x="446" s="1" nd="1"/>
        <i x="166" s="1" nd="1"/>
        <i x="133" s="1" nd="1"/>
        <i x="251" s="1" nd="1"/>
        <i x="299" s="1" nd="1"/>
        <i x="819" s="1" nd="1"/>
        <i x="169" s="1" nd="1"/>
        <i x="709" s="1" nd="1"/>
        <i x="171" s="1" nd="1"/>
        <i x="586" s="1" nd="1"/>
        <i x="226" s="1" nd="1"/>
        <i x="390" s="1" nd="1"/>
        <i x="657" s="1" nd="1"/>
        <i x="309" s="1" nd="1"/>
        <i x="75" s="1" nd="1"/>
        <i x="669" s="1" nd="1"/>
        <i x="94" s="1" nd="1"/>
        <i x="439" s="1" nd="1"/>
        <i x="350" s="1" nd="1"/>
        <i x="784" s="1" nd="1"/>
        <i x="498" s="1" nd="1"/>
        <i x="62" s="1" nd="1"/>
        <i x="455" s="1" nd="1"/>
        <i x="82" s="1" nd="1"/>
        <i x="324" s="1" nd="1"/>
        <i x="168" s="1" nd="1"/>
        <i x="331" s="1" nd="1"/>
        <i x="564" s="1" nd="1"/>
        <i x="503" s="1" nd="1"/>
        <i x="227" s="1" nd="1"/>
        <i x="280" s="1" nd="1"/>
        <i x="93" s="1" nd="1"/>
        <i x="406" s="1" nd="1"/>
        <i x="319" s="1" nd="1"/>
        <i x="710" s="1" nd="1"/>
        <i x="534" s="1" nd="1"/>
        <i x="644" s="1" nd="1"/>
        <i x="609" s="1" nd="1"/>
        <i x="834" s="1" nd="1"/>
        <i x="787" s="1" nd="1"/>
        <i x="29" s="1" nd="1"/>
        <i x="782" s="1" nd="1"/>
        <i x="252" s="1" nd="1"/>
        <i x="474" s="1" nd="1"/>
        <i x="812" s="1" nd="1"/>
        <i x="463" s="1" nd="1"/>
        <i x="745" s="1" nd="1"/>
        <i x="648" s="1" nd="1"/>
        <i x="775" s="1" nd="1"/>
        <i x="72" s="1" nd="1"/>
        <i x="713" s="1" nd="1"/>
        <i x="573" s="1" nd="1"/>
        <i x="184" s="1" nd="1"/>
        <i x="717" s="1" nd="1"/>
        <i x="111" s="1" nd="1"/>
        <i x="253" s="1" nd="1"/>
        <i x="511" s="1" nd="1"/>
        <i x="95" s="1" nd="1"/>
        <i x="522" s="1" nd="1"/>
        <i x="789" s="1" nd="1"/>
        <i x="20" s="1" nd="1"/>
        <i x="537" s="1" nd="1"/>
        <i x="636" s="1" nd="1"/>
        <i x="575" s="1" nd="1"/>
        <i x="197" s="1" nd="1"/>
        <i x="574" s="1" nd="1"/>
        <i x="364" s="1" nd="1"/>
        <i x="823" s="1" nd="1"/>
        <i x="335" s="1" nd="1"/>
        <i x="523" s="1" nd="1"/>
        <i x="246" s="1" nd="1"/>
        <i x="11" s="1" nd="1"/>
        <i x="142" s="1" nd="1"/>
        <i x="651" s="1" nd="1"/>
        <i x="604" s="1" nd="1"/>
        <i x="440" s="1" nd="1"/>
        <i x="23" s="1" nd="1"/>
        <i x="594" s="1" nd="1"/>
        <i x="434" s="1" nd="1"/>
        <i x="68" s="1" nd="1"/>
        <i x="655" s="1" nd="1"/>
        <i x="677" s="1" nd="1"/>
        <i x="565" s="1" nd="1"/>
        <i x="514" s="1" nd="1"/>
        <i x="598" s="1" nd="1"/>
        <i x="316" s="1" nd="1"/>
        <i x="781" s="1" nd="1"/>
        <i x="483" s="1" nd="1"/>
        <i x="312" s="1" nd="1"/>
        <i x="346" s="1" nd="1"/>
        <i x="281" s="1" nd="1"/>
        <i x="322" s="1" nd="1"/>
        <i x="844" s="1" nd="1"/>
        <i x="357" s="1" nd="1"/>
        <i x="386" s="1" nd="1"/>
        <i x="73" s="1" nd="1"/>
        <i x="78" s="1" nd="1"/>
        <i x="528" s="1" nd="1"/>
        <i x="566" s="1" nd="1"/>
        <i x="687" s="1" nd="1"/>
        <i x="279" s="1" nd="1"/>
        <i x="524" s="1" nd="1"/>
        <i x="525" s="1" nd="1"/>
        <i x="38" s="1" nd="1"/>
        <i x="592" s="1" nd="1"/>
        <i x="801" s="1" nd="1"/>
        <i x="583" s="1" nd="1"/>
        <i x="749" s="1" nd="1"/>
        <i x="722" s="1" nd="1"/>
        <i x="532" s="1" nd="1"/>
        <i x="47" s="1" nd="1"/>
        <i x="554" s="1" nd="1"/>
        <i x="108" s="1" nd="1"/>
        <i x="234" s="1" nd="1"/>
        <i x="358" s="1" nd="1"/>
        <i x="259" s="1" nd="1"/>
        <i x="363" s="1" nd="1"/>
        <i x="500" s="1" nd="1"/>
        <i x="146" s="1" nd="1"/>
        <i x="170" s="1" nd="1"/>
        <i x="584" s="1" nd="1"/>
        <i x="803" s="1" nd="1"/>
        <i x="791" s="1" nd="1"/>
        <i x="200" s="1" nd="1"/>
        <i x="151" s="1" nd="1"/>
        <i x="235" s="1" nd="1"/>
        <i x="502" s="1" nd="1"/>
        <i x="786" s="1" nd="1"/>
        <i x="258" s="1" nd="1"/>
        <i x="752" s="1" nd="1"/>
        <i x="128" s="1" nd="1"/>
        <i x="211" s="1" nd="1"/>
        <i x="833" s="1" nd="1"/>
        <i x="585" s="1" nd="1"/>
        <i x="796" s="1" nd="1"/>
        <i x="726" s="1" nd="1"/>
        <i x="411" s="1" nd="1"/>
        <i x="26" s="1" nd="1"/>
        <i x="341" s="1" nd="1"/>
        <i x="489" s="1" nd="1"/>
        <i x="510" s="1" nd="1"/>
        <i x="769" s="1" nd="1"/>
        <i x="719" s="1" nd="1"/>
        <i x="760" s="1" nd="1"/>
        <i x="519" s="1" nd="1"/>
        <i x="642" s="1" nd="1"/>
        <i x="287" s="1" nd="1"/>
        <i x="180" s="1" nd="1"/>
        <i x="333" s="1" nd="1"/>
        <i x="817" s="1" nd="1"/>
        <i x="610" s="1" nd="1"/>
        <i x="587" s="1" nd="1"/>
        <i x="255" s="1" nd="1"/>
        <i x="550" s="1" nd="1"/>
        <i x="104" s="1" nd="1"/>
        <i x="87" s="1" nd="1"/>
        <i x="754" s="1" nd="1"/>
        <i x="155" s="1" nd="1"/>
        <i x="232" s="1" nd="1"/>
        <i x="237" s="1" nd="1"/>
        <i x="465" s="1" nd="1"/>
        <i x="706" s="1" nd="1"/>
        <i x="619" s="1" nd="1"/>
        <i x="731" s="1" nd="1"/>
        <i x="470" s="1" nd="1"/>
        <i x="551" s="1" nd="1"/>
        <i x="263" s="1" nd="1"/>
        <i x="249" s="1" nd="1"/>
        <i x="632" s="1" nd="1"/>
        <i x="699" s="1" nd="1"/>
        <i x="356" s="1" nd="1"/>
        <i x="14" s="1" nd="1"/>
        <i x="224" s="1" nd="1"/>
        <i x="783" s="1" nd="1"/>
        <i x="724" s="1" nd="1"/>
        <i x="841" s="1" nd="1"/>
        <i x="443" s="1" nd="1"/>
        <i x="193" s="1" nd="1"/>
        <i x="305" s="1" nd="1"/>
        <i x="339" s="1" nd="1"/>
        <i x="96" s="1" nd="1"/>
        <i x="694" s="1" nd="1"/>
        <i x="304" s="1" nd="1"/>
        <i x="354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5" s="1" nd="1"/>
        <i x="408" s="1" nd="1"/>
        <i x="473" s="1" nd="1"/>
        <i x="837" s="1" nd="1"/>
        <i x="125" s="1" nd="1"/>
        <i x="152" s="1" nd="1"/>
        <i x="593" s="1" nd="1"/>
        <i x="778" s="1" nd="1"/>
        <i x="611" s="1" nd="1"/>
        <i x="559" s="1" nd="1"/>
        <i x="307" s="1" nd="1"/>
        <i x="653" s="1" nd="1"/>
        <i x="725" s="1" nd="1"/>
        <i x="404" s="1" nd="1"/>
        <i x="744" s="1" nd="1"/>
        <i x="52" s="1" nd="1"/>
        <i x="851" s="1" nd="1"/>
        <i x="30" s="1" nd="1"/>
        <i x="570" s="1" nd="1"/>
        <i x="512" s="1" nd="1"/>
        <i x="412" s="1" nd="1"/>
        <i x="702" s="1" nd="1"/>
        <i x="204" s="1" nd="1"/>
        <i x="643" s="1" nd="1"/>
        <i x="779" s="1" nd="1"/>
        <i x="467" s="1" nd="1"/>
        <i x="41" s="1" nd="1"/>
        <i x="693" s="1" nd="1"/>
        <i x="663" s="1" nd="1"/>
        <i x="808" s="1" nd="1"/>
        <i x="816" s="1" nd="1"/>
        <i x="624" s="1" nd="1"/>
        <i x="458" s="1" nd="1"/>
        <i x="691" s="1" nd="1"/>
        <i x="134" s="1" nd="1"/>
        <i x="409" s="1" nd="1"/>
        <i x="692" s="1" nd="1"/>
        <i x="441" s="1" nd="1"/>
        <i x="360" s="1" nd="1"/>
        <i x="705" s="1" nd="1"/>
        <i x="302" s="1" nd="1"/>
        <i x="189" s="1" nd="1"/>
        <i x="680" s="1" nd="1"/>
        <i x="282" s="1" nd="1"/>
        <i x="218" s="1" nd="1"/>
        <i x="318" s="1" nd="1"/>
        <i x="254" s="1" nd="1"/>
        <i x="192" s="1" nd="1"/>
        <i x="729" s="1" nd="1"/>
        <i x="384" s="1" nd="1"/>
        <i x="576" s="1" nd="1"/>
        <i x="359" s="1" nd="1"/>
        <i x="450" s="1" nd="1"/>
        <i x="513" s="1" nd="1"/>
        <i x="122" s="1" nd="1"/>
        <i x="646" s="1" nd="1"/>
        <i x="49" s="1" nd="1"/>
        <i x="415" s="1" nd="1"/>
        <i x="145" s="1" nd="1"/>
        <i x="728" s="1" nd="1"/>
        <i x="164" s="1" nd="1"/>
        <i x="345" s="1" nd="1"/>
        <i x="119" s="1" nd="1"/>
        <i x="289" s="1" nd="1"/>
        <i x="199" s="1" nd="1"/>
        <i x="205" s="1" nd="1"/>
        <i x="89" s="1" nd="1"/>
        <i x="28" s="1" nd="1"/>
        <i x="277" s="1" nd="1"/>
        <i x="507" s="1" nd="1"/>
        <i x="499" s="1" nd="1"/>
        <i x="69" s="1" nd="1"/>
        <i x="679" s="1" nd="1"/>
        <i x="81" s="1" nd="1"/>
        <i x="634" s="1" nd="1"/>
        <i x="67" s="1" nd="1"/>
        <i x="650" s="1" nd="1"/>
        <i x="488" s="1" nd="1"/>
        <i x="753" s="1" nd="1"/>
        <i x="163" s="1" nd="1"/>
        <i x="191" s="1" nd="1"/>
        <i x="678" s="1" nd="1"/>
        <i x="298" s="1" nd="1"/>
        <i x="588" s="1" nd="1"/>
        <i x="179" s="1" nd="1"/>
        <i x="623" s="1" nd="1"/>
        <i x="64" s="1" nd="1"/>
        <i x="423" s="1" nd="1"/>
        <i x="27" s="1" nd="1"/>
        <i x="765" s="1" nd="1"/>
        <i x="413" s="1" nd="1"/>
        <i x="552" s="1" nd="1"/>
        <i x="97" s="1" nd="1"/>
        <i x="85" s="1" nd="1"/>
        <i x="292" s="1" nd="1"/>
        <i x="195" s="1" nd="1"/>
        <i x="496" s="1" nd="1"/>
        <i x="261" s="1" nd="1"/>
        <i x="31" s="1" nd="1"/>
        <i x="105" s="1" nd="1"/>
        <i x="533" s="1" nd="1"/>
        <i x="296" s="1" nd="1"/>
        <i x="396" s="1" nd="1"/>
        <i x="228" s="1" nd="1"/>
        <i x="8" s="1" nd="1"/>
        <i x="472" s="1" nd="1"/>
        <i x="824" s="1" nd="1"/>
        <i x="36" s="1" nd="1"/>
        <i x="310" s="1" nd="1"/>
        <i x="825" s="1" nd="1"/>
        <i x="562" s="1" nd="1"/>
        <i x="63" s="1" nd="1"/>
        <i x="568" s="1" nd="1"/>
        <i x="430" s="1" nd="1"/>
        <i x="425" s="1" nd="1"/>
        <i x="176" s="1" nd="1"/>
        <i x="365" s="1" nd="1"/>
        <i x="758" s="1" nd="1"/>
        <i x="600" s="1" nd="1"/>
        <i x="13" s="1" nd="1"/>
        <i x="92" s="1" nd="1"/>
        <i x="437" s="1" nd="1"/>
        <i x="433" s="1" nd="1"/>
        <i x="121" s="1" nd="1"/>
        <i x="630" s="1" nd="1"/>
        <i x="201" s="1" nd="1"/>
        <i x="156" s="1" nd="1"/>
        <i x="56" s="1" nd="1"/>
        <i x="547" s="1" nd="1"/>
        <i x="618" s="1" nd="1"/>
        <i x="99" s="1" nd="1"/>
        <i x="766" s="1" nd="1"/>
        <i x="126" s="1" nd="1"/>
        <i x="217" s="1" nd="1"/>
        <i x="811" s="1" nd="1"/>
        <i x="278" s="1" nd="1"/>
        <i x="107" s="1" nd="1"/>
        <i x="198" s="1" nd="1"/>
        <i x="213" s="1" nd="1"/>
        <i x="181" s="1" nd="1"/>
        <i x="74" s="1" nd="1"/>
        <i x="599" s="1" nd="1"/>
        <i x="190" s="1" nd="1"/>
        <i x="225" s="1" nd="1"/>
        <i x="842" s="1" nd="1"/>
        <i x="836" s="1" nd="1"/>
        <i x="491" s="1" nd="1"/>
        <i x="684" s="1" nd="1"/>
        <i x="242" s="1" nd="1"/>
        <i x="57" s="1" nd="1"/>
        <i x="129" s="1" nd="1"/>
        <i x="4" s="1" nd="1"/>
        <i x="50" s="1" nd="1"/>
        <i x="90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4" totalsRowShown="0" headerRowDxfId="92" dataDxfId="90" headerRowBorderDxfId="91" tableBorderDxfId="89" totalsRowBorderDxfId="88">
  <autoFilter ref="A1:D39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304168</v>
      </c>
      <c r="B2" s="12" t="s">
        <v>616</v>
      </c>
      <c r="C2" s="14">
        <v>46297</v>
      </c>
      <c r="D2" s="14">
        <v>46300</v>
      </c>
      <c r="E2" s="12"/>
      <c r="F2" s="15" t="s">
        <v>617</v>
      </c>
      <c r="G2" s="15" t="s">
        <v>618</v>
      </c>
      <c r="H2" s="15" t="s">
        <v>619</v>
      </c>
      <c r="I2" s="16">
        <v>1086.3</v>
      </c>
      <c r="J2" s="15" t="s">
        <v>620</v>
      </c>
      <c r="K2" s="15" t="s">
        <v>621</v>
      </c>
      <c r="L2" s="15" t="s">
        <v>622</v>
      </c>
      <c r="M2" s="15">
        <v>129.38999999999999</v>
      </c>
      <c r="N2" s="15">
        <v>2</v>
      </c>
      <c r="O2" s="16">
        <v>36.799999999999997</v>
      </c>
      <c r="P2" s="15" t="s">
        <v>623</v>
      </c>
      <c r="Q2" s="15">
        <v>300</v>
      </c>
      <c r="R2" s="15" t="s">
        <v>624</v>
      </c>
      <c r="S2" s="15">
        <v>40</v>
      </c>
      <c r="T2" s="15" t="s">
        <v>625</v>
      </c>
      <c r="U2" s="15">
        <v>0</v>
      </c>
      <c r="V2" s="15">
        <v>15.53</v>
      </c>
      <c r="W2" s="15">
        <v>0</v>
      </c>
      <c r="X2" s="15">
        <v>0</v>
      </c>
      <c r="Y2" s="15">
        <v>0.54</v>
      </c>
      <c r="Z2" s="15">
        <v>0</v>
      </c>
      <c r="AA2" s="15">
        <v>439.33</v>
      </c>
      <c r="AB2" s="15">
        <v>-309.94</v>
      </c>
      <c r="AC2" s="15">
        <v>33.64</v>
      </c>
      <c r="AD2" s="15">
        <v>-343.58</v>
      </c>
      <c r="AE2" s="15">
        <v>0</v>
      </c>
      <c r="AF2" s="15">
        <v>-343.58</v>
      </c>
      <c r="AG2" s="17">
        <v>-2.6554000000000002</v>
      </c>
      <c r="AH2" s="15"/>
    </row>
    <row r="3" spans="1:34" s="1" customFormat="1" ht="12" customHeight="1" x14ac:dyDescent="0.3">
      <c r="A3" s="13">
        <v>304181</v>
      </c>
      <c r="B3" s="12" t="s">
        <v>616</v>
      </c>
      <c r="C3" s="14">
        <v>46297</v>
      </c>
      <c r="D3" s="14">
        <v>46300</v>
      </c>
      <c r="E3" s="12"/>
      <c r="F3" s="15" t="s">
        <v>626</v>
      </c>
      <c r="G3" s="15" t="s">
        <v>627</v>
      </c>
      <c r="H3" s="15" t="s">
        <v>628</v>
      </c>
      <c r="I3" s="16">
        <v>625021.6</v>
      </c>
      <c r="J3" s="15" t="s">
        <v>629</v>
      </c>
      <c r="K3" s="15" t="s">
        <v>621</v>
      </c>
      <c r="L3" s="15" t="s">
        <v>630</v>
      </c>
      <c r="M3" s="16">
        <v>11990</v>
      </c>
      <c r="N3" s="15">
        <v>143</v>
      </c>
      <c r="O3" s="16">
        <v>2836</v>
      </c>
      <c r="P3" s="15" t="s">
        <v>631</v>
      </c>
      <c r="Q3" s="15">
        <v>0</v>
      </c>
      <c r="R3" s="15" t="s">
        <v>631</v>
      </c>
      <c r="S3" s="15">
        <v>0</v>
      </c>
      <c r="T3" s="15" t="s">
        <v>625</v>
      </c>
      <c r="U3" s="15">
        <v>0</v>
      </c>
      <c r="V3" s="15">
        <v>1438.8</v>
      </c>
      <c r="W3" s="15">
        <v>0</v>
      </c>
      <c r="X3" s="15">
        <v>0</v>
      </c>
      <c r="Y3" s="15">
        <v>312.51</v>
      </c>
      <c r="Z3" s="15">
        <v>0</v>
      </c>
      <c r="AA3" s="16">
        <v>8168.05</v>
      </c>
      <c r="AB3" s="16">
        <v>3821.95</v>
      </c>
      <c r="AC3" s="15">
        <v>3117.4</v>
      </c>
      <c r="AD3" s="15">
        <v>704.55</v>
      </c>
      <c r="AE3" s="15">
        <v>0</v>
      </c>
      <c r="AF3" s="15">
        <v>704.55</v>
      </c>
      <c r="AG3" s="17">
        <v>5.8799999999999998E-2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12119.39</v>
      </c>
      <c r="F3" s="89"/>
      <c r="G3" s="90"/>
      <c r="H3" s="133">
        <f>'Resumo Detalhado'!C2</f>
        <v>2872.8</v>
      </c>
      <c r="I3" s="134"/>
      <c r="J3" s="135">
        <f>E3/H3</f>
        <v>4.2186681982734608</v>
      </c>
      <c r="K3" s="136"/>
      <c r="L3" s="137"/>
      <c r="M3" s="138" t="s">
        <v>236</v>
      </c>
      <c r="N3" s="89"/>
      <c r="O3" s="90"/>
      <c r="P3" s="106">
        <v>3500</v>
      </c>
      <c r="Q3" s="107"/>
      <c r="R3" s="108"/>
      <c r="S3" s="103">
        <f>MIN(H3/P3,1)</f>
        <v>0.82080000000000009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6800</v>
      </c>
      <c r="F7" s="112"/>
      <c r="G7" s="112"/>
      <c r="H7" s="112"/>
      <c r="I7" s="112"/>
      <c r="J7" s="112">
        <f>E7/H3</f>
        <v>2.3670286828181561</v>
      </c>
      <c r="K7" s="112"/>
      <c r="L7" s="112"/>
      <c r="M7" s="130">
        <f>E7/E3</f>
        <v>0.56108434500416282</v>
      </c>
      <c r="N7" s="130"/>
      <c r="O7" s="130"/>
      <c r="P7" s="112">
        <f>E11+K11+Q11+E15+K15+Q15+E19+H19+K19</f>
        <v>11476.033599999999</v>
      </c>
      <c r="Q7" s="112"/>
      <c r="R7" s="112"/>
      <c r="S7" s="112">
        <f>P7/H3</f>
        <v>3.9947206906154267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6500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6500</v>
      </c>
      <c r="L11" s="90"/>
      <c r="M11" s="38"/>
      <c r="N11" s="88">
        <f>K11/H3</f>
        <v>2.2626009468114732</v>
      </c>
      <c r="O11" s="90"/>
      <c r="P11" s="38"/>
      <c r="Q11" s="88">
        <f>'Resumo Detalhado'!D2</f>
        <v>300</v>
      </c>
      <c r="R11" s="90"/>
      <c r="S11" s="38"/>
      <c r="T11" s="88">
        <f>Q11/H3</f>
        <v>0.10442773600668337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1454.33</v>
      </c>
      <c r="F15" s="119"/>
      <c r="G15" s="119"/>
      <c r="H15" s="119"/>
      <c r="I15" s="132"/>
      <c r="J15" s="38"/>
      <c r="K15" s="113">
        <f>'Resumo Detalhado'!K2+'Resumo Detalhado'!L2</f>
        <v>1939.1024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313.05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969.55119999999999</v>
      </c>
      <c r="L19" s="123"/>
      <c r="M19" s="38"/>
      <c r="N19" s="121" t="s">
        <v>268</v>
      </c>
      <c r="O19" s="119"/>
      <c r="P19" s="119"/>
      <c r="Q19" s="119"/>
      <c r="R19" s="120"/>
      <c r="S19" s="121">
        <f>_xlfn.XLOOKUP(N19,Target!C:C,Target!D:D)</f>
        <v>6500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9042.4588000000003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0.74611501073898945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88671875" bestFit="1" customWidth="1"/>
    <col min="2" max="2" width="14.33203125" bestFit="1" customWidth="1"/>
    <col min="3" max="3" width="10.88671875" style="5" bestFit="1" customWidth="1"/>
    <col min="4" max="4" width="10.5546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2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632</v>
      </c>
      <c r="F1" s="29"/>
    </row>
    <row r="2" spans="1:18" x14ac:dyDescent="0.3">
      <c r="B2" s="29">
        <f>SUM(B6:B5000)</f>
        <v>12119.39</v>
      </c>
      <c r="C2" s="29">
        <f>SUM(C6:C5000)</f>
        <v>2872.8</v>
      </c>
      <c r="D2" s="29">
        <f>SUM(D6:D5000)</f>
        <v>300</v>
      </c>
      <c r="E2" s="29">
        <f>SUM(E6:E5000)</f>
        <v>40</v>
      </c>
      <c r="F2" s="29">
        <f>SUM(F6:F5000)</f>
        <v>0</v>
      </c>
      <c r="G2" s="29"/>
      <c r="H2" s="29">
        <f t="shared" ref="H2:P2" si="0">SUM(H6:H5000)</f>
        <v>1454.33</v>
      </c>
      <c r="I2" s="29">
        <f t="shared" si="0"/>
        <v>313.05</v>
      </c>
      <c r="J2" s="29">
        <f t="shared" si="0"/>
        <v>0</v>
      </c>
      <c r="K2" s="29">
        <f t="shared" si="0"/>
        <v>969.55119999999999</v>
      </c>
      <c r="L2" s="29">
        <f t="shared" si="0"/>
        <v>969.55119999999999</v>
      </c>
      <c r="M2" s="29">
        <f t="shared" si="0"/>
        <v>0</v>
      </c>
      <c r="N2" s="29">
        <f t="shared" si="0"/>
        <v>9042.4588000000003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139" t="s">
        <v>618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304168</v>
      </c>
      <c r="B6" s="140">
        <v>129.38999999999999</v>
      </c>
      <c r="C6" s="141">
        <v>36.799999999999997</v>
      </c>
      <c r="D6" s="140">
        <v>300</v>
      </c>
      <c r="E6" s="140">
        <v>40</v>
      </c>
      <c r="F6" s="140">
        <v>0</v>
      </c>
      <c r="G6" s="142">
        <v>2.6277146611020945</v>
      </c>
      <c r="H6" s="140">
        <v>15.53</v>
      </c>
      <c r="I6" s="140">
        <v>0.54</v>
      </c>
      <c r="J6" s="140">
        <v>0</v>
      </c>
      <c r="K6" s="140">
        <v>10.351199999999999</v>
      </c>
      <c r="L6" s="140">
        <v>10.351199999999999</v>
      </c>
      <c r="M6" s="140">
        <v>0</v>
      </c>
      <c r="N6" s="140">
        <v>-237.03120000000001</v>
      </c>
      <c r="O6" s="142">
        <v>-1.8319128217018319</v>
      </c>
      <c r="Q6"/>
    </row>
    <row r="7" spans="1:18" s="31" customFormat="1" x14ac:dyDescent="0.3">
      <c r="A7" s="9" t="s">
        <v>627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304181</v>
      </c>
      <c r="B8" s="140">
        <v>11990</v>
      </c>
      <c r="C8" s="141">
        <v>2836</v>
      </c>
      <c r="D8" s="140">
        <v>0</v>
      </c>
      <c r="E8" s="140">
        <v>0</v>
      </c>
      <c r="F8" s="140">
        <v>0</v>
      </c>
      <c r="G8" s="142">
        <v>0</v>
      </c>
      <c r="H8" s="140">
        <v>1438.8</v>
      </c>
      <c r="I8" s="140">
        <v>312.51</v>
      </c>
      <c r="J8" s="140">
        <v>0</v>
      </c>
      <c r="K8" s="140">
        <v>959.2</v>
      </c>
      <c r="L8" s="140">
        <v>959.2</v>
      </c>
      <c r="M8" s="140">
        <v>0</v>
      </c>
      <c r="N8" s="140">
        <v>9279.49</v>
      </c>
      <c r="O8" s="142">
        <v>0.77393577981651374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7773437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632</v>
      </c>
    </row>
    <row r="2" spans="1:4" x14ac:dyDescent="0.3">
      <c r="B2" s="29">
        <f>SUM(B6:B5000)</f>
        <v>11990</v>
      </c>
      <c r="C2" s="29">
        <f>SUM(C6:C5000)</f>
        <v>9279.49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139" t="s">
        <v>618</v>
      </c>
      <c r="B5" s="10">
        <v>129.38999999999999</v>
      </c>
      <c r="C5" s="10">
        <v>-237.03120000000001</v>
      </c>
    </row>
    <row r="6" spans="1:4" x14ac:dyDescent="0.3">
      <c r="A6" s="9" t="s">
        <v>627</v>
      </c>
      <c r="B6" s="140">
        <v>11990</v>
      </c>
      <c r="C6" s="140">
        <v>9279.49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2026-10-08T13:39:46Z</dcterms:modified>
  <cp:category/>
  <cp:contentStatus/>
</cp:coreProperties>
</file>