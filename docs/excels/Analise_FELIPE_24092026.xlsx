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BF20008-244D-4821-8612-07708F041C4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<sst xmlns="http://schemas.openxmlformats.org/spreadsheetml/2006/main" count="888" uniqueCount="617">
  <si>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</si>
  <si>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</si>
  <si>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</si>
  <si>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</si>
  <si>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</si>
  <si>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</si>
  <si>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</si>
  <si>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</si>
  <si>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</si>
  <si>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</si>
  <si>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</si>
  <si>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</si>
  <si>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</si>
  <si>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</si>
  <si>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</si>
  <si>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</si>
  <si>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</si>
  <si>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</si>
  <si>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</si>
  <si>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</si>
  <si>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</si>
  <si>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</si>
  <si>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</si>
  <si>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</si>
  <si>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</si>
  <si>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</si>
  <si>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</si>
  <si>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</si>
  <si>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</si>
  <si>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</si>
  <si>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</si>
  <si>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</si>
  <si>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</si>
  <si>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</si>
  <si>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</si>
  <si>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</si>
  <si>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</si>
  <si>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</si>
  <si>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</si>
  <si>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</si>
  <si>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</si>
  <si>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</si>
  <si>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</si>
  <si>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</si>
  <si>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</si>
  <si>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</si>
  <si>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</si>
  <si>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</si>
  <si>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</si>
  <si>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</si>
  <si>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</si>
  <si>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</si>
  <si>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</si>
  <si>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</si>
  <si>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</si>
  <si>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</si>
  <si>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</si>
  <si>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</si>
  <si>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</si>
  <si>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</si>
  <si>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</si>
  <si>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</si>
  <si>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</si>
  <si>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</si>
  <si>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</si>
  <si>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</si>
  <si>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</si>
  <si>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</si>
  <si>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</si>
  <si>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</si>
  <si>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</si>
  <si>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</si>
  <si>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</si>
  <si>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</si>
  <si>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</si>
  <si>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</si>
  <si>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</si>
  <si>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</si>
  <si>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</si>
  <si>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</si>
  <si>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</si>
  <si>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</si>
  <si>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</si>
  <si>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</si>
  <si>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</si>
  <si>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</si>
  <si>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</si>
  <si>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</si>
  <si>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</si>
  <si>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</si>
  <si>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</si>
  <si>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</si>
  <si>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</si>
  <si>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</si>
  <si>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</si>
  <si>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</si>
  <si>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</si>
  <si>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</si>
  <si>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</si>
  <si>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</si>
  <si>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</si>
  <si>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</si>
  <si>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</si>
  <si>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</si>
  <si>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</si>
  <si>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</si>
  <si>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</si>
  <si>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</si>
  <si>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</si>
  <si>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</si>
  <si>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</si>
  <si>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</si>
  <si>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</si>
  <si>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</si>
  <si>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</si>
  <si>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</si>
  <si>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</si>
  <si>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</si>
  <si>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</si>
  <si>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</si>
  <si>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</si>
  <si>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</si>
  <si>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</si>
  <si>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</si>
  <si>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</si>
  <si>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</si>
  <si>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</si>
  <si>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</si>
  <si>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</si>
  <si>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</si>
  <si>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</si>
  <si>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</si>
  <si>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</si>
  <si>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</si>
  <si>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</si>
  <si>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</si>
  <si>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</si>
  <si>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</si>
  <si>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</si>
  <si>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</si>
  <si>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</si>
  <si>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</si>
  <si>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</si>
  <si>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</si>
  <si>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</si>
  <si>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</si>
  <si>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</si>
  <si>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</si>
  <si>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</si>
  <si>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</si>
  <si>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</si>
  <si>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</si>
  <si>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</si>
  <si>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</si>
  <si>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</si>
  <si>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</si>
  <si>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</si>
  <si>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</si>
  <si>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</si>
  <si>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</si>
  <si>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</si>
  <si>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</si>
  <si>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</si>
  <si>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</si>
  <si>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</si>
  <si>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</si>
  <si>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</si>
  <si>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</si>
  <si>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</si>
  <si>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</si>
  <si>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</si>
  <si>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</si>
  <si>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</si>
  <si>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</si>
  <si>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</si>
  <si>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</si>
  <si>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</si>
  <si>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</si>
  <si>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</si>
  <si>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</si>
  <si>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</si>
  <si>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</si>
  <si>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</si>
  <si>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</si>
  <si>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</si>
  <si>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</si>
  <si>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</si>
  <si>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</si>
  <si>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</si>
  <si>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</si>
  <si>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</si>
  <si>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</si>
  <si>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</si>
  <si>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</si>
  <si>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</si>
  <si>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</si>
  <si>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</si>
  <si>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</si>
  <si>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</si>
  <si>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</si>
  <si>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</si>
  <si>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</si>
  <si>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</si>
  <si>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</si>
  <si>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</si>
  <si>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</si>
  <si>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</si>
  <si>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</si>
  <si>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</si>
  <si>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</si>
  <si>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</si>
  <si>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</si>
  <si>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</si>
  <si>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</si>
  <si>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</si>
  <si>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</si>
  <si>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</si>
  <si>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</si>
  <si>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</si>
  <si>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</si>
  <si>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</si>
  <si>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</si>
  <si>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</si>
  <si>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</si>
  <si>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</si>
  <si>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</si>
  <si>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</si>
  <si>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</si>
  <si>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</si>
  <si>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</si>
  <si>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</si>
  <si>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</si>
  <si>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</si>
  <si>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</si>
  <si>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</si>
  <si>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</si>
  <si>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</si>
  <si>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</si>
  <si>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</si>
  <si>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</si>
  <si>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</si>
  <si>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</si>
  <si>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</si>
  <si>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</si>
  <si>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</si>
  <si>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</si>
  <si>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</si>
  <si>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</si>
  <si>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</si>
  <si>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</si>
  <si>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</si>
  <si>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</si>
  <si>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</si>
  <si>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</si>
  <si>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</si>
  <si>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</si>
  <si>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</si>
  <si>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</si>
  <si>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</si>
  <si>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</si>
  <si>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</si>
  <si>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</si>
  <si>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</si>
  <si>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</si>
  <si>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</si>
  <si>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</si>
  <si>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</si>
  <si>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</si>
  <si>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</si>
  <si>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</si>
  <si>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</si>
  <si>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</si>
  <si>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</si>
  <si>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</si>
  <si>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</si>
  <si>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</si>
  <si>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</si>
  <si>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</si>
  <si>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</si>
  <si>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</si>
  <si>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</si>
  <si>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</si>
  <si>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</si>
  <si>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</si>
  <si>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</si>
  <si>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</si>
  <si>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</si>
  <si>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</si>
  <si>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</si>
  <si>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</si>
  <si>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</si>
  <si>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</si>
  <si>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</si>
  <si>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</si>
  <si>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</si>
  <si>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</si>
  <si>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</si>
  <si>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</si>
  <si>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</si>
  <si>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</si>
  <si>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</si>
  <si>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</si>
  <si>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</si>
  <si>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</si>
  <si>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</si>
  <si>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</si>
  <si>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</si>
  <si>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</si>
  <si>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</si>
  <si>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</si>
  <si>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</si>
  <si>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</si>
  <si>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</si>
  <si>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</si>
  <si>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</si>
  <si>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</si>
  <si>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</si>
  <si>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</si>
  <si>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</si>
  <si>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</si>
  <si>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</si>
  <si>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</si>
  <si>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</si>
  <si>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</si>
  <si>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</si>
  <si>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</si>
  <si>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</si>
  <si>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</si>
  <si>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</si>
  <si>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</si>
  <si>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</si>
  <si>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</si>
  <si>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</si>
  <si>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</si>
  <si>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</si>
  <si>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</si>
  <si>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</si>
  <si>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</si>
  <si>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</si>
  <si>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</si>
  <si>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</si>
  <si>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</si>
  <si>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</si>
  <si>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</si>
  <si>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</si>
  <si>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</si>
  <si>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</si>
  <si>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</si>
  <si>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</si>
  <si>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</si>
  <si>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</si>
  <si>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</si>
  <si>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</si>
  <si>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</si>
  <si>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</si>
  <si>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</si>
  <si>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</si>
  <si>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</si>
  <si>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</si>
  <si>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</si>
  <si>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</si>
  <si>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</si>
  <si>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</si>
  <si>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</si>
  <si>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</si>
  <si>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</si>
  <si>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</si>
  <si>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</si>
  <si>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</si>
  <si>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</si>
  <si>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</si>
  <si>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</si>
  <si>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</si>
  <si>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</si>
  <si>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</si>
  <si>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</si>
  <si>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</si>
  <si>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</si>
  <si>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</si>
  <si>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</si>
  <si>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</si>
  <si>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</si>
  <si>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</si>
  <si>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</si>
  <si>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</si>
  <si>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</si>
  <si>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</si>
  <si>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</si>
  <si>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</si>
  <si>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</si>
  <si>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</si>
  <si>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</si>
  <si>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</si>
  <si>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</si>
  <si>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</si>
  <si>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</si>
  <si>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</si>
  <si>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</si>
  <si>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</si>
  <si>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</si>
  <si>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</si>
  <si>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</si>
  <si>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</si>
  <si>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</si>
  <si>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</si>
  <si>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</si>
  <si>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</si>
  <si>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</si>
  <si>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</si>
  <si>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</si>
  <si>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</si>
  <si>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</si>
  <si>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</si>
  <si>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</si>
  <si>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</si>
  <si>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</si>
  <si>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</si>
  <si>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</si>
  <si>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</si>
  <si>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</si>
  <si>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</si>
  <si>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</si>
  <si>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</si>
  <si>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</si>
  <si>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</si>
  <si>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</si>
  <si>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</si>
  <si>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</si>
  <si>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</si>
  <si>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</si>
  <si>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</si>
  <si>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</si>
  <si>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</si>
  <si>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</si>
  <si>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</si>
  <si>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</si>
  <si>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</si>
  <si>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</si>
  <si>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</si>
  <si>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</si>
  <si>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</si>
  <si>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</si>
  <si>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</si>
  <si>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</si>
  <si>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</si>
  <si>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</si>
  <si>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</si>
  <si>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</si>
  <si>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</si>
  <si>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</si>
  <si>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</si>
  <si>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</si>
  <si>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</si>
  <si>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</si>
  <si>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</si>
  <si>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</si>
  <si>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</si>
  <si>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</si>
  <si>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</si>
  <si>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</si>
  <si>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</si>
  <si>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</si>
  <si>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</si>
  <si>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</si>
  <si>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</si>
  <si>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</si>
  <si>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</si>
  <si>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</si>
  <si>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</si>
  <si>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</si>
  <si>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</si>
  <si>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</si>
  <si>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</si>
  <si>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</si>
  <si>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</si>
  <si>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</si>
  <si>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</si>
  <si>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</si>
  <si>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</si>
  <si>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</si>
  <si>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</si>
  <si>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</si>
  <si>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</si>
  <si>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</si>
  <si>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</si>
  <si>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</si>
  <si>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</si>
  <si>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</si>
  <si>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</si>
  <si>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</si>
  <si>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</si>
  <si>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</si>
  <si>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</si>
  <si>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</si>
  <si>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</si>
  <si>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</si>
  <si>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</si>
  <si>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</si>
  <si>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</si>
  <si>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</si>
  <si>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</si>
  <si>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</si>
  <si>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</si>
  <si>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</si>
  <si>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</si>
  <si>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</si>
  <si>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</si>
  <si>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</si>
  <si>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</si>
  <si>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</si>
  <si>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</si>
  <si>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</si>
  <si>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</si>
  <si>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</si>
  <si>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</si>
  <si>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</si>
  <si>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</si>
  <si>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</si>
  <si>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</si>
  <si>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</si>
  <si>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</si>
  <si>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</si>
  <si>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</si>
  <si>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</si>
  <si>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</si>
  <si>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</si>
  <si>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</si>
  <si>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</si>
  <si>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</si>
  <si>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</si>
  <si>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</si>
  <si>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</si>
  <si>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</si>
  <si>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</si>
  <si>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</si>
  <si>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</si>
  <si>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</si>
  <si>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</si>
  <si>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</si>
  <si>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</si>
  <si>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</si>
  <si>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</si>
  <si>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</si>
  <si>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</si>
  <si>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</si>
  <si>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</si>
  <si>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</si>
  <si>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</si>
  <si>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</si>
  <si>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</si>
  <si>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</si>
  <si>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</si>
  <si>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</si>
  <si>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</si>
  <si>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</si>
  <si>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</si>
  <si>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</si>
  <si>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</si>
  <si>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</si>
  <si>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</si>
  <si>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</si>
  <si>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</si>
  <si>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</si>
  <si>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</si>
  <si>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</si>
  <si>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</si>
  <si>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</si>
  <si>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</si>
  <si>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</si>
  <si>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</si>
  <si>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</si>
  <si>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</si>
  <si>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</si>
  <si>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</si>
  <si>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</si>
  <si>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</si>
  <si>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</si>
  <si>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</si>
  <si>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</si>
  <si>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</si>
  <si>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</si>
  <si>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</si>
  <si>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</si>
  <si>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</si>
  <si>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</si>
  <si>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</si>
  <si>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</si>
  <si>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</si>
  <si>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</si>
  <si>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</si>
  <si>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</si>
  <si>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</si>
  <si>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</si>
  <si>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</si>
  <si>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</si>
  <si>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</si>
  <si>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</si>
  <si>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</si>
  <si>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</si>
  <si>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</si>
  <si>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</si>
  <si>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</si>
  <si>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</si>
  <si>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</si>
  <si>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</si>
  <si>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</si>
  <si>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MATRIZ</t>
  </si>
  <si>
    <t>2248-6</t>
  </si>
  <si>
    <t>MATTEL DO BRASI</t>
  </si>
  <si>
    <t>MARLON MARQUES</t>
  </si>
  <si>
    <t>EXPRESSO_250</t>
  </si>
  <si>
    <t>CTE NORMAL</t>
  </si>
  <si>
    <t>GRAVATAI - RS</t>
  </si>
  <si>
    <t>DARLILSON DOS SANTOS OLIV</t>
  </si>
  <si>
    <t>FELIPE MATEUS GNHOATO DOS</t>
  </si>
  <si>
    <t>INDEFINIDO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</si>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</sst>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[Analise_FELIPE_24092026.xlsx]Resumo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2272.73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430.41160000000002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[Analise_FELIPE_24092026.xlsx]Resumo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2272.73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430.41160000000002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4.43821875000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461" count="8000">
        <n v="30246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4T00:00:00" maxDate="2026-09-25T00:00:00"/>
    </cacheField>
    <cacheField name="DATA" numFmtId="14">
      <sharedItems containsNonDate="0" containsDate="1" containsString="0" containsBlank="1" minDate="2026-09-24T00:00:00" maxDate="2026-09-25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8557.62" maxValue="18557.62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272.73" maxValue="2272.73"/>
    </cacheField>
    <cacheField name="VOLUMES" numFmtId="0">
      <sharedItems containsString="0" containsBlank="1" containsNumber="1" containsInteger="1" minValue="52" maxValue="52"/>
    </cacheField>
    <cacheField name="PESO" numFmtId="0">
      <sharedItems containsString="0" containsBlank="1" containsNumber="1" minValue="118.5" maxValue="118.5"/>
    </cacheField>
    <cacheField name="RESP. COLETA" numFmtId="0">
      <sharedItems containsBlank="1"/>
    </cacheField>
    <cacheField name="CUSTO COLETA" numFmtId="0">
      <sharedItems containsString="0" containsBlank="1" containsNumber="1" minValue="11.54" maxValue="11.54"/>
    </cacheField>
    <cacheField name="RESP. ENTREGA" numFmtId="0">
      <sharedItems containsBlank="1"/>
    </cacheField>
    <cacheField name="CUSTO ENTREGA" numFmtId="0">
      <sharedItems containsString="0" containsBlank="1" containsNumber="1" minValue="1364.76" maxValue="1364.76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272.73" maxValue="272.7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9.2799999999999994" maxValue="9.2799999999999994"/>
    </cacheField>
    <cacheField name="OUTROS" numFmtId="0">
      <sharedItems containsString="0" containsBlank="1" containsNumber="1" minValue="2.19" maxValue="2.19"/>
    </cacheField>
    <cacheField name="C.TOTAL" numFmtId="0">
      <sharedItems containsString="0" containsBlank="1" containsNumber="1" minValue="1660.5" maxValue="1660.5"/>
    </cacheField>
    <cacheField name="RECEITA" numFmtId="0">
      <sharedItems containsString="0" containsBlank="1" containsNumber="1" minValue="612.23" maxValue="612.23"/>
    </cacheField>
    <cacheField name="IMPOSTO" numFmtId="0">
      <sharedItems containsString="0" containsBlank="1" containsNumber="1" minValue="590.91" maxValue="590.91"/>
    </cacheField>
    <cacheField name="RESULTADO" numFmtId="0">
      <sharedItems containsString="0" containsBlank="1" containsNumber="1" minValue="21.32" maxValue="21.32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21.32" maxValue="21.32"/>
    </cacheField>
    <cacheField name="MARGEM" numFmtId="10">
      <sharedItems containsString="0" containsBlank="1" containsNumber="1" minValue="9.3999999999999986E-3" maxValue="9.3999999999999986E-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4T00:00:00"/>
    <d v="2026-09-24T00:00:00"/>
    <m/>
    <s v="2248-6"/>
    <x v="0"/>
    <s v="MARLON MARQUES"/>
    <n v="18557.62"/>
    <x v="0"/>
    <s v="CTE NORMAL"/>
    <s v="GRAVATAI - RS"/>
    <n v="2272.73"/>
    <n v="52"/>
    <n v="118.5"/>
    <s v="DARLILSON DOS SANTOS OLIV"/>
    <n v="11.54"/>
    <s v="FELIPE MATEUS GNHOATO DOS"/>
    <n v="1364.76"/>
    <s v="INDEFINIDO"/>
    <n v="0"/>
    <n v="272.73"/>
    <n v="0"/>
    <n v="0"/>
    <n v="9.2799999999999994"/>
    <n v="2.19"/>
    <n v="1660.5"/>
    <n v="612.23"/>
    <n v="590.91"/>
    <n v="21.32"/>
    <n v="0"/>
    <n v="21.32"/>
    <n v="9.3999999999999986E-3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x="0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3"/>
        <item m="1" x="49"/>
        <item m="1" x="89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495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x="0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3"/>
        <item m="1" x="49"/>
        <item m="1" x="89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49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8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5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3" s="1" nd="1"/>
        <i x="100" s="1" nd="1"/>
        <i x="70" s="1" nd="1"/>
        <i x="578" s="1" nd="1"/>
        <i x="798" s="1" nd="1"/>
        <i x="32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3" s="1" nd="1"/>
        <i x="602" s="1" nd="1"/>
        <i x="449" s="1" nd="1"/>
        <i x="348" s="1" nd="1"/>
        <i x="78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7" s="1" nd="1"/>
        <i x="707" s="1" nd="1"/>
        <i x="23" s="1" nd="1"/>
        <i x="36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3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5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4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5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9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325" s="1" nd="1"/>
        <i x="34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4" s="1" nd="1"/>
        <i x="669" s="1" nd="1"/>
        <i x="93" s="1" nd="1"/>
        <i x="439" s="1" nd="1"/>
        <i x="350" s="1" nd="1"/>
        <i x="784" s="1" nd="1"/>
        <i x="498" s="1" nd="1"/>
        <i x="61" s="1" nd="1"/>
        <i x="455" s="1" nd="1"/>
        <i x="82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8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7" s="1" nd="1"/>
        <i x="277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3" s="1" nd="1"/>
        <i x="423" s="1" nd="1"/>
        <i x="26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0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5" s="1" nd="1"/>
        <i x="310" s="1" nd="1"/>
        <i x="825" s="1" nd="1"/>
        <i x="562" s="1" nd="1"/>
        <i x="62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5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3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6" s="1" nd="1"/>
        <i x="128" s="1" nd="1"/>
        <i x="3" s="1" nd="1"/>
        <i x="49" s="1" nd="1"/>
        <i x="89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87" totalsRowShown="0" headerRowDxfId="92" dataDxfId="90" headerRowBorderDxfId="91" tableBorderDxfId="89" totalsRowBorderDxfId="88">
  <autoFilter ref="A1:D38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302461</v>
      </c>
      <c r="B2" s="12" t="s">
        <v>606</v>
      </c>
      <c r="C2" s="14">
        <v>46289</v>
      </c>
      <c r="D2" s="14">
        <v>46289</v>
      </c>
      <c r="E2" s="12"/>
      <c r="F2" s="15" t="s">
        <v>607</v>
      </c>
      <c r="G2" s="15" t="s">
        <v>608</v>
      </c>
      <c r="H2" s="15" t="s">
        <v>609</v>
      </c>
      <c r="I2" s="16">
        <v>18557.62</v>
      </c>
      <c r="J2" s="15" t="s">
        <v>610</v>
      </c>
      <c r="K2" s="15" t="s">
        <v>611</v>
      </c>
      <c r="L2" s="15" t="s">
        <v>612</v>
      </c>
      <c r="M2" s="15">
        <v>2272.73</v>
      </c>
      <c r="N2" s="15">
        <v>52</v>
      </c>
      <c r="O2" s="16">
        <v>118.5</v>
      </c>
      <c r="P2" s="15" t="s">
        <v>613</v>
      </c>
      <c r="Q2" s="15">
        <v>11.54</v>
      </c>
      <c r="R2" s="15" t="s">
        <v>614</v>
      </c>
      <c r="S2" s="15">
        <v>1364.76</v>
      </c>
      <c r="T2" s="15" t="s">
        <v>615</v>
      </c>
      <c r="U2" s="15">
        <v>0</v>
      </c>
      <c r="V2" s="15">
        <v>272.73</v>
      </c>
      <c r="W2" s="15">
        <v>0</v>
      </c>
      <c r="X2" s="15">
        <v>0</v>
      </c>
      <c r="Y2" s="15">
        <v>9.2799999999999994</v>
      </c>
      <c r="Z2" s="15">
        <v>2.19</v>
      </c>
      <c r="AA2" s="15">
        <v>1660.5</v>
      </c>
      <c r="AB2" s="15">
        <v>612.23</v>
      </c>
      <c r="AC2" s="15">
        <v>590.91</v>
      </c>
      <c r="AD2" s="15">
        <v>21.32</v>
      </c>
      <c r="AE2" s="15">
        <v>0</v>
      </c>
      <c r="AF2" s="15">
        <v>21.32</v>
      </c>
      <c r="AG2" s="17">
        <v>9.3999999999999986E-3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2272.73</v>
      </c>
      <c r="F3" s="89"/>
      <c r="G3" s="90"/>
      <c r="H3" s="133">
        <f>'Resumo Detalhado'!C2</f>
        <v>118.5</v>
      </c>
      <c r="I3" s="134"/>
      <c r="J3" s="135">
        <f>E3/H3</f>
        <v>19.17915611814346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9.8750000000000004E-2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2111.54</v>
      </c>
      <c r="F7" s="112"/>
      <c r="G7" s="112"/>
      <c r="H7" s="112"/>
      <c r="I7" s="112"/>
      <c r="J7" s="112">
        <f>E7/H3</f>
        <v>17.818902953586498</v>
      </c>
      <c r="K7" s="112"/>
      <c r="L7" s="112"/>
      <c r="M7" s="130">
        <f>E7/E3</f>
        <v>0.92907648510821783</v>
      </c>
      <c r="N7" s="130"/>
      <c r="O7" s="130"/>
      <c r="P7" s="112">
        <f>E11+K11+Q11+E15+K15+Q15+E19+H19+K19</f>
        <v>2941.1952000000001</v>
      </c>
      <c r="Q7" s="112"/>
      <c r="R7" s="112"/>
      <c r="S7" s="112">
        <f>P7/H3</f>
        <v>24.820212658227849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2100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2100</v>
      </c>
      <c r="L11" s="90"/>
      <c r="M11" s="38"/>
      <c r="N11" s="88">
        <f>K11/H3</f>
        <v>17.721518987341771</v>
      </c>
      <c r="O11" s="90"/>
      <c r="P11" s="38"/>
      <c r="Q11" s="88">
        <f>'Resumo Detalhado'!D2</f>
        <v>11.54</v>
      </c>
      <c r="R11" s="90"/>
      <c r="S11" s="38"/>
      <c r="T11" s="88">
        <f>Q11/H3</f>
        <v>9.7383966244725728E-2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272.73</v>
      </c>
      <c r="F15" s="119"/>
      <c r="G15" s="119"/>
      <c r="H15" s="119"/>
      <c r="I15" s="132"/>
      <c r="J15" s="38"/>
      <c r="K15" s="113">
        <f>'Resumo Detalhado'!K2+'Resumo Detalhado'!L2</f>
        <v>363.63679999999999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9.2799999999999994</v>
      </c>
      <c r="F19" s="120"/>
      <c r="G19" s="38"/>
      <c r="H19" s="122">
        <f>'Resumo Detalhado'!J2</f>
        <v>2.19</v>
      </c>
      <c r="I19" s="123"/>
      <c r="J19" s="38"/>
      <c r="K19" s="122">
        <f>'Resumo Detalhado'!L2</f>
        <v>181.8184</v>
      </c>
      <c r="L19" s="123"/>
      <c r="M19" s="38"/>
      <c r="N19" s="121" t="s">
        <v>219</v>
      </c>
      <c r="O19" s="119"/>
      <c r="P19" s="119"/>
      <c r="Q19" s="119"/>
      <c r="R19" s="120"/>
      <c r="S19" s="121">
        <f>_xlfn.XLOOKUP(N19,Target!C:C,Target!D:D)</f>
        <v>2300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430.41160000000002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0.18938087674294793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616</v>
      </c>
      <c r="F1" s="29"/>
    </row>
    <row r="2" spans="1:18" x14ac:dyDescent="0.3">
      <c r="B2" s="29">
        <f>SUM(B6:B5000)</f>
        <v>2272.73</v>
      </c>
      <c r="C2" s="29">
        <f>SUM(C6:C5000)</f>
        <v>118.5</v>
      </c>
      <c r="D2" s="29">
        <f>SUM(D6:D5000)</f>
        <v>11.54</v>
      </c>
      <c r="E2" s="29">
        <f>SUM(E6:E5000)</f>
        <v>1364.76</v>
      </c>
      <c r="F2" s="29">
        <f>SUM(F6:F5000)</f>
        <v>0</v>
      </c>
      <c r="G2" s="29"/>
      <c r="H2" s="29">
        <f t="shared" ref="H2:P2" si="0">SUM(H6:H5000)</f>
        <v>272.73</v>
      </c>
      <c r="I2" s="29">
        <f t="shared" si="0"/>
        <v>9.2799999999999994</v>
      </c>
      <c r="J2" s="29">
        <f t="shared" si="0"/>
        <v>2.19</v>
      </c>
      <c r="K2" s="29">
        <f t="shared" si="0"/>
        <v>181.8184</v>
      </c>
      <c r="L2" s="29">
        <f t="shared" si="0"/>
        <v>181.8184</v>
      </c>
      <c r="M2" s="29">
        <f t="shared" si="0"/>
        <v>0</v>
      </c>
      <c r="N2" s="29">
        <f t="shared" si="0"/>
        <v>430.41160000000002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608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302461</v>
      </c>
      <c r="B6" s="139">
        <v>2272.73</v>
      </c>
      <c r="C6" s="140">
        <v>118.5</v>
      </c>
      <c r="D6" s="139">
        <v>11.54</v>
      </c>
      <c r="E6" s="139">
        <v>1364.76</v>
      </c>
      <c r="F6" s="139">
        <v>0</v>
      </c>
      <c r="G6" s="141">
        <v>0.60557127331447203</v>
      </c>
      <c r="H6" s="139">
        <v>272.73</v>
      </c>
      <c r="I6" s="139">
        <v>9.2799999999999994</v>
      </c>
      <c r="J6" s="139">
        <v>2.19</v>
      </c>
      <c r="K6" s="139">
        <v>181.8184</v>
      </c>
      <c r="L6" s="139">
        <v>181.8184</v>
      </c>
      <c r="M6" s="139">
        <v>0</v>
      </c>
      <c r="N6" s="139">
        <v>430.41160000000002</v>
      </c>
      <c r="O6" s="141">
        <v>0.18938087674294793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616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608</v>
      </c>
      <c r="B5" s="10">
        <v>2272.73</v>
      </c>
      <c r="C5" s="10">
        <v>430.41160000000002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8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2026-09-29T13:31:09Z</dcterms:modified>
  <cp:category/>
  <cp:contentStatus/>
</cp:coreProperties>
</file>