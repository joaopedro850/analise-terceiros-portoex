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8965F8E-B0DB-481F-A212-7BFEB52B010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<sst xmlns="http://schemas.openxmlformats.org/spreadsheetml/2006/main" count="869" uniqueCount="597">
  <si>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</si>
  <si>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</si>
  <si>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</si>
  <si>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</si>
  <si>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</si>
  <si>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</si>
  <si>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</si>
  <si>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</si>
  <si>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</si>
  <si>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</si>
  <si>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</si>
  <si>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</si>
  <si>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</si>
  <si>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</si>
  <si>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</si>
  <si>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</si>
  <si>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</si>
  <si>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</si>
  <si>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</si>
  <si>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</si>
  <si>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</si>
  <si>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</si>
  <si>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</si>
  <si>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</si>
  <si>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</si>
  <si>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</si>
  <si>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</si>
  <si>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</si>
  <si>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</si>
  <si>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</si>
  <si>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</si>
  <si>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</si>
  <si>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</si>
  <si>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</si>
  <si>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</si>
  <si>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</si>
  <si>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</si>
  <si>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</si>
  <si>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</si>
  <si>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</si>
  <si>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</si>
  <si>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</si>
  <si>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</si>
  <si>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</si>
  <si>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</si>
  <si>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</si>
  <si>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</si>
  <si>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</si>
  <si>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</si>
  <si>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</si>
  <si>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</si>
  <si>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</si>
  <si>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</si>
  <si>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</si>
  <si>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</si>
  <si>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</si>
  <si>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</si>
  <si>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</si>
  <si>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</si>
  <si>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</si>
  <si>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</si>
  <si>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</si>
  <si>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</si>
  <si>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</si>
  <si>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</si>
  <si>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</si>
  <si>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</si>
  <si>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</si>
  <si>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</si>
  <si>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</si>
  <si>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</si>
  <si>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</si>
  <si>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</si>
  <si>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</si>
  <si>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</si>
  <si>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</si>
  <si>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</si>
  <si>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</si>
  <si>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</si>
  <si>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</si>
  <si>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</si>
  <si>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</si>
  <si>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</si>
  <si>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</si>
  <si>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</si>
  <si>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</si>
  <si>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</si>
  <si>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</si>
  <si>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</si>
  <si>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</si>
  <si>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</si>
  <si>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</si>
  <si>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</si>
  <si>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</si>
  <si>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</si>
  <si>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</si>
  <si>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</si>
  <si>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</si>
  <si>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</si>
  <si>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</si>
  <si>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</si>
  <si>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</si>
  <si>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</si>
  <si>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</si>
  <si>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</si>
  <si>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</si>
  <si>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</si>
  <si>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</si>
  <si>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</si>
  <si>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</si>
  <si>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</si>
  <si>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</si>
  <si>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</si>
  <si>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</si>
  <si>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</si>
  <si>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</si>
  <si>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</si>
  <si>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</si>
  <si>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</si>
  <si>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</si>
  <si>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</si>
  <si>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</si>
  <si>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</si>
  <si>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</si>
  <si>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</si>
  <si>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</si>
  <si>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</si>
  <si>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</si>
  <si>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</si>
  <si>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</si>
  <si>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</si>
  <si>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</si>
  <si>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</si>
  <si>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</si>
  <si>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</si>
  <si>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</si>
  <si>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</si>
  <si>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</si>
  <si>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</si>
  <si>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</si>
  <si>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</si>
  <si>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</si>
  <si>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</si>
  <si>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</si>
  <si>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</si>
  <si>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</si>
  <si>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</si>
  <si>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</si>
  <si>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</si>
  <si>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</si>
  <si>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</si>
  <si>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</si>
  <si>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</si>
  <si>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</si>
  <si>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</si>
  <si>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</si>
  <si>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</si>
  <si>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</si>
  <si>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</si>
  <si>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</si>
  <si>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</si>
  <si>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</si>
  <si>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</si>
  <si>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</si>
  <si>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</si>
  <si>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</si>
  <si>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</si>
  <si>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</si>
  <si>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</si>
  <si>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</si>
  <si>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</si>
  <si>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</si>
  <si>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</si>
  <si>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</si>
  <si>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</si>
  <si>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</si>
  <si>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</si>
  <si>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</si>
  <si>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</si>
  <si>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</si>
  <si>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</si>
  <si>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</si>
  <si>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</si>
  <si>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</si>
  <si>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</si>
  <si>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</si>
  <si>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</si>
  <si>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</si>
  <si>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</si>
  <si>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</si>
  <si>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</si>
  <si>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</si>
  <si>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</si>
  <si>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</si>
  <si>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</si>
  <si>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</si>
  <si>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</si>
  <si>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</si>
  <si>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</si>
  <si>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</si>
  <si>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</si>
  <si>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</si>
  <si>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</si>
  <si>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</si>
  <si>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</si>
  <si>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</si>
  <si>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</si>
  <si>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</si>
  <si>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</si>
  <si>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</si>
  <si>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</si>
  <si>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</si>
  <si>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</si>
  <si>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</si>
  <si>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</si>
  <si>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</si>
  <si>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</si>
  <si>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</si>
  <si>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</si>
  <si>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</si>
  <si>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</si>
  <si>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</si>
  <si>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</si>
  <si>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</si>
  <si>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</si>
  <si>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</si>
  <si>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</si>
  <si>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</si>
  <si>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</si>
  <si>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</si>
  <si>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</si>
  <si>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</si>
  <si>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</si>
  <si>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</si>
  <si>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</si>
  <si>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</si>
  <si>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</si>
  <si>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</si>
  <si>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</si>
  <si>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</si>
  <si>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</si>
  <si>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</si>
  <si>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</si>
  <si>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</si>
  <si>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</si>
  <si>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</si>
  <si>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</si>
  <si>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</si>
  <si>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</si>
  <si>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</si>
  <si>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</si>
  <si>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</si>
  <si>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</si>
  <si>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</si>
  <si>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</si>
  <si>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</si>
  <si>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</si>
  <si>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</si>
  <si>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</si>
  <si>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</si>
  <si>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</si>
  <si>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</si>
  <si>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</si>
  <si>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</si>
  <si>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</si>
  <si>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</si>
  <si>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</si>
  <si>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</si>
  <si>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</si>
  <si>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</si>
  <si>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</si>
  <si>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</si>
  <si>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</si>
  <si>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</si>
  <si>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</si>
  <si>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</si>
  <si>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</si>
  <si>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</si>
  <si>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</si>
  <si>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</si>
  <si>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</si>
  <si>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</si>
  <si>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</si>
  <si>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</si>
  <si>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</si>
  <si>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</si>
  <si>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</si>
  <si>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</si>
  <si>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</si>
  <si>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</si>
  <si>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</si>
  <si>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</si>
  <si>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</si>
  <si>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</si>
  <si>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</si>
  <si>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</si>
  <si>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</si>
  <si>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</si>
  <si>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</si>
  <si>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</si>
  <si>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</si>
  <si>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</si>
  <si>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</si>
  <si>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</si>
  <si>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</si>
  <si>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</si>
  <si>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</si>
  <si>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</si>
  <si>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</si>
  <si>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</si>
  <si>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</si>
  <si>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</si>
  <si>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</si>
  <si>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</si>
  <si>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</si>
  <si>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</si>
  <si>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</si>
  <si>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</si>
  <si>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</si>
  <si>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</si>
  <si>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</si>
  <si>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</si>
  <si>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</si>
  <si>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</si>
  <si>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</si>
  <si>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</si>
  <si>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</si>
  <si>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</si>
  <si>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</si>
  <si>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</si>
  <si>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</si>
  <si>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</si>
  <si>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</si>
  <si>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</si>
  <si>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</si>
  <si>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</si>
  <si>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</si>
  <si>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</si>
  <si>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</si>
  <si>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</si>
  <si>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</si>
  <si>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</si>
  <si>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</si>
  <si>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</si>
  <si>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</si>
  <si>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</si>
  <si>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</si>
  <si>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</si>
  <si>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</si>
  <si>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</si>
  <si>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</si>
  <si>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</si>
  <si>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</si>
  <si>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</si>
  <si>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</si>
  <si>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</si>
  <si>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</si>
  <si>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</si>
  <si>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</si>
  <si>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</si>
  <si>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</si>
  <si>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</si>
  <si>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</si>
  <si>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</si>
  <si>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</si>
  <si>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</si>
  <si>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</si>
  <si>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</si>
  <si>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</si>
  <si>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</si>
  <si>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</si>
  <si>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</si>
  <si>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</si>
  <si>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</si>
  <si>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</si>
  <si>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</si>
  <si>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</si>
  <si>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</si>
  <si>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</si>
  <si>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</si>
  <si>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</si>
  <si>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</si>
  <si>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</si>
  <si>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</si>
  <si>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</si>
  <si>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</si>
  <si>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</si>
  <si>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</si>
  <si>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</si>
  <si>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</si>
  <si>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</si>
  <si>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</si>
  <si>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</si>
  <si>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</si>
  <si>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</si>
  <si>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</si>
  <si>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</si>
  <si>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</si>
  <si>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</si>
  <si>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</si>
  <si>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</si>
  <si>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</si>
  <si>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</si>
  <si>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</si>
  <si>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</si>
  <si>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</si>
  <si>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</si>
  <si>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</si>
  <si>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</si>
  <si>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</si>
  <si>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</si>
  <si>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</si>
  <si>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</si>
  <si>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</si>
  <si>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</si>
  <si>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</si>
  <si>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</si>
  <si>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</si>
  <si>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</si>
  <si>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</si>
  <si>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</si>
  <si>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</si>
  <si>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</si>
  <si>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</si>
  <si>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</si>
  <si>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</si>
  <si>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</si>
  <si>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</si>
  <si>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</si>
  <si>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</si>
  <si>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</si>
  <si>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</si>
  <si>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</si>
  <si>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</si>
  <si>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</si>
  <si>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</si>
  <si>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</si>
  <si>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</si>
  <si>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</si>
  <si>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</si>
  <si>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</si>
  <si>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</si>
  <si>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</si>
  <si>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</si>
  <si>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</si>
  <si>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</si>
  <si>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</si>
  <si>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</si>
  <si>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</si>
  <si>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</si>
  <si>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</si>
  <si>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</si>
  <si>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</si>
  <si>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</si>
  <si>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</si>
  <si>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</si>
  <si>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</si>
  <si>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</si>
  <si>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</si>
  <si>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</si>
  <si>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</si>
  <si>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</si>
  <si>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</si>
  <si>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</si>
  <si>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</si>
  <si>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</si>
  <si>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</si>
  <si>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</si>
  <si>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</si>
  <si>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</si>
  <si>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</si>
  <si>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</si>
  <si>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</si>
  <si>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</si>
  <si>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</si>
  <si>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</si>
  <si>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</si>
  <si>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</si>
  <si>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</si>
  <si>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</si>
  <si>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</si>
  <si>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</si>
  <si>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</si>
  <si>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</si>
  <si>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</si>
  <si>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</si>
  <si>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</si>
  <si>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</si>
  <si>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</si>
  <si>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</si>
  <si>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</si>
  <si>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</si>
  <si>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</si>
  <si>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</si>
  <si>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</si>
  <si>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</si>
  <si>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</si>
  <si>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</si>
  <si>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</si>
  <si>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</si>
  <si>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</si>
  <si>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</si>
  <si>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</si>
  <si>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</si>
  <si>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</si>
  <si>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</si>
  <si>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</si>
  <si>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</si>
  <si>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</si>
  <si>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</si>
  <si>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</si>
  <si>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</si>
  <si>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</si>
  <si>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</si>
  <si>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</si>
  <si>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</si>
  <si>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</si>
  <si>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</si>
  <si>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</si>
  <si>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</si>
  <si>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</si>
  <si>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</si>
  <si>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</si>
  <si>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</si>
  <si>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</si>
  <si>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</si>
  <si>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</si>
  <si>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</si>
  <si>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</si>
  <si>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</si>
  <si>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</si>
  <si>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</si>
  <si>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</si>
  <si>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</si>
  <si>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</si>
  <si>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</si>
  <si>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</si>
  <si>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</si>
  <si>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</si>
  <si>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</si>
  <si>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</si>
  <si>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</si>
  <si>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</si>
  <si>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</si>
  <si>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</si>
  <si>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</si>
  <si>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</si>
  <si>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</si>
  <si>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</si>
  <si>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</si>
  <si>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</si>
  <si>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</si>
  <si>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</si>
  <si>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</si>
  <si>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</si>
  <si>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</si>
  <si>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</si>
  <si>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</si>
  <si>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</si>
  <si>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</si>
  <si>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</si>
  <si>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</si>
  <si>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</si>
  <si>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</si>
  <si>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</si>
  <si>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</si>
  <si>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</si>
  <si>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</si>
  <si>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</si>
  <si>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</si>
  <si>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</si>
  <si>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</si>
  <si>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</si>
  <si>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</si>
  <si>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</si>
  <si>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</si>
  <si>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</si>
  <si>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</si>
  <si>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</si>
  <si>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</si>
  <si>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202473-1</t>
  </si>
  <si>
    <t>ASTERI DISTRIBU</t>
  </si>
  <si>
    <t>CAIO LUCIANO MATIAS</t>
  </si>
  <si>
    <t>ECONOMICO_250</t>
  </si>
  <si>
    <t>CTE NORMAL</t>
  </si>
  <si>
    <t>SAO PAULO - SP</t>
  </si>
  <si>
    <t>WILSON FERNANDES DA SILVA</t>
  </si>
  <si>
    <t>JOSE EMILTON DA COSTA - O</t>
  </si>
  <si>
    <t>FCA TRANSPORTES LTDA</t>
  </si>
  <si>
    <t>202485-1</t>
  </si>
  <si>
    <t>LOJAS AVENIDA S</t>
  </si>
  <si>
    <t>SABRINA SANTOS</t>
  </si>
  <si>
    <t>PERSONALIZADO_L</t>
  </si>
  <si>
    <t>CAMPO GRANDE - MS</t>
  </si>
  <si>
    <t>ITAUAN GONZAGA DA SILVA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</si>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</sst>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306.36</c:v>
                </c:pt>
                <c:pt idx="1">
                  <c:v>11160.65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74.342400000000026</c:v>
                </c:pt>
                <c:pt idx="1">
                  <c:v>8437.8959999999988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306.36</c:v>
                </c:pt>
                <c:pt idx="1">
                  <c:v>11160.65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74.342400000000026</c:v>
                </c:pt>
                <c:pt idx="1">
                  <c:v>8437.8959999999988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2364803241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417" count="8000">
        <n v="299385"/>
        <n v="29941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STERI DISTRIBU"/>
        <s v="LOJAS AVENIDA S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74.29" maxValue="145273.92000000001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6.36" maxValue="11160.65"/>
    </cacheField>
    <cacheField name="VOLUMES" numFmtId="0">
      <sharedItems containsString="0" containsBlank="1" containsNumber="1" containsInteger="1" minValue="1" maxValue="8"/>
    </cacheField>
    <cacheField name="PESO" numFmtId="0">
      <sharedItems containsString="0" containsBlank="1" containsNumber="1" containsInteger="1" minValue="300" maxValue="1170"/>
    </cacheField>
    <cacheField name="RESP. COLETA" numFmtId="0">
      <sharedItems containsBlank="1"/>
    </cacheField>
    <cacheField name="CUSTO COLETA" numFmtId="0">
      <sharedItems containsString="0" containsBlank="1" containsNumber="1" minValue="64.62" maxValue="83.1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80.8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6.76" maxValue="781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74" maxValue="72.6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60.55" maxValue="6309.5"/>
    </cacheField>
    <cacheField name="RECEITA" numFmtId="0">
      <sharedItems containsString="0" containsBlank="1" containsNumber="1" minValue="-1254.19" maxValue="4851.1499999999996"/>
    </cacheField>
    <cacheField name="IMPOSTO" numFmtId="0">
      <sharedItems containsString="0" containsBlank="1" containsNumber="1" minValue="79.650000000000006" maxValue="2901.77"/>
    </cacheField>
    <cacheField name="RESULTADO" numFmtId="0">
      <sharedItems containsString="0" containsBlank="1" containsNumber="1" minValue="-1333.84" maxValue="1949.3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333.84" maxValue="1949.38"/>
    </cacheField>
    <cacheField name="MARGEM" numFmtId="10">
      <sharedItems containsString="0" containsBlank="1" containsNumber="1" minValue="-4.3537999999999997" maxValue="0.1746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1T00:00:00"/>
    <d v="2026-09-01T00:00:00"/>
    <m/>
    <s v="202473-1"/>
    <x v="0"/>
    <s v="CAIO LUCIANO MATIAS"/>
    <n v="1474.29"/>
    <x v="0"/>
    <s v="CTE NORMAL"/>
    <s v="SAO PAULO - SP"/>
    <n v="306.36"/>
    <n v="1"/>
    <n v="300"/>
    <s v="WILSON FERNANDES DA SILVA"/>
    <n v="64.62"/>
    <s v="JOSE EMILTON DA COSTA - O"/>
    <n v="80.88"/>
    <s v="FCA TRANSPORTES LTDA"/>
    <n v="0"/>
    <n v="36.76"/>
    <n v="0"/>
    <n v="0"/>
    <n v="0.74"/>
    <n v="0"/>
    <n v="1560.55"/>
    <n v="-1254.19"/>
    <n v="79.650000000000006"/>
    <n v="-1333.84"/>
    <n v="0"/>
    <n v="-1333.84"/>
    <n v="-4.3537999999999997"/>
    <m/>
  </r>
  <r>
    <x v="1"/>
    <s v="MATRIZ"/>
    <d v="2026-09-01T00:00:00"/>
    <d v="2026-09-01T00:00:00"/>
    <m/>
    <s v="202485-1"/>
    <x v="1"/>
    <s v="SABRINA SANTOS"/>
    <n v="145273.92000000001"/>
    <x v="1"/>
    <s v="CTE NORMAL"/>
    <s v="CAMPO GRANDE - MS"/>
    <n v="11160.65"/>
    <n v="8"/>
    <n v="1170"/>
    <s v="ITAUAN GONZAGA DA SILVA"/>
    <n v="83.16"/>
    <s v="N/D"/>
    <n v="0"/>
    <s v="FCA TRANSPORTES LTDA"/>
    <n v="0"/>
    <n v="781.25"/>
    <n v="0"/>
    <n v="0"/>
    <n v="72.64"/>
    <n v="0"/>
    <n v="6309.5"/>
    <n v="4851.1499999999996"/>
    <n v="2901.77"/>
    <n v="1949.38"/>
    <n v="0"/>
    <n v="1949.38"/>
    <n v="0.1746999999999999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x="0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5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8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4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4"/>
        <item m="1" x="748"/>
        <item m="1" x="743"/>
        <item m="1" x="847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x="1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7"/>
        <item m="1" x="412"/>
        <item m="1" x="26"/>
        <item m="1" x="342"/>
        <item m="1" x="490"/>
        <item m="1" x="511"/>
        <item m="1" x="769"/>
        <item m="1" x="720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4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6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6"/>
    </i>
    <i r="1">
      <x v="7998"/>
    </i>
    <i>
      <x v="452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x="0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5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sd="0"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8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4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4"/>
        <item m="1" x="748"/>
        <item m="1" x="743"/>
        <item m="1" x="847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x="1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7"/>
        <item m="1" x="412"/>
        <item m="1" x="26"/>
        <item m="1" x="342"/>
        <item m="1" x="490"/>
        <item m="1" x="511"/>
        <item m="1" x="769"/>
        <item m="1" x="720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4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6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6"/>
    </i>
    <i>
      <x v="452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49" s="1" nd="1"/>
        <i x="187" s="1" nd="1"/>
        <i x="273" s="1" nd="1"/>
        <i x="12" s="1" nd="1"/>
        <i x="761" s="1" nd="1"/>
        <i x="392" s="1" nd="1"/>
        <i x="713" s="1" nd="1"/>
        <i x="296" s="1" nd="1"/>
        <i x="114" s="1" nd="1"/>
        <i x="271" s="1" nd="1"/>
        <i x="591" s="1" nd="1"/>
        <i x="324" s="1" nd="1"/>
        <i x="676" s="1" nd="1"/>
        <i x="502" s="1" nd="1"/>
        <i x="25" s="1" nd="1"/>
        <i x="582" s="1" nd="1"/>
        <i x="852" s="1" nd="1"/>
        <i x="21" s="1" nd="1"/>
        <i x="757" s="1" nd="1"/>
        <i x="113" s="1" nd="1"/>
        <i x="545" s="1" nd="1"/>
        <i x="828" s="1" nd="1"/>
        <i x="270" s="1" nd="1"/>
        <i x="479" s="1" nd="1"/>
        <i x="772" s="1" nd="1"/>
        <i x="266" s="1" nd="1"/>
        <i x="343" s="1" nd="1"/>
        <i x="677" s="1" nd="1"/>
        <i x="800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09" s="1" nd="1"/>
        <i x="668" s="1" nd="1"/>
        <i x="215" s="1" nd="1"/>
        <i x="131" s="1" nd="1"/>
        <i x="222" s="1" nd="1"/>
        <i x="158" s="1" nd="1"/>
        <i x="230" s="1" nd="1"/>
        <i x="110" s="1" nd="1"/>
        <i x="622" s="1" nd="1"/>
        <i x="141" s="1" nd="1"/>
        <i x="617" s="1" nd="1"/>
        <i x="321" s="1" nd="1"/>
        <i x="820" s="1" nd="1"/>
        <i x="322" s="1" nd="1"/>
        <i x="461" s="1" nd="1"/>
        <i x="506" s="1" nd="1"/>
        <i x="554" s="1" nd="1"/>
        <i x="477" s="1" nd="1"/>
        <i x="244" s="1" nd="1"/>
        <i x="848" s="1" nd="1"/>
        <i x="832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6" s="1" nd="1"/>
        <i x="519" s="1" nd="1"/>
        <i x="792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5" s="1" nd="1"/>
        <i x="183" s="1" nd="1"/>
        <i x="835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1" s="1" nd="1"/>
        <i x="697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1" s="1" nd="1"/>
        <i x="5" s="1" nd="1"/>
        <i x="770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7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5" s="1" nd="1"/>
        <i x="120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8" s="1" nd="1"/>
        <i x="853" s="1" nd="1"/>
        <i x="829" s="1" nd="1"/>
        <i x="107" s="1" nd="1"/>
        <i x="401" s="1" nd="1"/>
        <i x="115" s="1" nd="1"/>
        <i x="653" s="1" nd="1"/>
        <i x="657" s="1" nd="1"/>
        <i x="795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9" s="1" nd="1"/>
        <i x="54" s="1" nd="1"/>
        <i x="793" s="1" nd="1"/>
        <i x="717" s="1" nd="1"/>
        <i x="417" s="1" nd="1"/>
        <i x="735" s="1" nd="1"/>
        <i x="813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7" s="1" nd="1"/>
        <i x="60" s="1" nd="1"/>
        <i x="632" s="1" nd="1"/>
        <i x="531" s="1" nd="1"/>
        <i x="295" s="1" nd="1"/>
        <i x="304" s="1" nd="1"/>
        <i x="174" s="1" nd="1"/>
        <i x="102" s="1" nd="1"/>
        <i x="71" s="1" nd="1"/>
        <i x="579" s="1" nd="1"/>
        <i x="798" s="1" nd="1"/>
        <i x="33" s="1" nd="1"/>
        <i x="674" s="1" nd="1"/>
        <i x="287" s="1" nd="1"/>
        <i x="630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3" s="1" nd="1"/>
        <i x="450" s="1" nd="1"/>
        <i x="349" s="1" nd="1"/>
        <i x="79" s="1" nd="1"/>
        <i x="583" s="1" nd="1"/>
        <i x="19" s="1" nd="1"/>
        <i x="160" s="1" nd="1"/>
        <i x="773" s="1" nd="1"/>
        <i x="580" s="1" nd="1"/>
        <i x="518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3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6" s="1" nd="1"/>
        <i x="458" s="1" nd="1"/>
        <i x="790" s="1" nd="1"/>
        <i x="704" s="1" nd="1"/>
        <i x="234" s="1" nd="1"/>
        <i x="598" s="1" nd="1"/>
        <i x="44" s="1" nd="1"/>
        <i x="843" s="1" nd="1"/>
        <i x="123" s="1" nd="1"/>
        <i x="267" s="1" nd="1"/>
        <i x="292" s="1" nd="1"/>
        <i x="354" s="1" nd="1"/>
        <i x="99" s="1" nd="1"/>
        <i x="460" s="1" nd="1"/>
        <i x="581" s="1" nd="1"/>
        <i x="353" s="1" nd="1"/>
        <i x="104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1" s="1" nd="1"/>
        <i x="143" s="1" nd="1"/>
        <i x="667" s="1" nd="1"/>
        <i x="839" s="1" nd="1"/>
        <i x="39" s="1" nd="1"/>
        <i x="383" s="1" nd="1"/>
        <i x="590" s="1" nd="1"/>
        <i x="747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2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59" s="1" nd="1"/>
        <i x="691" s="1" nd="1"/>
        <i x="22" s="1" nd="1"/>
        <i x="728" s="1" nd="1"/>
        <i x="780" s="1" nd="1"/>
        <i x="640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1" s="1" nd="1"/>
        <i x="556" s="1" nd="1"/>
        <i x="117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4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6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8" s="1" nd="1"/>
        <i x="804" s="1" nd="1"/>
        <i x="92" s="1" nd="1"/>
        <i x="573" s="1" nd="1"/>
        <i x="157" s="1" nd="1"/>
        <i x="561" s="1" nd="1"/>
        <i x="46" s="1" nd="1"/>
        <i x="724" s="1" nd="1"/>
        <i x="748" s="1" nd="1"/>
        <i x="743" s="1" nd="1"/>
        <i x="847" s="1" nd="1"/>
        <i x="124" s="1" nd="1"/>
        <i x="465" s="1" nd="1"/>
        <i x="701" s="1" nd="1"/>
        <i x="428" s="1" nd="1"/>
        <i x="363" s="1" nd="1"/>
        <i x="101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0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7" s="1" nd="1"/>
        <i x="209" s="1" nd="1"/>
        <i x="682" s="1" nd="1"/>
        <i x="275" s="1" nd="1"/>
        <i x="472" s="1" nd="1"/>
        <i x="799" s="1" nd="1"/>
        <i x="217" s="1" nd="1"/>
        <i x="827" s="1" nd="1"/>
        <i x="70" s="1" nd="1"/>
        <i x="646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0" s="1" nd="1"/>
        <i x="604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3" s="1" nd="1"/>
        <i x="673" s="1" nd="1"/>
        <i x="838" s="1" nd="1"/>
        <i x="51" s="1" nd="1"/>
        <i x="606" s="1" nd="1"/>
        <i x="85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5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5" s="1" nd="1"/>
        <i x="504" s="1" nd="1"/>
        <i x="228" s="1" nd="1"/>
        <i x="281" s="1" nd="1"/>
        <i x="94" s="1" nd="1"/>
        <i x="407" s="1" nd="1"/>
        <i x="320" s="1" nd="1"/>
        <i x="711" s="1" nd="1"/>
        <i x="535" s="1" nd="1"/>
        <i x="645" s="1" nd="1"/>
        <i x="610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9" s="1" nd="1"/>
        <i x="775" s="1" nd="1"/>
        <i x="72" s="1" nd="1"/>
        <i x="714" s="1" nd="1"/>
        <i x="574" s="1" nd="1"/>
        <i x="184" s="1" nd="1"/>
        <i x="718" s="1" nd="1"/>
        <i x="112" s="1" nd="1"/>
        <i x="254" s="1" nd="1"/>
        <i x="512" s="1" nd="1"/>
        <i x="96" s="1" nd="1"/>
        <i x="523" s="1" nd="1"/>
        <i x="789" s="1" nd="1"/>
        <i x="20" s="1" nd="1"/>
        <i x="538" s="1" nd="1"/>
        <i x="637" s="1" nd="1"/>
        <i x="576" s="1" nd="1"/>
        <i x="197" s="1" nd="1"/>
        <i x="575" s="1" nd="1"/>
        <i x="365" s="1" nd="1"/>
        <i x="823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1" s="1" nd="1"/>
        <i x="584" s="1" nd="1"/>
        <i x="749" s="1" nd="1"/>
        <i x="723" s="1" nd="1"/>
        <i x="533" s="1" nd="1"/>
        <i x="47" s="1" nd="1"/>
        <i x="555" s="1" nd="1"/>
        <i x="109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3" s="1" nd="1"/>
        <i x="791" s="1" nd="1"/>
        <i x="200" s="1" nd="1"/>
        <i x="151" s="1" nd="1"/>
        <i x="236" s="1" nd="1"/>
        <i x="503" s="1" nd="1"/>
        <i x="786" s="1" nd="1"/>
        <i x="259" s="1" nd="1"/>
        <i x="752" s="1" nd="1"/>
        <i x="128" s="1" nd="1"/>
        <i x="211" s="1" nd="1"/>
        <i x="833" s="1" nd="1"/>
        <i x="586" s="1" nd="1"/>
        <i x="796" s="1" nd="1"/>
        <i x="727" s="1" nd="1"/>
        <i x="412" s="1" nd="1"/>
        <i x="26" s="1" nd="1"/>
        <i x="342" s="1" nd="1"/>
        <i x="490" s="1" nd="1"/>
        <i x="511" s="1" nd="1"/>
        <i x="769" s="1" nd="1"/>
        <i x="720" s="1" nd="1"/>
        <i x="760" s="1" nd="1"/>
        <i x="520" s="1" nd="1"/>
        <i x="643" s="1" nd="1"/>
        <i x="288" s="1" nd="1"/>
        <i x="180" s="1" nd="1"/>
        <i x="334" s="1" nd="1"/>
        <i x="817" s="1" nd="1"/>
        <i x="611" s="1" nd="1"/>
        <i x="588" s="1" nd="1"/>
        <i x="256" s="1" nd="1"/>
        <i x="551" s="1" nd="1"/>
        <i x="105" s="1" nd="1"/>
        <i x="88" s="1" nd="1"/>
        <i x="754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3" s="1" nd="1"/>
        <i x="725" s="1" nd="1"/>
        <i x="841" s="1" nd="1"/>
        <i x="444" s="1" nd="1"/>
        <i x="193" s="1" nd="1"/>
        <i x="306" s="1" nd="1"/>
        <i x="340" s="1" nd="1"/>
        <i x="97" s="1" nd="1"/>
        <i x="695" s="1" nd="1"/>
        <i x="305" s="1" nd="1"/>
        <i x="355" s="1" nd="1"/>
        <i x="402" s="1" nd="1"/>
        <i x="618" s="1" nd="1"/>
        <i x="614" s="1" nd="1"/>
        <i x="777" s="1" nd="1"/>
        <i x="394" s="1" nd="1"/>
        <i x="400" s="1" nd="1"/>
        <i x="705" s="1" nd="1"/>
        <i x="403" s="1" nd="1"/>
        <i x="830" s="1" nd="1"/>
        <i x="495" s="1" nd="1"/>
        <i x="395" s="1" nd="1"/>
        <i x="671" s="1" nd="1"/>
        <i x="185" s="1" nd="1"/>
        <i x="409" s="1" nd="1"/>
        <i x="474" s="1" nd="1"/>
        <i x="837" s="1" nd="1"/>
        <i x="125" s="1" nd="1"/>
        <i x="152" s="1" nd="1"/>
        <i x="594" s="1" nd="1"/>
        <i x="778" s="1" nd="1"/>
        <i x="612" s="1" nd="1"/>
        <i x="560" s="1" nd="1"/>
        <i x="308" s="1" nd="1"/>
        <i x="654" s="1" nd="1"/>
        <i x="726" s="1" nd="1"/>
        <i x="405" s="1" nd="1"/>
        <i x="744" s="1" nd="1"/>
        <i x="80" s="1" nd="1"/>
        <i x="52" s="1" nd="1"/>
        <i x="851" s="1" nd="1"/>
        <i x="30" s="1" nd="1"/>
        <i x="571" s="1" nd="1"/>
        <i x="513" s="1" nd="1"/>
        <i x="413" s="1" nd="1"/>
        <i x="703" s="1" nd="1"/>
        <i x="204" s="1" nd="1"/>
        <i x="644" s="1" nd="1"/>
        <i x="779" s="1" nd="1"/>
        <i x="468" s="1" nd="1"/>
        <i x="41" s="1" nd="1"/>
        <i x="694" s="1" nd="1"/>
        <i x="664" s="1" nd="1"/>
        <i x="808" s="1" nd="1"/>
        <i x="816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3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5" s="1" nd="1"/>
        <i x="414" s="1" nd="1"/>
        <i x="553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3" s="1" nd="1"/>
        <i x="63" s="1" nd="1"/>
        <i x="569" s="1" nd="1"/>
        <i x="431" s="1" nd="1"/>
        <i x="426" s="1" nd="1"/>
        <i x="176" s="1" nd="1"/>
        <i x="366" s="1" nd="1"/>
        <i x="758" s="1" nd="1"/>
        <i x="601" s="1" nd="1"/>
        <i x="13" s="1" nd="1"/>
        <i x="93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100" s="1" nd="1"/>
        <i x="766" s="1" nd="1"/>
        <i x="126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2" s="1" nd="1"/>
        <i x="836" s="1" nd="1"/>
        <i x="492" s="1" nd="1"/>
        <i x="685" s="1" nd="1"/>
        <i x="243" s="1" nd="1"/>
        <i x="57" s="1" nd="1"/>
        <i x="129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299385</v>
      </c>
      <c r="B2" s="12" t="s">
        <v>579</v>
      </c>
      <c r="C2" s="14">
        <v>46266</v>
      </c>
      <c r="D2" s="14">
        <v>46266</v>
      </c>
      <c r="E2" s="12"/>
      <c r="F2" s="15" t="s">
        <v>580</v>
      </c>
      <c r="G2" s="15" t="s">
        <v>581</v>
      </c>
      <c r="H2" s="15" t="s">
        <v>582</v>
      </c>
      <c r="I2" s="16">
        <v>1474.29</v>
      </c>
      <c r="J2" s="15" t="s">
        <v>583</v>
      </c>
      <c r="K2" s="15" t="s">
        <v>584</v>
      </c>
      <c r="L2" s="15" t="s">
        <v>585</v>
      </c>
      <c r="M2" s="15">
        <v>306.36</v>
      </c>
      <c r="N2" s="15">
        <v>1</v>
      </c>
      <c r="O2" s="16">
        <v>300</v>
      </c>
      <c r="P2" s="15" t="s">
        <v>586</v>
      </c>
      <c r="Q2" s="15">
        <v>64.62</v>
      </c>
      <c r="R2" s="15" t="s">
        <v>587</v>
      </c>
      <c r="S2" s="15">
        <v>80.88</v>
      </c>
      <c r="T2" s="15" t="s">
        <v>588</v>
      </c>
      <c r="U2" s="15">
        <v>0</v>
      </c>
      <c r="V2" s="15">
        <v>36.76</v>
      </c>
      <c r="W2" s="15">
        <v>0</v>
      </c>
      <c r="X2" s="15">
        <v>0</v>
      </c>
      <c r="Y2" s="15">
        <v>0.74</v>
      </c>
      <c r="Z2" s="15">
        <v>0</v>
      </c>
      <c r="AA2" s="15">
        <v>1560.55</v>
      </c>
      <c r="AB2" s="15">
        <v>-1254.19</v>
      </c>
      <c r="AC2" s="15">
        <v>79.650000000000006</v>
      </c>
      <c r="AD2" s="15">
        <v>-1333.84</v>
      </c>
      <c r="AE2" s="15">
        <v>0</v>
      </c>
      <c r="AF2" s="15">
        <v>-1333.84</v>
      </c>
      <c r="AG2" s="17">
        <v>-4.3537999999999997</v>
      </c>
      <c r="AH2" s="15"/>
    </row>
    <row r="3" spans="1:34" s="1" customFormat="1" ht="12" customHeight="1" x14ac:dyDescent="0.3">
      <c r="A3" s="13">
        <v>299417</v>
      </c>
      <c r="B3" s="12" t="s">
        <v>579</v>
      </c>
      <c r="C3" s="14">
        <v>46266</v>
      </c>
      <c r="D3" s="14">
        <v>46266</v>
      </c>
      <c r="E3" s="12"/>
      <c r="F3" s="15" t="s">
        <v>589</v>
      </c>
      <c r="G3" s="15" t="s">
        <v>590</v>
      </c>
      <c r="H3" s="15" t="s">
        <v>591</v>
      </c>
      <c r="I3" s="16">
        <v>145273.92000000001</v>
      </c>
      <c r="J3" s="15" t="s">
        <v>592</v>
      </c>
      <c r="K3" s="15" t="s">
        <v>584</v>
      </c>
      <c r="L3" s="15" t="s">
        <v>593</v>
      </c>
      <c r="M3" s="16">
        <v>11160.65</v>
      </c>
      <c r="N3" s="15">
        <v>8</v>
      </c>
      <c r="O3" s="16">
        <v>1170</v>
      </c>
      <c r="P3" s="15" t="s">
        <v>594</v>
      </c>
      <c r="Q3" s="15">
        <v>83.16</v>
      </c>
      <c r="R3" s="15" t="s">
        <v>595</v>
      </c>
      <c r="S3" s="15">
        <v>0</v>
      </c>
      <c r="T3" s="15" t="s">
        <v>588</v>
      </c>
      <c r="U3" s="15">
        <v>0</v>
      </c>
      <c r="V3" s="15">
        <v>781.25</v>
      </c>
      <c r="W3" s="15">
        <v>0</v>
      </c>
      <c r="X3" s="15">
        <v>0</v>
      </c>
      <c r="Y3" s="15">
        <v>72.64</v>
      </c>
      <c r="Z3" s="15">
        <v>0</v>
      </c>
      <c r="AA3" s="16">
        <v>6309.5</v>
      </c>
      <c r="AB3" s="16">
        <v>4851.1499999999996</v>
      </c>
      <c r="AC3" s="15">
        <v>2901.77</v>
      </c>
      <c r="AD3" s="15">
        <v>1949.38</v>
      </c>
      <c r="AE3" s="15">
        <v>0</v>
      </c>
      <c r="AF3" s="15">
        <v>1949.38</v>
      </c>
      <c r="AG3" s="17">
        <v>0.17469999999999999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11467.01</v>
      </c>
      <c r="F3" s="89"/>
      <c r="G3" s="90"/>
      <c r="H3" s="133">
        <f>'Resumo Detalhado'!C2</f>
        <v>1470</v>
      </c>
      <c r="I3" s="134"/>
      <c r="J3" s="135">
        <f>E3/H3</f>
        <v>7.8006870748299324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6.6818181818181818E-2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6897.78</v>
      </c>
      <c r="F7" s="112"/>
      <c r="G7" s="112"/>
      <c r="H7" s="112"/>
      <c r="I7" s="112"/>
      <c r="J7" s="112">
        <f>E7/H3</f>
        <v>4.6923673469387754</v>
      </c>
      <c r="K7" s="112"/>
      <c r="L7" s="112"/>
      <c r="M7" s="130">
        <f>E7/E3</f>
        <v>0.60153257039106089</v>
      </c>
      <c r="N7" s="130"/>
      <c r="O7" s="130"/>
      <c r="P7" s="112">
        <f>E11+K11+Q11+E15+K15+Q15+E19+H19+K19</f>
        <v>11091.252399999999</v>
      </c>
      <c r="Q7" s="112"/>
      <c r="R7" s="112"/>
      <c r="S7" s="112">
        <f>P7/H3</f>
        <v>7.5450696598639455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6750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6750</v>
      </c>
      <c r="L11" s="90"/>
      <c r="M11" s="38"/>
      <c r="N11" s="88">
        <f>K11/H3</f>
        <v>4.591836734693878</v>
      </c>
      <c r="O11" s="90"/>
      <c r="P11" s="38"/>
      <c r="Q11" s="88">
        <f>'Resumo Detalhado'!D2</f>
        <v>147.78</v>
      </c>
      <c r="R11" s="90"/>
      <c r="S11" s="38"/>
      <c r="T11" s="88">
        <f>Q11/H3</f>
        <v>0.10053061224489795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818.01</v>
      </c>
      <c r="F15" s="119"/>
      <c r="G15" s="119"/>
      <c r="H15" s="119"/>
      <c r="I15" s="132"/>
      <c r="J15" s="38"/>
      <c r="K15" s="113">
        <f>'Resumo Detalhado'!K2+'Resumo Detalhado'!L2</f>
        <v>1834.7215999999999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73.38</v>
      </c>
      <c r="F19" s="120"/>
      <c r="G19" s="38"/>
      <c r="H19" s="122">
        <v>550</v>
      </c>
      <c r="I19" s="123"/>
      <c r="J19" s="38"/>
      <c r="K19" s="122">
        <f>'Resumo Detalhado'!L2</f>
        <v>917.36079999999993</v>
      </c>
      <c r="L19" s="123"/>
      <c r="M19" s="38"/>
      <c r="N19" s="121" t="s">
        <v>238</v>
      </c>
      <c r="O19" s="119"/>
      <c r="P19" s="119"/>
      <c r="Q19" s="119"/>
      <c r="R19" s="120"/>
      <c r="S19" s="121">
        <f>_xlfn.XLOOKUP(N19,Target!C:C,Target!D:D)</f>
        <v>10200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8512.2383999999984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0.74232414552703785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596</v>
      </c>
      <c r="F1" s="29"/>
    </row>
    <row r="2" spans="1:18" x14ac:dyDescent="0.3">
      <c r="B2" s="29">
        <f>SUM(B6:B5000)</f>
        <v>11467.01</v>
      </c>
      <c r="C2" s="29">
        <f>SUM(C6:C5000)</f>
        <v>1470</v>
      </c>
      <c r="D2" s="29">
        <f>SUM(D6:D5000)</f>
        <v>147.78</v>
      </c>
      <c r="E2" s="29">
        <f>SUM(E6:E5000)</f>
        <v>80.88</v>
      </c>
      <c r="F2" s="29">
        <f>SUM(F6:F5000)</f>
        <v>0</v>
      </c>
      <c r="G2" s="29"/>
      <c r="H2" s="29">
        <f t="shared" ref="H2:P2" si="0">SUM(H6:H5000)</f>
        <v>818.01</v>
      </c>
      <c r="I2" s="29">
        <f t="shared" si="0"/>
        <v>73.38</v>
      </c>
      <c r="J2" s="29">
        <f t="shared" si="0"/>
        <v>0</v>
      </c>
      <c r="K2" s="29">
        <f t="shared" si="0"/>
        <v>917.36079999999993</v>
      </c>
      <c r="L2" s="29">
        <f t="shared" si="0"/>
        <v>917.36079999999993</v>
      </c>
      <c r="M2" s="29">
        <f t="shared" si="0"/>
        <v>0</v>
      </c>
      <c r="N2" s="29">
        <f t="shared" si="0"/>
        <v>8512.2383999999984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299385</v>
      </c>
      <c r="B6" s="139">
        <v>306.36</v>
      </c>
      <c r="C6" s="140">
        <v>300</v>
      </c>
      <c r="D6" s="139">
        <v>64.62</v>
      </c>
      <c r="E6" s="139">
        <v>80.88</v>
      </c>
      <c r="F6" s="139">
        <v>0</v>
      </c>
      <c r="G6" s="141">
        <v>0.47493145319232272</v>
      </c>
      <c r="H6" s="139">
        <v>36.76</v>
      </c>
      <c r="I6" s="139">
        <v>0.74</v>
      </c>
      <c r="J6" s="139">
        <v>0</v>
      </c>
      <c r="K6" s="139">
        <v>24.508800000000001</v>
      </c>
      <c r="L6" s="139">
        <v>24.508800000000001</v>
      </c>
      <c r="M6" s="139">
        <v>0</v>
      </c>
      <c r="N6" s="139">
        <v>74.342400000000026</v>
      </c>
      <c r="O6" s="141">
        <v>0.24266353309831579</v>
      </c>
      <c r="Q6"/>
    </row>
    <row r="7" spans="1:18" s="31" customFormat="1" x14ac:dyDescent="0.3">
      <c r="A7" s="9" t="s">
        <v>590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299417</v>
      </c>
      <c r="B8" s="139">
        <v>11160.65</v>
      </c>
      <c r="C8" s="140">
        <v>1170</v>
      </c>
      <c r="D8" s="139">
        <v>83.16</v>
      </c>
      <c r="E8" s="139">
        <v>0</v>
      </c>
      <c r="F8" s="139">
        <v>0</v>
      </c>
      <c r="G8" s="141">
        <v>7.4511789187905724E-3</v>
      </c>
      <c r="H8" s="139">
        <v>781.25</v>
      </c>
      <c r="I8" s="139">
        <v>72.64</v>
      </c>
      <c r="J8" s="139">
        <v>0</v>
      </c>
      <c r="K8" s="139">
        <v>892.85199999999998</v>
      </c>
      <c r="L8" s="139">
        <v>892.85199999999998</v>
      </c>
      <c r="M8" s="139">
        <v>0</v>
      </c>
      <c r="N8" s="139">
        <v>8437.8959999999988</v>
      </c>
      <c r="O8" s="141">
        <v>0.75603983638945749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218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596</v>
      </c>
    </row>
    <row r="2" spans="1:4" x14ac:dyDescent="0.3">
      <c r="B2" s="29">
        <f>SUM(B6:B5000)</f>
        <v>11160.65</v>
      </c>
      <c r="C2" s="29">
        <f>SUM(C6:C5000)</f>
        <v>8437.8959999999988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306.36</v>
      </c>
      <c r="C5" s="10">
        <v>74.342400000000026</v>
      </c>
    </row>
    <row r="6" spans="1:4" x14ac:dyDescent="0.3">
      <c r="A6" s="9" t="s">
        <v>590</v>
      </c>
      <c r="B6" s="139">
        <v>11160.65</v>
      </c>
      <c r="C6" s="139">
        <v>8437.8959999999988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2026-09-04T13:10:10Z</dcterms:modified>
  <cp:category/>
  <cp:contentStatus/>
</cp:coreProperties>
</file>