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B47A2BE-8994-4EC3-9662-4EFCD3D418DB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<sst xmlns="http://schemas.openxmlformats.org/spreadsheetml/2006/main" count="915" uniqueCount="632">
  <si>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</si>
  <si>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</si>
  <si>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</si>
  <si>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</si>
  <si>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</si>
  <si>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</si>
  <si>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</si>
  <si>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</si>
  <si>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</si>
  <si>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</si>
  <si>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</si>
  <si>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</si>
  <si>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</si>
  <si>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</si>
  <si>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</si>
  <si>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</si>
  <si>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</si>
  <si>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</si>
  <si>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</si>
  <si>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</si>
  <si>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</si>
  <si>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</si>
  <si>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</si>
  <si>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</si>
  <si>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</si>
  <si>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</si>
  <si>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</si>
  <si>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</si>
  <si>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</si>
  <si>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</si>
  <si>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</si>
  <si>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</si>
  <si>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</si>
  <si>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</si>
  <si>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</si>
  <si>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</si>
  <si>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</si>
  <si>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</si>
  <si>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</si>
  <si>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</si>
  <si>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</si>
  <si>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</si>
  <si>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</si>
  <si>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</si>
  <si>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</si>
  <si>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</si>
  <si>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</si>
  <si>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</si>
  <si>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</si>
  <si>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</si>
  <si>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</si>
  <si>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</si>
  <si>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</si>
  <si>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</si>
  <si>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</si>
  <si>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</si>
  <si>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</si>
  <si>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</si>
  <si>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</si>
  <si>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</si>
  <si>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</si>
  <si>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</si>
  <si>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</si>
  <si>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</si>
  <si>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</si>
  <si>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</si>
  <si>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</si>
  <si>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</si>
  <si>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</si>
  <si>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</si>
  <si>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</si>
  <si>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</si>
  <si>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</si>
  <si>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</si>
  <si>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</si>
  <si>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</si>
  <si>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</si>
  <si>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</si>
  <si>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</si>
  <si>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</si>
  <si>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</si>
  <si>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</si>
  <si>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</si>
  <si>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</si>
  <si>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</si>
  <si>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</si>
  <si>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</si>
  <si>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</si>
  <si>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</si>
  <si>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</si>
  <si>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</si>
  <si>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</si>
  <si>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</si>
  <si>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</si>
  <si>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</si>
  <si>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</si>
  <si>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</si>
  <si>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</si>
  <si>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</si>
  <si>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</si>
  <si>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</si>
  <si>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</si>
  <si>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</si>
  <si>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</si>
  <si>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</si>
  <si>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</si>
  <si>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</si>
  <si>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</si>
  <si>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</si>
  <si>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</si>
  <si>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</si>
  <si>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</si>
  <si>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</si>
  <si>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</si>
  <si>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</si>
  <si>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</si>
  <si>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</si>
  <si>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</si>
  <si>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</si>
  <si>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</si>
  <si>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</si>
  <si>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</si>
  <si>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</si>
  <si>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</si>
  <si>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</si>
  <si>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</si>
  <si>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</si>
  <si>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</si>
  <si>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</si>
  <si>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</si>
  <si>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</si>
  <si>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</si>
  <si>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</si>
  <si>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</si>
  <si>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</si>
  <si>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</si>
  <si>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</si>
  <si>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</si>
  <si>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</si>
  <si>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</si>
  <si>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</si>
  <si>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</si>
  <si>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</si>
  <si>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</si>
  <si>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</si>
  <si>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</si>
  <si>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</si>
  <si>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</si>
  <si>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</si>
  <si>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</si>
  <si>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</si>
  <si>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</si>
  <si>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</si>
  <si>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</si>
  <si>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</si>
  <si>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</si>
  <si>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</si>
  <si>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</si>
  <si>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</si>
  <si>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</si>
  <si>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</si>
  <si>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</si>
  <si>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</si>
  <si>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</si>
  <si>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</si>
  <si>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</si>
  <si>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</si>
  <si>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</si>
  <si>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</si>
  <si>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</si>
  <si>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</si>
  <si>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</si>
  <si>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</si>
  <si>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</si>
  <si>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</si>
  <si>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</si>
  <si>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</si>
  <si>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</si>
  <si>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</si>
  <si>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</si>
  <si>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</si>
  <si>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</si>
  <si>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</si>
  <si>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</si>
  <si>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</si>
  <si>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</si>
  <si>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</si>
  <si>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</si>
  <si>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</si>
  <si>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</si>
  <si>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</si>
  <si>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</si>
  <si>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</si>
  <si>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</si>
  <si>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</si>
  <si>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</si>
  <si>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</si>
  <si>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</si>
  <si>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</si>
  <si>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</si>
  <si>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</si>
  <si>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</si>
  <si>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</si>
  <si>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</si>
  <si>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</si>
  <si>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</si>
  <si>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</si>
  <si>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</si>
  <si>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</si>
  <si>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</si>
  <si>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</si>
  <si>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</si>
  <si>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</si>
  <si>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</si>
  <si>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</si>
  <si>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</si>
  <si>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</si>
  <si>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</si>
  <si>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</si>
  <si>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</si>
  <si>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</si>
  <si>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</si>
  <si>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</si>
  <si>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</si>
  <si>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</si>
  <si>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</si>
  <si>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</si>
  <si>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</si>
  <si>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</si>
  <si>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</si>
  <si>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</si>
  <si>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</si>
  <si>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</si>
  <si>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</si>
  <si>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</si>
  <si>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</si>
  <si>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</si>
  <si>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</si>
  <si>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</si>
  <si>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</si>
  <si>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</si>
  <si>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</si>
  <si>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</si>
  <si>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</si>
  <si>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</si>
  <si>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</si>
  <si>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</si>
  <si>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</si>
  <si>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</si>
  <si>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</si>
  <si>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</si>
  <si>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</si>
  <si>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</si>
  <si>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</si>
  <si>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</si>
  <si>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</si>
  <si>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</si>
  <si>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</si>
  <si>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</si>
  <si>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</si>
  <si>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</si>
  <si>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</si>
  <si>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</si>
  <si>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</si>
  <si>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</si>
  <si>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</si>
  <si>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</si>
  <si>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</si>
  <si>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</si>
  <si>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</si>
  <si>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</si>
  <si>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</si>
  <si>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</si>
  <si>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</si>
  <si>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</si>
  <si>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</si>
  <si>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</si>
  <si>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</si>
  <si>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</si>
  <si>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</si>
  <si>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</si>
  <si>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</si>
  <si>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</si>
  <si>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</si>
  <si>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</si>
  <si>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</si>
  <si>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</si>
  <si>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</si>
  <si>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</si>
  <si>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</si>
  <si>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</si>
  <si>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</si>
  <si>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</si>
  <si>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</si>
  <si>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</si>
  <si>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</si>
  <si>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</si>
  <si>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</si>
  <si>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</si>
  <si>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</si>
  <si>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</si>
  <si>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</si>
  <si>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</si>
  <si>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</si>
  <si>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</si>
  <si>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</si>
  <si>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</si>
  <si>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</si>
  <si>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</si>
  <si>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</si>
  <si>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</si>
  <si>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</si>
  <si>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</si>
  <si>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</si>
  <si>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</si>
  <si>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</si>
  <si>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</si>
  <si>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</si>
  <si>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</si>
  <si>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</si>
  <si>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</si>
  <si>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</si>
  <si>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</si>
  <si>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</si>
  <si>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</si>
  <si>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</si>
  <si>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</si>
  <si>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</si>
  <si>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</si>
  <si>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</si>
  <si>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</si>
  <si>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</si>
  <si>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</si>
  <si>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</si>
  <si>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</si>
  <si>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</si>
  <si>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</si>
  <si>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</si>
  <si>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</si>
  <si>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</si>
  <si>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</si>
  <si>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</si>
  <si>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</si>
  <si>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</si>
  <si>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</si>
  <si>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</si>
  <si>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</si>
  <si>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</si>
  <si>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</si>
  <si>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</si>
  <si>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</si>
  <si>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</si>
  <si>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</si>
  <si>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</si>
  <si>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</si>
  <si>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</si>
  <si>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</si>
  <si>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</si>
  <si>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</si>
  <si>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</si>
  <si>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</si>
  <si>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</si>
  <si>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</si>
  <si>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</si>
  <si>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</si>
  <si>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</si>
  <si>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</si>
  <si>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</si>
  <si>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</si>
  <si>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</si>
  <si>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</si>
  <si>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</si>
  <si>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</si>
  <si>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</si>
  <si>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</si>
  <si>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</si>
  <si>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</si>
  <si>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</si>
  <si>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</si>
  <si>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</si>
  <si>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</si>
  <si>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</si>
  <si>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</si>
  <si>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</si>
  <si>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</si>
  <si>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</si>
  <si>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</si>
  <si>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</si>
  <si>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</si>
  <si>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</si>
  <si>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</si>
  <si>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</si>
  <si>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</si>
  <si>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</si>
  <si>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</si>
  <si>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</si>
  <si>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</si>
  <si>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</si>
  <si>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</si>
  <si>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</si>
  <si>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</si>
  <si>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</si>
  <si>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</si>
  <si>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</si>
  <si>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</si>
  <si>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</si>
  <si>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</si>
  <si>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</si>
  <si>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</si>
  <si>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</si>
  <si>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</si>
  <si>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</si>
  <si>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</si>
  <si>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</si>
  <si>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</si>
  <si>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</si>
  <si>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</si>
  <si>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</si>
  <si>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</si>
  <si>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</si>
  <si>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</si>
  <si>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</si>
  <si>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</si>
  <si>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</si>
  <si>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</si>
  <si>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</si>
  <si>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</si>
  <si>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</si>
  <si>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</si>
  <si>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</si>
  <si>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</si>
  <si>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</si>
  <si>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</si>
  <si>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</si>
  <si>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</si>
  <si>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</si>
  <si>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</si>
  <si>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</si>
  <si>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</si>
  <si>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</si>
  <si>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</si>
  <si>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</si>
  <si>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</si>
  <si>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</si>
  <si>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</si>
  <si>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</si>
  <si>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</si>
  <si>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</si>
  <si>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</si>
  <si>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</si>
  <si>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</si>
  <si>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</si>
  <si>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</si>
  <si>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</si>
  <si>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</si>
  <si>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</si>
  <si>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</si>
  <si>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</si>
  <si>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</si>
  <si>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</si>
  <si>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</si>
  <si>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</si>
  <si>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</si>
  <si>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</si>
  <si>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</si>
  <si>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</si>
  <si>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</si>
  <si>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</si>
  <si>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</si>
  <si>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</si>
  <si>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</si>
  <si>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</si>
  <si>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</si>
  <si>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</si>
  <si>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</si>
  <si>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</si>
  <si>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</si>
  <si>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</si>
  <si>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</si>
  <si>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</si>
  <si>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</si>
  <si>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</si>
  <si>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</si>
  <si>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</si>
  <si>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</si>
  <si>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</si>
  <si>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</si>
  <si>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</si>
  <si>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</si>
  <si>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</si>
  <si>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</si>
  <si>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</si>
  <si>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</si>
  <si>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</si>
  <si>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</si>
  <si>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</si>
  <si>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</si>
  <si>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</si>
  <si>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</si>
  <si>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</si>
  <si>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</si>
  <si>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</si>
  <si>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</si>
  <si>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</si>
  <si>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</si>
  <si>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</si>
  <si>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</si>
  <si>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</si>
  <si>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</si>
  <si>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</si>
  <si>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</si>
  <si>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</si>
  <si>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</si>
  <si>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</si>
  <si>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</si>
  <si>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</si>
  <si>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</si>
  <si>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</si>
  <si>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</si>
  <si>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</si>
  <si>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</si>
  <si>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</si>
  <si>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</si>
  <si>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</si>
  <si>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</si>
  <si>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</si>
  <si>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</si>
  <si>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</si>
  <si>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</si>
  <si>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</si>
  <si>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</si>
  <si>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</si>
  <si>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</si>
  <si>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</si>
  <si>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</si>
  <si>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</si>
  <si>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</si>
  <si>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</si>
  <si>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</si>
  <si>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</si>
  <si>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</si>
  <si>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</si>
  <si>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</si>
  <si>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</si>
  <si>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</si>
  <si>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</si>
  <si>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</si>
  <si>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</si>
  <si>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</si>
  <si>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</si>
  <si>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</si>
  <si>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</si>
  <si>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</si>
  <si>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</si>
  <si>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</si>
  <si>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</si>
  <si>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</si>
  <si>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</si>
  <si>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</si>
  <si>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</si>
  <si>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</si>
  <si>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</si>
  <si>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</si>
  <si>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</si>
  <si>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</si>
  <si>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</si>
  <si>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</si>
  <si>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</si>
  <si>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</si>
  <si>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</si>
  <si>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</si>
  <si>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</si>
  <si>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</si>
  <si>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</si>
  <si>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</si>
  <si>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</si>
  <si>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</si>
  <si>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</si>
  <si>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</si>
  <si>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</si>
  <si>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</si>
  <si>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</si>
  <si>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</si>
  <si>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</si>
  <si>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</si>
  <si>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</si>
  <si>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</si>
  <si>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</si>
  <si>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</si>
  <si>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</si>
  <si>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</si>
  <si>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</si>
  <si>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</si>
  <si>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</si>
  <si>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</si>
  <si>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</si>
  <si>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</si>
  <si>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</si>
  <si>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</si>
  <si>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</si>
  <si>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</si>
  <si>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</si>
  <si>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</si>
  <si>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</si>
  <si>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</si>
  <si>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</si>
  <si>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</si>
  <si>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</si>
  <si>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</si>
  <si>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</si>
  <si>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</si>
  <si>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</si>
  <si>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</si>
  <si>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</si>
  <si>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</si>
  <si>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</si>
  <si>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FILIAL SP</t>
  </si>
  <si>
    <t>38029-1</t>
  </si>
  <si>
    <t>ANSELL BRAZIL L</t>
  </si>
  <si>
    <t>MARLON MARQUES</t>
  </si>
  <si>
    <t>EXPRESSO_250</t>
  </si>
  <si>
    <t>CTE NORMAL</t>
  </si>
  <si>
    <t>CRICIUMA - SC</t>
  </si>
  <si>
    <t>ROBSON BARBOSA FERREIRA</t>
  </si>
  <si>
    <t>FERNANDO MACHADO</t>
  </si>
  <si>
    <t>MATRIZ</t>
  </si>
  <si>
    <t>2261-6</t>
  </si>
  <si>
    <t>MATTEL DO BRASI</t>
  </si>
  <si>
    <t>PORTO ALEGRE - RS</t>
  </si>
  <si>
    <t>N/D</t>
  </si>
  <si>
    <t>Navegantes-Sc X Porto Alegre-Rs3/4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</si>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</sst>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[Analise_FERNANDO_01102026.xlsx]Resumo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145.78</c:v>
                </c:pt>
                <c:pt idx="1">
                  <c:v>7407.06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111.86760000000001</c:v>
                </c:pt>
                <c:pt idx="1">
                  <c:v>5791.5352000000003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[Analise_FERNANDO_01102026.xlsx]Resumo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145.78</c:v>
                </c:pt>
                <c:pt idx="1">
                  <c:v>7407.06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111.86760000000001</c:v>
                </c:pt>
                <c:pt idx="1">
                  <c:v>5791.5352000000003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1.402918865744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3928" count="8000">
        <n v="303264"/>
        <n v="303928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9T00:00:00" maxDate="2026-10-02T00:00:00"/>
    </cacheField>
    <cacheField name="DATA" numFmtId="14">
      <sharedItems containsNonDate="0" containsDate="1" containsString="0" containsBlank="1" minDate="2026-09-29T00:00:00" maxDate="2026-10-02T00:00:00"/>
    </cacheField>
    <cacheField name="FAT" numFmtId="0">
      <sharedItems containsString="0" containsBlank="1" containsNumber="1" containsInteger="1" minValue="66154" maxValue="66154"/>
    </cacheField>
    <cacheField name="CT-E" numFmtId="0">
      <sharedItems containsBlank="1"/>
    </cacheField>
    <cacheField name="CLIENTE TOMADOR" numFmtId="0">
      <sharedItems containsBlank="1" count="855">
        <s v="ANSELL BRAZIL L"/>
        <s v="MATTEL DO BRAS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248.68" maxValue="268217.19"/>
    </cacheField>
    <cacheField name="SERVICO" numFmtId="0">
      <sharedItems containsBlank="1" count="27"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45.78" maxValue="7407.06"/>
    </cacheField>
    <cacheField name="VOLUMES" numFmtId="0">
      <sharedItems containsString="0" containsBlank="1" containsNumber="1" containsInteger="1" minValue="1" maxValue="899"/>
    </cacheField>
    <cacheField name="PESO" numFmtId="0">
      <sharedItems containsString="0" containsBlank="1" containsNumber="1" minValue="14" maxValue="1818.05"/>
    </cacheField>
    <cacheField name="RESP. COLETA" numFmtId="0">
      <sharedItems containsBlank="1"/>
    </cacheField>
    <cacheField name="CUSTO COLETA" numFmtId="0">
      <sharedItems containsString="0" containsBlank="1" containsNumber="1" minValue="0" maxValue="4.1399999999999997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7.489999999999998" maxValue="888.8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62" maxValue="134.11000000000001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48.39" maxValue="4198.51"/>
    </cacheField>
    <cacheField name="RECEITA" numFmtId="0">
      <sharedItems containsString="0" containsBlank="1" containsNumber="1" minValue="97.39" maxValue="3208.55"/>
    </cacheField>
    <cacheField name="IMPOSTO" numFmtId="0">
      <sharedItems containsString="0" containsBlank="1" containsNumber="1" minValue="37.9" maxValue="1925.84"/>
    </cacheField>
    <cacheField name="RESULTADO" numFmtId="0">
      <sharedItems containsString="0" containsBlank="1" containsNumber="1" minValue="59.49" maxValue="1282.71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59.49" maxValue="1282.71"/>
    </cacheField>
    <cacheField name="MARGEM" numFmtId="10">
      <sharedItems containsString="0" containsBlank="1" containsNumber="1" minValue="0.17319999999999999" maxValue="0.4081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FILIAL SP"/>
    <d v="2026-09-29T00:00:00"/>
    <d v="2026-09-29T00:00:00"/>
    <n v="66154"/>
    <s v="38029-1"/>
    <x v="0"/>
    <s v="MARLON MARQUES"/>
    <n v="1248.68"/>
    <x v="0"/>
    <s v="CTE NORMAL"/>
    <s v="CRICIUMA - SC"/>
    <n v="145.78"/>
    <n v="1"/>
    <n v="14"/>
    <s v="FILIAL SP"/>
    <n v="4.1399999999999997"/>
    <s v="ROBSON BARBOSA FERREIRA"/>
    <n v="0"/>
    <s v="FERNANDO MACHADO"/>
    <n v="0"/>
    <n v="17.489999999999998"/>
    <n v="0"/>
    <n v="0"/>
    <n v="0.62"/>
    <n v="0"/>
    <n v="48.39"/>
    <n v="97.39"/>
    <n v="37.9"/>
    <n v="59.49"/>
    <n v="0"/>
    <n v="59.49"/>
    <n v="0.40810000000000002"/>
    <m/>
  </r>
  <r>
    <x v="1"/>
    <s v="MATRIZ"/>
    <d v="2026-10-01T00:00:00"/>
    <d v="2026-10-01T00:00:00"/>
    <m/>
    <s v="2261-6"/>
    <x v="1"/>
    <s v="MARLON MARQUES"/>
    <n v="268217.19"/>
    <x v="0"/>
    <s v="CTE NORMAL"/>
    <s v="PORTO ALEGRE - RS"/>
    <n v="7407.06"/>
    <n v="899"/>
    <n v="1818.05"/>
    <s v="N/D"/>
    <n v="0"/>
    <s v="N/D"/>
    <n v="0"/>
    <s v="FERNANDO MACHADO"/>
    <n v="0"/>
    <n v="888.85"/>
    <n v="0"/>
    <n v="0"/>
    <n v="134.11000000000001"/>
    <n v="0"/>
    <n v="4198.51"/>
    <n v="3208.55"/>
    <n v="1925.84"/>
    <n v="1282.71"/>
    <n v="0"/>
    <n v="1282.71"/>
    <n v="0.17319999999999999"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1"/>
        <item x="0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0"/>
        <item m="1" x="295"/>
        <item m="1" x="304"/>
        <item m="1" x="174"/>
        <item m="1" x="101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4"/>
        <item m="1" x="602"/>
        <item sd="0" m="1" x="450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5"/>
        <item m="1" x="635"/>
        <item m="1" x="458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0"/>
        <item m="1" x="353"/>
        <item m="1" x="103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1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70"/>
        <item m="1" x="118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x="1"/>
        <item m="1" x="326"/>
        <item m="1" x="35"/>
        <item m="1" x="496"/>
        <item sd="0" m="1" x="506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4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4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3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6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60"/>
    </i>
    <i r="1">
      <x v="7998"/>
    </i>
    <i>
      <x v="495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1"/>
        <item x="0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0"/>
        <item m="1" x="295"/>
        <item m="1" x="304"/>
        <item m="1" x="174"/>
        <item m="1" x="101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4"/>
        <item m="1" x="602"/>
        <item sd="0" m="1" x="450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5"/>
        <item m="1" x="635"/>
        <item m="1" x="458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0"/>
        <item m="1" x="353"/>
        <item m="1" x="103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1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70"/>
        <item m="1" x="118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x="1"/>
        <item m="1" x="326"/>
        <item m="1" x="35"/>
        <item m="1" x="496"/>
        <item sd="0" m="1" x="506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4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4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3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6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60"/>
    </i>
    <i>
      <x v="495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9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0" s="1" nd="1"/>
        <i x="324" s="1" nd="1"/>
        <i x="675" s="1" nd="1"/>
        <i x="502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9" s="1" nd="1"/>
        <i x="772" s="1" nd="1"/>
        <i x="266" s="1" nd="1"/>
        <i x="343" s="1" nd="1"/>
        <i x="676" s="1" nd="1"/>
        <i x="800" s="1" nd="1"/>
        <i x="77" s="1" nd="1"/>
        <i x="48" s="1" nd="1"/>
        <i x="668" s="1" nd="1"/>
        <i x="660" s="1" nd="1"/>
        <i x="469" s="1" nd="1"/>
        <i x="45" s="1" nd="1"/>
        <i x="730" s="1" nd="1"/>
        <i x="689" s="1" nd="1"/>
        <i x="216" s="1" nd="1"/>
        <i x="476" s="1" nd="1"/>
        <i x="633" s="1" nd="1"/>
        <i x="446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1" s="1" nd="1"/>
        <i x="553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49" s="1" nd="1"/>
        <i x="845" s="1" nd="1"/>
        <i x="445" s="1" nd="1"/>
        <i x="529" s="1" nd="1"/>
        <i x="665" s="1" nd="1"/>
        <i x="518" s="1" nd="1"/>
        <i x="792" s="1" nd="1"/>
        <i x="178" s="1" nd="1"/>
        <i x="59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3" s="1" nd="1"/>
        <i x="408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3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1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6" s="1" nd="1"/>
        <i x="186" s="1" nd="1"/>
        <i x="307" s="1" nd="1"/>
        <i x="177" s="1" nd="1"/>
        <i x="596" s="1" nd="1"/>
        <i x="172" s="1" nd="1"/>
        <i x="614" s="1" nd="1"/>
        <i x="767" s="1" nd="1"/>
        <i x="483" s="1" nd="1"/>
        <i x="53" s="1" nd="1"/>
        <i x="649" s="1" nd="1"/>
        <i x="470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6" s="1" nd="1"/>
        <i x="257" s="1" nd="1"/>
        <i x="406" s="1" nd="1"/>
        <i x="840" s="1" nd="1"/>
        <i x="457" s="1" nd="1"/>
        <i x="478" s="1" nd="1"/>
        <i x="750" s="1" nd="1"/>
        <i x="638" s="1" nd="1"/>
        <i x="54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5" s="1" nd="1"/>
        <i x="173" s="1" nd="1"/>
        <i x="627" s="1" nd="1"/>
        <i x="375" s="1" nd="1"/>
        <i x="807" s="1" nd="1"/>
        <i x="60" s="1" nd="1"/>
        <i x="631" s="1" nd="1"/>
        <i x="530" s="1" nd="1"/>
        <i x="295" s="1" nd="1"/>
        <i x="304" s="1" nd="1"/>
        <i x="174" s="1" nd="1"/>
        <i x="101" s="1" nd="1"/>
        <i x="71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4" s="1" nd="1"/>
        <i x="602" s="1" nd="1"/>
        <i x="450" s="1" nd="1"/>
        <i x="349" s="1" nd="1"/>
        <i x="79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5" s="1" nd="1"/>
        <i x="635" s="1" nd="1"/>
        <i x="458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60" s="1" nd="1"/>
        <i x="580" s="1" nd="1"/>
        <i x="353" s="1" nd="1"/>
        <i x="103" s="1" nd="1"/>
        <i x="538" s="1" nd="1"/>
        <i x="208" s="1" nd="1"/>
        <i x="671" s="1" nd="1"/>
        <i x="486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2" s="1" nd="1"/>
        <i x="805" s="1" nd="1"/>
        <i x="487" s="1" nd="1"/>
        <i x="443" s="1" nd="1"/>
        <i x="399" s="1" nd="1"/>
        <i x="608" s="1" nd="1"/>
        <i x="153" s="1" nd="1"/>
        <i x="16" s="1" nd="1"/>
        <i x="232" s="1" nd="1"/>
        <i x="241" s="1" nd="1"/>
        <i x="6" s="1" nd="1"/>
        <i x="388" s="1" nd="1"/>
        <i x="370" s="1" nd="1"/>
        <i x="615" s="1" nd="1"/>
        <i x="58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3" s="1" nd="1"/>
        <i x="589" s="1" nd="1"/>
        <i x="747" s="1" nd="1"/>
        <i x="269" s="1" nd="1"/>
        <i x="18" s="1" nd="1"/>
        <i x="637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8" s="1" nd="1"/>
        <i x="467" s="1" nd="1"/>
        <i x="140" s="1" nd="1"/>
        <i x="756" s="1" nd="1"/>
        <i x="148" s="1" nd="1"/>
        <i x="224" s="1" nd="1"/>
        <i x="720" s="1" nd="1"/>
        <i x="555" s="1" nd="1"/>
        <i x="116" s="1" nd="1"/>
        <i x="376" s="1" nd="1"/>
        <i x="718" s="1" nd="1"/>
        <i x="127" s="1" nd="1"/>
        <i x="34" s="1" nd="1"/>
        <i x="302" s="1" nd="1"/>
        <i x="548" s="1" nd="1"/>
        <i x="61" s="1" nd="1"/>
        <i x="452" s="1" nd="1"/>
        <i x="774" s="1" nd="1"/>
        <i x="485" s="1" nd="1"/>
        <i x="740" s="1" nd="1"/>
        <i x="454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3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5" s="1" nd="1"/>
        <i x="700" s="1" nd="1"/>
        <i x="428" s="1" nd="1"/>
        <i x="363" s="1" nd="1"/>
        <i x="100" s="1" nd="1"/>
        <i x="481" s="1" nd="1"/>
        <i x="607" s="1" nd="1"/>
        <i x="715" s="1" nd="1"/>
        <i x="55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6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2" s="1" nd="1"/>
        <i x="799" s="1" nd="1"/>
        <i x="217" s="1" nd="1"/>
        <i x="827" s="1" nd="1"/>
        <i x="70" s="1" nd="1"/>
        <i x="118" s="1" nd="1"/>
        <i x="645" s="1" nd="1"/>
        <i x="411" s="1" nd="1"/>
        <i x="854" s="1" nd="1"/>
        <i x="432" s="1" nd="1"/>
        <i x="569" s="1" nd="1"/>
        <i x="488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1" s="1" nd="1"/>
        <i x="662" s="1" nd="1"/>
        <i x="188" s="1" nd="1"/>
        <i x="659" s="1" nd="1"/>
        <i x="221" s="1" nd="1"/>
        <i x="449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1" s="1" nd="1"/>
        <i x="246" s="1" nd="1"/>
        <i x="398" s="1" nd="1"/>
        <i x="482" s="1" nd="1"/>
        <i x="338" s="1" nd="1"/>
        <i x="612" s="1" nd="1"/>
        <i x="672" s="1" nd="1"/>
        <i x="838" s="1" nd="1"/>
        <i x="51" s="1" nd="1"/>
        <i x="605" s="1" nd="1"/>
        <i x="326" s="1" nd="1"/>
        <i x="35" s="1" nd="1"/>
        <i x="496" s="1" nd="1"/>
        <i x="506" s="1" nd="1"/>
        <i x="447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5" s="1" nd="1"/>
        <i x="669" s="1" nd="1"/>
        <i x="94" s="1" nd="1"/>
        <i x="440" s="1" nd="1"/>
        <i x="351" s="1" nd="1"/>
        <i x="784" s="1" nd="1"/>
        <i x="499" s="1" nd="1"/>
        <i x="62" s="1" nd="1"/>
        <i x="456" s="1" nd="1"/>
        <i x="83" s="1" nd="1"/>
        <i x="325" s="1" nd="1"/>
        <i x="168" s="1" nd="1"/>
        <i x="332" s="1" nd="1"/>
        <i x="564" s="1" nd="1"/>
        <i x="504" s="1" nd="1"/>
        <i x="228" s="1" nd="1"/>
        <i x="281" s="1" nd="1"/>
        <i x="93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5" s="1" nd="1"/>
        <i x="812" s="1" nd="1"/>
        <i x="464" s="1" nd="1"/>
        <i x="745" s="1" nd="1"/>
        <i x="648" s="1" nd="1"/>
        <i x="775" s="1" nd="1"/>
        <i x="72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1" s="1" nd="1"/>
        <i x="23" s="1" nd="1"/>
        <i x="594" s="1" nd="1"/>
        <i x="435" s="1" nd="1"/>
        <i x="68" s="1" nd="1"/>
        <i x="655" s="1" nd="1"/>
        <i x="677" s="1" nd="1"/>
        <i x="565" s="1" nd="1"/>
        <i x="514" s="1" nd="1"/>
        <i x="598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3" s="1" nd="1"/>
        <i x="78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3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6" s="1" nd="1"/>
        <i x="342" s="1" nd="1"/>
        <i x="490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6" s="1" nd="1"/>
        <i x="706" s="1" nd="1"/>
        <i x="619" s="1" nd="1"/>
        <i x="731" s="1" nd="1"/>
        <i x="471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0" s="1" nd="1"/>
        <i x="185" s="1" nd="1"/>
        <i x="409" s="1" nd="1"/>
        <i x="474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80" s="1" nd="1"/>
        <i x="52" s="1" nd="1"/>
        <i x="851" s="1" nd="1"/>
        <i x="30" s="1" nd="1"/>
        <i x="570" s="1" nd="1"/>
        <i x="512" s="1" nd="1"/>
        <i x="413" s="1" nd="1"/>
        <i x="702" s="1" nd="1"/>
        <i x="204" s="1" nd="1"/>
        <i x="643" s="1" nd="1"/>
        <i x="779" s="1" nd="1"/>
        <i x="468" s="1" nd="1"/>
        <i x="41" s="1" nd="1"/>
        <i x="693" s="1" nd="1"/>
        <i x="663" s="1" nd="1"/>
        <i x="808" s="1" nd="1"/>
        <i x="816" s="1" nd="1"/>
        <i x="624" s="1" nd="1"/>
        <i x="459" s="1" nd="1"/>
        <i x="691" s="1" nd="1"/>
        <i x="134" s="1" nd="1"/>
        <i x="410" s="1" nd="1"/>
        <i x="692" s="1" nd="1"/>
        <i x="44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1" s="1" nd="1"/>
        <i x="513" s="1" nd="1"/>
        <i x="122" s="1" nd="1"/>
        <i x="646" s="1" nd="1"/>
        <i x="49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7" s="1" nd="1"/>
        <i x="500" s="1" nd="1"/>
        <i x="69" s="1" nd="1"/>
        <i x="679" s="1" nd="1"/>
        <i x="82" s="1" nd="1"/>
        <i x="634" s="1" nd="1"/>
        <i x="67" s="1" nd="1"/>
        <i x="650" s="1" nd="1"/>
        <i x="489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4" s="1" nd="1"/>
        <i x="424" s="1" nd="1"/>
        <i x="27" s="1" nd="1"/>
        <i x="765" s="1" nd="1"/>
        <i x="414" s="1" nd="1"/>
        <i x="552" s="1" nd="1"/>
        <i x="97" s="1" nd="1"/>
        <i x="85" s="1" nd="1"/>
        <i x="293" s="1" nd="1"/>
        <i x="195" s="1" nd="1"/>
        <i x="497" s="1" nd="1"/>
        <i x="262" s="1" nd="1"/>
        <i x="31" s="1" nd="1"/>
        <i x="105" s="1" nd="1"/>
        <i x="533" s="1" nd="1"/>
        <i x="297" s="1" nd="1"/>
        <i x="397" s="1" nd="1"/>
        <i x="229" s="1" nd="1"/>
        <i x="8" s="1" nd="1"/>
        <i x="473" s="1" nd="1"/>
        <i x="824" s="1" nd="1"/>
        <i x="36" s="1" nd="1"/>
        <i x="311" s="1" nd="1"/>
        <i x="825" s="1" nd="1"/>
        <i x="562" s="1" nd="1"/>
        <i x="63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6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4" s="1" nd="1"/>
        <i x="212" s="1" nd="1"/>
        <i x="599" s="1" nd="1"/>
        <i x="190" s="1" nd="1"/>
        <i x="226" s="1" nd="1"/>
        <i x="842" s="1" nd="1"/>
        <i x="836" s="1" nd="1"/>
        <i x="492" s="1" nd="1"/>
        <i x="684" s="1" nd="1"/>
        <i x="243" s="1" nd="1"/>
        <i x="57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 nd="1"/>
        <i x="14" s="1" nd="1"/>
        <i x="15" s="1" nd="1"/>
        <i x="24" s="1" nd="1"/>
        <i x="3" s="1" nd="1"/>
        <i x="6" s="1" nd="1"/>
        <i x="8" s="1" nd="1"/>
        <i x="12" s="1" nd="1"/>
        <i x="18" s="1" nd="1"/>
        <i x="19" s="1" nd="1"/>
        <i x="23" s="1" nd="1"/>
        <i x="5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7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5" totalsRowShown="0" headerRowDxfId="92" dataDxfId="90" headerRowBorderDxfId="91" tableBorderDxfId="89" totalsRowBorderDxfId="88">
  <autoFilter ref="A1:D39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303264</v>
      </c>
      <c r="B2" s="12" t="s">
        <v>616</v>
      </c>
      <c r="C2" s="14">
        <v>46294</v>
      </c>
      <c r="D2" s="14">
        <v>46294</v>
      </c>
      <c r="E2" s="12">
        <v>66154</v>
      </c>
      <c r="F2" s="15" t="s">
        <v>617</v>
      </c>
      <c r="G2" s="15" t="s">
        <v>618</v>
      </c>
      <c r="H2" s="15" t="s">
        <v>619</v>
      </c>
      <c r="I2" s="16">
        <v>1248.68</v>
      </c>
      <c r="J2" s="15" t="s">
        <v>620</v>
      </c>
      <c r="K2" s="15" t="s">
        <v>621</v>
      </c>
      <c r="L2" s="15" t="s">
        <v>622</v>
      </c>
      <c r="M2" s="15">
        <v>145.78</v>
      </c>
      <c r="N2" s="15">
        <v>1</v>
      </c>
      <c r="O2" s="16">
        <v>14</v>
      </c>
      <c r="P2" s="15" t="s">
        <v>616</v>
      </c>
      <c r="Q2" s="15">
        <v>4.1399999999999997</v>
      </c>
      <c r="R2" s="15" t="s">
        <v>623</v>
      </c>
      <c r="S2" s="15">
        <v>0</v>
      </c>
      <c r="T2" s="15" t="s">
        <v>624</v>
      </c>
      <c r="U2" s="15">
        <v>0</v>
      </c>
      <c r="V2" s="15">
        <v>17.489999999999998</v>
      </c>
      <c r="W2" s="15">
        <v>0</v>
      </c>
      <c r="X2" s="15">
        <v>0</v>
      </c>
      <c r="Y2" s="15">
        <v>0.62</v>
      </c>
      <c r="Z2" s="15">
        <v>0</v>
      </c>
      <c r="AA2" s="15">
        <v>48.39</v>
      </c>
      <c r="AB2" s="15">
        <v>97.39</v>
      </c>
      <c r="AC2" s="15">
        <v>37.9</v>
      </c>
      <c r="AD2" s="15">
        <v>59.49</v>
      </c>
      <c r="AE2" s="15">
        <v>0</v>
      </c>
      <c r="AF2" s="15">
        <v>59.49</v>
      </c>
      <c r="AG2" s="17">
        <v>0.40810000000000002</v>
      </c>
      <c r="AH2" s="15"/>
    </row>
    <row r="3" spans="1:34" s="1" customFormat="1" ht="12" customHeight="1" x14ac:dyDescent="0.3">
      <c r="A3" s="13">
        <v>303928</v>
      </c>
      <c r="B3" s="12" t="s">
        <v>625</v>
      </c>
      <c r="C3" s="14">
        <v>46296</v>
      </c>
      <c r="D3" s="14">
        <v>46296</v>
      </c>
      <c r="E3" s="12"/>
      <c r="F3" s="15" t="s">
        <v>626</v>
      </c>
      <c r="G3" s="15" t="s">
        <v>627</v>
      </c>
      <c r="H3" s="15" t="s">
        <v>619</v>
      </c>
      <c r="I3" s="16">
        <v>268217.19</v>
      </c>
      <c r="J3" s="15" t="s">
        <v>620</v>
      </c>
      <c r="K3" s="15" t="s">
        <v>621</v>
      </c>
      <c r="L3" s="15" t="s">
        <v>628</v>
      </c>
      <c r="M3" s="16">
        <v>7407.06</v>
      </c>
      <c r="N3" s="15">
        <v>899</v>
      </c>
      <c r="O3" s="16">
        <v>1818.05</v>
      </c>
      <c r="P3" s="15" t="s">
        <v>629</v>
      </c>
      <c r="Q3" s="15">
        <v>0</v>
      </c>
      <c r="R3" s="15" t="s">
        <v>629</v>
      </c>
      <c r="S3" s="15">
        <v>0</v>
      </c>
      <c r="T3" s="15" t="s">
        <v>624</v>
      </c>
      <c r="U3" s="15">
        <v>0</v>
      </c>
      <c r="V3" s="15">
        <v>888.85</v>
      </c>
      <c r="W3" s="15">
        <v>0</v>
      </c>
      <c r="X3" s="15">
        <v>0</v>
      </c>
      <c r="Y3" s="15">
        <v>134.11000000000001</v>
      </c>
      <c r="Z3" s="15">
        <v>0</v>
      </c>
      <c r="AA3" s="16">
        <v>4198.51</v>
      </c>
      <c r="AB3" s="16">
        <v>3208.55</v>
      </c>
      <c r="AC3" s="15">
        <v>1925.84</v>
      </c>
      <c r="AD3" s="15">
        <v>1282.71</v>
      </c>
      <c r="AE3" s="15">
        <v>0</v>
      </c>
      <c r="AF3" s="15">
        <v>1282.71</v>
      </c>
      <c r="AG3" s="17">
        <v>0.17319999999999999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7552.84</v>
      </c>
      <c r="F3" s="89"/>
      <c r="G3" s="90"/>
      <c r="H3" s="133">
        <f>'Resumo Detalhado'!C2</f>
        <v>1832.05</v>
      </c>
      <c r="I3" s="134"/>
      <c r="J3" s="135">
        <f>E3/H3</f>
        <v>4.1226167408094758</v>
      </c>
      <c r="K3" s="136"/>
      <c r="L3" s="137"/>
      <c r="M3" s="138" t="s">
        <v>236</v>
      </c>
      <c r="N3" s="89"/>
      <c r="O3" s="90"/>
      <c r="P3" s="106">
        <v>3500</v>
      </c>
      <c r="Q3" s="107"/>
      <c r="R3" s="108"/>
      <c r="S3" s="103">
        <f>MIN(H3/P3,1)</f>
        <v>0.5234428571428571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3204.14</v>
      </c>
      <c r="F7" s="112"/>
      <c r="G7" s="112"/>
      <c r="H7" s="112"/>
      <c r="I7" s="112"/>
      <c r="J7" s="112">
        <f>E7/H3</f>
        <v>1.7489369831609398</v>
      </c>
      <c r="K7" s="112"/>
      <c r="L7" s="112"/>
      <c r="M7" s="130">
        <f>E7/E3</f>
        <v>0.4242298261316273</v>
      </c>
      <c r="N7" s="130"/>
      <c r="O7" s="130"/>
      <c r="P7" s="112">
        <f>E11+K11+Q11+E15+K15+Q15+E19+H19+K19</f>
        <v>6057.8915999999999</v>
      </c>
      <c r="Q7" s="112"/>
      <c r="R7" s="112"/>
      <c r="S7" s="112">
        <f>P7/H3</f>
        <v>3.3066191424906526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3200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3200</v>
      </c>
      <c r="L11" s="90"/>
      <c r="M11" s="38"/>
      <c r="N11" s="88">
        <f>K11/H3</f>
        <v>1.7466772195082012</v>
      </c>
      <c r="O11" s="90"/>
      <c r="P11" s="38"/>
      <c r="Q11" s="88">
        <f>'Resumo Detalhado'!D2</f>
        <v>4.1399999999999997</v>
      </c>
      <c r="R11" s="90"/>
      <c r="S11" s="38"/>
      <c r="T11" s="88">
        <f>Q11/H3</f>
        <v>2.2597636527387352E-3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906.34</v>
      </c>
      <c r="F15" s="119"/>
      <c r="G15" s="119"/>
      <c r="H15" s="119"/>
      <c r="I15" s="132"/>
      <c r="J15" s="38"/>
      <c r="K15" s="113">
        <f>'Resumo Detalhado'!K2+'Resumo Detalhado'!L2</f>
        <v>1208.4544000000001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134.73000000000002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604.22720000000004</v>
      </c>
      <c r="L19" s="123"/>
      <c r="M19" s="38"/>
      <c r="N19" s="121" t="s">
        <v>630</v>
      </c>
      <c r="O19" s="119"/>
      <c r="P19" s="119"/>
      <c r="Q19" s="119"/>
      <c r="R19" s="120"/>
      <c r="S19" s="121">
        <v>3200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5903.4027999999998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0.78161364466876038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441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631</v>
      </c>
      <c r="F1" s="29"/>
    </row>
    <row r="2" spans="1:18" x14ac:dyDescent="0.3">
      <c r="B2" s="29">
        <f>SUM(B6:B5000)</f>
        <v>7552.84</v>
      </c>
      <c r="C2" s="29">
        <f>SUM(C6:C5000)</f>
        <v>1832.05</v>
      </c>
      <c r="D2" s="29">
        <f>SUM(D6:D5000)</f>
        <v>4.1399999999999997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906.34</v>
      </c>
      <c r="I2" s="29">
        <f t="shared" si="0"/>
        <v>134.73000000000002</v>
      </c>
      <c r="J2" s="29">
        <f t="shared" si="0"/>
        <v>0</v>
      </c>
      <c r="K2" s="29">
        <f t="shared" si="0"/>
        <v>604.22720000000004</v>
      </c>
      <c r="L2" s="29">
        <f t="shared" si="0"/>
        <v>604.22720000000004</v>
      </c>
      <c r="M2" s="29">
        <f t="shared" si="0"/>
        <v>0</v>
      </c>
      <c r="N2" s="29">
        <f t="shared" si="0"/>
        <v>5903.4027999999998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303264</v>
      </c>
      <c r="B6" s="140">
        <v>145.78</v>
      </c>
      <c r="C6" s="141">
        <v>14</v>
      </c>
      <c r="D6" s="140">
        <v>4.1399999999999997</v>
      </c>
      <c r="E6" s="140">
        <v>0</v>
      </c>
      <c r="F6" s="140">
        <v>0</v>
      </c>
      <c r="G6" s="142">
        <v>2.8398957332967482E-2</v>
      </c>
      <c r="H6" s="140">
        <v>17.489999999999998</v>
      </c>
      <c r="I6" s="140">
        <v>0.62</v>
      </c>
      <c r="J6" s="140">
        <v>0</v>
      </c>
      <c r="K6" s="140">
        <v>11.6624</v>
      </c>
      <c r="L6" s="140">
        <v>11.6624</v>
      </c>
      <c r="M6" s="140">
        <v>0</v>
      </c>
      <c r="N6" s="140">
        <v>111.86760000000001</v>
      </c>
      <c r="O6" s="142">
        <v>0.76737275346412404</v>
      </c>
      <c r="Q6"/>
    </row>
    <row r="7" spans="1:18" s="31" customFormat="1" x14ac:dyDescent="0.3">
      <c r="A7" s="9" t="s">
        <v>627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303928</v>
      </c>
      <c r="B8" s="140">
        <v>7407.06</v>
      </c>
      <c r="C8" s="141">
        <v>1818.05</v>
      </c>
      <c r="D8" s="140">
        <v>0</v>
      </c>
      <c r="E8" s="140">
        <v>0</v>
      </c>
      <c r="F8" s="140">
        <v>0</v>
      </c>
      <c r="G8" s="142">
        <v>0</v>
      </c>
      <c r="H8" s="140">
        <v>888.85</v>
      </c>
      <c r="I8" s="140">
        <v>134.11000000000001</v>
      </c>
      <c r="J8" s="140">
        <v>0</v>
      </c>
      <c r="K8" s="140">
        <v>592.56479999999999</v>
      </c>
      <c r="L8" s="140">
        <v>592.56479999999999</v>
      </c>
      <c r="M8" s="140">
        <v>0</v>
      </c>
      <c r="N8" s="140">
        <v>5791.5352000000003</v>
      </c>
      <c r="O8" s="142">
        <v>0.78189392282498049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631</v>
      </c>
    </row>
    <row r="2" spans="1:4" x14ac:dyDescent="0.3">
      <c r="B2" s="29">
        <f>SUM(B6:B5000)</f>
        <v>7407.06</v>
      </c>
      <c r="C2" s="29">
        <f>SUM(C6:C5000)</f>
        <v>5791.5352000000003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618</v>
      </c>
      <c r="B5" s="10">
        <v>145.78</v>
      </c>
      <c r="C5" s="10">
        <v>111.86760000000001</v>
      </c>
    </row>
    <row r="6" spans="1:4" x14ac:dyDescent="0.3">
      <c r="A6" s="9" t="s">
        <v>627</v>
      </c>
      <c r="B6" s="140">
        <v>7407.06</v>
      </c>
      <c r="C6" s="140">
        <v>5791.5352000000003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  <row r="395" spans="1:4" x14ac:dyDescent="0.3">
      <c r="A395" s="81"/>
      <c r="B395" s="68"/>
      <c r="C395" s="143" t="s">
        <v>630</v>
      </c>
      <c r="D395" s="87">
        <v>3200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2026-10-06T12:40:21Z</dcterms:modified>
  <cp:category/>
  <cp:contentStatus/>
</cp:coreProperties>
</file>