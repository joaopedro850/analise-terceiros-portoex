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459DA3B-6A0F-4E50-9B40-93CB4D46107F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<sst xmlns="http://schemas.openxmlformats.org/spreadsheetml/2006/main" count="914" uniqueCount="633">
  <si>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</si>
  <si>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</si>
  <si>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</si>
  <si>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</si>
  <si>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</si>
  <si>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</si>
  <si>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</si>
  <si>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</si>
  <si>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</si>
  <si>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</si>
  <si>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</si>
  <si>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</si>
  <si>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</si>
  <si>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</si>
  <si>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</si>
  <si>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</si>
  <si>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</si>
  <si>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</si>
  <si>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</si>
  <si>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</si>
  <si>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</si>
  <si>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</si>
  <si>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</si>
  <si>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</si>
  <si>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</si>
  <si>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</si>
  <si>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</si>
  <si>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</si>
  <si>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</si>
  <si>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</si>
  <si>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</si>
  <si>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</si>
  <si>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</si>
  <si>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</si>
  <si>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</si>
  <si>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</si>
  <si>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</si>
  <si>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</si>
  <si>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</si>
  <si>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</si>
  <si>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</si>
  <si>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</si>
  <si>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</si>
  <si>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</si>
  <si>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</si>
  <si>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</si>
  <si>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</si>
  <si>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</si>
  <si>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</si>
  <si>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</si>
  <si>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</si>
  <si>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</si>
  <si>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</si>
  <si>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</si>
  <si>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</si>
  <si>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</si>
  <si>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</si>
  <si>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</si>
  <si>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</si>
  <si>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</si>
  <si>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</si>
  <si>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</si>
  <si>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</si>
  <si>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</si>
  <si>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</si>
  <si>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</si>
  <si>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</si>
  <si>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</si>
  <si>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</si>
  <si>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</si>
  <si>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</si>
  <si>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</si>
  <si>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</si>
  <si>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</si>
  <si>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</si>
  <si>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</si>
  <si>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</si>
  <si>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</si>
  <si>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</si>
  <si>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</si>
  <si>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</si>
  <si>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</si>
  <si>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</si>
  <si>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</si>
  <si>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</si>
  <si>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</si>
  <si>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</si>
  <si>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</si>
  <si>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</si>
  <si>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</si>
  <si>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</si>
  <si>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</si>
  <si>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</si>
  <si>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</si>
  <si>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</si>
  <si>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</si>
  <si>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</si>
  <si>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</si>
  <si>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</si>
  <si>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</si>
  <si>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</si>
  <si>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</si>
  <si>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</si>
  <si>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</si>
  <si>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</si>
  <si>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</si>
  <si>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</si>
  <si>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</si>
  <si>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</si>
  <si>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</si>
  <si>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</si>
  <si>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</si>
  <si>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</si>
  <si>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</si>
  <si>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</si>
  <si>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</si>
  <si>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</si>
  <si>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</si>
  <si>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</si>
  <si>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</si>
  <si>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</si>
  <si>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</si>
  <si>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</si>
  <si>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</si>
  <si>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</si>
  <si>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</si>
  <si>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</si>
  <si>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</si>
  <si>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</si>
  <si>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</si>
  <si>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</si>
  <si>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</si>
  <si>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</si>
  <si>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</si>
  <si>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</si>
  <si>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</si>
  <si>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</si>
  <si>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</si>
  <si>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</si>
  <si>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</si>
  <si>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</si>
  <si>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</si>
  <si>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</si>
  <si>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</si>
  <si>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</si>
  <si>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</si>
  <si>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</si>
  <si>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</si>
  <si>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</si>
  <si>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</si>
  <si>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</si>
  <si>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</si>
  <si>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</si>
  <si>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</si>
  <si>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</si>
  <si>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</si>
  <si>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</si>
  <si>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</si>
  <si>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</si>
  <si>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</si>
  <si>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</si>
  <si>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</si>
  <si>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</si>
  <si>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</si>
  <si>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</si>
  <si>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</si>
  <si>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</si>
  <si>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</si>
  <si>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</si>
  <si>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</si>
  <si>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</si>
  <si>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</si>
  <si>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</si>
  <si>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</si>
  <si>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</si>
  <si>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</si>
  <si>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</si>
  <si>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</si>
  <si>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</si>
  <si>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</si>
  <si>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</si>
  <si>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</si>
  <si>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</si>
  <si>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</si>
  <si>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</si>
  <si>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</si>
  <si>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</si>
  <si>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</si>
  <si>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</si>
  <si>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</si>
  <si>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</si>
  <si>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</si>
  <si>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</si>
  <si>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</si>
  <si>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</si>
  <si>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</si>
  <si>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</si>
  <si>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</si>
  <si>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</si>
  <si>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</si>
  <si>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</si>
  <si>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</si>
  <si>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</si>
  <si>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</si>
  <si>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</si>
  <si>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</si>
  <si>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</si>
  <si>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</si>
  <si>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</si>
  <si>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</si>
  <si>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</si>
  <si>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</si>
  <si>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</si>
  <si>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</si>
  <si>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</si>
  <si>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</si>
  <si>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</si>
  <si>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</si>
  <si>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</si>
  <si>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</si>
  <si>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</si>
  <si>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</si>
  <si>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</si>
  <si>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</si>
  <si>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</si>
  <si>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</si>
  <si>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</si>
  <si>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</si>
  <si>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</si>
  <si>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</si>
  <si>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</si>
  <si>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</si>
  <si>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</si>
  <si>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</si>
  <si>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</si>
  <si>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</si>
  <si>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</si>
  <si>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</si>
  <si>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</si>
  <si>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</si>
  <si>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</si>
  <si>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</si>
  <si>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</si>
  <si>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</si>
  <si>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</si>
  <si>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</si>
  <si>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</si>
  <si>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</si>
  <si>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</si>
  <si>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</si>
  <si>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</si>
  <si>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</si>
  <si>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</si>
  <si>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</si>
  <si>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</si>
  <si>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</si>
  <si>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</si>
  <si>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</si>
  <si>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</si>
  <si>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</si>
  <si>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</si>
  <si>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</si>
  <si>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</si>
  <si>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</si>
  <si>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</si>
  <si>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</si>
  <si>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</si>
  <si>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</si>
  <si>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</si>
  <si>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</si>
  <si>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</si>
  <si>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</si>
  <si>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</si>
  <si>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</si>
  <si>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</si>
  <si>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</si>
  <si>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</si>
  <si>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</si>
  <si>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</si>
  <si>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</si>
  <si>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</si>
  <si>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</si>
  <si>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</si>
  <si>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</si>
  <si>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</si>
  <si>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</si>
  <si>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</si>
  <si>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</si>
  <si>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</si>
  <si>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</si>
  <si>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</si>
  <si>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</si>
  <si>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</si>
  <si>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</si>
  <si>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</si>
  <si>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</si>
  <si>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</si>
  <si>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</si>
  <si>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</si>
  <si>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</si>
  <si>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</si>
  <si>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</si>
  <si>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</si>
  <si>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</si>
  <si>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</si>
  <si>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</si>
  <si>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</si>
  <si>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</si>
  <si>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</si>
  <si>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</si>
  <si>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</si>
  <si>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</si>
  <si>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</si>
  <si>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</si>
  <si>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</si>
  <si>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</si>
  <si>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</si>
  <si>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</si>
  <si>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</si>
  <si>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</si>
  <si>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</si>
  <si>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</si>
  <si>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</si>
  <si>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</si>
  <si>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</si>
  <si>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</si>
  <si>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</si>
  <si>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</si>
  <si>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</si>
  <si>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</si>
  <si>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</si>
  <si>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</si>
  <si>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</si>
  <si>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</si>
  <si>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</si>
  <si>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</si>
  <si>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</si>
  <si>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</si>
  <si>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</si>
  <si>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</si>
  <si>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</si>
  <si>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</si>
  <si>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</si>
  <si>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</si>
  <si>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</si>
  <si>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</si>
  <si>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</si>
  <si>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</si>
  <si>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</si>
  <si>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</si>
  <si>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</si>
  <si>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</si>
  <si>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</si>
  <si>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</si>
  <si>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</si>
  <si>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</si>
  <si>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</si>
  <si>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</si>
  <si>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</si>
  <si>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</si>
  <si>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</si>
  <si>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</si>
  <si>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</si>
  <si>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</si>
  <si>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</si>
  <si>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</si>
  <si>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</si>
  <si>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</si>
  <si>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</si>
  <si>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</si>
  <si>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</si>
  <si>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</si>
  <si>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</si>
  <si>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</si>
  <si>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</si>
  <si>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</si>
  <si>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</si>
  <si>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</si>
  <si>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</si>
  <si>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</si>
  <si>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</si>
  <si>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</si>
  <si>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</si>
  <si>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</si>
  <si>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</si>
  <si>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</si>
  <si>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</si>
  <si>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</si>
  <si>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</si>
  <si>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</si>
  <si>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</si>
  <si>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</si>
  <si>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</si>
  <si>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</si>
  <si>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</si>
  <si>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</si>
  <si>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</si>
  <si>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</si>
  <si>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</si>
  <si>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</si>
  <si>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</si>
  <si>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</si>
  <si>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</si>
  <si>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</si>
  <si>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</si>
  <si>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</si>
  <si>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</si>
  <si>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</si>
  <si>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</si>
  <si>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</si>
  <si>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</si>
  <si>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</si>
  <si>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</si>
  <si>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</si>
  <si>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</si>
  <si>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</si>
  <si>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</si>
  <si>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</si>
  <si>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</si>
  <si>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</si>
  <si>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</si>
  <si>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</si>
  <si>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</si>
  <si>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</si>
  <si>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</si>
  <si>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</si>
  <si>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</si>
  <si>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</si>
  <si>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</si>
  <si>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</si>
  <si>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</si>
  <si>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</si>
  <si>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</si>
  <si>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</si>
  <si>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</si>
  <si>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</si>
  <si>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</si>
  <si>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</si>
  <si>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</si>
  <si>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</si>
  <si>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</si>
  <si>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</si>
  <si>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</si>
  <si>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</si>
  <si>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</si>
  <si>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</si>
  <si>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</si>
  <si>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</si>
  <si>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</si>
  <si>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</si>
  <si>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</si>
  <si>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</si>
  <si>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</si>
  <si>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</si>
  <si>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</si>
  <si>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</si>
  <si>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</si>
  <si>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</si>
  <si>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</si>
  <si>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</si>
  <si>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</si>
  <si>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</si>
  <si>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</si>
  <si>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</si>
  <si>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</si>
  <si>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</si>
  <si>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</si>
  <si>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</si>
  <si>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</si>
  <si>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</si>
  <si>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</si>
  <si>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</si>
  <si>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</si>
  <si>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</si>
  <si>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</si>
  <si>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</si>
  <si>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</si>
  <si>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</si>
  <si>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</si>
  <si>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</si>
  <si>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</si>
  <si>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</si>
  <si>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</si>
  <si>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</si>
  <si>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</si>
  <si>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</si>
  <si>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</si>
  <si>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</si>
  <si>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</si>
  <si>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</si>
  <si>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</si>
  <si>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</si>
  <si>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</si>
  <si>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</si>
  <si>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</si>
  <si>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</si>
  <si>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</si>
  <si>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</si>
  <si>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</si>
  <si>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</si>
  <si>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</si>
  <si>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</si>
  <si>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</si>
  <si>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</si>
  <si>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</si>
  <si>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</si>
  <si>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</si>
  <si>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</si>
  <si>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</si>
  <si>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</si>
  <si>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</si>
  <si>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</si>
  <si>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</si>
  <si>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</si>
  <si>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</si>
  <si>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</si>
  <si>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</si>
  <si>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</si>
  <si>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</si>
  <si>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</si>
  <si>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</si>
  <si>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</si>
  <si>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</si>
  <si>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</si>
  <si>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</si>
  <si>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</si>
  <si>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</si>
  <si>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</si>
  <si>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</si>
  <si>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</si>
  <si>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</si>
  <si>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</si>
  <si>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</si>
  <si>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</si>
  <si>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</si>
  <si>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</si>
  <si>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</si>
  <si>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</si>
  <si>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</si>
  <si>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</si>
  <si>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</si>
  <si>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</si>
  <si>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</si>
  <si>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</si>
  <si>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</si>
  <si>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</si>
  <si>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</si>
  <si>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</si>
  <si>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</si>
  <si>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</si>
  <si>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</si>
  <si>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</si>
  <si>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</si>
  <si>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</si>
  <si>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</si>
  <si>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</si>
  <si>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</si>
  <si>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</si>
  <si>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</si>
  <si>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</si>
  <si>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</si>
  <si>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</si>
  <si>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</si>
  <si>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</si>
  <si>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</si>
  <si>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</si>
  <si>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</si>
  <si>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</si>
  <si>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</si>
  <si>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</si>
  <si>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</si>
  <si>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</si>
  <si>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</si>
  <si>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</si>
  <si>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</si>
  <si>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</si>
  <si>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</si>
  <si>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</si>
  <si>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</si>
  <si>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</si>
  <si>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</si>
  <si>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</si>
  <si>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</si>
  <si>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</si>
  <si>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</si>
  <si>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</si>
  <si>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</si>
  <si>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</si>
  <si>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</si>
  <si>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</si>
  <si>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</si>
  <si>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</si>
  <si>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</si>
  <si>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</si>
  <si>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</si>
  <si>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</si>
  <si>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</si>
  <si>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</si>
  <si>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</si>
  <si>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</si>
  <si>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</si>
  <si>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</si>
  <si>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</si>
  <si>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</si>
  <si>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</si>
  <si>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</si>
  <si>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</si>
  <si>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</si>
  <si>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</si>
  <si>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</si>
  <si>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</si>
  <si>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</si>
  <si>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</si>
  <si>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</si>
  <si>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</si>
  <si>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</si>
  <si>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</si>
  <si>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3527-1</t>
  </si>
  <si>
    <t>STRATUS COMERCI</t>
  </si>
  <si>
    <t>MICHELL MARQUES</t>
  </si>
  <si>
    <t>ECONOMICO_250</t>
  </si>
  <si>
    <t>CTE NORMAL</t>
  </si>
  <si>
    <t>SAO PAULO - SP</t>
  </si>
  <si>
    <t>PORTOEXPRESS LOGISTICA LT</t>
  </si>
  <si>
    <t>JOSE EMILTON DA COSTA - O</t>
  </si>
  <si>
    <t>JUCELIA COSTA JOSE</t>
  </si>
  <si>
    <t>3529-1</t>
  </si>
  <si>
    <t>AC COMERCIAL IM</t>
  </si>
  <si>
    <t>TIAGO SANTANA</t>
  </si>
  <si>
    <t>PERSONALIZADO_L</t>
  </si>
  <si>
    <t>CAJAMAR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</si>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</sst>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[Analise_FILIPE_08102026.xlsx]Resumo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7223.75</c:v>
                </c:pt>
                <c:pt idx="1">
                  <c:v>139.84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4964.22</c:v>
                </c:pt>
                <c:pt idx="1">
                  <c:v>70.472799999999992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[Analise_FILIPE_08102026.xlsx]Resumo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7223.75</c:v>
                </c:pt>
                <c:pt idx="1">
                  <c:v>139.84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4964.22</c:v>
                </c:pt>
                <c:pt idx="1">
                  <c:v>70.472799999999992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9.4289157407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647"/>
        <n v="365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8T00:00:00" maxDate="2026-10-09T00:00:00"/>
    </cacheField>
    <cacheField name="DATA" numFmtId="14">
      <sharedItems containsNonDate="0" containsDate="1" containsString="0" containsBlank="1" minDate="2026-10-08T00:00:00" maxDate="2026-10-0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TRATUS COMERCI"/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76.78" maxValue="1878030.96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39.84" maxValue="7223.75"/>
    </cacheField>
    <cacheField name="VOLUMES" numFmtId="0">
      <sharedItems containsString="0" containsBlank="1" containsNumber="1" containsInteger="1" minValue="1" maxValue="444"/>
    </cacheField>
    <cacheField name="PESO" numFmtId="0">
      <sharedItems containsString="0" containsBlank="1" containsNumber="1" minValue="8.5399999999999991" maxValue="993.54"/>
    </cacheField>
    <cacheField name="RESP. COLETA" numFmtId="0">
      <sharedItems containsBlank="1"/>
    </cacheField>
    <cacheField name="CUSTO COLETA" numFmtId="0">
      <sharedItems containsString="0" containsBlank="1" containsNumber="1" minValue="0" maxValue="1.33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6.78" maxValue="866.8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7.0000000000000007E-2" maxValue="751.2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18.95" maxValue="4757.29"/>
    </cacheField>
    <cacheField name="RECEITA" numFmtId="0">
      <sharedItems containsString="0" containsBlank="1" containsNumber="1" minValue="20.89" maxValue="2466.46"/>
    </cacheField>
    <cacheField name="IMPOSTO" numFmtId="0">
      <sharedItems containsString="0" containsBlank="1" containsNumber="1" minValue="36.36" maxValue="1878.18"/>
    </cacheField>
    <cacheField name="RESULTADO" numFmtId="0">
      <sharedItems containsString="0" containsBlank="1" containsNumber="1" minValue="-15.47" maxValue="588.28000000000009"/>
    </cacheField>
    <cacheField name="COMIS" numFmtId="0">
      <sharedItems containsString="0" containsBlank="1" containsNumber="1" minValue="0" maxValue="63.57"/>
    </cacheField>
    <cacheField name="LUCRO LIQ" numFmtId="0">
      <sharedItems containsString="0" containsBlank="1" containsNumber="1" minValue="-15.47" maxValue="524.71"/>
    </cacheField>
    <cacheField name="MARGEM" numFmtId="10">
      <sharedItems containsString="0" containsBlank="1" containsNumber="1" minValue="-0.1106" maxValue="7.2599999999999998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m/>
    <d v="2026-10-08T00:00:00"/>
    <m/>
    <s v="3527-1"/>
    <x v="0"/>
    <s v="MICHELL MARQUES"/>
    <n v="176.78"/>
    <x v="0"/>
    <s v="CTE NORMAL"/>
    <s v="SAO PAULO - SP"/>
    <n v="139.84"/>
    <n v="1"/>
    <n v="8.5399999999999991"/>
    <s v="PORTOEXPRESS LOGISTICA LT"/>
    <n v="1.33"/>
    <s v="JOSE EMILTON DA COSTA - O"/>
    <n v="40"/>
    <s v="JUCELIA COSTA JOSE"/>
    <n v="0"/>
    <n v="16.78"/>
    <n v="0"/>
    <n v="0"/>
    <n v="7.0000000000000007E-2"/>
    <n v="0"/>
    <n v="118.95"/>
    <n v="20.89"/>
    <n v="36.36"/>
    <n v="-15.47"/>
    <n v="0"/>
    <n v="-15.47"/>
    <n v="-0.1106"/>
    <m/>
  </r>
  <r>
    <x v="1"/>
    <s v="MATRIZ"/>
    <d v="2026-10-08T00:00:00"/>
    <d v="2026-10-08T00:00:00"/>
    <m/>
    <s v="3529-1"/>
    <x v="1"/>
    <s v="TIAGO SANTANA"/>
    <n v="1878030.96"/>
    <x v="1"/>
    <s v="CTE NORMAL"/>
    <s v="CAJAMAR - SP"/>
    <n v="7223.75"/>
    <n v="444"/>
    <n v="993.54"/>
    <s v="N/D"/>
    <n v="0"/>
    <s v="N/D"/>
    <n v="0"/>
    <s v="JUCELIA COSTA JOSE"/>
    <n v="0"/>
    <n v="866.85"/>
    <n v="0"/>
    <n v="0"/>
    <n v="751.21"/>
    <n v="0"/>
    <n v="4757.29"/>
    <n v="2466.46"/>
    <n v="1878.18"/>
    <n v="588.28000000000009"/>
    <n v="63.57"/>
    <n v="524.71"/>
    <n v="7.2599999999999998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1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2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0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1"/>
    </i>
    <i r="1">
      <x v="7999"/>
    </i>
    <i>
      <x v="734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1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2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0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"/>
    </i>
    <i>
      <x v="734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2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4" s="1" nd="1"/>
        <i x="381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6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2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1" s="1" nd="1"/>
        <i x="805" s="1" nd="1"/>
        <i x="486" s="1" nd="1"/>
        <i x="442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3" s="1" nd="1"/>
        <i x="36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3" s="1" nd="1"/>
        <i x="589" s="1" nd="1"/>
        <i x="747" s="1" nd="1"/>
        <i x="269" s="1" nd="1"/>
        <i x="18" s="1" nd="1"/>
        <i x="637" s="1" nd="1"/>
        <i x="389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8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7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1" s="1" nd="1"/>
        <i x="246" s="1" nd="1"/>
        <i x="398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2" s="1" nd="1"/>
        <i x="594" s="1" nd="1"/>
        <i x="435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5" s="1" nd="1"/>
        <i x="409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1" s="1" nd="1"/>
        <i x="851" s="1" nd="1"/>
        <i x="29" s="1" nd="1"/>
        <i x="570" s="1" nd="1"/>
        <i x="512" s="1" nd="1"/>
        <i x="413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10" s="1" nd="1"/>
        <i x="69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0" s="1" nd="1"/>
        <i x="513" s="1" nd="1"/>
        <i x="122" s="1" nd="1"/>
        <i x="646" s="1" nd="1"/>
        <i x="48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6" s="1" nd="1"/>
        <i x="765" s="1" nd="1"/>
        <i x="414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7" s="1" nd="1"/>
        <i x="229" s="1" nd="1"/>
        <i x="8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3647</v>
      </c>
      <c r="B2" s="12" t="s">
        <v>616</v>
      </c>
      <c r="C2" s="14"/>
      <c r="D2" s="14">
        <v>46303</v>
      </c>
      <c r="E2" s="12"/>
      <c r="F2" s="15" t="s">
        <v>617</v>
      </c>
      <c r="G2" s="15" t="s">
        <v>618</v>
      </c>
      <c r="H2" s="15" t="s">
        <v>619</v>
      </c>
      <c r="I2" s="16">
        <v>176.78</v>
      </c>
      <c r="J2" s="15" t="s">
        <v>620</v>
      </c>
      <c r="K2" s="15" t="s">
        <v>621</v>
      </c>
      <c r="L2" s="15" t="s">
        <v>622</v>
      </c>
      <c r="M2" s="15">
        <v>139.84</v>
      </c>
      <c r="N2" s="15">
        <v>1</v>
      </c>
      <c r="O2" s="16">
        <v>8.5399999999999991</v>
      </c>
      <c r="P2" s="15" t="s">
        <v>623</v>
      </c>
      <c r="Q2" s="15">
        <v>1.33</v>
      </c>
      <c r="R2" s="15" t="s">
        <v>624</v>
      </c>
      <c r="S2" s="15">
        <v>40</v>
      </c>
      <c r="T2" s="15" t="s">
        <v>625</v>
      </c>
      <c r="U2" s="15">
        <v>0</v>
      </c>
      <c r="V2" s="15">
        <v>16.78</v>
      </c>
      <c r="W2" s="15">
        <v>0</v>
      </c>
      <c r="X2" s="15">
        <v>0</v>
      </c>
      <c r="Y2" s="15">
        <v>7.0000000000000007E-2</v>
      </c>
      <c r="Z2" s="15">
        <v>0</v>
      </c>
      <c r="AA2" s="15">
        <v>118.95</v>
      </c>
      <c r="AB2" s="15">
        <v>20.89</v>
      </c>
      <c r="AC2" s="15">
        <v>36.36</v>
      </c>
      <c r="AD2" s="15">
        <v>-15.47</v>
      </c>
      <c r="AE2" s="15">
        <v>0</v>
      </c>
      <c r="AF2" s="15">
        <v>-15.47</v>
      </c>
      <c r="AG2" s="17">
        <v>-0.1106</v>
      </c>
      <c r="AH2" s="15"/>
    </row>
    <row r="3" spans="1:34" s="1" customFormat="1" ht="12" customHeight="1" x14ac:dyDescent="0.3">
      <c r="A3" s="13">
        <v>3650</v>
      </c>
      <c r="B3" s="12" t="s">
        <v>616</v>
      </c>
      <c r="C3" s="14">
        <v>46303</v>
      </c>
      <c r="D3" s="14">
        <v>46303</v>
      </c>
      <c r="E3" s="12"/>
      <c r="F3" s="15" t="s">
        <v>626</v>
      </c>
      <c r="G3" s="15" t="s">
        <v>627</v>
      </c>
      <c r="H3" s="15" t="s">
        <v>628</v>
      </c>
      <c r="I3" s="16">
        <v>1878030.96</v>
      </c>
      <c r="J3" s="15" t="s">
        <v>629</v>
      </c>
      <c r="K3" s="15" t="s">
        <v>621</v>
      </c>
      <c r="L3" s="15" t="s">
        <v>630</v>
      </c>
      <c r="M3" s="16">
        <v>7223.75</v>
      </c>
      <c r="N3" s="15">
        <v>444</v>
      </c>
      <c r="O3" s="16">
        <v>993.54</v>
      </c>
      <c r="P3" s="15" t="s">
        <v>631</v>
      </c>
      <c r="Q3" s="15">
        <v>0</v>
      </c>
      <c r="R3" s="15" t="s">
        <v>631</v>
      </c>
      <c r="S3" s="15">
        <v>0</v>
      </c>
      <c r="T3" s="15" t="s">
        <v>625</v>
      </c>
      <c r="U3" s="15">
        <v>0</v>
      </c>
      <c r="V3" s="15">
        <v>866.85</v>
      </c>
      <c r="W3" s="15">
        <v>0</v>
      </c>
      <c r="X3" s="15">
        <v>0</v>
      </c>
      <c r="Y3" s="15">
        <v>751.21</v>
      </c>
      <c r="Z3" s="15">
        <v>0</v>
      </c>
      <c r="AA3" s="16">
        <v>4757.29</v>
      </c>
      <c r="AB3" s="16">
        <v>2466.46</v>
      </c>
      <c r="AC3" s="15">
        <v>1878.18</v>
      </c>
      <c r="AD3" s="15">
        <v>588.28000000000009</v>
      </c>
      <c r="AE3" s="15">
        <v>63.57</v>
      </c>
      <c r="AF3" s="15">
        <v>524.71</v>
      </c>
      <c r="AG3" s="17">
        <v>7.2599999999999998E-2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7363.59</v>
      </c>
      <c r="F3" s="89"/>
      <c r="G3" s="90"/>
      <c r="H3" s="133">
        <f>'Resumo Detalhado'!C2</f>
        <v>1002.0799999999999</v>
      </c>
      <c r="I3" s="134"/>
      <c r="J3" s="135">
        <f>E3/H3</f>
        <v>7.3483055245090219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0.28630857142857141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3201.33</v>
      </c>
      <c r="F7" s="112"/>
      <c r="G7" s="112"/>
      <c r="H7" s="112"/>
      <c r="I7" s="112"/>
      <c r="J7" s="112">
        <f>E7/H3</f>
        <v>3.1946850550854227</v>
      </c>
      <c r="K7" s="112"/>
      <c r="L7" s="112"/>
      <c r="M7" s="130">
        <f>E7/E3</f>
        <v>0.43475125584124047</v>
      </c>
      <c r="N7" s="130"/>
      <c r="O7" s="130"/>
      <c r="P7" s="112">
        <f>E11+K11+Q11+E15+K15+Q15+E19+H19+K19</f>
        <v>6603.5015999999996</v>
      </c>
      <c r="Q7" s="112"/>
      <c r="R7" s="112"/>
      <c r="S7" s="112">
        <f>P7/H3</f>
        <v>6.5897948267603388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3200</v>
      </c>
      <c r="L11" s="90"/>
      <c r="M11" s="38"/>
      <c r="N11" s="88">
        <f>K11/H3</f>
        <v>3.1933578157432541</v>
      </c>
      <c r="O11" s="90"/>
      <c r="P11" s="38"/>
      <c r="Q11" s="88">
        <f>'Resumo Detalhado'!D2</f>
        <v>1.33</v>
      </c>
      <c r="R11" s="90"/>
      <c r="S11" s="38"/>
      <c r="T11" s="88">
        <f>Q11/H3</f>
        <v>1.32723934216829E-3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883.63</v>
      </c>
      <c r="F15" s="119"/>
      <c r="G15" s="119"/>
      <c r="H15" s="119"/>
      <c r="I15" s="132"/>
      <c r="J15" s="38"/>
      <c r="K15" s="113">
        <f>'Resumo Detalhado'!K2+'Resumo Detalhado'!L2</f>
        <v>1178.1743999999999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751.28000000000009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589.08719999999994</v>
      </c>
      <c r="L19" s="123"/>
      <c r="M19" s="38"/>
      <c r="N19" s="121" t="s">
        <v>384</v>
      </c>
      <c r="O19" s="119"/>
      <c r="P19" s="119"/>
      <c r="Q19" s="119"/>
      <c r="R19" s="120"/>
      <c r="S19" s="121">
        <f>_xlfn.XLOOKUP(N19,Target!C:C,Target!D:D)</f>
        <v>3200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5034.6927999999998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0.68372801853443765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7363.59</v>
      </c>
      <c r="C2" s="29">
        <f>SUM(C6:C5000)</f>
        <v>1002.0799999999999</v>
      </c>
      <c r="D2" s="29">
        <f>SUM(D6:D5000)</f>
        <v>1.33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883.63</v>
      </c>
      <c r="I2" s="29">
        <f t="shared" si="0"/>
        <v>751.28000000000009</v>
      </c>
      <c r="J2" s="29">
        <f t="shared" si="0"/>
        <v>0</v>
      </c>
      <c r="K2" s="29">
        <f t="shared" si="0"/>
        <v>589.08719999999994</v>
      </c>
      <c r="L2" s="29">
        <f t="shared" si="0"/>
        <v>589.08719999999994</v>
      </c>
      <c r="M2" s="29">
        <f t="shared" si="0"/>
        <v>63.57</v>
      </c>
      <c r="N2" s="29">
        <f t="shared" si="0"/>
        <v>5034.6927999999998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627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3650</v>
      </c>
      <c r="B6" s="140">
        <v>7223.75</v>
      </c>
      <c r="C6" s="141">
        <v>993.54</v>
      </c>
      <c r="D6" s="140">
        <v>0</v>
      </c>
      <c r="E6" s="140">
        <v>0</v>
      </c>
      <c r="F6" s="140">
        <v>0</v>
      </c>
      <c r="G6" s="142">
        <v>0</v>
      </c>
      <c r="H6" s="140">
        <v>866.85</v>
      </c>
      <c r="I6" s="140">
        <v>751.21</v>
      </c>
      <c r="J6" s="140">
        <v>0</v>
      </c>
      <c r="K6" s="140">
        <v>577.9</v>
      </c>
      <c r="L6" s="140">
        <v>577.9</v>
      </c>
      <c r="M6" s="140">
        <v>63.57</v>
      </c>
      <c r="N6" s="140">
        <v>4964.22</v>
      </c>
      <c r="O6" s="142">
        <v>0.68720816750302827</v>
      </c>
      <c r="Q6"/>
    </row>
    <row r="7" spans="1:18" s="31" customFormat="1" x14ac:dyDescent="0.3">
      <c r="A7" s="13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3647</v>
      </c>
      <c r="B8" s="140">
        <v>139.84</v>
      </c>
      <c r="C8" s="141">
        <v>8.5399999999999991</v>
      </c>
      <c r="D8" s="140">
        <v>1.33</v>
      </c>
      <c r="E8" s="140">
        <v>40</v>
      </c>
      <c r="F8" s="140">
        <v>0</v>
      </c>
      <c r="G8" s="142">
        <v>0.29555205949656749</v>
      </c>
      <c r="H8" s="140">
        <v>16.78</v>
      </c>
      <c r="I8" s="140">
        <v>7.0000000000000007E-2</v>
      </c>
      <c r="J8" s="140">
        <v>0</v>
      </c>
      <c r="K8" s="140">
        <v>11.187200000000001</v>
      </c>
      <c r="L8" s="140">
        <v>11.187200000000001</v>
      </c>
      <c r="M8" s="140">
        <v>0</v>
      </c>
      <c r="N8" s="140">
        <v>70.472799999999992</v>
      </c>
      <c r="O8" s="142">
        <v>0.50395308924485116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139.84</v>
      </c>
      <c r="C2" s="29">
        <f>SUM(C6:C5000)</f>
        <v>70.472799999999992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627</v>
      </c>
      <c r="B5" s="10">
        <v>7223.75</v>
      </c>
      <c r="C5" s="10">
        <v>4964.22</v>
      </c>
    </row>
    <row r="6" spans="1:4" x14ac:dyDescent="0.3">
      <c r="A6" s="144" t="s">
        <v>618</v>
      </c>
      <c r="B6" s="140">
        <v>139.84</v>
      </c>
      <c r="C6" s="140">
        <v>70.472799999999992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2026-10-14T13:17:45Z</dcterms:modified>
  <cp:category/>
  <cp:contentStatus/>
</cp:coreProperties>
</file>