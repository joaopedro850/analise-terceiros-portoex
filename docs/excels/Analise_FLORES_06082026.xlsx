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E17782D-BA0B-45DE-93AC-8EB3E7C2BDED}" xr6:coauthVersionLast="47" xr6:coauthVersionMax="47" xr10:uidLastSave="{00000000-0000-0000-0000-000000000000}"/>
  <bookViews>
    <workbookView xWindow="400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<sst xmlns="http://schemas.openxmlformats.org/spreadsheetml/2006/main" count="866" uniqueCount="590">
  <si>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</si>
  <si>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</si>
  <si>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</si>
  <si>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</si>
  <si>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</si>
  <si>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</si>
  <si>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</si>
  <si>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</si>
  <si>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</si>
  <si>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</si>
  <si>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</si>
  <si>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</si>
  <si>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</si>
  <si>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</si>
  <si>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</si>
  <si>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</si>
  <si>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</si>
  <si>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</si>
  <si>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</si>
  <si>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</si>
  <si>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</si>
  <si>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</si>
  <si>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</si>
  <si>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</si>
  <si>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</si>
  <si>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</si>
  <si>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</si>
  <si>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</si>
  <si>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</si>
  <si>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</si>
  <si>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</si>
  <si>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</si>
  <si>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</si>
  <si>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</si>
  <si>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</si>
  <si>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</si>
  <si>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</si>
  <si>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</si>
  <si>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</si>
  <si>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</si>
  <si>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</si>
  <si>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</si>
  <si>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</si>
  <si>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</si>
  <si>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</si>
  <si>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</si>
  <si>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</si>
  <si>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</si>
  <si>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</si>
  <si>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</si>
  <si>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</si>
  <si>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</si>
  <si>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</si>
  <si>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</si>
  <si>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</si>
  <si>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</si>
  <si>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</si>
  <si>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</si>
  <si>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</si>
  <si>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</si>
  <si>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</si>
  <si>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</si>
  <si>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</si>
  <si>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</si>
  <si>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</si>
  <si>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</si>
  <si>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</si>
  <si>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</si>
  <si>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</si>
  <si>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</si>
  <si>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</si>
  <si>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</si>
  <si>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</si>
  <si>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</si>
  <si>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</si>
  <si>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</si>
  <si>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</si>
  <si>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</si>
  <si>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</si>
  <si>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</si>
  <si>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</si>
  <si>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</si>
  <si>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</si>
  <si>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</si>
  <si>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</si>
  <si>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</si>
  <si>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</si>
  <si>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</si>
  <si>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</si>
  <si>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</si>
  <si>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</si>
  <si>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</si>
  <si>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</si>
  <si>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</si>
  <si>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</si>
  <si>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</si>
  <si>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</si>
  <si>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</si>
  <si>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</si>
  <si>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</si>
  <si>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</si>
  <si>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</si>
  <si>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</si>
  <si>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</si>
  <si>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</si>
  <si>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</si>
  <si>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</si>
  <si>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</si>
  <si>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</si>
  <si>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</si>
  <si>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</si>
  <si>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</si>
  <si>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</si>
  <si>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</si>
  <si>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</si>
  <si>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</si>
  <si>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</si>
  <si>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</si>
  <si>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</si>
  <si>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</si>
  <si>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</si>
  <si>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</si>
  <si>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</si>
  <si>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</si>
  <si>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</si>
  <si>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</si>
  <si>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</si>
  <si>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</si>
  <si>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</si>
  <si>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</si>
  <si>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</si>
  <si>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</si>
  <si>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</si>
  <si>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</si>
  <si>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</si>
  <si>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</si>
  <si>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</si>
  <si>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</si>
  <si>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</si>
  <si>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</si>
  <si>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</si>
  <si>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</si>
  <si>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</si>
  <si>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</si>
  <si>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</si>
  <si>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</si>
  <si>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</si>
  <si>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</si>
  <si>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</si>
  <si>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</si>
  <si>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</si>
  <si>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</si>
  <si>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</si>
  <si>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</si>
  <si>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</si>
  <si>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</si>
  <si>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</si>
  <si>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</si>
  <si>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</si>
  <si>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</si>
  <si>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</si>
  <si>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</si>
  <si>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</si>
  <si>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</si>
  <si>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</si>
  <si>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</si>
  <si>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</si>
  <si>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</si>
  <si>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</si>
  <si>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</si>
  <si>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</si>
  <si>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</si>
  <si>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</si>
  <si>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</si>
  <si>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</si>
  <si>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</si>
  <si>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</si>
  <si>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</si>
  <si>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</si>
  <si>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</si>
  <si>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</si>
  <si>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</si>
  <si>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</si>
  <si>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</si>
  <si>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</si>
  <si>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</si>
  <si>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</si>
  <si>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</si>
  <si>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</si>
  <si>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</si>
  <si>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</si>
  <si>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</si>
  <si>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</si>
  <si>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</si>
  <si>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</si>
  <si>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</si>
  <si>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</si>
  <si>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</si>
  <si>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</si>
  <si>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</si>
  <si>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</si>
  <si>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</si>
  <si>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</si>
  <si>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</si>
  <si>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</si>
  <si>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</si>
  <si>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</si>
  <si>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</si>
  <si>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</si>
  <si>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</si>
  <si>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</si>
  <si>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</si>
  <si>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</si>
  <si>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</si>
  <si>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</si>
  <si>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</si>
  <si>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</si>
  <si>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</si>
  <si>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</si>
  <si>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</si>
  <si>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</si>
  <si>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</si>
  <si>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</si>
  <si>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</si>
  <si>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</si>
  <si>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</si>
  <si>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</si>
  <si>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</si>
  <si>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</si>
  <si>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</si>
  <si>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</si>
  <si>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</si>
  <si>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</si>
  <si>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</si>
  <si>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</si>
  <si>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</si>
  <si>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</si>
  <si>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</si>
  <si>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</si>
  <si>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</si>
  <si>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</si>
  <si>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</si>
  <si>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</si>
  <si>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</si>
  <si>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</si>
  <si>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</si>
  <si>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</si>
  <si>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</si>
  <si>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</si>
  <si>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</si>
  <si>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</si>
  <si>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</si>
  <si>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</si>
  <si>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</si>
  <si>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</si>
  <si>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</si>
  <si>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</si>
  <si>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</si>
  <si>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</si>
  <si>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</si>
  <si>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</si>
  <si>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</si>
  <si>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</si>
  <si>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</si>
  <si>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</si>
  <si>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</si>
  <si>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</si>
  <si>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</si>
  <si>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</si>
  <si>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</si>
  <si>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</si>
  <si>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</si>
  <si>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</si>
  <si>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</si>
  <si>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</si>
  <si>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</si>
  <si>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</si>
  <si>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</si>
  <si>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</si>
  <si>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</si>
  <si>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</si>
  <si>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</si>
  <si>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</si>
  <si>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</si>
  <si>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</si>
  <si>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</si>
  <si>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</si>
  <si>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</si>
  <si>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</si>
  <si>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</si>
  <si>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</si>
  <si>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</si>
  <si>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</si>
  <si>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</si>
  <si>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</si>
  <si>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</si>
  <si>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</si>
  <si>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</si>
  <si>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</si>
  <si>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</si>
  <si>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</si>
  <si>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</si>
  <si>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</si>
  <si>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</si>
  <si>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</si>
  <si>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</si>
  <si>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</si>
  <si>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</si>
  <si>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</si>
  <si>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</si>
  <si>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</si>
  <si>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</si>
  <si>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</si>
  <si>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</si>
  <si>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</si>
  <si>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</si>
  <si>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</si>
  <si>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</si>
  <si>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</si>
  <si>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</si>
  <si>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</si>
  <si>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</si>
  <si>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</si>
  <si>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</si>
  <si>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</si>
  <si>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</si>
  <si>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</si>
  <si>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</si>
  <si>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</si>
  <si>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</si>
  <si>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</si>
  <si>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</si>
  <si>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</si>
  <si>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</si>
  <si>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</si>
  <si>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</si>
  <si>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</si>
  <si>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</si>
  <si>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</si>
  <si>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</si>
  <si>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</si>
  <si>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</si>
  <si>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</si>
  <si>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</si>
  <si>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</si>
  <si>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</si>
  <si>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</si>
  <si>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</si>
  <si>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</si>
  <si>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</si>
  <si>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</si>
  <si>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</si>
  <si>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</si>
  <si>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</si>
  <si>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</si>
  <si>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</si>
  <si>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</si>
  <si>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</si>
  <si>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</si>
  <si>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</si>
  <si>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</si>
  <si>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</si>
  <si>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</si>
  <si>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</si>
  <si>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</si>
  <si>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</si>
  <si>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</si>
  <si>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</si>
  <si>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</si>
  <si>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</si>
  <si>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</si>
  <si>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</si>
  <si>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</si>
  <si>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</si>
  <si>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</si>
  <si>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</si>
  <si>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</si>
  <si>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</si>
  <si>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</si>
  <si>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</si>
  <si>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</si>
  <si>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</si>
  <si>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</si>
  <si>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</si>
  <si>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</si>
  <si>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</si>
  <si>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</si>
  <si>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</si>
  <si>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</si>
  <si>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</si>
  <si>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</si>
  <si>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</si>
  <si>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</si>
  <si>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</si>
  <si>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</si>
  <si>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</si>
  <si>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</si>
  <si>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</si>
  <si>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</si>
  <si>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</si>
  <si>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</si>
  <si>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</si>
  <si>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</si>
  <si>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</si>
  <si>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</si>
  <si>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</si>
  <si>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</si>
  <si>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</si>
  <si>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</si>
  <si>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</si>
  <si>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</si>
  <si>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</si>
  <si>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</si>
  <si>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</si>
  <si>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</si>
  <si>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</si>
  <si>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</si>
  <si>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</si>
  <si>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</si>
  <si>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</si>
  <si>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</si>
  <si>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</si>
  <si>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</si>
  <si>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</si>
  <si>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</si>
  <si>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</si>
  <si>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</si>
  <si>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</si>
  <si>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</si>
  <si>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</si>
  <si>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</si>
  <si>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</si>
  <si>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</si>
  <si>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</si>
  <si>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</si>
  <si>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</si>
  <si>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</si>
  <si>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</si>
  <si>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</si>
  <si>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</si>
  <si>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</si>
  <si>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</si>
  <si>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</si>
  <si>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</si>
  <si>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</si>
  <si>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</si>
  <si>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</si>
  <si>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</si>
  <si>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</si>
  <si>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</si>
  <si>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</si>
  <si>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</si>
  <si>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</si>
  <si>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</si>
  <si>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</si>
  <si>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</si>
  <si>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</si>
  <si>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</si>
  <si>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</si>
  <si>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</si>
  <si>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</si>
  <si>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</si>
  <si>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</si>
  <si>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</si>
  <si>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</si>
  <si>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</si>
  <si>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</si>
  <si>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</si>
  <si>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</si>
  <si>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</si>
  <si>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</si>
  <si>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</si>
  <si>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</si>
  <si>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</si>
  <si>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</si>
  <si>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</si>
  <si>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</si>
  <si>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</si>
  <si>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</si>
  <si>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</si>
  <si>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</si>
  <si>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</si>
  <si>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</si>
  <si>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</si>
  <si>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</si>
  <si>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</si>
  <si>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</si>
  <si>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</si>
  <si>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</si>
  <si>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</si>
  <si>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</si>
  <si>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</si>
  <si>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</si>
  <si>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</si>
  <si>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</si>
  <si>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</si>
  <si>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</si>
  <si>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</si>
  <si>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</si>
  <si>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</si>
  <si>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</si>
  <si>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</si>
  <si>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</si>
  <si>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</si>
  <si>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</si>
  <si>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</si>
  <si>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</si>
  <si>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</si>
  <si>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</si>
  <si>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</si>
  <si>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</si>
  <si>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</si>
  <si>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</si>
  <si>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</si>
  <si>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</si>
  <si>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</si>
  <si>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</si>
  <si>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</si>
  <si>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</si>
  <si>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</si>
  <si>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</si>
  <si>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</si>
  <si>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</si>
  <si>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</si>
  <si>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</si>
  <si>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</si>
  <si>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</si>
  <si>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</si>
  <si>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</si>
  <si>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</si>
  <si>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</si>
  <si>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</si>
  <si>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</si>
  <si>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</si>
  <si>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</si>
  <si>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</si>
  <si>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</si>
  <si>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</si>
  <si>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</si>
  <si>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</si>
  <si>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</si>
  <si>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</si>
  <si>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</si>
  <si>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</si>
  <si>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</si>
  <si>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</si>
  <si>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</si>
  <si>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</si>
  <si>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</si>
  <si>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</si>
  <si>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</si>
  <si>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</si>
  <si>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</si>
  <si>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</si>
  <si>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</si>
  <si>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</si>
  <si>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</si>
  <si>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</si>
  <si>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</si>
  <si>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</si>
  <si>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</si>
  <si>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</si>
  <si>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</si>
  <si>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</si>
  <si>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</si>
  <si>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</si>
  <si>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</si>
  <si>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</si>
  <si>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</si>
  <si>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</si>
  <si>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</si>
  <si>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</si>
  <si>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</si>
  <si>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</si>
  <si>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</si>
  <si>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</si>
  <si>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</si>
  <si>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2218-1</t>
  </si>
  <si>
    <t>BRAFT DO BRASIL</t>
  </si>
  <si>
    <t>CARLOS ALBERTO DE ANDRADE</t>
  </si>
  <si>
    <t>PERSONALIZADO</t>
  </si>
  <si>
    <t>CTE NORMAL</t>
  </si>
  <si>
    <t>GUARULHOS - SP</t>
  </si>
  <si>
    <t>N/D</t>
  </si>
  <si>
    <t>S A FLORES E PLANTAS LTDA</t>
  </si>
  <si>
    <t>2235-1</t>
  </si>
  <si>
    <t>CRONOS LOGISTIC</t>
  </si>
  <si>
    <t>URIEL CORREA</t>
  </si>
  <si>
    <t>PERSONALIZADO_L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</si>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</sst>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[Analise_FLORES_06082026.xlsx]Resumo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171.3</c:v>
                </c:pt>
                <c:pt idx="1">
                  <c:v>2697.95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118.86199999999998</c:v>
                </c:pt>
                <c:pt idx="1">
                  <c:v>2166.1580000000004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[Analise_FLORES_06082026.xlsx]Resumo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171.3</c:v>
                </c:pt>
                <c:pt idx="1">
                  <c:v>2697.95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118.86199999999998</c:v>
                </c:pt>
                <c:pt idx="1">
                  <c:v>2166.1580000000004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1.447105439816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304"/>
        <n v="231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5T00:00:00" maxDate="2026-08-07T00:00:00"/>
    </cacheField>
    <cacheField name="DATA" numFmtId="14">
      <sharedItems containsNonDate="0" containsDate="1" containsString="0" containsBlank="1" minDate="2026-08-06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BRAFT DO BRASIL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642.78" maxValue="47959.62"/>
    </cacheField>
    <cacheField name="SERVICO" numFmtId="0">
      <sharedItems containsBlank="1" count="27">
        <s v="PERSONALIZADO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71.3" maxValue="2697.95"/>
    </cacheField>
    <cacheField name="VOLUMES" numFmtId="0">
      <sharedItems containsString="0" containsBlank="1" containsNumber="1" containsInteger="1" minValue="8" maxValue="9"/>
    </cacheField>
    <cacheField name="PESO" numFmtId="0">
      <sharedItems containsString="0" containsBlank="1" containsNumber="1" minValue="107.4" maxValue="5381.17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20.5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46" maxValue="19.1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17.84" maxValue="1528.36"/>
    </cacheField>
    <cacheField name="RECEITA" numFmtId="0">
      <sharedItems containsString="0" containsBlank="1" containsNumber="1" minValue="53.46" maxValue="1169.5899999999999"/>
    </cacheField>
    <cacheField name="IMPOSTO" numFmtId="0">
      <sharedItems containsString="0" containsBlank="1" containsNumber="1" minValue="27.41" maxValue="431.67"/>
    </cacheField>
    <cacheField name="RESULTADO" numFmtId="0">
      <sharedItems containsString="0" containsBlank="1" containsNumber="1" minValue="26.049999999999997" maxValue="737.92000000000007"/>
    </cacheField>
    <cacheField name="COMIS" numFmtId="0">
      <sharedItems containsString="0" containsBlank="1" containsNumber="1" minValue="3.01" maxValue="80.94"/>
    </cacheField>
    <cacheField name="LUCRO LIQ" numFmtId="0">
      <sharedItems containsString="0" containsBlank="1" containsNumber="1" minValue="23.04" maxValue="656.98"/>
    </cacheField>
    <cacheField name="MARGEM" numFmtId="10">
      <sharedItems containsString="0" containsBlank="1" containsNumber="1" minValue="0.13449999999999998" maxValue="0.2435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6T00:00:00"/>
    <d v="2026-08-06T00:00:00"/>
    <m/>
    <s v="2218-1"/>
    <x v="0"/>
    <s v="CARLOS ALBERTO DE ANDRADE"/>
    <n v="3642.78"/>
    <x v="0"/>
    <s v="CTE NORMAL"/>
    <s v="GUARULHOS - SP"/>
    <n v="171.3"/>
    <n v="9"/>
    <n v="107.4"/>
    <s v="MATRIZ"/>
    <n v="0"/>
    <s v="N/D"/>
    <n v="0"/>
    <s v="S A FLORES E PLANTAS LTDA"/>
    <n v="0"/>
    <n v="20.56"/>
    <n v="0"/>
    <n v="0"/>
    <n v="1.46"/>
    <n v="0"/>
    <n v="117.84"/>
    <n v="53.46"/>
    <n v="27.41"/>
    <n v="26.049999999999997"/>
    <n v="3.01"/>
    <n v="23.04"/>
    <n v="0.13449999999999998"/>
    <m/>
  </r>
  <r>
    <x v="1"/>
    <s v="MATRIZ"/>
    <d v="2026-08-05T00:00:00"/>
    <d v="2026-08-06T00:00:00"/>
    <m/>
    <s v="2235-1"/>
    <x v="1"/>
    <s v="URIEL CORREA"/>
    <n v="47959.62"/>
    <x v="1"/>
    <s v="CTE NORMAL"/>
    <s v="GUARULHOS - SP"/>
    <n v="2697.95"/>
    <n v="8"/>
    <n v="5381.17"/>
    <s v="S A FLORES E PLANTAS LTDA"/>
    <n v="0"/>
    <s v="N/D"/>
    <n v="0"/>
    <s v="S A FLORES E PLANTAS LTDA"/>
    <n v="0"/>
    <n v="0"/>
    <n v="0"/>
    <n v="0"/>
    <n v="19.18"/>
    <n v="0"/>
    <n v="1528.36"/>
    <n v="1169.5899999999999"/>
    <n v="431.67"/>
    <n v="737.92000000000007"/>
    <n v="80.94"/>
    <n v="656.98"/>
    <n v="0.2435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x="0"/>
        <item sd="0" m="1" x="621"/>
        <item m="1" x="5"/>
        <item m="1" x="771"/>
        <item m="1" x="15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x="1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9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7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4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9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0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23"/>
    </i>
    <i r="1">
      <x v="7998"/>
    </i>
    <i>
      <x v="18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x="0"/>
        <item sd="0" m="1" x="621"/>
        <item m="1" x="5"/>
        <item m="1" x="771"/>
        <item m="1" x="15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x="1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9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7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4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9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0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23"/>
    </i>
    <i>
      <x v="18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3" s="1" nd="1"/>
        <i x="795" s="1" nd="1"/>
        <i x="544" s="1" nd="1"/>
        <i x="149" s="1" nd="1"/>
        <i x="187" s="1" nd="1"/>
        <i x="273" s="1" nd="1"/>
        <i x="12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5" s="1" nd="1"/>
        <i x="582" s="1" nd="1"/>
        <i x="852" s="1" nd="1"/>
        <i x="21" s="1" nd="1"/>
        <i x="758" s="1" nd="1"/>
        <i x="112" s="1" nd="1"/>
        <i x="545" s="1" nd="1"/>
        <i x="828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8" s="1" nd="1"/>
        <i x="669" s="1" nd="1"/>
        <i x="661" s="1" nd="1"/>
        <i x="469" s="1" nd="1"/>
        <i x="45" s="1" nd="1"/>
        <i x="731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3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5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6" s="1" nd="1"/>
        <i x="248" s="1" nd="1"/>
        <i x="764" s="1" nd="1"/>
        <i x="425" s="1" nd="1"/>
        <i x="436" s="1" nd="1"/>
        <i x="167" s="1" nd="1"/>
        <i x="543" s="1" nd="1"/>
        <i x="621" s="1" nd="1"/>
        <i x="5" s="1" nd="1"/>
        <i x="771" s="1" nd="1"/>
        <i x="15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1" s="1" nd="1"/>
        <i x="639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3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9" s="1" nd="1"/>
        <i x="160" s="1" nd="1"/>
        <i x="774" s="1" nd="1"/>
        <i x="580" s="1" nd="1"/>
        <i x="518" s="1" nd="1"/>
        <i x="798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1" s="1" nd="1"/>
        <i x="765" s="1" nd="1"/>
        <i x="509" s="1" nd="1"/>
        <i x="821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7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39" s="1" nd="1"/>
        <i x="39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2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5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4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6" s="1" nd="1"/>
        <i x="724" s="1" nd="1"/>
        <i x="749" s="1" nd="1"/>
        <i x="744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2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1" s="1" nd="1"/>
        <i x="606" s="1" nd="1"/>
        <i x="84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3" s="1" nd="1"/>
        <i x="475" s="1" nd="1"/>
        <i x="812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20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3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3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4" s="1" nd="1"/>
        <i x="725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2" s="1" nd="1"/>
        <i x="851" s="1" nd="1"/>
        <i x="30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9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7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0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8" s="1" nd="1"/>
        <i x="3" s="1" nd="1"/>
        <i x="25" s="1" nd="1"/>
        <i x="12" s="1" nd="1"/>
        <i x="14" s="1" nd="1"/>
        <i x="11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2304</v>
      </c>
      <c r="B2" s="12" t="s">
        <v>576</v>
      </c>
      <c r="C2" s="14">
        <v>46240</v>
      </c>
      <c r="D2" s="14">
        <v>46240</v>
      </c>
      <c r="E2" s="12"/>
      <c r="F2" s="15" t="s">
        <v>577</v>
      </c>
      <c r="G2" s="15" t="s">
        <v>578</v>
      </c>
      <c r="H2" s="15" t="s">
        <v>579</v>
      </c>
      <c r="I2" s="16">
        <v>3642.78</v>
      </c>
      <c r="J2" s="15" t="s">
        <v>580</v>
      </c>
      <c r="K2" s="15" t="s">
        <v>581</v>
      </c>
      <c r="L2" s="15" t="s">
        <v>582</v>
      </c>
      <c r="M2" s="15">
        <v>171.3</v>
      </c>
      <c r="N2" s="15">
        <v>9</v>
      </c>
      <c r="O2" s="16">
        <v>107.4</v>
      </c>
      <c r="P2" s="15" t="s">
        <v>576</v>
      </c>
      <c r="Q2" s="15">
        <v>0</v>
      </c>
      <c r="R2" s="15" t="s">
        <v>583</v>
      </c>
      <c r="S2" s="15">
        <v>0</v>
      </c>
      <c r="T2" s="15" t="s">
        <v>584</v>
      </c>
      <c r="U2" s="15">
        <v>0</v>
      </c>
      <c r="V2" s="15">
        <v>20.56</v>
      </c>
      <c r="W2" s="15">
        <v>0</v>
      </c>
      <c r="X2" s="15">
        <v>0</v>
      </c>
      <c r="Y2" s="15">
        <v>1.46</v>
      </c>
      <c r="Z2" s="15">
        <v>0</v>
      </c>
      <c r="AA2" s="15">
        <v>117.84</v>
      </c>
      <c r="AB2" s="15">
        <v>53.46</v>
      </c>
      <c r="AC2" s="15">
        <v>27.41</v>
      </c>
      <c r="AD2" s="15">
        <v>26.049999999999997</v>
      </c>
      <c r="AE2" s="15">
        <v>3.01</v>
      </c>
      <c r="AF2" s="15">
        <v>23.04</v>
      </c>
      <c r="AG2" s="17">
        <v>0.13449999999999998</v>
      </c>
      <c r="AH2" s="15"/>
    </row>
    <row r="3" spans="1:34" s="1" customFormat="1" ht="12" customHeight="1" x14ac:dyDescent="0.3">
      <c r="A3" s="13">
        <v>2310</v>
      </c>
      <c r="B3" s="12" t="s">
        <v>576</v>
      </c>
      <c r="C3" s="14">
        <v>46239</v>
      </c>
      <c r="D3" s="14">
        <v>46240</v>
      </c>
      <c r="E3" s="12"/>
      <c r="F3" s="15" t="s">
        <v>585</v>
      </c>
      <c r="G3" s="15" t="s">
        <v>586</v>
      </c>
      <c r="H3" s="15" t="s">
        <v>587</v>
      </c>
      <c r="I3" s="16">
        <v>47959.62</v>
      </c>
      <c r="J3" s="15" t="s">
        <v>588</v>
      </c>
      <c r="K3" s="15" t="s">
        <v>581</v>
      </c>
      <c r="L3" s="15" t="s">
        <v>582</v>
      </c>
      <c r="M3" s="16">
        <v>2697.95</v>
      </c>
      <c r="N3" s="15">
        <v>8</v>
      </c>
      <c r="O3" s="16">
        <v>5381.17</v>
      </c>
      <c r="P3" s="15" t="s">
        <v>584</v>
      </c>
      <c r="Q3" s="15">
        <v>0</v>
      </c>
      <c r="R3" s="15" t="s">
        <v>583</v>
      </c>
      <c r="S3" s="15">
        <v>0</v>
      </c>
      <c r="T3" s="15" t="s">
        <v>584</v>
      </c>
      <c r="U3" s="15">
        <v>0</v>
      </c>
      <c r="V3" s="15">
        <v>0</v>
      </c>
      <c r="W3" s="15">
        <v>0</v>
      </c>
      <c r="X3" s="15">
        <v>0</v>
      </c>
      <c r="Y3" s="15">
        <v>19.18</v>
      </c>
      <c r="Z3" s="15">
        <v>0</v>
      </c>
      <c r="AA3" s="16">
        <v>1528.36</v>
      </c>
      <c r="AB3" s="16">
        <v>1169.5899999999999</v>
      </c>
      <c r="AC3" s="15">
        <v>431.67</v>
      </c>
      <c r="AD3" s="15">
        <v>737.92000000000007</v>
      </c>
      <c r="AE3" s="15">
        <v>80.94</v>
      </c>
      <c r="AF3" s="15">
        <v>656.98</v>
      </c>
      <c r="AG3" s="17">
        <v>0.24350000000000002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2869.25</v>
      </c>
      <c r="F3" s="93"/>
      <c r="G3" s="94"/>
      <c r="H3" s="95">
        <f>'Resumo Detalhado'!C2</f>
        <v>5488.57</v>
      </c>
      <c r="I3" s="96"/>
      <c r="J3" s="97">
        <f>E3/H3</f>
        <v>0.52276822560339031</v>
      </c>
      <c r="K3" s="98"/>
      <c r="L3" s="99"/>
      <c r="M3" s="138" t="s">
        <v>60</v>
      </c>
      <c r="N3" s="93"/>
      <c r="O3" s="94"/>
      <c r="P3" s="135">
        <v>6000</v>
      </c>
      <c r="Q3" s="136"/>
      <c r="R3" s="137"/>
      <c r="S3" s="103">
        <f>MIN(H3/P3,1)</f>
        <v>0.91476166666666658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1505</v>
      </c>
      <c r="F7" s="109"/>
      <c r="G7" s="109"/>
      <c r="H7" s="109"/>
      <c r="I7" s="109"/>
      <c r="J7" s="109">
        <f>E7/H3</f>
        <v>0.27420621400474077</v>
      </c>
      <c r="K7" s="109"/>
      <c r="L7" s="109"/>
      <c r="M7" s="110">
        <f>E7/E3</f>
        <v>0.5245273155005663</v>
      </c>
      <c r="N7" s="110"/>
      <c r="O7" s="110"/>
      <c r="P7" s="109">
        <f>E11+K11+Q11+E15+K15+Q15+E19+H19+K19</f>
        <v>2234.8200000000002</v>
      </c>
      <c r="Q7" s="109"/>
      <c r="R7" s="109"/>
      <c r="S7" s="109">
        <f>P7/H3</f>
        <v>0.40717709713094674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1505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1505</v>
      </c>
      <c r="L11" s="94"/>
      <c r="M11" s="38"/>
      <c r="N11" s="92">
        <f>K11/H3</f>
        <v>0.27420621400474077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20.56</v>
      </c>
      <c r="F15" s="113"/>
      <c r="G15" s="113"/>
      <c r="H15" s="113"/>
      <c r="I15" s="114"/>
      <c r="J15" s="38"/>
      <c r="K15" s="116">
        <f>'Resumo Detalhado'!K2+'Resumo Detalhado'!L2</f>
        <v>459.08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20.64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229.54</v>
      </c>
      <c r="L19" s="108"/>
      <c r="M19" s="38"/>
      <c r="N19" s="112" t="s">
        <v>573</v>
      </c>
      <c r="O19" s="113"/>
      <c r="P19" s="113"/>
      <c r="Q19" s="113"/>
      <c r="R19" s="119"/>
      <c r="S19" s="112">
        <f>_xlfn.XLOOKUP(N19,Target!C:C,Target!D:D)</f>
        <v>1500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2285.0200000000004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0.79638232987714574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2869.25</v>
      </c>
      <c r="C2" s="29">
        <f>SUM(C6:C5000)</f>
        <v>5488.57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20.56</v>
      </c>
      <c r="I2" s="29">
        <f t="shared" si="0"/>
        <v>20.64</v>
      </c>
      <c r="J2" s="29">
        <f t="shared" si="0"/>
        <v>0</v>
      </c>
      <c r="K2" s="29">
        <f t="shared" si="0"/>
        <v>229.54</v>
      </c>
      <c r="L2" s="29">
        <f t="shared" si="0"/>
        <v>229.54</v>
      </c>
      <c r="M2" s="29">
        <f t="shared" si="0"/>
        <v>83.95</v>
      </c>
      <c r="N2" s="29">
        <f t="shared" si="0"/>
        <v>2285.0200000000004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2304</v>
      </c>
      <c r="B6" s="139">
        <v>171.3</v>
      </c>
      <c r="C6" s="140">
        <v>107.4</v>
      </c>
      <c r="D6" s="139">
        <v>0</v>
      </c>
      <c r="E6" s="139">
        <v>0</v>
      </c>
      <c r="F6" s="139">
        <v>0</v>
      </c>
      <c r="G6" s="141">
        <v>0</v>
      </c>
      <c r="H6" s="139">
        <v>20.56</v>
      </c>
      <c r="I6" s="139">
        <v>1.46</v>
      </c>
      <c r="J6" s="139">
        <v>0</v>
      </c>
      <c r="K6" s="139">
        <v>13.704000000000001</v>
      </c>
      <c r="L6" s="139">
        <v>13.704000000000001</v>
      </c>
      <c r="M6" s="139">
        <v>3.01</v>
      </c>
      <c r="N6" s="139">
        <v>118.86199999999998</v>
      </c>
      <c r="O6" s="141">
        <v>0.69388207822533554</v>
      </c>
      <c r="Q6"/>
    </row>
    <row r="7" spans="1:18" s="31" customFormat="1" x14ac:dyDescent="0.3">
      <c r="A7" s="9" t="s">
        <v>586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2310</v>
      </c>
      <c r="B8" s="139">
        <v>2697.95</v>
      </c>
      <c r="C8" s="140">
        <v>5381.17</v>
      </c>
      <c r="D8" s="139">
        <v>0</v>
      </c>
      <c r="E8" s="139">
        <v>0</v>
      </c>
      <c r="F8" s="139">
        <v>0</v>
      </c>
      <c r="G8" s="141">
        <v>0</v>
      </c>
      <c r="H8" s="139">
        <v>0</v>
      </c>
      <c r="I8" s="139">
        <v>19.18</v>
      </c>
      <c r="J8" s="139">
        <v>0</v>
      </c>
      <c r="K8" s="139">
        <v>215.83599999999998</v>
      </c>
      <c r="L8" s="139">
        <v>215.83599999999998</v>
      </c>
      <c r="M8" s="139">
        <v>80.94</v>
      </c>
      <c r="N8" s="139">
        <v>2166.1580000000004</v>
      </c>
      <c r="O8" s="141">
        <v>0.80289034266758108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2697.95</v>
      </c>
      <c r="C2" s="29">
        <f>SUM(C6:C5000)</f>
        <v>2166.1580000000004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578</v>
      </c>
      <c r="B5" s="10">
        <v>171.3</v>
      </c>
      <c r="C5" s="10">
        <v>118.86199999999998</v>
      </c>
    </row>
    <row r="6" spans="1:4" x14ac:dyDescent="0.3">
      <c r="A6" s="9" t="s">
        <v>586</v>
      </c>
      <c r="B6" s="139">
        <v>2697.95</v>
      </c>
      <c r="C6" s="139">
        <v>2166.1580000000004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800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2026-08-07T13:43:57Z</dcterms:modified>
  <cp:category/>
  <cp:contentStatus/>
</cp:coreProperties>
</file>