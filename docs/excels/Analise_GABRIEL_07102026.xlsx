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54569D3-4177-41F3-B716-D8C6453147B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<sst xmlns="http://schemas.openxmlformats.org/spreadsheetml/2006/main" count="915" uniqueCount="634">
  <si>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</si>
  <si>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</si>
  <si>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</si>
  <si>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</si>
  <si>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</si>
  <si>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</si>
  <si>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</si>
  <si>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</si>
  <si>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</si>
  <si>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</si>
  <si>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</si>
  <si>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</si>
  <si>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</si>
  <si>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</si>
  <si>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</si>
  <si>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</si>
  <si>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</si>
  <si>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</si>
  <si>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</si>
  <si>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</si>
  <si>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</si>
  <si>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</si>
  <si>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</si>
  <si>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</si>
  <si>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</si>
  <si>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</si>
  <si>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</si>
  <si>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</si>
  <si>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</si>
  <si>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</si>
  <si>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</si>
  <si>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</si>
  <si>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</si>
  <si>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</si>
  <si>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</si>
  <si>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</si>
  <si>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</si>
  <si>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</si>
  <si>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</si>
  <si>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</si>
  <si>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</si>
  <si>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</si>
  <si>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</si>
  <si>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</si>
  <si>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</si>
  <si>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</si>
  <si>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</si>
  <si>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</si>
  <si>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</si>
  <si>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</si>
  <si>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</si>
  <si>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</si>
  <si>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</si>
  <si>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</si>
  <si>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</si>
  <si>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</si>
  <si>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</si>
  <si>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</si>
  <si>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</si>
  <si>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</si>
  <si>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</si>
  <si>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</si>
  <si>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</si>
  <si>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</si>
  <si>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</si>
  <si>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</si>
  <si>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</si>
  <si>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</si>
  <si>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</si>
  <si>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</si>
  <si>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</si>
  <si>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</si>
  <si>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</si>
  <si>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</si>
  <si>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</si>
  <si>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</si>
  <si>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</si>
  <si>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</si>
  <si>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</si>
  <si>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</si>
  <si>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</si>
  <si>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</si>
  <si>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</si>
  <si>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</si>
  <si>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</si>
  <si>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</si>
  <si>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</si>
  <si>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</si>
  <si>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</si>
  <si>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</si>
  <si>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</si>
  <si>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</si>
  <si>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</si>
  <si>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</si>
  <si>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</si>
  <si>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</si>
  <si>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</si>
  <si>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</si>
  <si>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</si>
  <si>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</si>
  <si>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</si>
  <si>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</si>
  <si>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</si>
  <si>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</si>
  <si>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</si>
  <si>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</si>
  <si>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</si>
  <si>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</si>
  <si>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</si>
  <si>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</si>
  <si>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</si>
  <si>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</si>
  <si>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</si>
  <si>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</si>
  <si>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</si>
  <si>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</si>
  <si>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</si>
  <si>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</si>
  <si>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</si>
  <si>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</si>
  <si>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</si>
  <si>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</si>
  <si>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</si>
  <si>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</si>
  <si>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</si>
  <si>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</si>
  <si>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</si>
  <si>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</si>
  <si>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</si>
  <si>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</si>
  <si>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</si>
  <si>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</si>
  <si>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</si>
  <si>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</si>
  <si>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</si>
  <si>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</si>
  <si>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</si>
  <si>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</si>
  <si>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</si>
  <si>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</si>
  <si>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</si>
  <si>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</si>
  <si>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</si>
  <si>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</si>
  <si>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</si>
  <si>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</si>
  <si>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</si>
  <si>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</si>
  <si>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</si>
  <si>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</si>
  <si>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</si>
  <si>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</si>
  <si>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</si>
  <si>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</si>
  <si>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</si>
  <si>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</si>
  <si>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</si>
  <si>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</si>
  <si>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</si>
  <si>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</si>
  <si>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</si>
  <si>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</si>
  <si>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</si>
  <si>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</si>
  <si>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</si>
  <si>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</si>
  <si>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</si>
  <si>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</si>
  <si>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</si>
  <si>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</si>
  <si>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</si>
  <si>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</si>
  <si>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</si>
  <si>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</si>
  <si>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</si>
  <si>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</si>
  <si>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</si>
  <si>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</si>
  <si>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</si>
  <si>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</si>
  <si>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</si>
  <si>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</si>
  <si>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</si>
  <si>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</si>
  <si>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</si>
  <si>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</si>
  <si>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</si>
  <si>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</si>
  <si>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</si>
  <si>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</si>
  <si>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</si>
  <si>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</si>
  <si>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</si>
  <si>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</si>
  <si>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</si>
  <si>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</si>
  <si>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</si>
  <si>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</si>
  <si>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</si>
  <si>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</si>
  <si>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</si>
  <si>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</si>
  <si>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</si>
  <si>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</si>
  <si>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</si>
  <si>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</si>
  <si>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</si>
  <si>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</si>
  <si>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</si>
  <si>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</si>
  <si>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</si>
  <si>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</si>
  <si>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</si>
  <si>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</si>
  <si>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</si>
  <si>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</si>
  <si>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</si>
  <si>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</si>
  <si>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</si>
  <si>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</si>
  <si>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</si>
  <si>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</si>
  <si>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</si>
  <si>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</si>
  <si>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</si>
  <si>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</si>
  <si>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</si>
  <si>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</si>
  <si>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</si>
  <si>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</si>
  <si>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</si>
  <si>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</si>
  <si>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</si>
  <si>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</si>
  <si>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</si>
  <si>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</si>
  <si>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</si>
  <si>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</si>
  <si>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</si>
  <si>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</si>
  <si>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</si>
  <si>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</si>
  <si>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</si>
  <si>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</si>
  <si>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</si>
  <si>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</si>
  <si>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</si>
  <si>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</si>
  <si>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</si>
  <si>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</si>
  <si>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</si>
  <si>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</si>
  <si>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</si>
  <si>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</si>
  <si>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</si>
  <si>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</si>
  <si>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</si>
  <si>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</si>
  <si>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</si>
  <si>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</si>
  <si>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</si>
  <si>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</si>
  <si>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</si>
  <si>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</si>
  <si>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</si>
  <si>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</si>
  <si>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</si>
  <si>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</si>
  <si>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</si>
  <si>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</si>
  <si>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</si>
  <si>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</si>
  <si>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</si>
  <si>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</si>
  <si>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</si>
  <si>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</si>
  <si>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</si>
  <si>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</si>
  <si>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</si>
  <si>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</si>
  <si>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</si>
  <si>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</si>
  <si>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</si>
  <si>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</si>
  <si>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</si>
  <si>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</si>
  <si>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</si>
  <si>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</si>
  <si>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</si>
  <si>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</si>
  <si>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</si>
  <si>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</si>
  <si>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</si>
  <si>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</si>
  <si>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</si>
  <si>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</si>
  <si>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</si>
  <si>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</si>
  <si>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</si>
  <si>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</si>
  <si>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</si>
  <si>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</si>
  <si>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</si>
  <si>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</si>
  <si>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</si>
  <si>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</si>
  <si>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</si>
  <si>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</si>
  <si>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</si>
  <si>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</si>
  <si>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</si>
  <si>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</si>
  <si>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</si>
  <si>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</si>
  <si>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</si>
  <si>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</si>
  <si>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</si>
  <si>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</si>
  <si>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</si>
  <si>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</si>
  <si>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</si>
  <si>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</si>
  <si>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</si>
  <si>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</si>
  <si>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</si>
  <si>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</si>
  <si>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</si>
  <si>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</si>
  <si>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</si>
  <si>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</si>
  <si>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</si>
  <si>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</si>
  <si>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</si>
  <si>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</si>
  <si>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</si>
  <si>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</si>
  <si>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</si>
  <si>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</si>
  <si>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</si>
  <si>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</si>
  <si>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</si>
  <si>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</si>
  <si>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</si>
  <si>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</si>
  <si>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</si>
  <si>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</si>
  <si>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</si>
  <si>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</si>
  <si>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</si>
  <si>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</si>
  <si>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</si>
  <si>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</si>
  <si>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</si>
  <si>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</si>
  <si>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</si>
  <si>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</si>
  <si>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</si>
  <si>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</si>
  <si>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</si>
  <si>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</si>
  <si>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</si>
  <si>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</si>
  <si>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</si>
  <si>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</si>
  <si>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</si>
  <si>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</si>
  <si>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</si>
  <si>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</si>
  <si>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</si>
  <si>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</si>
  <si>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</si>
  <si>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</si>
  <si>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</si>
  <si>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</si>
  <si>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</si>
  <si>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</si>
  <si>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</si>
  <si>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</si>
  <si>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</si>
  <si>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</si>
  <si>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</si>
  <si>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</si>
  <si>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</si>
  <si>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</si>
  <si>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</si>
  <si>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</si>
  <si>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</si>
  <si>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</si>
  <si>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</si>
  <si>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</si>
  <si>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</si>
  <si>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</si>
  <si>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</si>
  <si>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</si>
  <si>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</si>
  <si>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</si>
  <si>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</si>
  <si>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</si>
  <si>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</si>
  <si>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</si>
  <si>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</si>
  <si>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</si>
  <si>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</si>
  <si>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</si>
  <si>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</si>
  <si>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</si>
  <si>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</si>
  <si>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</si>
  <si>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</si>
  <si>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</si>
  <si>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</si>
  <si>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</si>
  <si>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</si>
  <si>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</si>
  <si>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</si>
  <si>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</si>
  <si>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</si>
  <si>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</si>
  <si>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</si>
  <si>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</si>
  <si>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</si>
  <si>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</si>
  <si>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</si>
  <si>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</si>
  <si>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</si>
  <si>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</si>
  <si>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</si>
  <si>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</si>
  <si>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</si>
  <si>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</si>
  <si>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</si>
  <si>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</si>
  <si>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</si>
  <si>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</si>
  <si>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</si>
  <si>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</si>
  <si>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</si>
  <si>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</si>
  <si>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</si>
  <si>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</si>
  <si>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</si>
  <si>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</si>
  <si>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</si>
  <si>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</si>
  <si>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</si>
  <si>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</si>
  <si>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</si>
  <si>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</si>
  <si>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</si>
  <si>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</si>
  <si>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</si>
  <si>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</si>
  <si>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</si>
  <si>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</si>
  <si>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</si>
  <si>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</si>
  <si>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</si>
  <si>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</si>
  <si>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</si>
  <si>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</si>
  <si>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</si>
  <si>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</si>
  <si>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</si>
  <si>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</si>
  <si>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</si>
  <si>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</si>
  <si>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</si>
  <si>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</si>
  <si>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</si>
  <si>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</si>
  <si>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</si>
  <si>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</si>
  <si>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</si>
  <si>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</si>
  <si>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</si>
  <si>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</si>
  <si>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</si>
  <si>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</si>
  <si>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</si>
  <si>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</si>
  <si>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</si>
  <si>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</si>
  <si>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</si>
  <si>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</si>
  <si>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</si>
  <si>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</si>
  <si>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</si>
  <si>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</si>
  <si>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</si>
  <si>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</si>
  <si>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</si>
  <si>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</si>
  <si>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</si>
  <si>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</si>
  <si>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</si>
  <si>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</si>
  <si>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</si>
  <si>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</si>
  <si>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</si>
  <si>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</si>
  <si>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</si>
  <si>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</si>
  <si>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</si>
  <si>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</si>
  <si>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</si>
  <si>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</si>
  <si>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</si>
  <si>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</si>
  <si>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</si>
  <si>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</si>
  <si>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</si>
  <si>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</si>
  <si>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</si>
  <si>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</si>
  <si>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</si>
  <si>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</si>
  <si>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</si>
  <si>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</si>
  <si>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</si>
  <si>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</si>
  <si>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</si>
  <si>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</si>
  <si>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</si>
  <si>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</si>
  <si>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</si>
  <si>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</si>
  <si>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</si>
  <si>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</si>
  <si>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</si>
  <si>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</si>
  <si>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</si>
  <si>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</si>
  <si>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</si>
  <si>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</si>
  <si>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</si>
  <si>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</si>
  <si>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</si>
  <si>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</si>
  <si>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</si>
  <si>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</si>
  <si>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</si>
  <si>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</si>
  <si>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</si>
  <si>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</si>
  <si>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</si>
  <si>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</si>
  <si>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</si>
  <si>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</si>
  <si>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</si>
  <si>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</si>
  <si>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</si>
  <si>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</si>
  <si>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</si>
  <si>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</si>
  <si>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</si>
  <si>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</si>
  <si>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</si>
  <si>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</si>
  <si>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</si>
  <si>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</si>
  <si>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</si>
  <si>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</si>
  <si>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</si>
  <si>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</si>
  <si>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</si>
  <si>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</si>
  <si>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</si>
  <si>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</si>
  <si>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</si>
  <si>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</si>
  <si>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</si>
  <si>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</si>
  <si>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</si>
  <si>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</si>
  <si>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</si>
  <si>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</si>
  <si>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</si>
  <si>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</si>
  <si>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</si>
  <si>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</si>
  <si>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</si>
  <si>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</si>
  <si>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</si>
  <si>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</si>
  <si>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</si>
  <si>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</si>
  <si>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</si>
  <si>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</si>
  <si>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</si>
  <si>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</si>
  <si>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</si>
  <si>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</si>
  <si>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</si>
  <si>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</si>
  <si>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</si>
  <si>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</si>
  <si>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</si>
  <si>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</si>
  <si>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</si>
  <si>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</si>
  <si>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</si>
  <si>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</si>
  <si>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</si>
  <si>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</si>
  <si>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</si>
  <si>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</si>
  <si>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</si>
  <si>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</si>
  <si>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</si>
  <si>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</si>
  <si>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</si>
  <si>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</si>
  <si>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</si>
  <si>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</si>
  <si>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</si>
  <si>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</si>
  <si>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</si>
  <si>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3508-1</t>
  </si>
  <si>
    <t>MAC FER INDUSTR</t>
  </si>
  <si>
    <t>FRANCISCO GILAILTON/SABRI</t>
  </si>
  <si>
    <t>ECONOMICO_250</t>
  </si>
  <si>
    <t>CTE NORMAL</t>
  </si>
  <si>
    <t>GUARULHOS - SP</t>
  </si>
  <si>
    <t>PORTOEXPRESS LOGISTICA LT</t>
  </si>
  <si>
    <t>JOSE EMILTON DA COSTA - O</t>
  </si>
  <si>
    <t>UILIAN PRAZITO RODRIGUES</t>
  </si>
  <si>
    <t>3521-1</t>
  </si>
  <si>
    <t>RAISI FILIAL</t>
  </si>
  <si>
    <t>URIEL CORREA</t>
  </si>
  <si>
    <t>PERSONALIZADO_L</t>
  </si>
  <si>
    <t>DIADEMA - SP</t>
  </si>
  <si>
    <t>N/D</t>
  </si>
  <si>
    <t>Itajai-Sc X Diadema-Sp3/4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</si>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</sst>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[Analise_GABRIEL_07102026.xlsx]Resumo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RAISI FILIAL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460.67</c:v>
                </c:pt>
                <c:pt idx="1">
                  <c:v>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RAISI FILIAL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207.00639999999999</c:v>
                </c:pt>
                <c:pt idx="1">
                  <c:v>3667.12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[Analise_GABRIEL_07102026.xlsx]Resumo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RAISI FILIAL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460.67</c:v>
                </c:pt>
                <c:pt idx="1">
                  <c:v>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RAISI FILIAL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207.00639999999999</c:v>
                </c:pt>
                <c:pt idx="1">
                  <c:v>3667.12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8.45098993055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631"/>
        <n v="364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7T00:00:00" maxDate="2026-10-08T00:00:00"/>
    </cacheField>
    <cacheField name="DATA" numFmtId="14">
      <sharedItems containsNonDate="0" containsDate="1" containsString="0" containsBlank="1" minDate="2026-10-07T00:00:00" maxDate="2026-10-08T00:00:00"/>
    </cacheField>
    <cacheField name="FAT" numFmtId="0">
      <sharedItems containsString="0" containsBlank="1" containsNumber="1" containsInteger="1" minValue="766" maxValue="766"/>
    </cacheField>
    <cacheField name="CT-E" numFmtId="0">
      <sharedItems containsBlank="1"/>
    </cacheField>
    <cacheField name="CLIENTE TOMADOR" numFmtId="0">
      <sharedItems containsBlank="1" count="856">
        <s v="MAC FER INDUSTR"/>
        <s v="RAISI FILIA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450" maxValue="104790.87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460.67" maxValue="4899"/>
    </cacheField>
    <cacheField name="VOLUMES" numFmtId="0">
      <sharedItems containsString="0" containsBlank="1" containsNumber="1" containsInteger="1" minValue="25" maxValue="458"/>
    </cacheField>
    <cacheField name="PESO" numFmtId="0">
      <sharedItems containsString="0" containsBlank="1" containsNumber="1" minValue="500" maxValue="2586.5500000000002"/>
    </cacheField>
    <cacheField name="RESP. COLETA" numFmtId="0">
      <sharedItems containsBlank="1"/>
    </cacheField>
    <cacheField name="CUSTO COLETA" numFmtId="0">
      <sharedItems containsString="0" containsBlank="1" containsNumber="1" minValue="0" maxValue="37.72999999999999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21.62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55.28" maxValue="587.8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1800000000000002" maxValue="41.92"/>
    </cacheField>
    <cacheField name="OUTROS" numFmtId="0">
      <sharedItems containsString="0" containsBlank="1" containsNumber="1" minValue="0" maxValue="210.16"/>
    </cacheField>
    <cacheField name="C.TOTAL" numFmtId="0">
      <sharedItems containsString="0" containsBlank="1" containsNumber="1" minValue="491.85" maxValue="3764.92"/>
    </cacheField>
    <cacheField name="RECEITA" numFmtId="0">
      <sharedItems containsString="0" containsBlank="1" containsNumber="1" minValue="-31.18" maxValue="1134.08"/>
    </cacheField>
    <cacheField name="IMPOSTO" numFmtId="0">
      <sharedItems containsString="0" containsBlank="1" containsNumber="1" minValue="119.77" maxValue="1273.74"/>
    </cacheField>
    <cacheField name="RESULTADO" numFmtId="0">
      <sharedItems containsString="0" containsBlank="1" containsNumber="1" minValue="-268.99" maxValue="-150.94999999999999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68.99" maxValue="-150.94999999999999"/>
    </cacheField>
    <cacheField name="MARGEM" numFmtId="10">
      <sharedItems containsString="0" containsBlank="1" containsNumber="1" minValue="-0.32770000000000005" maxValue="-5.4900000000000004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7T00:00:00"/>
    <d v="2026-10-07T00:00:00"/>
    <m/>
    <s v="3508-1"/>
    <x v="0"/>
    <s v="FRANCISCO GILAILTON/SABRI"/>
    <n v="5450"/>
    <x v="0"/>
    <s v="CTE NORMAL"/>
    <s v="GUARULHOS - SP"/>
    <n v="460.67"/>
    <n v="25"/>
    <n v="500"/>
    <s v="PORTOEXPRESS LOGISTICA LT"/>
    <n v="37.729999999999997"/>
    <s v="JOSE EMILTON DA COSTA - O"/>
    <n v="121.62"/>
    <s v="UILIAN PRAZITO RODRIGUES"/>
    <n v="0"/>
    <n v="55.28"/>
    <n v="0"/>
    <n v="0"/>
    <n v="2.1800000000000002"/>
    <n v="0"/>
    <n v="491.85"/>
    <n v="-31.18"/>
    <n v="119.77"/>
    <n v="-150.94999999999999"/>
    <n v="0"/>
    <n v="-150.94999999999999"/>
    <n v="-0.32770000000000005"/>
    <m/>
  </r>
  <r>
    <x v="1"/>
    <s v="MATRIZ"/>
    <d v="2026-10-07T00:00:00"/>
    <d v="2026-10-07T00:00:00"/>
    <n v="766"/>
    <s v="3521-1"/>
    <x v="1"/>
    <s v="URIEL CORREA"/>
    <n v="104790.87"/>
    <x v="1"/>
    <s v="CTE NORMAL"/>
    <s v="DIADEMA - SP"/>
    <n v="4899"/>
    <n v="458"/>
    <n v="2586.5500000000002"/>
    <s v="N/D"/>
    <n v="0"/>
    <s v="N/D"/>
    <n v="0"/>
    <s v="UILIAN PRAZITO RODRIGUES"/>
    <n v="0"/>
    <n v="587.88"/>
    <n v="0"/>
    <n v="0"/>
    <n v="41.92"/>
    <n v="210.16"/>
    <n v="3764.92"/>
    <n v="1134.08"/>
    <n v="1273.74"/>
    <n v="-268.99"/>
    <n v="0"/>
    <n v="-268.99"/>
    <n v="-5.4900000000000004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7"/>
        <item m="1" x="249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5"/>
        <item m="1" x="396"/>
        <item m="1" x="259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8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1"/>
        <item m="1" x="855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x="0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5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x="1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6"/>
        <item sd="0" m="1" x="409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0"/>
        <item m="1" x="693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1"/>
        <item m="1" x="426"/>
        <item m="1" x="177"/>
        <item m="1" x="367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68"/>
    </i>
    <i r="1">
      <x v="7998"/>
    </i>
    <i>
      <x v="646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7"/>
        <item m="1" x="249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5"/>
        <item m="1" x="396"/>
        <item m="1" x="259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8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1"/>
        <item m="1" x="855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x="0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5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x="1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6"/>
        <item sd="0" m="1" x="409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0"/>
        <item m="1" x="693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1"/>
        <item m="1" x="426"/>
        <item m="1" x="177"/>
        <item m="1" x="367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68"/>
    </i>
    <i>
      <x v="646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4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2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1" s="1" nd="1"/>
        <i x="479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10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1" s="1" nd="1"/>
        <i x="323" s="1" nd="1"/>
        <i x="461" s="1" nd="1"/>
        <i x="506" s="1" nd="1"/>
        <i x="554" s="1" nd="1"/>
        <i x="477" s="1" nd="1"/>
        <i x="245" s="1" nd="1"/>
        <i x="849" s="1" nd="1"/>
        <i x="833" s="1" nd="1"/>
        <i x="743" s="1" nd="1"/>
        <i x="241" s="1" nd="1"/>
        <i x="240" s="1" nd="1"/>
        <i x="462" s="1" nd="1"/>
        <i x="287" s="1" nd="1"/>
        <i x="550" s="1" nd="1"/>
        <i x="846" s="1" nd="1"/>
        <i x="445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8" s="1" nd="1"/>
        <i x="516" s="1" nd="1"/>
        <i x="319" s="1" nd="1"/>
        <i x="592" s="1" nd="1"/>
        <i x="596" s="1" nd="1"/>
        <i x="733" s="1" nd="1"/>
        <i x="786" s="1" nd="1"/>
        <i x="184" s="1" nd="1"/>
        <i x="836" s="1" nd="1"/>
        <i x="712" s="1" nd="1"/>
        <i x="378" s="1" nd="1"/>
        <i x="208" s="1" nd="1"/>
        <i x="522" s="1" nd="1"/>
        <i x="463" s="1" nd="1"/>
        <i x="139" s="1" nd="1"/>
        <i x="662" s="1" nd="1"/>
        <i x="372" s="1" nd="1"/>
        <i x="155" s="1" nd="1"/>
        <i x="252" s="1" nd="1"/>
        <i x="629" s="1" nd="1"/>
        <i x="737" s="1" nd="1"/>
        <i x="421" s="1" nd="1"/>
        <i x="81" s="1" nd="1"/>
        <i x="697" s="1" nd="1"/>
        <i x="285" s="1" nd="1"/>
        <i x="847" s="1" nd="1"/>
        <i x="249" s="1" nd="1"/>
        <i x="764" s="1" nd="1"/>
        <i x="425" s="1" nd="1"/>
        <i x="436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3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9" s="1" nd="1"/>
        <i x="437" s="1" nd="1"/>
        <i x="353" s="1" nd="1"/>
        <i x="572" s="1" nd="1"/>
        <i x="568" s="1" nd="1"/>
        <i x="734" s="1" nd="1"/>
        <i x="756" s="1" nd="1"/>
        <i x="121" s="1" nd="1"/>
        <i x="390" s="1" nd="1"/>
        <i x="89" s="1" nd="1"/>
        <i x="382" s="1" nd="1"/>
        <i x="815" s="1" nd="1"/>
        <i x="396" s="1" nd="1"/>
        <i x="259" s="1" nd="1"/>
        <i x="377" s="1" nd="1"/>
        <i x="850" s="1" nd="1"/>
        <i x="648" s="1" nd="1"/>
        <i x="854" s="1" nd="1"/>
        <i x="830" s="1" nd="1"/>
        <i x="107" s="1" nd="1"/>
        <i x="401" s="1" nd="1"/>
        <i x="115" s="1" nd="1"/>
        <i x="653" s="1" nd="1"/>
        <i x="657" s="1" nd="1"/>
        <i x="796" s="1" nd="1"/>
        <i x="696" s="1" nd="1"/>
        <i x="455" s="1" nd="1"/>
        <i x="381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6" s="1" nd="1"/>
        <i x="841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4" s="1" nd="1"/>
        <i x="628" s="1" nd="1"/>
        <i x="375" s="1" nd="1"/>
        <i x="808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0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7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6" s="1" nd="1"/>
        <i x="433" s="1" nd="1"/>
        <i x="709" s="1" nd="1"/>
        <i x="211" s="1" nd="1"/>
        <i x="439" s="1" nd="1"/>
        <i x="103" s="1" nd="1"/>
        <i x="197" s="1" nd="1"/>
        <i x="832" s="1" nd="1"/>
        <i x="765" s="1" nd="1"/>
        <i x="509" s="1" nd="1"/>
        <i x="822" s="1" nd="1"/>
        <i x="342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4" s="1" nd="1"/>
        <i x="124" s="1" nd="1"/>
        <i x="268" s="1" nd="1"/>
        <i x="293" s="1" nd="1"/>
        <i x="355" s="1" nd="1"/>
        <i x="99" s="1" nd="1"/>
        <i x="460" s="1" nd="1"/>
        <i x="581" s="1" nd="1"/>
        <i x="354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4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4" s="1" nd="1"/>
        <i x="16" s="1" nd="1"/>
        <i x="233" s="1" nd="1"/>
        <i x="242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6" s="1" nd="1"/>
        <i x="317" s="1" nd="1"/>
        <i x="380" s="1" nd="1"/>
        <i x="540" s="1" nd="1"/>
        <i x="315" s="1" nd="1"/>
        <i x="340" s="1" nd="1"/>
        <i x="772" s="1" nd="1"/>
        <i x="144" s="1" nd="1"/>
        <i x="667" s="1" nd="1"/>
        <i x="840" s="1" nd="1"/>
        <i x="39" s="1" nd="1"/>
        <i x="383" s="1" nd="1"/>
        <i x="590" s="1" nd="1"/>
        <i x="748" s="1" nd="1"/>
        <i x="270" s="1" nd="1"/>
        <i x="18" s="1" nd="1"/>
        <i x="638" s="1" nd="1"/>
        <i x="389" s="1" nd="1"/>
        <i x="480" s="1" nd="1"/>
        <i x="345" s="1" nd="1"/>
        <i x="738" s="1" nd="1"/>
        <i x="246" s="1" nd="1"/>
        <i x="262" s="1" nd="1"/>
        <i x="275" s="1" nd="1"/>
        <i x="823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69" s="1" nd="1"/>
        <i x="336" s="1" nd="1"/>
        <i x="176" s="1" nd="1"/>
        <i x="420" s="1" nd="1"/>
        <i x="702" s="1" nd="1"/>
        <i x="698" s="1" nd="1"/>
        <i x="379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8" s="1" nd="1"/>
        <i x="816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6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4" s="1" nd="1"/>
        <i x="742" s="1" nd="1"/>
        <i x="195" s="1" nd="1"/>
        <i x="747" s="1" nd="1"/>
        <i x="384" s="1" nd="1"/>
        <i x="138" s="1" nd="1"/>
        <i x="659" s="1" nd="1"/>
        <i x="430" s="1" nd="1"/>
        <i x="665" s="1" nd="1"/>
        <i x="493" s="1" nd="1"/>
        <i x="686" s="1" nd="1"/>
        <i x="328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8" s="1" nd="1"/>
        <i x="125" s="1" nd="1"/>
        <i x="465" s="1" nd="1"/>
        <i x="701" s="1" nd="1"/>
        <i x="428" s="1" nd="1"/>
        <i x="364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1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3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8" s="1" nd="1"/>
        <i x="70" s="1" nd="1"/>
        <i x="119" s="1" nd="1"/>
        <i x="646" s="1" nd="1"/>
        <i x="411" s="1" nd="1"/>
        <i x="855" s="1" nd="1"/>
        <i x="432" s="1" nd="1"/>
        <i x="570" s="1" nd="1"/>
        <i x="488" s="1" nd="1"/>
        <i x="183" s="1" nd="1"/>
        <i x="374" s="1" nd="1"/>
        <i x="243" s="1" nd="1"/>
        <i x="338" s="1" nd="1"/>
        <i x="528" s="1" nd="1"/>
        <i x="423" s="1" nd="1"/>
        <i x="789" s="1" nd="1"/>
        <i x="302" s="1" nd="1"/>
        <i x="310" s="1" nd="1"/>
        <i x="491" s="1" nd="1"/>
        <i x="663" s="1" nd="1"/>
        <i x="189" s="1" nd="1"/>
        <i x="660" s="1" nd="1"/>
        <i x="222" s="1" nd="1"/>
        <i x="449" s="1" nd="1"/>
        <i x="148" s="1" nd="1"/>
        <i x="363" s="1" nd="1"/>
        <i x="264" s="1" nd="1"/>
        <i x="292" s="1" nd="1"/>
        <i x="541" s="1" nd="1"/>
        <i x="811" s="1" nd="1"/>
        <i x="604" s="1" nd="1"/>
        <i x="32" s="1" nd="1"/>
        <i x="269" s="1" nd="1"/>
        <i x="752" s="1" nd="1"/>
        <i x="371" s="1" nd="1"/>
        <i x="247" s="1" nd="1"/>
        <i x="398" s="1" nd="1"/>
        <i x="482" s="1" nd="1"/>
        <i x="339" s="1" nd="1"/>
        <i x="613" s="1" nd="1"/>
        <i x="673" s="1" nd="1"/>
        <i x="839" s="1" nd="1"/>
        <i x="51" s="1" nd="1"/>
        <i x="606" s="1" nd="1"/>
        <i x="85" s="1" nd="1"/>
        <i x="327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20" s="1" nd="1"/>
        <i x="170" s="1" nd="1"/>
        <i x="710" s="1" nd="1"/>
        <i x="172" s="1" nd="1"/>
        <i x="587" s="1" nd="1"/>
        <i x="228" s="1" nd="1"/>
        <i x="391" s="1" nd="1"/>
        <i x="658" s="1" nd="1"/>
        <i x="311" s="1" nd="1"/>
        <i x="75" s="1" nd="1"/>
        <i x="670" s="1" nd="1"/>
        <i x="95" s="1" nd="1"/>
        <i x="440" s="1" nd="1"/>
        <i x="352" s="1" nd="1"/>
        <i x="785" s="1" nd="1"/>
        <i x="499" s="1" nd="1"/>
        <i x="62" s="1" nd="1"/>
        <i x="456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7" s="1" nd="1"/>
        <i x="321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4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4" s="1" nd="1"/>
        <i x="337" s="1" nd="1"/>
        <i x="524" s="1" nd="1"/>
        <i x="248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4" s="1" nd="1"/>
        <i x="314" s="1" nd="1"/>
        <i x="348" s="1" nd="1"/>
        <i x="283" s="1" nd="1"/>
        <i x="324" s="1" nd="1"/>
        <i x="845" s="1" nd="1"/>
        <i x="359" s="1" nd="1"/>
        <i x="387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4" s="1" nd="1"/>
        <i x="586" s="1" nd="1"/>
        <i x="797" s="1" nd="1"/>
        <i x="727" s="1" nd="1"/>
        <i x="412" s="1" nd="1"/>
        <i x="26" s="1" nd="1"/>
        <i x="343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8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2" s="1" nd="1"/>
        <i x="444" s="1" nd="1"/>
        <i x="194" s="1" nd="1"/>
        <i x="307" s="1" nd="1"/>
        <i x="341" s="1" nd="1"/>
        <i x="97" s="1" nd="1"/>
        <i x="695" s="1" nd="1"/>
        <i x="306" s="1" nd="1"/>
        <i x="356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6" s="1" nd="1"/>
        <i x="409" s="1" nd="1"/>
        <i x="474" s="1" nd="1"/>
        <i x="838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5" s="1" nd="1"/>
        <i x="745" s="1" nd="1"/>
        <i x="80" s="1" nd="1"/>
        <i x="52" s="1" nd="1"/>
        <i x="852" s="1" nd="1"/>
        <i x="30" s="1" nd="1"/>
        <i x="571" s="1" nd="1"/>
        <i x="513" s="1" nd="1"/>
        <i x="413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9" s="1" nd="1"/>
        <i x="817" s="1" nd="1"/>
        <i x="625" s="1" nd="1"/>
        <i x="459" s="1" nd="1"/>
        <i x="692" s="1" nd="1"/>
        <i x="135" s="1" nd="1"/>
        <i x="410" s="1" nd="1"/>
        <i x="693" s="1" nd="1"/>
        <i x="442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5" s="1" nd="1"/>
        <i x="577" s="1" nd="1"/>
        <i x="361" s="1" nd="1"/>
        <i x="451" s="1" nd="1"/>
        <i x="514" s="1" nd="1"/>
        <i x="123" s="1" nd="1"/>
        <i x="647" s="1" nd="1"/>
        <i x="49" s="1" nd="1"/>
        <i x="416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4" s="1" nd="1"/>
        <i x="27" s="1" nd="1"/>
        <i x="766" s="1" nd="1"/>
        <i x="414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7" s="1" nd="1"/>
        <i x="230" s="1" nd="1"/>
        <i x="8" s="1" nd="1"/>
        <i x="473" s="1" nd="1"/>
        <i x="825" s="1" nd="1"/>
        <i x="36" s="1" nd="1"/>
        <i x="312" s="1" nd="1"/>
        <i x="826" s="1" nd="1"/>
        <i x="563" s="1" nd="1"/>
        <i x="63" s="1" nd="1"/>
        <i x="569" s="1" nd="1"/>
        <i x="431" s="1" nd="1"/>
        <i x="426" s="1" nd="1"/>
        <i x="177" s="1" nd="1"/>
        <i x="367" s="1" nd="1"/>
        <i x="759" s="1" nd="1"/>
        <i x="601" s="1" nd="1"/>
        <i x="13" s="1" nd="1"/>
        <i x="93" s="1" nd="1"/>
        <i x="438" s="1" nd="1"/>
        <i x="434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3" s="1" nd="1"/>
        <i x="837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3631</v>
      </c>
      <c r="B2" s="12" t="s">
        <v>616</v>
      </c>
      <c r="C2" s="14">
        <v>46302</v>
      </c>
      <c r="D2" s="14">
        <v>46302</v>
      </c>
      <c r="E2" s="12"/>
      <c r="F2" s="15" t="s">
        <v>617</v>
      </c>
      <c r="G2" s="15" t="s">
        <v>618</v>
      </c>
      <c r="H2" s="15" t="s">
        <v>619</v>
      </c>
      <c r="I2" s="16">
        <v>5450</v>
      </c>
      <c r="J2" s="15" t="s">
        <v>620</v>
      </c>
      <c r="K2" s="15" t="s">
        <v>621</v>
      </c>
      <c r="L2" s="15" t="s">
        <v>622</v>
      </c>
      <c r="M2" s="15">
        <v>460.67</v>
      </c>
      <c r="N2" s="15">
        <v>25</v>
      </c>
      <c r="O2" s="16">
        <v>500</v>
      </c>
      <c r="P2" s="15" t="s">
        <v>623</v>
      </c>
      <c r="Q2" s="15">
        <v>37.729999999999997</v>
      </c>
      <c r="R2" s="15" t="s">
        <v>624</v>
      </c>
      <c r="S2" s="15">
        <v>121.62</v>
      </c>
      <c r="T2" s="15" t="s">
        <v>625</v>
      </c>
      <c r="U2" s="15">
        <v>0</v>
      </c>
      <c r="V2" s="15">
        <v>55.28</v>
      </c>
      <c r="W2" s="15">
        <v>0</v>
      </c>
      <c r="X2" s="15">
        <v>0</v>
      </c>
      <c r="Y2" s="15">
        <v>2.1800000000000002</v>
      </c>
      <c r="Z2" s="15">
        <v>0</v>
      </c>
      <c r="AA2" s="15">
        <v>491.85</v>
      </c>
      <c r="AB2" s="15">
        <v>-31.18</v>
      </c>
      <c r="AC2" s="15">
        <v>119.77</v>
      </c>
      <c r="AD2" s="15">
        <v>-150.94999999999999</v>
      </c>
      <c r="AE2" s="15">
        <v>0</v>
      </c>
      <c r="AF2" s="15">
        <v>-150.94999999999999</v>
      </c>
      <c r="AG2" s="17">
        <v>-0.32770000000000005</v>
      </c>
      <c r="AH2" s="15"/>
    </row>
    <row r="3" spans="1:34" s="1" customFormat="1" ht="12" customHeight="1" x14ac:dyDescent="0.3">
      <c r="A3" s="13">
        <v>3642</v>
      </c>
      <c r="B3" s="12" t="s">
        <v>616</v>
      </c>
      <c r="C3" s="14">
        <v>46302</v>
      </c>
      <c r="D3" s="14">
        <v>46302</v>
      </c>
      <c r="E3" s="12">
        <v>766</v>
      </c>
      <c r="F3" s="15" t="s">
        <v>626</v>
      </c>
      <c r="G3" s="15" t="s">
        <v>627</v>
      </c>
      <c r="H3" s="15" t="s">
        <v>628</v>
      </c>
      <c r="I3" s="16">
        <v>104790.87</v>
      </c>
      <c r="J3" s="15" t="s">
        <v>629</v>
      </c>
      <c r="K3" s="15" t="s">
        <v>621</v>
      </c>
      <c r="L3" s="15" t="s">
        <v>630</v>
      </c>
      <c r="M3" s="16">
        <v>4899</v>
      </c>
      <c r="N3" s="15">
        <v>458</v>
      </c>
      <c r="O3" s="16">
        <v>2586.5500000000002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587.88</v>
      </c>
      <c r="W3" s="15">
        <v>0</v>
      </c>
      <c r="X3" s="15">
        <v>0</v>
      </c>
      <c r="Y3" s="15">
        <v>41.92</v>
      </c>
      <c r="Z3" s="15">
        <v>210.16</v>
      </c>
      <c r="AA3" s="16">
        <v>3764.92</v>
      </c>
      <c r="AB3" s="16">
        <v>1134.08</v>
      </c>
      <c r="AC3" s="15">
        <v>1273.74</v>
      </c>
      <c r="AD3" s="15">
        <v>-268.99</v>
      </c>
      <c r="AE3" s="15">
        <v>0</v>
      </c>
      <c r="AF3" s="15">
        <v>-268.99</v>
      </c>
      <c r="AG3" s="17">
        <v>-5.4900000000000004E-2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5359.67</v>
      </c>
      <c r="F3" s="89"/>
      <c r="G3" s="90"/>
      <c r="H3" s="133">
        <f>'Resumo Detalhado'!C2</f>
        <v>3086.55</v>
      </c>
      <c r="I3" s="134"/>
      <c r="J3" s="135">
        <f>E3/H3</f>
        <v>1.736459801396381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0.88187142857142864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3237.73</v>
      </c>
      <c r="F7" s="112"/>
      <c r="G7" s="112"/>
      <c r="H7" s="112"/>
      <c r="I7" s="112"/>
      <c r="J7" s="112">
        <f>E7/H3</f>
        <v>1.0489802530333219</v>
      </c>
      <c r="K7" s="112"/>
      <c r="L7" s="112"/>
      <c r="M7" s="130">
        <f>E7/E3</f>
        <v>0.60409129666565287</v>
      </c>
      <c r="N7" s="130"/>
      <c r="O7" s="130"/>
      <c r="P7" s="112">
        <f>E11+K11+Q11+E15+K15+Q15+E19+H19+K19</f>
        <v>5421.470800000001</v>
      </c>
      <c r="Q7" s="112"/>
      <c r="R7" s="112"/>
      <c r="S7" s="112">
        <f>P7/H3</f>
        <v>1.7564824156420602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3200</v>
      </c>
      <c r="L11" s="90"/>
      <c r="M11" s="38"/>
      <c r="N11" s="88">
        <f>K11/H3</f>
        <v>1.0367562488862969</v>
      </c>
      <c r="O11" s="90"/>
      <c r="P11" s="38"/>
      <c r="Q11" s="88">
        <f>'Resumo Detalhado'!D2</f>
        <v>37.729999999999997</v>
      </c>
      <c r="R11" s="90"/>
      <c r="S11" s="38"/>
      <c r="T11" s="88">
        <f>Q11/H3</f>
        <v>1.2224004147024993E-2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643.16</v>
      </c>
      <c r="F15" s="119"/>
      <c r="G15" s="119"/>
      <c r="H15" s="119"/>
      <c r="I15" s="132"/>
      <c r="J15" s="38"/>
      <c r="K15" s="113">
        <f>'Resumo Detalhado'!K2+'Resumo Detalhado'!L2</f>
        <v>857.54719999999998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44.1</v>
      </c>
      <c r="F19" s="120"/>
      <c r="G19" s="38"/>
      <c r="H19" s="122">
        <f>'Resumo Detalhado'!J2</f>
        <v>210.16</v>
      </c>
      <c r="I19" s="123"/>
      <c r="J19" s="38"/>
      <c r="K19" s="122">
        <f>'Resumo Detalhado'!L2</f>
        <v>428.77359999999999</v>
      </c>
      <c r="L19" s="123"/>
      <c r="M19" s="38"/>
      <c r="N19" s="121" t="s">
        <v>632</v>
      </c>
      <c r="O19" s="119"/>
      <c r="P19" s="119"/>
      <c r="Q19" s="119"/>
      <c r="R19" s="120"/>
      <c r="S19" s="121">
        <v>3200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3874.1264000000001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0.72282927866827618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5359.67</v>
      </c>
      <c r="C2" s="29">
        <f>SUM(C6:C5000)</f>
        <v>3086.55</v>
      </c>
      <c r="D2" s="29">
        <f>SUM(D6:D5000)</f>
        <v>37.729999999999997</v>
      </c>
      <c r="E2" s="29">
        <f>SUM(E6:E5000)</f>
        <v>121.62</v>
      </c>
      <c r="F2" s="29">
        <f>SUM(F6:F5000)</f>
        <v>0</v>
      </c>
      <c r="G2" s="29"/>
      <c r="H2" s="29">
        <f t="shared" ref="H2:P2" si="0">SUM(H6:H5000)</f>
        <v>643.16</v>
      </c>
      <c r="I2" s="29">
        <f t="shared" si="0"/>
        <v>44.1</v>
      </c>
      <c r="J2" s="29">
        <f t="shared" si="0"/>
        <v>210.16</v>
      </c>
      <c r="K2" s="29">
        <f t="shared" si="0"/>
        <v>428.77359999999999</v>
      </c>
      <c r="L2" s="29">
        <f t="shared" si="0"/>
        <v>428.77359999999999</v>
      </c>
      <c r="M2" s="29">
        <f t="shared" si="0"/>
        <v>0</v>
      </c>
      <c r="N2" s="29">
        <f t="shared" si="0"/>
        <v>3874.1264000000001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3631</v>
      </c>
      <c r="B6" s="139">
        <v>460.67</v>
      </c>
      <c r="C6" s="140">
        <v>500</v>
      </c>
      <c r="D6" s="139">
        <v>37.729999999999997</v>
      </c>
      <c r="E6" s="139">
        <v>121.62</v>
      </c>
      <c r="F6" s="139">
        <v>0</v>
      </c>
      <c r="G6" s="141">
        <v>0.34590921918075845</v>
      </c>
      <c r="H6" s="139">
        <v>55.28</v>
      </c>
      <c r="I6" s="139">
        <v>2.1800000000000002</v>
      </c>
      <c r="J6" s="139">
        <v>0</v>
      </c>
      <c r="K6" s="139">
        <v>36.8536</v>
      </c>
      <c r="L6" s="139">
        <v>36.8536</v>
      </c>
      <c r="M6" s="139">
        <v>0</v>
      </c>
      <c r="N6" s="139">
        <v>207.00639999999999</v>
      </c>
      <c r="O6" s="141">
        <v>0.44935941129224821</v>
      </c>
      <c r="Q6"/>
    </row>
    <row r="7" spans="1:18" s="31" customFormat="1" x14ac:dyDescent="0.3">
      <c r="A7" s="9" t="s">
        <v>627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3642</v>
      </c>
      <c r="B8" s="139">
        <v>4899</v>
      </c>
      <c r="C8" s="140">
        <v>2586.5500000000002</v>
      </c>
      <c r="D8" s="139">
        <v>0</v>
      </c>
      <c r="E8" s="139">
        <v>0</v>
      </c>
      <c r="F8" s="139">
        <v>0</v>
      </c>
      <c r="G8" s="141">
        <v>0</v>
      </c>
      <c r="H8" s="139">
        <v>587.88</v>
      </c>
      <c r="I8" s="139">
        <v>41.92</v>
      </c>
      <c r="J8" s="139">
        <v>210.16</v>
      </c>
      <c r="K8" s="139">
        <v>391.92</v>
      </c>
      <c r="L8" s="139">
        <v>391.92</v>
      </c>
      <c r="M8" s="139">
        <v>0</v>
      </c>
      <c r="N8" s="139">
        <v>3667.12</v>
      </c>
      <c r="O8" s="141">
        <v>0.74854460093896713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4899</v>
      </c>
      <c r="C2" s="29">
        <f>SUM(C6:C5000)</f>
        <v>3667.12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460.67</v>
      </c>
      <c r="C5" s="10">
        <v>207.00639999999999</v>
      </c>
    </row>
    <row r="6" spans="1:4" x14ac:dyDescent="0.3">
      <c r="A6" s="9" t="s">
        <v>627</v>
      </c>
      <c r="B6" s="139">
        <v>4899</v>
      </c>
      <c r="C6" s="139">
        <v>3667.12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2" t="s">
        <v>632</v>
      </c>
      <c r="D395" s="87">
        <v>3200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2026-10-13T13:49:34Z</dcterms:modified>
  <cp:category/>
  <cp:contentStatus/>
</cp:coreProperties>
</file>