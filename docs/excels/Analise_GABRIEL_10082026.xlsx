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A76C9B2-A98F-4DF7-A7EC-3101FA24A873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<sst xmlns="http://schemas.openxmlformats.org/spreadsheetml/2006/main" count="854" uniqueCount="587">
  <si>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</si>
  <si>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</si>
  <si>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</si>
  <si>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</si>
  <si>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</si>
  <si>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</si>
  <si>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</si>
  <si>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</si>
  <si>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</si>
  <si>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</si>
  <si>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</si>
  <si>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</si>
  <si>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</si>
  <si>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</si>
  <si>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</si>
  <si>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</si>
  <si>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</si>
  <si>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</si>
  <si>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</si>
  <si>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</si>
  <si>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</si>
  <si>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</si>
  <si>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</si>
  <si>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</si>
  <si>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</si>
  <si>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</si>
  <si>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</si>
  <si>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</si>
  <si>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</si>
  <si>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</si>
  <si>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</si>
  <si>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</si>
  <si>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</si>
  <si>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</si>
  <si>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</si>
  <si>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</si>
  <si>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</si>
  <si>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</si>
  <si>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</si>
  <si>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</si>
  <si>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</si>
  <si>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</si>
  <si>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</si>
  <si>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</si>
  <si>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</si>
  <si>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</si>
  <si>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</si>
  <si>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</si>
  <si>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</si>
  <si>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</si>
  <si>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</si>
  <si>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</si>
  <si>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</si>
  <si>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</si>
  <si>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</si>
  <si>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</si>
  <si>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</si>
  <si>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</si>
  <si>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</si>
  <si>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</si>
  <si>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</si>
  <si>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</si>
  <si>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</si>
  <si>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</si>
  <si>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</si>
  <si>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</si>
  <si>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</si>
  <si>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</si>
  <si>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</si>
  <si>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</si>
  <si>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</si>
  <si>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</si>
  <si>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</si>
  <si>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</si>
  <si>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</si>
  <si>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</si>
  <si>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</si>
  <si>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</si>
  <si>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</si>
  <si>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</si>
  <si>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</si>
  <si>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</si>
  <si>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</si>
  <si>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</si>
  <si>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</si>
  <si>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</si>
  <si>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</si>
  <si>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</si>
  <si>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</si>
  <si>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</si>
  <si>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</si>
  <si>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</si>
  <si>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</si>
  <si>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</si>
  <si>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</si>
  <si>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</si>
  <si>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</si>
  <si>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</si>
  <si>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</si>
  <si>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</si>
  <si>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</si>
  <si>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</si>
  <si>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</si>
  <si>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</si>
  <si>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</si>
  <si>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</si>
  <si>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</si>
  <si>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</si>
  <si>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</si>
  <si>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</si>
  <si>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</si>
  <si>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</si>
  <si>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</si>
  <si>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</si>
  <si>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</si>
  <si>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</si>
  <si>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</si>
  <si>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</si>
  <si>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</si>
  <si>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</si>
  <si>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</si>
  <si>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</si>
  <si>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</si>
  <si>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</si>
  <si>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</si>
  <si>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</si>
  <si>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</si>
  <si>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</si>
  <si>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</si>
  <si>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</si>
  <si>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</si>
  <si>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</si>
  <si>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</si>
  <si>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</si>
  <si>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</si>
  <si>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</si>
  <si>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</si>
  <si>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</si>
  <si>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</si>
  <si>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</si>
  <si>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</si>
  <si>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</si>
  <si>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</si>
  <si>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</si>
  <si>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</si>
  <si>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</si>
  <si>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</si>
  <si>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</si>
  <si>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</si>
  <si>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</si>
  <si>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</si>
  <si>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</si>
  <si>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</si>
  <si>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</si>
  <si>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</si>
  <si>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</si>
  <si>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</si>
  <si>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</si>
  <si>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</si>
  <si>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</si>
  <si>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</si>
  <si>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</si>
  <si>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</si>
  <si>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</si>
  <si>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</si>
  <si>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</si>
  <si>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</si>
  <si>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</si>
  <si>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</si>
  <si>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</si>
  <si>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</si>
  <si>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</si>
  <si>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</si>
  <si>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</si>
  <si>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</si>
  <si>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</si>
  <si>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</si>
  <si>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</si>
  <si>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</si>
  <si>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</si>
  <si>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</si>
  <si>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</si>
  <si>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</si>
  <si>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</si>
  <si>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</si>
  <si>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</si>
  <si>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</si>
  <si>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</si>
  <si>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</si>
  <si>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</si>
  <si>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</si>
  <si>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</si>
  <si>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</si>
  <si>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</si>
  <si>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</si>
  <si>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</si>
  <si>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</si>
  <si>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</si>
  <si>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</si>
  <si>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</si>
  <si>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</si>
  <si>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</si>
  <si>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</si>
  <si>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</si>
  <si>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</si>
  <si>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</si>
  <si>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</si>
  <si>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</si>
  <si>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</si>
  <si>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</si>
  <si>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</si>
  <si>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</si>
  <si>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</si>
  <si>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</si>
  <si>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</si>
  <si>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</si>
  <si>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</si>
  <si>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</si>
  <si>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</si>
  <si>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</si>
  <si>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</si>
  <si>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</si>
  <si>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</si>
  <si>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</si>
  <si>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</si>
  <si>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</si>
  <si>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</si>
  <si>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</si>
  <si>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</si>
  <si>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</si>
  <si>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</si>
  <si>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</si>
  <si>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</si>
  <si>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</si>
  <si>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</si>
  <si>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</si>
  <si>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</si>
  <si>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</si>
  <si>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</si>
  <si>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</si>
  <si>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</si>
  <si>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</si>
  <si>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</si>
  <si>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</si>
  <si>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</si>
  <si>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</si>
  <si>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</si>
  <si>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</si>
  <si>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</si>
  <si>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</si>
  <si>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</si>
  <si>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</si>
  <si>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</si>
  <si>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</si>
  <si>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</si>
  <si>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</si>
  <si>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</si>
  <si>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</si>
  <si>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</si>
  <si>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</si>
  <si>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</si>
  <si>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</si>
  <si>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</si>
  <si>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</si>
  <si>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</si>
  <si>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</si>
  <si>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</si>
  <si>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</si>
  <si>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</si>
  <si>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</si>
  <si>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</si>
  <si>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</si>
  <si>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</si>
  <si>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</si>
  <si>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</si>
  <si>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</si>
  <si>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</si>
  <si>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</si>
  <si>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</si>
  <si>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</si>
  <si>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</si>
  <si>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</si>
  <si>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</si>
  <si>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</si>
  <si>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</si>
  <si>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</si>
  <si>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</si>
  <si>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</si>
  <si>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</si>
  <si>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</si>
  <si>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</si>
  <si>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</si>
  <si>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</si>
  <si>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</si>
  <si>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</si>
  <si>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</si>
  <si>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</si>
  <si>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</si>
  <si>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</si>
  <si>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</si>
  <si>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</si>
  <si>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</si>
  <si>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</si>
  <si>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</si>
  <si>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</si>
  <si>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</si>
  <si>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</si>
  <si>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</si>
  <si>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</si>
  <si>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</si>
  <si>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</si>
  <si>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</si>
  <si>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</si>
  <si>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</si>
  <si>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</si>
  <si>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</si>
  <si>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</si>
  <si>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</si>
  <si>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</si>
  <si>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</si>
  <si>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</si>
  <si>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</si>
  <si>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</si>
  <si>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</si>
  <si>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</si>
  <si>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</si>
  <si>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</si>
  <si>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</si>
  <si>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</si>
  <si>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</si>
  <si>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</si>
  <si>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</si>
  <si>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</si>
  <si>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</si>
  <si>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</si>
  <si>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</si>
  <si>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</si>
  <si>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</si>
  <si>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</si>
  <si>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</si>
  <si>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</si>
  <si>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</si>
  <si>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</si>
  <si>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</si>
  <si>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</si>
  <si>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</si>
  <si>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</si>
  <si>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</si>
  <si>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</si>
  <si>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</si>
  <si>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</si>
  <si>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</si>
  <si>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</si>
  <si>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</si>
  <si>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</si>
  <si>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</si>
  <si>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</si>
  <si>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</si>
  <si>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</si>
  <si>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</si>
  <si>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</si>
  <si>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</si>
  <si>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</si>
  <si>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</si>
  <si>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</si>
  <si>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</si>
  <si>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</si>
  <si>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</si>
  <si>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</si>
  <si>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</si>
  <si>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</si>
  <si>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</si>
  <si>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</si>
  <si>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</si>
  <si>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</si>
  <si>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</si>
  <si>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</si>
  <si>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</si>
  <si>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</si>
  <si>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</si>
  <si>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</si>
  <si>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</si>
  <si>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</si>
  <si>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</si>
  <si>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</si>
  <si>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</si>
  <si>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</si>
  <si>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</si>
  <si>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</si>
  <si>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</si>
  <si>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</si>
  <si>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</si>
  <si>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</si>
  <si>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</si>
  <si>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</si>
  <si>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</si>
  <si>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</si>
  <si>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</si>
  <si>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</si>
  <si>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</si>
  <si>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</si>
  <si>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</si>
  <si>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</si>
  <si>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</si>
  <si>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</si>
  <si>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</si>
  <si>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</si>
  <si>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</si>
  <si>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</si>
  <si>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</si>
  <si>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</si>
  <si>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</si>
  <si>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</si>
  <si>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</si>
  <si>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</si>
  <si>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</si>
  <si>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</si>
  <si>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</si>
  <si>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</si>
  <si>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</si>
  <si>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</si>
  <si>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</si>
  <si>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</si>
  <si>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</si>
  <si>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</si>
  <si>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</si>
  <si>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</si>
  <si>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</si>
  <si>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</si>
  <si>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</si>
  <si>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</si>
  <si>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</si>
  <si>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</si>
  <si>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</si>
  <si>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</si>
  <si>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</si>
  <si>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</si>
  <si>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</si>
  <si>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</si>
  <si>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</si>
  <si>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</si>
  <si>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</si>
  <si>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</si>
  <si>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</si>
  <si>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</si>
  <si>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</si>
  <si>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</si>
  <si>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</si>
  <si>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</si>
  <si>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</si>
  <si>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</si>
  <si>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</si>
  <si>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</si>
  <si>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</si>
  <si>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</si>
  <si>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</si>
  <si>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</si>
  <si>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</si>
  <si>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</si>
  <si>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</si>
  <si>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</si>
  <si>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</si>
  <si>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</si>
  <si>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</si>
  <si>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</si>
  <si>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</si>
  <si>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</si>
  <si>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</si>
  <si>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</si>
  <si>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</si>
  <si>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</si>
  <si>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</si>
  <si>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</si>
  <si>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</si>
  <si>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</si>
  <si>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</si>
  <si>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</si>
  <si>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</si>
  <si>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</si>
  <si>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</si>
  <si>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</si>
  <si>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</si>
  <si>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</si>
  <si>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</si>
  <si>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</si>
  <si>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</si>
  <si>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</si>
  <si>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</si>
  <si>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</si>
  <si>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</si>
  <si>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</si>
  <si>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</si>
  <si>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</si>
  <si>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</si>
  <si>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</si>
  <si>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</si>
  <si>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</si>
  <si>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</si>
  <si>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</si>
  <si>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</si>
  <si>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</si>
  <si>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</si>
  <si>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</si>
  <si>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</si>
  <si>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</si>
  <si>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</si>
  <si>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</si>
  <si>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</si>
  <si>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</si>
  <si>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</si>
  <si>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</si>
  <si>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</si>
  <si>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</si>
  <si>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</si>
  <si>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</si>
  <si>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</si>
  <si>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</si>
  <si>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</si>
  <si>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</si>
  <si>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</si>
  <si>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</si>
  <si>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</si>
  <si>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</si>
  <si>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</si>
  <si>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</si>
  <si>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</si>
  <si>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</si>
  <si>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</si>
  <si>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</si>
  <si>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</si>
  <si>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</si>
  <si>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</si>
  <si>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</si>
  <si>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</si>
  <si>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</si>
  <si>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</si>
  <si>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</si>
  <si>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</si>
  <si>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</si>
  <si>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</si>
  <si>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</si>
  <si>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</si>
  <si>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</si>
  <si>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</si>
  <si>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</si>
  <si>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</si>
  <si>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</si>
  <si>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</si>
  <si>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</si>
  <si>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</si>
  <si>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</si>
  <si>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</si>
  <si>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</si>
  <si>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</si>
  <si>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</si>
  <si>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</si>
  <si>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</si>
  <si>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</si>
  <si>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</si>
  <si>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</si>
  <si>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</si>
  <si>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</si>
  <si>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</si>
  <si>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</si>
  <si>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</si>
  <si>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</si>
  <si>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</si>
  <si>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</si>
  <si>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</si>
  <si>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</si>
  <si>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</si>
  <si>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</si>
  <si>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</si>
  <si>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</si>
  <si>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</si>
  <si>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</si>
  <si>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</si>
  <si>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2266-1</t>
  </si>
  <si>
    <t>VENTUNO PRODUTO</t>
  </si>
  <si>
    <t>MARLON MARQUES</t>
  </si>
  <si>
    <t>PERSONALIZADO_L</t>
  </si>
  <si>
    <t>CTE NORMAL</t>
  </si>
  <si>
    <t>CAXIAS DO SUL - RS</t>
  </si>
  <si>
    <t>BRIAN LINCOLN DA SILVA PA</t>
  </si>
  <si>
    <t>N/D</t>
  </si>
  <si>
    <t>Itajai-Sc X Caxias do Sul-Rstruck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</si>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</sst>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7357.19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5197.0695999999998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[Analise_GABRIEL_10082026.xlsx]Resumo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7357.19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5197.0695999999998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8080555555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4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1T00:00:00"/>
    </cacheField>
    <cacheField name="DATA" numFmtId="14">
      <sharedItems containsNonDate="0" containsDate="1" containsString="0" containsBlank="1" minDate="2026-08-10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250275" maxValue="250275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357.19" maxValue="7357.19"/>
    </cacheField>
    <cacheField name="VOLUMES" numFmtId="0">
      <sharedItems containsString="0" containsBlank="1" containsNumber="1" containsInteger="1" minValue="355" maxValue="355"/>
    </cacheField>
    <cacheField name="PESO" numFmtId="0">
      <sharedItems containsString="0" containsBlank="1" containsNumber="1" containsInteger="1" minValue="10934" maxValue="1093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882.86" maxValue="882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00.11" maxValue="100.1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982.97" maxValue="4982.97"/>
    </cacheField>
    <cacheField name="RECEITA" numFmtId="0">
      <sharedItems containsString="0" containsBlank="1" containsNumber="1" minValue="2374.2199999999998" maxValue="2374.2199999999998"/>
    </cacheField>
    <cacheField name="IMPOSTO" numFmtId="0">
      <sharedItems containsString="0" containsBlank="1" containsNumber="1" minValue="1177.1500000000001" maxValue="1177.1500000000001"/>
    </cacheField>
    <cacheField name="RESULTADO" numFmtId="0">
      <sharedItems containsString="0" containsBlank="1" containsNumber="1" minValue="1197.07" maxValue="1197.0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1197.07" maxValue="1197.07"/>
    </cacheField>
    <cacheField name="MARGEM" numFmtId="10">
      <sharedItems containsString="0" containsBlank="1" containsNumber="1" minValue="0.16269999999999998" maxValue="0.1626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0T00:00:00"/>
    <d v="2026-08-10T00:00:00"/>
    <m/>
    <s v="2266-1"/>
    <x v="0"/>
    <s v="MARLON MARQUES"/>
    <n v="250275"/>
    <x v="0"/>
    <s v="CTE NORMAL"/>
    <s v="CAXIAS DO SUL - RS"/>
    <n v="7357.19"/>
    <n v="355"/>
    <n v="10934"/>
    <s v="BRIAN LINCOLN DA SILVA PA"/>
    <n v="0"/>
    <s v="N/D"/>
    <n v="0"/>
    <s v="BRIAN LINCOLN DA SILVA PA"/>
    <n v="0"/>
    <n v="882.86"/>
    <n v="0"/>
    <n v="0"/>
    <n v="100.11"/>
    <n v="0"/>
    <n v="4982.97"/>
    <n v="2374.2199999999998"/>
    <n v="1177.1500000000001"/>
    <n v="1197.07"/>
    <n v="0"/>
    <n v="1197.07"/>
    <n v="0.162699999999999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2" s="1" nd="1"/>
        <i x="241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7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2343</v>
      </c>
      <c r="B2" s="12" t="s">
        <v>576</v>
      </c>
      <c r="C2" s="14">
        <v>46244</v>
      </c>
      <c r="D2" s="14">
        <v>46244</v>
      </c>
      <c r="E2" s="12"/>
      <c r="F2" s="15" t="s">
        <v>577</v>
      </c>
      <c r="G2" s="15" t="s">
        <v>578</v>
      </c>
      <c r="H2" s="15" t="s">
        <v>579</v>
      </c>
      <c r="I2" s="16">
        <v>250275</v>
      </c>
      <c r="J2" s="15" t="s">
        <v>580</v>
      </c>
      <c r="K2" s="15" t="s">
        <v>581</v>
      </c>
      <c r="L2" s="15" t="s">
        <v>582</v>
      </c>
      <c r="M2" s="15">
        <v>7357.19</v>
      </c>
      <c r="N2" s="15">
        <v>355</v>
      </c>
      <c r="O2" s="16">
        <v>10934</v>
      </c>
      <c r="P2" s="15" t="s">
        <v>583</v>
      </c>
      <c r="Q2" s="15">
        <v>0</v>
      </c>
      <c r="R2" s="15" t="s">
        <v>584</v>
      </c>
      <c r="S2" s="15">
        <v>0</v>
      </c>
      <c r="T2" s="15" t="s">
        <v>583</v>
      </c>
      <c r="U2" s="15">
        <v>0</v>
      </c>
      <c r="V2" s="15">
        <v>882.86</v>
      </c>
      <c r="W2" s="15">
        <v>0</v>
      </c>
      <c r="X2" s="15">
        <v>0</v>
      </c>
      <c r="Y2" s="15">
        <v>100.11</v>
      </c>
      <c r="Z2" s="15">
        <v>0</v>
      </c>
      <c r="AA2" s="15">
        <v>4982.97</v>
      </c>
      <c r="AB2" s="15">
        <v>2374.2199999999998</v>
      </c>
      <c r="AC2" s="15">
        <v>1177.1500000000001</v>
      </c>
      <c r="AD2" s="15">
        <v>1197.07</v>
      </c>
      <c r="AE2" s="15">
        <v>0</v>
      </c>
      <c r="AF2" s="15">
        <v>1197.07</v>
      </c>
      <c r="AG2" s="17">
        <v>0.16269999999999998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7357.19</v>
      </c>
      <c r="F3" s="89"/>
      <c r="G3" s="90"/>
      <c r="H3" s="133">
        <f>'Resumo Detalhado'!C2</f>
        <v>10934</v>
      </c>
      <c r="I3" s="134"/>
      <c r="J3" s="135">
        <f>E3/H3</f>
        <v>0.6728726906895921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0.99399999999999999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4000</v>
      </c>
      <c r="F7" s="112"/>
      <c r="G7" s="112"/>
      <c r="H7" s="112"/>
      <c r="I7" s="112"/>
      <c r="J7" s="112">
        <f>E7/H3</f>
        <v>0.36583135174684472</v>
      </c>
      <c r="K7" s="112"/>
      <c r="L7" s="112"/>
      <c r="M7" s="130">
        <f>E7/E3</f>
        <v>0.54368583657619285</v>
      </c>
      <c r="N7" s="130"/>
      <c r="O7" s="130"/>
      <c r="P7" s="112">
        <f>E11+K11+Q11+E15+K15+Q15+E19+H19+K19</f>
        <v>6748.6955999999991</v>
      </c>
      <c r="Q7" s="112"/>
      <c r="R7" s="112"/>
      <c r="S7" s="112">
        <f>P7/H3</f>
        <v>0.61722110846899569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4000</v>
      </c>
      <c r="L11" s="90"/>
      <c r="M11" s="38"/>
      <c r="N11" s="88">
        <f>K11/H3</f>
        <v>0.36583135174684472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882.86</v>
      </c>
      <c r="F15" s="119"/>
      <c r="G15" s="119"/>
      <c r="H15" s="119"/>
      <c r="I15" s="132"/>
      <c r="J15" s="38"/>
      <c r="K15" s="113">
        <f>'Resumo Detalhado'!K2+'Resumo Detalhado'!L2</f>
        <v>1177.1504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100.11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588.5752</v>
      </c>
      <c r="L19" s="123"/>
      <c r="M19" s="38"/>
      <c r="N19" s="121" t="s">
        <v>585</v>
      </c>
      <c r="O19" s="119"/>
      <c r="P19" s="119"/>
      <c r="Q19" s="119"/>
      <c r="R19" s="120"/>
      <c r="S19" s="121">
        <f>_xlfn.XLOOKUP(N19,Target!C:C,Target!D:D)</f>
        <v>4000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5197.0695999999998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0.70639328330517492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586</v>
      </c>
      <c r="F1" s="29"/>
    </row>
    <row r="2" spans="1:18" x14ac:dyDescent="0.3">
      <c r="B2" s="29">
        <f>SUM(B6:B5000)</f>
        <v>7357.19</v>
      </c>
      <c r="C2" s="29">
        <f>SUM(C6:C5000)</f>
        <v>10934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882.86</v>
      </c>
      <c r="I2" s="29">
        <f t="shared" si="0"/>
        <v>100.11</v>
      </c>
      <c r="J2" s="29">
        <f t="shared" si="0"/>
        <v>0</v>
      </c>
      <c r="K2" s="29">
        <f t="shared" si="0"/>
        <v>588.5752</v>
      </c>
      <c r="L2" s="29">
        <f t="shared" si="0"/>
        <v>588.5752</v>
      </c>
      <c r="M2" s="29">
        <f t="shared" si="0"/>
        <v>0</v>
      </c>
      <c r="N2" s="29">
        <f t="shared" si="0"/>
        <v>5197.0695999999998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2343</v>
      </c>
      <c r="B6" s="140">
        <v>7357.19</v>
      </c>
      <c r="C6" s="141">
        <v>10934</v>
      </c>
      <c r="D6" s="140">
        <v>0</v>
      </c>
      <c r="E6" s="140">
        <v>0</v>
      </c>
      <c r="F6" s="140">
        <v>0</v>
      </c>
      <c r="G6" s="142">
        <v>0</v>
      </c>
      <c r="H6" s="140">
        <v>882.86</v>
      </c>
      <c r="I6" s="140">
        <v>100.11</v>
      </c>
      <c r="J6" s="140">
        <v>0</v>
      </c>
      <c r="K6" s="140">
        <v>588.5752</v>
      </c>
      <c r="L6" s="140">
        <v>588.5752</v>
      </c>
      <c r="M6" s="140">
        <v>0</v>
      </c>
      <c r="N6" s="140">
        <v>5197.0695999999998</v>
      </c>
      <c r="O6" s="142">
        <v>0.70639328330517492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7357.19</v>
      </c>
      <c r="C5" s="10">
        <v>5197.0695999999998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2026-08-11T15:11:45Z</dcterms:modified>
  <cp:category/>
  <cp:contentStatus/>
</cp:coreProperties>
</file>