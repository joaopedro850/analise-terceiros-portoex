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B7DC1CE-089B-448D-B6A8-3B162AF6C7B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<sst xmlns="http://schemas.openxmlformats.org/spreadsheetml/2006/main" count="900" uniqueCount="621">
  <si>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</si>
  <si>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</si>
  <si>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</si>
  <si>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</si>
  <si>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</si>
  <si>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</si>
  <si>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</si>
  <si>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</si>
  <si>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</si>
  <si>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</si>
  <si>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</si>
  <si>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</si>
  <si>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</si>
  <si>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</si>
  <si>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</si>
  <si>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</si>
  <si>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</si>
  <si>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</si>
  <si>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</si>
  <si>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</si>
  <si>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</si>
  <si>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</si>
  <si>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</si>
  <si>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</si>
  <si>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</si>
  <si>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</si>
  <si>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</si>
  <si>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</si>
  <si>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</si>
  <si>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</si>
  <si>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</si>
  <si>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</si>
  <si>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</si>
  <si>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</si>
  <si>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</si>
  <si>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</si>
  <si>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</si>
  <si>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</si>
  <si>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</si>
  <si>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</si>
  <si>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</si>
  <si>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</si>
  <si>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</si>
  <si>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</si>
  <si>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</si>
  <si>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</si>
  <si>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</si>
  <si>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</si>
  <si>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</si>
  <si>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</si>
  <si>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</si>
  <si>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</si>
  <si>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</si>
  <si>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</si>
  <si>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</si>
  <si>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</si>
  <si>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</si>
  <si>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</si>
  <si>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</si>
  <si>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</si>
  <si>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</si>
  <si>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</si>
  <si>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</si>
  <si>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</si>
  <si>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</si>
  <si>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</si>
  <si>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</si>
  <si>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</si>
  <si>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</si>
  <si>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</si>
  <si>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</si>
  <si>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</si>
  <si>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</si>
  <si>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</si>
  <si>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</si>
  <si>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</si>
  <si>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</si>
  <si>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</si>
  <si>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</si>
  <si>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</si>
  <si>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</si>
  <si>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</si>
  <si>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</si>
  <si>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</si>
  <si>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</si>
  <si>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</si>
  <si>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</si>
  <si>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</si>
  <si>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</si>
  <si>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</si>
  <si>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</si>
  <si>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</si>
  <si>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</si>
  <si>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</si>
  <si>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</si>
  <si>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</si>
  <si>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</si>
  <si>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</si>
  <si>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</si>
  <si>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</si>
  <si>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</si>
  <si>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</si>
  <si>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</si>
  <si>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</si>
  <si>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</si>
  <si>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</si>
  <si>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</si>
  <si>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</si>
  <si>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</si>
  <si>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</si>
  <si>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</si>
  <si>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</si>
  <si>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</si>
  <si>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</si>
  <si>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</si>
  <si>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</si>
  <si>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</si>
  <si>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</si>
  <si>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</si>
  <si>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</si>
  <si>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</si>
  <si>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</si>
  <si>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</si>
  <si>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</si>
  <si>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</si>
  <si>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</si>
  <si>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</si>
  <si>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</si>
  <si>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</si>
  <si>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</si>
  <si>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</si>
  <si>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</si>
  <si>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</si>
  <si>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</si>
  <si>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</si>
  <si>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</si>
  <si>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</si>
  <si>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</si>
  <si>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</si>
  <si>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</si>
  <si>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</si>
  <si>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</si>
  <si>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</si>
  <si>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</si>
  <si>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</si>
  <si>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</si>
  <si>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</si>
  <si>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</si>
  <si>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</si>
  <si>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</si>
  <si>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</si>
  <si>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</si>
  <si>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</si>
  <si>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</si>
  <si>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</si>
  <si>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</si>
  <si>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</si>
  <si>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</si>
  <si>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</si>
  <si>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</si>
  <si>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</si>
  <si>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</si>
  <si>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</si>
  <si>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</si>
  <si>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</si>
  <si>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</si>
  <si>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</si>
  <si>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</si>
  <si>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</si>
  <si>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</si>
  <si>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</si>
  <si>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</si>
  <si>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</si>
  <si>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</si>
  <si>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</si>
  <si>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</si>
  <si>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</si>
  <si>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</si>
  <si>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</si>
  <si>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</si>
  <si>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</si>
  <si>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</si>
  <si>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</si>
  <si>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</si>
  <si>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</si>
  <si>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</si>
  <si>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</si>
  <si>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</si>
  <si>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</si>
  <si>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</si>
  <si>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</si>
  <si>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</si>
  <si>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</si>
  <si>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</si>
  <si>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</si>
  <si>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</si>
  <si>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</si>
  <si>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</si>
  <si>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</si>
  <si>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</si>
  <si>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</si>
  <si>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</si>
  <si>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</si>
  <si>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</si>
  <si>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</si>
  <si>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</si>
  <si>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</si>
  <si>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</si>
  <si>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</si>
  <si>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</si>
  <si>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</si>
  <si>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</si>
  <si>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</si>
  <si>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</si>
  <si>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</si>
  <si>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</si>
  <si>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</si>
  <si>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</si>
  <si>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</si>
  <si>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</si>
  <si>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</si>
  <si>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</si>
  <si>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</si>
  <si>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</si>
  <si>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</si>
  <si>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</si>
  <si>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</si>
  <si>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</si>
  <si>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</si>
  <si>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</si>
  <si>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</si>
  <si>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</si>
  <si>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</si>
  <si>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</si>
  <si>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</si>
  <si>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</si>
  <si>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</si>
  <si>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</si>
  <si>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</si>
  <si>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</si>
  <si>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</si>
  <si>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</si>
  <si>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</si>
  <si>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</si>
  <si>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</si>
  <si>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</si>
  <si>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</si>
  <si>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</si>
  <si>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</si>
  <si>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</si>
  <si>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</si>
  <si>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</si>
  <si>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</si>
  <si>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</si>
  <si>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</si>
  <si>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</si>
  <si>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</si>
  <si>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</si>
  <si>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</si>
  <si>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</si>
  <si>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</si>
  <si>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</si>
  <si>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</si>
  <si>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</si>
  <si>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</si>
  <si>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</si>
  <si>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</si>
  <si>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</si>
  <si>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</si>
  <si>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</si>
  <si>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</si>
  <si>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</si>
  <si>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</si>
  <si>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</si>
  <si>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</si>
  <si>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</si>
  <si>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</si>
  <si>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</si>
  <si>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</si>
  <si>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</si>
  <si>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</si>
  <si>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</si>
  <si>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</si>
  <si>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</si>
  <si>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</si>
  <si>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</si>
  <si>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</si>
  <si>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</si>
  <si>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</si>
  <si>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</si>
  <si>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</si>
  <si>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</si>
  <si>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</si>
  <si>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</si>
  <si>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</si>
  <si>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</si>
  <si>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</si>
  <si>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</si>
  <si>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</si>
  <si>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</si>
  <si>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</si>
  <si>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</si>
  <si>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</si>
  <si>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</si>
  <si>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</si>
  <si>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</si>
  <si>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</si>
  <si>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</si>
  <si>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</si>
  <si>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</si>
  <si>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</si>
  <si>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</si>
  <si>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</si>
  <si>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</si>
  <si>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</si>
  <si>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</si>
  <si>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</si>
  <si>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</si>
  <si>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</si>
  <si>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</si>
  <si>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</si>
  <si>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</si>
  <si>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</si>
  <si>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</si>
  <si>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</si>
  <si>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</si>
  <si>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</si>
  <si>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</si>
  <si>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</si>
  <si>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</si>
  <si>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</si>
  <si>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</si>
  <si>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</si>
  <si>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</si>
  <si>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</si>
  <si>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</si>
  <si>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</si>
  <si>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</si>
  <si>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</si>
  <si>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</si>
  <si>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</si>
  <si>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</si>
  <si>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</si>
  <si>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</si>
  <si>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</si>
  <si>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</si>
  <si>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</si>
  <si>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</si>
  <si>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</si>
  <si>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</si>
  <si>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</si>
  <si>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</si>
  <si>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</si>
  <si>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</si>
  <si>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</si>
  <si>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</si>
  <si>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</si>
  <si>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</si>
  <si>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</si>
  <si>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</si>
  <si>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</si>
  <si>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</si>
  <si>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</si>
  <si>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</si>
  <si>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</si>
  <si>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</si>
  <si>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</si>
  <si>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</si>
  <si>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</si>
  <si>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</si>
  <si>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</si>
  <si>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</si>
  <si>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</si>
  <si>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</si>
  <si>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</si>
  <si>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</si>
  <si>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</si>
  <si>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</si>
  <si>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</si>
  <si>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</si>
  <si>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</si>
  <si>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</si>
  <si>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</si>
  <si>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</si>
  <si>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</si>
  <si>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</si>
  <si>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</si>
  <si>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</si>
  <si>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</si>
  <si>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</si>
  <si>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</si>
  <si>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</si>
  <si>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</si>
  <si>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</si>
  <si>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</si>
  <si>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</si>
  <si>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</si>
  <si>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</si>
  <si>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</si>
  <si>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</si>
  <si>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</si>
  <si>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</si>
  <si>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</si>
  <si>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</si>
  <si>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</si>
  <si>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</si>
  <si>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</si>
  <si>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</si>
  <si>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</si>
  <si>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</si>
  <si>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</si>
  <si>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</si>
  <si>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</si>
  <si>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</si>
  <si>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</si>
  <si>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</si>
  <si>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</si>
  <si>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</si>
  <si>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</si>
  <si>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</si>
  <si>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</si>
  <si>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</si>
  <si>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</si>
  <si>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</si>
  <si>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</si>
  <si>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</si>
  <si>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</si>
  <si>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</si>
  <si>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</si>
  <si>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</si>
  <si>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</si>
  <si>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</si>
  <si>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</si>
  <si>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</si>
  <si>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</si>
  <si>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</si>
  <si>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</si>
  <si>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</si>
  <si>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</si>
  <si>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</si>
  <si>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</si>
  <si>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</si>
  <si>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</si>
  <si>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</si>
  <si>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</si>
  <si>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</si>
  <si>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</si>
  <si>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</si>
  <si>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</si>
  <si>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</si>
  <si>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</si>
  <si>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</si>
  <si>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</si>
  <si>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</si>
  <si>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</si>
  <si>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</si>
  <si>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</si>
  <si>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</si>
  <si>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</si>
  <si>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</si>
  <si>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</si>
  <si>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</si>
  <si>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</si>
  <si>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</si>
  <si>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</si>
  <si>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</si>
  <si>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</si>
  <si>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</si>
  <si>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</si>
  <si>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</si>
  <si>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</si>
  <si>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</si>
  <si>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</si>
  <si>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</si>
  <si>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</si>
  <si>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</si>
  <si>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</si>
  <si>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</si>
  <si>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</si>
  <si>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</si>
  <si>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</si>
  <si>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</si>
  <si>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</si>
  <si>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</si>
  <si>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</si>
  <si>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</si>
  <si>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</si>
  <si>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</si>
  <si>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</si>
  <si>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</si>
  <si>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</si>
  <si>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</si>
  <si>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</si>
  <si>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</si>
  <si>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</si>
  <si>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</si>
  <si>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</si>
  <si>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</si>
  <si>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</si>
  <si>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</si>
  <si>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</si>
  <si>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</si>
  <si>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</si>
  <si>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</si>
  <si>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</si>
  <si>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</si>
  <si>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</si>
  <si>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</si>
  <si>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</si>
  <si>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</si>
  <si>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</si>
  <si>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</si>
  <si>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</si>
  <si>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</si>
  <si>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</si>
  <si>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</si>
  <si>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</si>
  <si>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</si>
  <si>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</si>
  <si>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</si>
  <si>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</si>
  <si>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</si>
  <si>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</si>
  <si>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</si>
  <si>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</si>
  <si>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</si>
  <si>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</si>
  <si>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</si>
  <si>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</si>
  <si>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</si>
  <si>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</si>
  <si>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</si>
  <si>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</si>
  <si>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</si>
  <si>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</si>
  <si>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</si>
  <si>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</si>
  <si>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</si>
  <si>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</si>
  <si>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</si>
  <si>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</si>
  <si>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</si>
  <si>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</si>
  <si>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</si>
  <si>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</si>
  <si>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</si>
  <si>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</si>
  <si>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</si>
  <si>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</si>
  <si>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</si>
  <si>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</si>
  <si>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</si>
  <si>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</si>
  <si>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</si>
  <si>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</si>
  <si>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</si>
  <si>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</si>
  <si>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</si>
  <si>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</si>
  <si>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</si>
  <si>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</si>
  <si>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</si>
  <si>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</si>
  <si>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</si>
  <si>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</si>
  <si>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</si>
  <si>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</si>
  <si>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</si>
  <si>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</si>
  <si>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</si>
  <si>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</si>
  <si>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</si>
  <si>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</si>
  <si>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</si>
  <si>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</si>
  <si>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</si>
  <si>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</si>
  <si>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</si>
  <si>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</si>
  <si>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</si>
  <si>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</si>
  <si>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</si>
  <si>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</si>
  <si>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</si>
  <si>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</si>
  <si>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</si>
  <si>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</si>
  <si>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</si>
  <si>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</si>
  <si>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</si>
  <si>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</si>
  <si>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</si>
  <si>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</si>
  <si>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</si>
  <si>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</si>
  <si>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</si>
  <si>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</si>
  <si>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</si>
  <si>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</si>
  <si>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</si>
  <si>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</si>
  <si>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</si>
  <si>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</si>
  <si>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</si>
  <si>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</si>
  <si>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</si>
  <si>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FILIAL SP</t>
  </si>
  <si>
    <t>37733-1</t>
  </si>
  <si>
    <t>HERCULES EQUIPA</t>
  </si>
  <si>
    <t>MARLON MARQUES</t>
  </si>
  <si>
    <t>EXPRESSO_250</t>
  </si>
  <si>
    <t>CTE NORMAL</t>
  </si>
  <si>
    <t>SAO JOSE - SC</t>
  </si>
  <si>
    <t>DARLILSON DOS SANTOS OLIV</t>
  </si>
  <si>
    <t>ALYSSON FELIPE TOMAZ</t>
  </si>
  <si>
    <t>MATRIZ</t>
  </si>
  <si>
    <t>2247-6</t>
  </si>
  <si>
    <t>MATTEL DO BRASI</t>
  </si>
  <si>
    <t>PASSO FUNDO - RS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</si>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</sst>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[Analise_GABRIEL_24092026.xlsx]Resumo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HERCULES EQUIPA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103.23</c:v>
                </c:pt>
                <c:pt idx="1">
                  <c:v>5670.45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HERCULES EQUIPA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74.7316</c:v>
                </c:pt>
                <c:pt idx="1">
                  <c:v>4497.6139999999996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[Analise_GABRIEL_24092026.xlsx]Resumo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HERCULES EQUIPA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103.23</c:v>
                </c:pt>
                <c:pt idx="1">
                  <c:v>5670.45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HERCULES EQUIPA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74.7316</c:v>
                </c:pt>
                <c:pt idx="1">
                  <c:v>4497.6139999999996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4.43870972222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466" count="8000">
        <n v="302137"/>
        <n v="30246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4T00:00:00" maxDate="2026-09-25T00:00:00"/>
    </cacheField>
    <cacheField name="DATA" numFmtId="14">
      <sharedItems containsNonDate="0" containsDate="1" containsString="0" containsBlank="1" minDate="2026-09-24T00:00:00" maxDate="2026-09-25T00:00:00"/>
    </cacheField>
    <cacheField name="FAT" numFmtId="0">
      <sharedItems containsString="0" containsBlank="1" containsNumber="1" containsInteger="1" minValue="65859" maxValue="65859"/>
    </cacheField>
    <cacheField name="CT-E" numFmtId="0">
      <sharedItems containsBlank="1"/>
    </cacheField>
    <cacheField name="CLIENTE TOMADOR" numFmtId="0">
      <sharedItems containsBlank="1" count="855">
        <s v="HERCULES EQUIPA"/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742.71" maxValue="62288.15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3.23" maxValue="5670.45"/>
    </cacheField>
    <cacheField name="VOLUMES" numFmtId="0">
      <sharedItems containsString="0" containsBlank="1" containsNumber="1" containsInteger="1" minValue="1" maxValue="172"/>
    </cacheField>
    <cacheField name="PESO" numFmtId="0">
      <sharedItems containsString="0" containsBlank="1" containsNumber="1" minValue="10" maxValue="410.09"/>
    </cacheField>
    <cacheField name="RESP. COLETA" numFmtId="0">
      <sharedItems containsBlank="1"/>
    </cacheField>
    <cacheField name="CUSTO COLETA" numFmtId="0">
      <sharedItems containsString="0" containsBlank="1" containsNumber="1" minValue="0" maxValue="6.98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.39" maxValue="680.4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87" maxValue="31.14"/>
    </cacheField>
    <cacheField name="OUTROS" numFmtId="0">
      <sharedItems containsString="0" containsBlank="1" containsNumber="1" minValue="0" maxValue="7.61"/>
    </cacheField>
    <cacheField name="C.TOTAL" numFmtId="0">
      <sharedItems containsString="0" containsBlank="1" containsNumber="1" minValue="91.65" maxValue="3647.79"/>
    </cacheField>
    <cacheField name="RECEITA" numFmtId="0">
      <sharedItems containsString="0" containsBlank="1" containsNumber="1" minValue="11.58" maxValue="2022.66"/>
    </cacheField>
    <cacheField name="IMPOSTO" numFmtId="0">
      <sharedItems containsString="0" containsBlank="1" containsNumber="1" minValue="26.84" maxValue="1474.32"/>
    </cacheField>
    <cacheField name="RESULTADO" numFmtId="0">
      <sharedItems containsString="0" containsBlank="1" containsNumber="1" minValue="-15.26" maxValue="548.34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5.26" maxValue="548.34"/>
    </cacheField>
    <cacheField name="MARGEM" numFmtId="10">
      <sharedItems containsString="0" containsBlank="1" containsNumber="1" minValue="-0.14779999999999999" maxValue="9.6699999999999994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FILIAL SP"/>
    <d v="2026-09-24T00:00:00"/>
    <d v="2026-09-24T00:00:00"/>
    <n v="65859"/>
    <s v="37733-1"/>
    <x v="0"/>
    <s v="MARLON MARQUES"/>
    <n v="1742.71"/>
    <x v="0"/>
    <s v="CTE NORMAL"/>
    <s v="SAO JOSE - SC"/>
    <n v="103.23"/>
    <n v="1"/>
    <n v="10"/>
    <s v="FILIAL SP"/>
    <n v="6.98"/>
    <s v="DARLILSON DOS SANTOS OLIV"/>
    <n v="0"/>
    <s v="ALYSSON FELIPE TOMAZ"/>
    <n v="0"/>
    <n v="12.39"/>
    <n v="0"/>
    <n v="0"/>
    <n v="0.87"/>
    <n v="0"/>
    <n v="91.65"/>
    <n v="11.58"/>
    <n v="26.84"/>
    <n v="-15.26"/>
    <n v="0"/>
    <n v="-15.26"/>
    <n v="-0.14779999999999999"/>
    <m/>
  </r>
  <r>
    <x v="1"/>
    <s v="MATRIZ"/>
    <d v="2026-09-24T00:00:00"/>
    <d v="2026-09-24T00:00:00"/>
    <m/>
    <s v="2247-6"/>
    <x v="1"/>
    <s v="MARLON MARQUES"/>
    <n v="62288.15"/>
    <x v="0"/>
    <s v="CTE NORMAL"/>
    <s v="PASSO FUNDO - RS"/>
    <n v="5670.45"/>
    <n v="172"/>
    <n v="410.09"/>
    <s v="N/D"/>
    <n v="0"/>
    <s v="N/D"/>
    <n v="0"/>
    <s v="ALYSSON FELIPE TOMAZ"/>
    <n v="0"/>
    <n v="680.45"/>
    <n v="0"/>
    <n v="0"/>
    <n v="31.14"/>
    <n v="7.61"/>
    <n v="3647.79"/>
    <n v="2022.66"/>
    <n v="1474.32"/>
    <n v="548.34"/>
    <n v="0"/>
    <n v="548.34"/>
    <n v="9.6699999999999994E-2"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6"/>
        <item sd="0" m="1" x="272"/>
        <item m="1" x="12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1"/>
        <item m="1" x="221"/>
        <item m="1" x="158"/>
        <item m="1" x="229"/>
        <item m="1" x="109"/>
        <item m="1" x="621"/>
        <item m="1" x="141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9"/>
        <item m="1" x="355"/>
        <item m="1" x="686"/>
        <item m="1" x="311"/>
        <item m="1" x="136"/>
        <item m="1" x="293"/>
        <item m="1" x="601"/>
        <item m="1" x="205"/>
        <item m="1" x="674"/>
        <item m="1" x="139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8"/>
        <item m="1" x="661"/>
        <item m="1" x="371"/>
        <item m="1" x="154"/>
        <item m="1" x="250"/>
        <item m="1" x="628"/>
        <item m="1" x="736"/>
        <item m="1" x="420"/>
        <item m="1" x="81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5"/>
        <item m="1" x="739"/>
        <item m="1" x="392"/>
        <item m="1" x="275"/>
        <item m="1" x="66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3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60"/>
        <item m="1" x="631"/>
        <item m="1" x="530"/>
        <item m="1" x="294"/>
        <item m="1" x="303"/>
        <item m="1" x="173"/>
        <item m="1" x="101"/>
        <item sd="0" m="1" x="71"/>
        <item m="1" x="578"/>
        <item sd="0" m="1" x="798"/>
        <item m="1" x="33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4"/>
        <item m="1" x="602"/>
        <item sd="0" m="1" x="449"/>
        <item m="1" x="348"/>
        <item m="1" x="79"/>
        <item m="1" x="582"/>
        <item m="1" x="19"/>
        <item m="1" x="160"/>
        <item m="1" x="773"/>
        <item m="1" x="579"/>
        <item m="1" x="517"/>
        <item m="1" x="797"/>
        <item m="1" x="164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4"/>
        <item m="1" x="432"/>
        <item m="1" x="708"/>
        <item m="1" x="209"/>
        <item m="1" x="438"/>
        <item sd="0" m="1" x="102"/>
        <item sd="0" m="1" x="195"/>
        <item m="1" x="831"/>
        <item m="1" x="764"/>
        <item m="1" x="508"/>
        <item m="1" x="821"/>
        <item m="1" x="340"/>
        <item m="1" x="222"/>
        <item m="1" x="65"/>
        <item m="1" x="635"/>
        <item m="1" x="457"/>
        <item m="1" x="790"/>
        <item m="1" x="703"/>
        <item m="1" x="233"/>
        <item m="1" x="597"/>
        <item m="1" x="44"/>
        <item sd="0" m="1" x="843"/>
        <item sd="0" m="1" x="123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1"/>
        <item m="1" x="240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8"/>
        <item m="1" x="18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x="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50"/>
        <item m="1" x="759"/>
        <item sd="0" m="1" x="690"/>
        <item sd="0" m="1" x="22"/>
        <item m="1" x="727"/>
        <item m="1" x="780"/>
        <item m="1" x="639"/>
        <item m="1" x="328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3"/>
        <item m="1" x="720"/>
        <item m="1" x="555"/>
        <item m="1" x="116"/>
        <item m="1" x="375"/>
        <item m="1" x="718"/>
        <item m="1" x="127"/>
        <item m="1" x="34"/>
        <item m="1" x="301"/>
        <item m="1" x="548"/>
        <item m="1" x="61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5"/>
        <item m="1" x="297"/>
        <item m="1" x="682"/>
        <item m="1" x="135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6"/>
        <item m="1" x="130"/>
        <item m="1" x="654"/>
        <item sd="0" m="1" x="721"/>
        <item m="1" x="641"/>
        <item m="1" x="230"/>
        <item m="1" x="372"/>
        <item m="1" x="735"/>
        <item sd="0" m="1" x="132"/>
        <item m="1" x="86"/>
        <item m="1" x="208"/>
        <item m="1" x="681"/>
        <item m="1" x="274"/>
        <item m="1" x="471"/>
        <item m="1" x="799"/>
        <item m="1" x="216"/>
        <item m="1" x="827"/>
        <item m="1" x="70"/>
        <item m="1" x="118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7"/>
        <item m="1" x="361"/>
        <item m="1" x="262"/>
        <item m="1" x="290"/>
        <item m="1" x="540"/>
        <item m="1" x="810"/>
        <item m="1" x="603"/>
        <item m="1" x="32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1"/>
        <item m="1" x="605"/>
        <item x="1"/>
        <item m="1" x="325"/>
        <item m="1" x="35"/>
        <item m="1" x="495"/>
        <item sd="0" m="1" x="506"/>
        <item m="1" x="446"/>
        <item m="1" x="165"/>
        <item m="1" x="133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5"/>
        <item sd="0" m="1" x="669"/>
        <item m="1" x="94"/>
        <item m="1" x="439"/>
        <item sd="0" m="1" x="350"/>
        <item m="1" x="784"/>
        <item m="1" x="498"/>
        <item m="1" x="62"/>
        <item m="1" x="455"/>
        <item m="1" x="83"/>
        <item m="1" x="324"/>
        <item sd="0" m="1" x="167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9"/>
        <item m="1" x="782"/>
        <item m="1" x="252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3"/>
        <item m="1" x="717"/>
        <item m="1" x="111"/>
        <item m="1" x="253"/>
        <item m="1" x="511"/>
        <item m="1" x="95"/>
        <item m="1" x="522"/>
        <item m="1" x="789"/>
        <item m="1" x="20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2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3"/>
        <item m="1" x="78"/>
        <item m="1" x="528"/>
        <item m="1" x="566"/>
        <item m="1" x="687"/>
        <item m="1" x="279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4"/>
        <item sd="0" m="1" x="358"/>
        <item m="1" x="259"/>
        <item m="1" x="363"/>
        <item m="1" x="500"/>
        <item sd="0" m="1" x="146"/>
        <item m="1" x="169"/>
        <item m="1" x="584"/>
        <item m="1" x="803"/>
        <item sd="0" m="1" x="791"/>
        <item m="1" x="199"/>
        <item m="1" x="151"/>
        <item m="1" x="235"/>
        <item m="1" x="502"/>
        <item m="1" x="786"/>
        <item m="1" x="258"/>
        <item sd="0" m="1" x="752"/>
        <item m="1" x="128"/>
        <item m="1" x="210"/>
        <item m="1" x="833"/>
        <item m="1" x="585"/>
        <item m="1" x="796"/>
        <item m="1" x="726"/>
        <item m="1" x="411"/>
        <item m="1" x="26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5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4"/>
        <item m="1" x="224"/>
        <item m="1" x="783"/>
        <item m="1" x="724"/>
        <item m="1" x="841"/>
        <item m="1" x="443"/>
        <item m="1" x="192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2"/>
        <item m="1" x="646"/>
        <item m="1" x="49"/>
        <item m="1" x="415"/>
        <item m="1" x="145"/>
        <item sd="0" m="1" x="728"/>
        <item m="1" x="163"/>
        <item m="1" x="345"/>
        <item m="1" x="119"/>
        <item m="1" x="289"/>
        <item sd="0" m="1" x="198"/>
        <item m="1" x="204"/>
        <item m="1" x="89"/>
        <item sd="0" m="1" x="28"/>
        <item m="1" x="277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4"/>
        <item m="1" x="423"/>
        <item sd="0" m="1" x="27"/>
        <item sd="0" m="1" x="765"/>
        <item m="1" x="413"/>
        <item sd="0" m="1" x="552"/>
        <item m="1" x="97"/>
        <item m="1" x="85"/>
        <item sd="0" m="1" x="292"/>
        <item m="1" x="194"/>
        <item sd="0" m="1" x="496"/>
        <item m="1" x="261"/>
        <item m="1" x="31"/>
        <item m="1" x="105"/>
        <item m="1" x="533"/>
        <item sd="0" m="1" x="296"/>
        <item sd="0" m="1" x="396"/>
        <item sd="0" m="1" x="228"/>
        <item sd="0" m="1" x="8"/>
        <item m="1" x="472"/>
        <item sd="0" m="1" x="824"/>
        <item m="1" x="36"/>
        <item m="1" x="310"/>
        <item m="1" x="825"/>
        <item m="1" x="562"/>
        <item m="1" x="63"/>
        <item m="1" x="568"/>
        <item m="1" x="430"/>
        <item m="1" x="425"/>
        <item m="1" x="175"/>
        <item m="1" x="365"/>
        <item m="1" x="758"/>
        <item m="1" x="600"/>
        <item m="1" x="13"/>
        <item m="1" x="92"/>
        <item m="1" x="437"/>
        <item m="1" x="433"/>
        <item m="1" x="121"/>
        <item m="1" x="630"/>
        <item m="1" x="200"/>
        <item m="1" x="156"/>
        <item m="1" x="56"/>
        <item m="1" x="547"/>
        <item sd="0" m="1" x="618"/>
        <item m="1" x="99"/>
        <item m="1" x="766"/>
        <item m="1" x="126"/>
        <item m="1" x="217"/>
        <item m="1" x="811"/>
        <item m="1" x="278"/>
        <item m="1" x="107"/>
        <item m="1" x="197"/>
        <item m="1" x="213"/>
        <item m="1" x="180"/>
        <item m="1" x="74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7"/>
        <item m="1" x="129"/>
        <item m="1" x="4"/>
        <item m="1" x="50"/>
        <item m="1" x="90"/>
        <item sd="0" m="1" x="201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341"/>
    </i>
    <i r="1">
      <x v="7998"/>
    </i>
    <i>
      <x v="495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6"/>
        <item sd="0" m="1" x="272"/>
        <item m="1" x="12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1"/>
        <item m="1" x="221"/>
        <item m="1" x="158"/>
        <item m="1" x="229"/>
        <item m="1" x="109"/>
        <item m="1" x="621"/>
        <item m="1" x="141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9"/>
        <item m="1" x="355"/>
        <item m="1" x="686"/>
        <item m="1" x="311"/>
        <item m="1" x="136"/>
        <item m="1" x="293"/>
        <item m="1" x="601"/>
        <item m="1" x="205"/>
        <item m="1" x="674"/>
        <item m="1" x="139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8"/>
        <item m="1" x="661"/>
        <item m="1" x="371"/>
        <item m="1" x="154"/>
        <item m="1" x="250"/>
        <item m="1" x="628"/>
        <item m="1" x="736"/>
        <item m="1" x="420"/>
        <item m="1" x="81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5"/>
        <item m="1" x="739"/>
        <item m="1" x="392"/>
        <item m="1" x="275"/>
        <item m="1" x="66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3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60"/>
        <item m="1" x="631"/>
        <item m="1" x="530"/>
        <item m="1" x="294"/>
        <item m="1" x="303"/>
        <item m="1" x="173"/>
        <item m="1" x="101"/>
        <item sd="0" m="1" x="71"/>
        <item m="1" x="578"/>
        <item sd="0" m="1" x="798"/>
        <item m="1" x="33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4"/>
        <item m="1" x="602"/>
        <item sd="0" m="1" x="449"/>
        <item m="1" x="348"/>
        <item m="1" x="79"/>
        <item m="1" x="582"/>
        <item m="1" x="19"/>
        <item m="1" x="160"/>
        <item m="1" x="773"/>
        <item m="1" x="579"/>
        <item m="1" x="517"/>
        <item m="1" x="797"/>
        <item m="1" x="164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4"/>
        <item m="1" x="432"/>
        <item m="1" x="708"/>
        <item m="1" x="209"/>
        <item m="1" x="438"/>
        <item sd="0" m="1" x="102"/>
        <item sd="0" m="1" x="195"/>
        <item m="1" x="831"/>
        <item m="1" x="764"/>
        <item m="1" x="508"/>
        <item m="1" x="821"/>
        <item m="1" x="340"/>
        <item m="1" x="222"/>
        <item m="1" x="65"/>
        <item m="1" x="635"/>
        <item m="1" x="457"/>
        <item m="1" x="790"/>
        <item sd="0" m="1" x="703"/>
        <item m="1" x="233"/>
        <item m="1" x="597"/>
        <item m="1" x="44"/>
        <item sd="0" m="1" x="843"/>
        <item sd="0" m="1" x="123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1"/>
        <item m="1" x="240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8"/>
        <item m="1" x="18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x="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50"/>
        <item m="1" x="759"/>
        <item sd="0" m="1" x="690"/>
        <item sd="0" m="1" x="22"/>
        <item m="1" x="727"/>
        <item m="1" x="780"/>
        <item m="1" x="639"/>
        <item m="1" x="328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3"/>
        <item m="1" x="720"/>
        <item m="1" x="555"/>
        <item m="1" x="116"/>
        <item m="1" x="375"/>
        <item m="1" x="718"/>
        <item m="1" x="127"/>
        <item m="1" x="34"/>
        <item m="1" x="301"/>
        <item m="1" x="548"/>
        <item m="1" x="61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5"/>
        <item m="1" x="297"/>
        <item m="1" x="682"/>
        <item m="1" x="135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6"/>
        <item m="1" x="130"/>
        <item m="1" x="654"/>
        <item sd="0" m="1" x="721"/>
        <item m="1" x="641"/>
        <item m="1" x="230"/>
        <item m="1" x="372"/>
        <item m="1" x="735"/>
        <item sd="0" m="1" x="132"/>
        <item m="1" x="86"/>
        <item m="1" x="208"/>
        <item m="1" x="681"/>
        <item m="1" x="274"/>
        <item m="1" x="471"/>
        <item m="1" x="799"/>
        <item m="1" x="216"/>
        <item m="1" x="827"/>
        <item m="1" x="70"/>
        <item m="1" x="118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7"/>
        <item m="1" x="361"/>
        <item m="1" x="262"/>
        <item m="1" x="290"/>
        <item m="1" x="540"/>
        <item m="1" x="810"/>
        <item m="1" x="603"/>
        <item m="1" x="32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1"/>
        <item m="1" x="605"/>
        <item x="1"/>
        <item m="1" x="325"/>
        <item m="1" x="35"/>
        <item m="1" x="495"/>
        <item sd="0" m="1" x="506"/>
        <item m="1" x="446"/>
        <item m="1" x="165"/>
        <item m="1" x="133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5"/>
        <item sd="0" m="1" x="669"/>
        <item m="1" x="94"/>
        <item m="1" x="439"/>
        <item sd="0" m="1" x="350"/>
        <item m="1" x="784"/>
        <item m="1" x="498"/>
        <item m="1" x="62"/>
        <item m="1" x="455"/>
        <item m="1" x="83"/>
        <item m="1" x="324"/>
        <item sd="0" m="1" x="167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9"/>
        <item m="1" x="782"/>
        <item m="1" x="252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3"/>
        <item m="1" x="717"/>
        <item m="1" x="111"/>
        <item m="1" x="253"/>
        <item m="1" x="511"/>
        <item m="1" x="95"/>
        <item m="1" x="522"/>
        <item m="1" x="789"/>
        <item m="1" x="20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2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3"/>
        <item m="1" x="78"/>
        <item m="1" x="528"/>
        <item m="1" x="566"/>
        <item m="1" x="687"/>
        <item m="1" x="279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4"/>
        <item sd="0" m="1" x="358"/>
        <item m="1" x="259"/>
        <item m="1" x="363"/>
        <item m="1" x="500"/>
        <item sd="0" m="1" x="146"/>
        <item m="1" x="169"/>
        <item m="1" x="584"/>
        <item m="1" x="803"/>
        <item sd="0" m="1" x="791"/>
        <item m="1" x="199"/>
        <item m="1" x="151"/>
        <item m="1" x="235"/>
        <item m="1" x="502"/>
        <item m="1" x="786"/>
        <item m="1" x="258"/>
        <item sd="0" m="1" x="752"/>
        <item m="1" x="128"/>
        <item m="1" x="210"/>
        <item m="1" x="833"/>
        <item m="1" x="585"/>
        <item m="1" x="796"/>
        <item m="1" x="726"/>
        <item m="1" x="411"/>
        <item m="1" x="26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5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4"/>
        <item m="1" x="224"/>
        <item m="1" x="783"/>
        <item m="1" x="724"/>
        <item m="1" x="841"/>
        <item m="1" x="443"/>
        <item m="1" x="192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2"/>
        <item m="1" x="646"/>
        <item m="1" x="49"/>
        <item m="1" x="415"/>
        <item m="1" x="145"/>
        <item sd="0" m="1" x="728"/>
        <item m="1" x="163"/>
        <item m="1" x="345"/>
        <item m="1" x="119"/>
        <item m="1" x="289"/>
        <item sd="0" m="1" x="198"/>
        <item m="1" x="204"/>
        <item m="1" x="89"/>
        <item sd="0" m="1" x="28"/>
        <item m="1" x="277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4"/>
        <item m="1" x="423"/>
        <item sd="0" m="1" x="27"/>
        <item sd="0" m="1" x="765"/>
        <item m="1" x="413"/>
        <item sd="0" m="1" x="552"/>
        <item m="1" x="97"/>
        <item m="1" x="85"/>
        <item sd="0" m="1" x="292"/>
        <item m="1" x="194"/>
        <item sd="0" m="1" x="496"/>
        <item m="1" x="261"/>
        <item m="1" x="31"/>
        <item m="1" x="105"/>
        <item m="1" x="533"/>
        <item sd="0" m="1" x="296"/>
        <item sd="0" m="1" x="396"/>
        <item sd="0" m="1" x="228"/>
        <item sd="0" m="1" x="8"/>
        <item m="1" x="472"/>
        <item sd="0" m="1" x="824"/>
        <item m="1" x="36"/>
        <item m="1" x="310"/>
        <item m="1" x="825"/>
        <item m="1" x="562"/>
        <item m="1" x="63"/>
        <item m="1" x="568"/>
        <item m="1" x="430"/>
        <item m="1" x="425"/>
        <item m="1" x="175"/>
        <item m="1" x="365"/>
        <item m="1" x="758"/>
        <item m="1" x="600"/>
        <item m="1" x="13"/>
        <item m="1" x="92"/>
        <item m="1" x="437"/>
        <item m="1" x="433"/>
        <item m="1" x="121"/>
        <item m="1" x="630"/>
        <item m="1" x="200"/>
        <item m="1" x="156"/>
        <item m="1" x="56"/>
        <item m="1" x="547"/>
        <item sd="0" m="1" x="618"/>
        <item m="1" x="99"/>
        <item m="1" x="766"/>
        <item m="1" x="126"/>
        <item m="1" x="217"/>
        <item m="1" x="811"/>
        <item m="1" x="278"/>
        <item m="1" x="107"/>
        <item m="1" x="197"/>
        <item m="1" x="213"/>
        <item m="1" x="180"/>
        <item m="1" x="74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7"/>
        <item m="1" x="129"/>
        <item m="1" x="4"/>
        <item m="1" x="50"/>
        <item m="1" x="90"/>
        <item sd="0" m="1" x="201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41"/>
    </i>
    <i>
      <x v="49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9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6" s="1" nd="1"/>
        <i x="272" s="1" nd="1"/>
        <i x="12" s="1" nd="1"/>
        <i x="761" s="1" nd="1"/>
        <i x="391" s="1" nd="1"/>
        <i x="712" s="1" nd="1"/>
        <i x="295" s="1" nd="1"/>
        <i x="113" s="1" nd="1"/>
        <i x="270" s="1" nd="1"/>
        <i x="590" s="1" nd="1"/>
        <i x="323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1" s="1" nd="1"/>
        <i x="221" s="1" nd="1"/>
        <i x="158" s="1" nd="1"/>
        <i x="229" s="1" nd="1"/>
        <i x="109" s="1" nd="1"/>
        <i x="621" s="1" nd="1"/>
        <i x="141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9" s="1" nd="1"/>
        <i x="355" s="1" nd="1"/>
        <i x="686" s="1" nd="1"/>
        <i x="311" s="1" nd="1"/>
        <i x="136" s="1" nd="1"/>
        <i x="293" s="1" nd="1"/>
        <i x="601" s="1" nd="1"/>
        <i x="205" s="1" nd="1"/>
        <i x="674" s="1" nd="1"/>
        <i x="139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8" s="1" nd="1"/>
        <i x="661" s="1" nd="1"/>
        <i x="371" s="1" nd="1"/>
        <i x="154" s="1" nd="1"/>
        <i x="250" s="1" nd="1"/>
        <i x="628" s="1" nd="1"/>
        <i x="736" s="1" nd="1"/>
        <i x="420" s="1" nd="1"/>
        <i x="81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5" s="1" nd="1"/>
        <i x="66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3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60" s="1" nd="1"/>
        <i x="631" s="1" nd="1"/>
        <i x="530" s="1" nd="1"/>
        <i x="294" s="1" nd="1"/>
        <i x="303" s="1" nd="1"/>
        <i x="173" s="1" nd="1"/>
        <i x="101" s="1" nd="1"/>
        <i x="71" s="1" nd="1"/>
        <i x="578" s="1" nd="1"/>
        <i x="798" s="1" nd="1"/>
        <i x="33" s="1" nd="1"/>
        <i x="673" s="1" nd="1"/>
        <i x="286" s="1" nd="1"/>
        <i x="629" s="1" nd="1"/>
        <i x="264" s="1" nd="1"/>
        <i x="115" s="1" nd="1"/>
        <i x="332" s="1" nd="1"/>
        <i x="219" s="1" nd="1"/>
        <i x="509" s="1" nd="1"/>
        <i x="117" s="1" nd="1"/>
        <i x="536" s="1" nd="1"/>
        <i x="84" s="1" nd="1"/>
        <i x="602" s="1" nd="1"/>
        <i x="449" s="1" nd="1"/>
        <i x="348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4" s="1" nd="1"/>
        <i x="826" s="1" nd="1"/>
        <i x="110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2" s="1" nd="1"/>
        <i x="195" s="1" nd="1"/>
        <i x="831" s="1" nd="1"/>
        <i x="764" s="1" nd="1"/>
        <i x="508" s="1" nd="1"/>
        <i x="821" s="1" nd="1"/>
        <i x="340" s="1" nd="1"/>
        <i x="222" s="1" nd="1"/>
        <i x="65" s="1" nd="1"/>
        <i x="635" s="1" nd="1"/>
        <i x="457" s="1" nd="1"/>
        <i x="790" s="1" nd="1"/>
        <i x="703" s="1" nd="1"/>
        <i x="233" s="1" nd="1"/>
        <i x="597" s="1" nd="1"/>
        <i x="44" s="1" nd="1"/>
        <i x="843" s="1" nd="1"/>
        <i x="123" s="1" nd="1"/>
        <i x="266" s="1" nd="1"/>
        <i x="291" s="1" nd="1"/>
        <i x="353" s="1" nd="1"/>
        <i x="98" s="1" nd="1"/>
        <i x="459" s="1" nd="1"/>
        <i x="580" s="1" nd="1"/>
        <i x="352" s="1" nd="1"/>
        <i x="103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3" s="1" nd="1"/>
        <i x="16" s="1" nd="1"/>
        <i x="231" s="1" nd="1"/>
        <i x="240" s="1" nd="1"/>
        <i x="6" s="1" nd="1"/>
        <i x="387" s="1" nd="1"/>
        <i x="369" s="1" nd="1"/>
        <i x="615" s="1" nd="1"/>
        <i x="58" s="1" nd="1"/>
        <i x="707" s="1" nd="1"/>
        <i x="24" s="1" nd="1"/>
        <i x="37" s="1" nd="1"/>
        <i x="9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3" s="1" nd="1"/>
        <i x="666" s="1" nd="1"/>
        <i x="839" s="1" nd="1"/>
        <i x="39" s="1" nd="1"/>
        <i x="382" s="1" nd="1"/>
        <i x="589" s="1" nd="1"/>
        <i x="747" s="1" nd="1"/>
        <i x="268" s="1" nd="1"/>
        <i x="18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7" s="1" nd="1"/>
        <i x="349" s="1" nd="1"/>
        <i x="577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50" s="1" nd="1"/>
        <i x="759" s="1" nd="1"/>
        <i x="690" s="1" nd="1"/>
        <i x="22" s="1" nd="1"/>
        <i x="727" s="1" nd="1"/>
        <i x="780" s="1" nd="1"/>
        <i x="639" s="1" nd="1"/>
        <i x="328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3" s="1" nd="1"/>
        <i x="720" s="1" nd="1"/>
        <i x="555" s="1" nd="1"/>
        <i x="116" s="1" nd="1"/>
        <i x="375" s="1" nd="1"/>
        <i x="718" s="1" nd="1"/>
        <i x="127" s="1" nd="1"/>
        <i x="34" s="1" nd="1"/>
        <i x="301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2" s="1" nd="1"/>
        <i x="100" s="1" nd="1"/>
        <i x="480" s="1" nd="1"/>
        <i x="607" s="1" nd="1"/>
        <i x="715" s="1" nd="1"/>
        <i x="55" s="1" nd="1"/>
        <i x="297" s="1" nd="1"/>
        <i x="682" s="1" nd="1"/>
        <i x="135" s="1" nd="1"/>
        <i x="329" s="1" nd="1"/>
        <i x="535" s="1" nd="1"/>
        <i x="236" s="1" nd="1"/>
        <i x="557" s="1" nd="1"/>
        <i x="546" s="1" nd="1"/>
        <i x="850" s="1" nd="1"/>
        <i x="3" s="1" nd="1"/>
        <i x="271" s="1" nd="1"/>
        <i x="76" s="1" nd="1"/>
        <i x="130" s="1" nd="1"/>
        <i x="654" s="1" nd="1"/>
        <i x="721" s="1" nd="1"/>
        <i x="641" s="1" nd="1"/>
        <i x="230" s="1" nd="1"/>
        <i x="372" s="1" nd="1"/>
        <i x="735" s="1" nd="1"/>
        <i x="132" s="1" nd="1"/>
        <i x="86" s="1" nd="1"/>
        <i x="208" s="1" nd="1"/>
        <i x="681" s="1" nd="1"/>
        <i x="274" s="1" nd="1"/>
        <i x="471" s="1" nd="1"/>
        <i x="799" s="1" nd="1"/>
        <i x="216" s="1" nd="1"/>
        <i x="827" s="1" nd="1"/>
        <i x="70" s="1" nd="1"/>
        <i x="118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7" s="1" nd="1"/>
        <i x="361" s="1" nd="1"/>
        <i x="262" s="1" nd="1"/>
        <i x="290" s="1" nd="1"/>
        <i x="540" s="1" nd="1"/>
        <i x="810" s="1" nd="1"/>
        <i x="603" s="1" nd="1"/>
        <i x="32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1" s="1" nd="1"/>
        <i x="605" s="1" nd="1"/>
        <i x="325" s="1" nd="1"/>
        <i x="35" s="1" nd="1"/>
        <i x="495" s="1" nd="1"/>
        <i x="506" s="1" nd="1"/>
        <i x="446" s="1" nd="1"/>
        <i x="165" s="1" nd="1"/>
        <i x="133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5" s="1" nd="1"/>
        <i x="669" s="1" nd="1"/>
        <i x="94" s="1" nd="1"/>
        <i x="439" s="1" nd="1"/>
        <i x="350" s="1" nd="1"/>
        <i x="784" s="1" nd="1"/>
        <i x="498" s="1" nd="1"/>
        <i x="62" s="1" nd="1"/>
        <i x="455" s="1" nd="1"/>
        <i x="83" s="1" nd="1"/>
        <i x="324" s="1" nd="1"/>
        <i x="167" s="1" nd="1"/>
        <i x="331" s="1" nd="1"/>
        <i x="564" s="1" nd="1"/>
        <i x="503" s="1" nd="1"/>
        <i x="227" s="1" nd="1"/>
        <i x="280" s="1" nd="1"/>
        <i x="93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3" s="1" nd="1"/>
        <i x="717" s="1" nd="1"/>
        <i x="111" s="1" nd="1"/>
        <i x="253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1" s="1" nd="1"/>
        <i x="142" s="1" nd="1"/>
        <i x="651" s="1" nd="1"/>
        <i x="604" s="1" nd="1"/>
        <i x="440" s="1" nd="1"/>
        <i x="23" s="1" nd="1"/>
        <i x="594" s="1" nd="1"/>
        <i x="434" s="1" nd="1"/>
        <i x="68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3" s="1" nd="1"/>
        <i x="78" s="1" nd="1"/>
        <i x="528" s="1" nd="1"/>
        <i x="566" s="1" nd="1"/>
        <i x="687" s="1" nd="1"/>
        <i x="279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4" s="1" nd="1"/>
        <i x="358" s="1" nd="1"/>
        <i x="259" s="1" nd="1"/>
        <i x="363" s="1" nd="1"/>
        <i x="500" s="1" nd="1"/>
        <i x="146" s="1" nd="1"/>
        <i x="169" s="1" nd="1"/>
        <i x="584" s="1" nd="1"/>
        <i x="803" s="1" nd="1"/>
        <i x="791" s="1" nd="1"/>
        <i x="199" s="1" nd="1"/>
        <i x="151" s="1" nd="1"/>
        <i x="235" s="1" nd="1"/>
        <i x="502" s="1" nd="1"/>
        <i x="786" s="1" nd="1"/>
        <i x="258" s="1" nd="1"/>
        <i x="752" s="1" nd="1"/>
        <i x="128" s="1" nd="1"/>
        <i x="210" s="1" nd="1"/>
        <i x="833" s="1" nd="1"/>
        <i x="585" s="1" nd="1"/>
        <i x="796" s="1" nd="1"/>
        <i x="726" s="1" nd="1"/>
        <i x="411" s="1" nd="1"/>
        <i x="26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4" s="1" nd="1"/>
        <i x="87" s="1" nd="1"/>
        <i x="754" s="1" nd="1"/>
        <i x="155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4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6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80" s="1" nd="1"/>
        <i x="52" s="1" nd="1"/>
        <i x="851" s="1" nd="1"/>
        <i x="30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2" s="1" nd="1"/>
        <i x="646" s="1" nd="1"/>
        <i x="49" s="1" nd="1"/>
        <i x="415" s="1" nd="1"/>
        <i x="145" s="1" nd="1"/>
        <i x="728" s="1" nd="1"/>
        <i x="163" s="1" nd="1"/>
        <i x="345" s="1" nd="1"/>
        <i x="119" s="1" nd="1"/>
        <i x="289" s="1" nd="1"/>
        <i x="198" s="1" nd="1"/>
        <i x="204" s="1" nd="1"/>
        <i x="89" s="1" nd="1"/>
        <i x="28" s="1" nd="1"/>
        <i x="277" s="1" nd="1"/>
        <i x="507" s="1" nd="1"/>
        <i x="499" s="1" nd="1"/>
        <i x="69" s="1" nd="1"/>
        <i x="679" s="1" nd="1"/>
        <i x="82" s="1" nd="1"/>
        <i x="634" s="1" nd="1"/>
        <i x="67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4" s="1" nd="1"/>
        <i x="423" s="1" nd="1"/>
        <i x="27" s="1" nd="1"/>
        <i x="765" s="1" nd="1"/>
        <i x="413" s="1" nd="1"/>
        <i x="552" s="1" nd="1"/>
        <i x="97" s="1" nd="1"/>
        <i x="85" s="1" nd="1"/>
        <i x="292" s="1" nd="1"/>
        <i x="194" s="1" nd="1"/>
        <i x="496" s="1" nd="1"/>
        <i x="261" s="1" nd="1"/>
        <i x="31" s="1" nd="1"/>
        <i x="105" s="1" nd="1"/>
        <i x="533" s="1" nd="1"/>
        <i x="296" s="1" nd="1"/>
        <i x="396" s="1" nd="1"/>
        <i x="228" s="1" nd="1"/>
        <i x="8" s="1" nd="1"/>
        <i x="472" s="1" nd="1"/>
        <i x="824" s="1" nd="1"/>
        <i x="36" s="1" nd="1"/>
        <i x="310" s="1" nd="1"/>
        <i x="825" s="1" nd="1"/>
        <i x="562" s="1" nd="1"/>
        <i x="63" s="1" nd="1"/>
        <i x="568" s="1" nd="1"/>
        <i x="430" s="1" nd="1"/>
        <i x="425" s="1" nd="1"/>
        <i x="175" s="1" nd="1"/>
        <i x="365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0" s="1" nd="1"/>
        <i x="156" s="1" nd="1"/>
        <i x="56" s="1" nd="1"/>
        <i x="547" s="1" nd="1"/>
        <i x="618" s="1" nd="1"/>
        <i x="99" s="1" nd="1"/>
        <i x="766" s="1" nd="1"/>
        <i x="126" s="1" nd="1"/>
        <i x="217" s="1" nd="1"/>
        <i x="811" s="1" nd="1"/>
        <i x="278" s="1" nd="1"/>
        <i x="107" s="1" nd="1"/>
        <i x="197" s="1" nd="1"/>
        <i x="213" s="1" nd="1"/>
        <i x="180" s="1" nd="1"/>
        <i x="74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7" s="1" nd="1"/>
        <i x="129" s="1" nd="1"/>
        <i x="4" s="1" nd="1"/>
        <i x="50" s="1" nd="1"/>
        <i x="90" s="1" nd="1"/>
        <i x="201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87" totalsRowShown="0" headerRowDxfId="92" dataDxfId="90" headerRowBorderDxfId="91" tableBorderDxfId="89" totalsRowBorderDxfId="88">
  <autoFilter ref="A1:D38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302137</v>
      </c>
      <c r="B2" s="12" t="s">
        <v>606</v>
      </c>
      <c r="C2" s="14">
        <v>46289</v>
      </c>
      <c r="D2" s="14">
        <v>46289</v>
      </c>
      <c r="E2" s="12">
        <v>65859</v>
      </c>
      <c r="F2" s="15" t="s">
        <v>607</v>
      </c>
      <c r="G2" s="15" t="s">
        <v>608</v>
      </c>
      <c r="H2" s="15" t="s">
        <v>609</v>
      </c>
      <c r="I2" s="16">
        <v>1742.71</v>
      </c>
      <c r="J2" s="15" t="s">
        <v>610</v>
      </c>
      <c r="K2" s="15" t="s">
        <v>611</v>
      </c>
      <c r="L2" s="15" t="s">
        <v>612</v>
      </c>
      <c r="M2" s="15">
        <v>103.23</v>
      </c>
      <c r="N2" s="15">
        <v>1</v>
      </c>
      <c r="O2" s="16">
        <v>10</v>
      </c>
      <c r="P2" s="15" t="s">
        <v>606</v>
      </c>
      <c r="Q2" s="15">
        <v>6.98</v>
      </c>
      <c r="R2" s="15" t="s">
        <v>613</v>
      </c>
      <c r="S2" s="15">
        <v>0</v>
      </c>
      <c r="T2" s="15" t="s">
        <v>614</v>
      </c>
      <c r="U2" s="15">
        <v>0</v>
      </c>
      <c r="V2" s="15">
        <v>12.39</v>
      </c>
      <c r="W2" s="15">
        <v>0</v>
      </c>
      <c r="X2" s="15">
        <v>0</v>
      </c>
      <c r="Y2" s="15">
        <v>0.87</v>
      </c>
      <c r="Z2" s="15">
        <v>0</v>
      </c>
      <c r="AA2" s="15">
        <v>91.65</v>
      </c>
      <c r="AB2" s="15">
        <v>11.58</v>
      </c>
      <c r="AC2" s="15">
        <v>26.84</v>
      </c>
      <c r="AD2" s="15">
        <v>-15.26</v>
      </c>
      <c r="AE2" s="15">
        <v>0</v>
      </c>
      <c r="AF2" s="15">
        <v>-15.26</v>
      </c>
      <c r="AG2" s="17">
        <v>-0.14779999999999999</v>
      </c>
      <c r="AH2" s="15"/>
    </row>
    <row r="3" spans="1:34" s="1" customFormat="1" ht="12" customHeight="1" x14ac:dyDescent="0.3">
      <c r="A3" s="13">
        <v>302466</v>
      </c>
      <c r="B3" s="12" t="s">
        <v>615</v>
      </c>
      <c r="C3" s="14">
        <v>46289</v>
      </c>
      <c r="D3" s="14">
        <v>46289</v>
      </c>
      <c r="E3" s="12"/>
      <c r="F3" s="15" t="s">
        <v>616</v>
      </c>
      <c r="G3" s="15" t="s">
        <v>617</v>
      </c>
      <c r="H3" s="15" t="s">
        <v>609</v>
      </c>
      <c r="I3" s="16">
        <v>62288.15</v>
      </c>
      <c r="J3" s="15" t="s">
        <v>610</v>
      </c>
      <c r="K3" s="15" t="s">
        <v>611</v>
      </c>
      <c r="L3" s="15" t="s">
        <v>618</v>
      </c>
      <c r="M3" s="16">
        <v>5670.45</v>
      </c>
      <c r="N3" s="15">
        <v>172</v>
      </c>
      <c r="O3" s="16">
        <v>410.09</v>
      </c>
      <c r="P3" s="15" t="s">
        <v>619</v>
      </c>
      <c r="Q3" s="15">
        <v>0</v>
      </c>
      <c r="R3" s="15" t="s">
        <v>619</v>
      </c>
      <c r="S3" s="15">
        <v>0</v>
      </c>
      <c r="T3" s="15" t="s">
        <v>614</v>
      </c>
      <c r="U3" s="15">
        <v>0</v>
      </c>
      <c r="V3" s="15">
        <v>680.45</v>
      </c>
      <c r="W3" s="15">
        <v>0</v>
      </c>
      <c r="X3" s="15">
        <v>0</v>
      </c>
      <c r="Y3" s="15">
        <v>31.14</v>
      </c>
      <c r="Z3" s="15">
        <v>7.61</v>
      </c>
      <c r="AA3" s="16">
        <v>3647.79</v>
      </c>
      <c r="AB3" s="16">
        <v>2022.66</v>
      </c>
      <c r="AC3" s="15">
        <v>1474.32</v>
      </c>
      <c r="AD3" s="15">
        <v>548.34</v>
      </c>
      <c r="AE3" s="15">
        <v>0</v>
      </c>
      <c r="AF3" s="15">
        <v>548.34</v>
      </c>
      <c r="AG3" s="17">
        <v>9.6699999999999994E-2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5773.6799999999994</v>
      </c>
      <c r="F3" s="89"/>
      <c r="G3" s="90"/>
      <c r="H3" s="133">
        <f>'Resumo Detalhado'!C2</f>
        <v>420.09</v>
      </c>
      <c r="I3" s="134"/>
      <c r="J3" s="135">
        <f>E3/H3</f>
        <v>13.743912018853102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0.35007499999999997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3006.98</v>
      </c>
      <c r="F7" s="112"/>
      <c r="G7" s="112"/>
      <c r="H7" s="112"/>
      <c r="I7" s="112"/>
      <c r="J7" s="112">
        <f>E7/H3</f>
        <v>7.1579423456878288</v>
      </c>
      <c r="K7" s="112"/>
      <c r="L7" s="112"/>
      <c r="M7" s="130">
        <f>E7/E3</f>
        <v>0.52080821936789023</v>
      </c>
      <c r="N7" s="130"/>
      <c r="O7" s="130"/>
      <c r="P7" s="112">
        <f>E11+K11+Q11+E15+K15+Q15+E19+H19+K19</f>
        <v>5125.1232</v>
      </c>
      <c r="Q7" s="112"/>
      <c r="R7" s="112"/>
      <c r="S7" s="112">
        <f>P7/H3</f>
        <v>12.200059987145613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3000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3000</v>
      </c>
      <c r="L11" s="90"/>
      <c r="M11" s="38"/>
      <c r="N11" s="88">
        <f>K11/H3</f>
        <v>7.1413268585303156</v>
      </c>
      <c r="O11" s="90"/>
      <c r="P11" s="38"/>
      <c r="Q11" s="88">
        <f>'Resumo Detalhado'!D2</f>
        <v>6.98</v>
      </c>
      <c r="R11" s="90"/>
      <c r="S11" s="38"/>
      <c r="T11" s="88">
        <f>Q11/H3</f>
        <v>1.6615487157513868E-2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692.84</v>
      </c>
      <c r="F15" s="119"/>
      <c r="G15" s="119"/>
      <c r="H15" s="119"/>
      <c r="I15" s="132"/>
      <c r="J15" s="38"/>
      <c r="K15" s="113">
        <f>'Resumo Detalhado'!K2+'Resumo Detalhado'!L2</f>
        <v>923.78879999999992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32.01</v>
      </c>
      <c r="F19" s="120"/>
      <c r="G19" s="38"/>
      <c r="H19" s="122">
        <f>'Resumo Detalhado'!J2</f>
        <v>7.61</v>
      </c>
      <c r="I19" s="123"/>
      <c r="J19" s="38"/>
      <c r="K19" s="122">
        <f>'Resumo Detalhado'!L2</f>
        <v>461.89439999999996</v>
      </c>
      <c r="L19" s="123"/>
      <c r="M19" s="38"/>
      <c r="N19" s="121" t="s">
        <v>604</v>
      </c>
      <c r="O19" s="119"/>
      <c r="P19" s="119"/>
      <c r="Q19" s="119"/>
      <c r="R19" s="120"/>
      <c r="S19" s="121">
        <f>_xlfn.XLOOKUP(N19,Target!C:C,Target!D:D)</f>
        <v>3100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4572.3455999999996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0.79192916822546455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620</v>
      </c>
      <c r="F1" s="29"/>
    </row>
    <row r="2" spans="1:18" x14ac:dyDescent="0.3">
      <c r="B2" s="29">
        <f>SUM(B6:B5000)</f>
        <v>5773.6799999999994</v>
      </c>
      <c r="C2" s="29">
        <f>SUM(C6:C5000)</f>
        <v>420.09</v>
      </c>
      <c r="D2" s="29">
        <f>SUM(D6:D5000)</f>
        <v>6.98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692.84</v>
      </c>
      <c r="I2" s="29">
        <f t="shared" si="0"/>
        <v>32.01</v>
      </c>
      <c r="J2" s="29">
        <f t="shared" si="0"/>
        <v>7.61</v>
      </c>
      <c r="K2" s="29">
        <f t="shared" si="0"/>
        <v>461.89439999999996</v>
      </c>
      <c r="L2" s="29">
        <f t="shared" si="0"/>
        <v>461.89439999999996</v>
      </c>
      <c r="M2" s="29">
        <f t="shared" si="0"/>
        <v>0</v>
      </c>
      <c r="N2" s="29">
        <f t="shared" si="0"/>
        <v>4572.3455999999996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608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302137</v>
      </c>
      <c r="B6" s="140">
        <v>103.23</v>
      </c>
      <c r="C6" s="141">
        <v>10</v>
      </c>
      <c r="D6" s="140">
        <v>6.98</v>
      </c>
      <c r="E6" s="140">
        <v>0</v>
      </c>
      <c r="F6" s="140">
        <v>0</v>
      </c>
      <c r="G6" s="142">
        <v>6.7616003099874075E-2</v>
      </c>
      <c r="H6" s="140">
        <v>12.39</v>
      </c>
      <c r="I6" s="140">
        <v>0.87</v>
      </c>
      <c r="J6" s="140">
        <v>0</v>
      </c>
      <c r="K6" s="140">
        <v>8.2584</v>
      </c>
      <c r="L6" s="140">
        <v>8.2584</v>
      </c>
      <c r="M6" s="140">
        <v>0</v>
      </c>
      <c r="N6" s="140">
        <v>74.7316</v>
      </c>
      <c r="O6" s="142">
        <v>0.72393296522328776</v>
      </c>
      <c r="Q6"/>
    </row>
    <row r="7" spans="1:18" s="31" customFormat="1" x14ac:dyDescent="0.3">
      <c r="A7" s="9" t="s">
        <v>617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302466</v>
      </c>
      <c r="B8" s="140">
        <v>5670.45</v>
      </c>
      <c r="C8" s="141">
        <v>410.09</v>
      </c>
      <c r="D8" s="140">
        <v>0</v>
      </c>
      <c r="E8" s="140">
        <v>0</v>
      </c>
      <c r="F8" s="140">
        <v>0</v>
      </c>
      <c r="G8" s="142">
        <v>0</v>
      </c>
      <c r="H8" s="140">
        <v>680.45</v>
      </c>
      <c r="I8" s="140">
        <v>31.14</v>
      </c>
      <c r="J8" s="140">
        <v>7.61</v>
      </c>
      <c r="K8" s="140">
        <v>453.63599999999997</v>
      </c>
      <c r="L8" s="140">
        <v>453.63599999999997</v>
      </c>
      <c r="M8" s="140">
        <v>0</v>
      </c>
      <c r="N8" s="140">
        <v>4497.6139999999996</v>
      </c>
      <c r="O8" s="142">
        <v>0.79316703259882371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620</v>
      </c>
    </row>
    <row r="2" spans="1:4" x14ac:dyDescent="0.3">
      <c r="B2" s="29">
        <f>SUM(B6:B5000)</f>
        <v>5670.45</v>
      </c>
      <c r="C2" s="29">
        <f>SUM(C6:C5000)</f>
        <v>4497.6139999999996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608</v>
      </c>
      <c r="B5" s="10">
        <v>103.23</v>
      </c>
      <c r="C5" s="10">
        <v>74.7316</v>
      </c>
    </row>
    <row r="6" spans="1:4" x14ac:dyDescent="0.3">
      <c r="A6" s="9" t="s">
        <v>617</v>
      </c>
      <c r="B6" s="140">
        <v>5670.45</v>
      </c>
      <c r="C6" s="140">
        <v>4497.6139999999996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8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2026-09-29T13:31:51Z</dcterms:modified>
  <cp:category/>
  <cp:contentStatus/>
</cp:coreProperties>
</file>