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4299211-42BE-48A2-BAB4-39185E55BE9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<sst xmlns="http://schemas.openxmlformats.org/spreadsheetml/2006/main" count="880" uniqueCount="611">
  <si>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</si>
  <si>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</si>
  <si>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</si>
  <si>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</si>
  <si>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</si>
  <si>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</si>
  <si>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</si>
  <si>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</si>
  <si>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</si>
  <si>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</si>
  <si>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</si>
  <si>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</si>
  <si>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</si>
  <si>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</si>
  <si>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</si>
  <si>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</si>
  <si>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</si>
  <si>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</si>
  <si>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</si>
  <si>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</si>
  <si>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</si>
  <si>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</si>
  <si>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</si>
  <si>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</si>
  <si>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</si>
  <si>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</si>
  <si>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</si>
  <si>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</si>
  <si>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</si>
  <si>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</si>
  <si>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</si>
  <si>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</si>
  <si>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</si>
  <si>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</si>
  <si>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</si>
  <si>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</si>
  <si>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</si>
  <si>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</si>
  <si>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</si>
  <si>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</si>
  <si>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</si>
  <si>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</si>
  <si>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</si>
  <si>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</si>
  <si>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</si>
  <si>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</si>
  <si>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</si>
  <si>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</si>
  <si>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</si>
  <si>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</si>
  <si>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</si>
  <si>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</si>
  <si>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</si>
  <si>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</si>
  <si>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</si>
  <si>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</si>
  <si>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</si>
  <si>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</si>
  <si>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</si>
  <si>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</si>
  <si>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</si>
  <si>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</si>
  <si>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</si>
  <si>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</si>
  <si>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</si>
  <si>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</si>
  <si>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</si>
  <si>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</si>
  <si>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</si>
  <si>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</si>
  <si>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</si>
  <si>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</si>
  <si>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</si>
  <si>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</si>
  <si>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</si>
  <si>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</si>
  <si>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</si>
  <si>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</si>
  <si>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</si>
  <si>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</si>
  <si>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</si>
  <si>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</si>
  <si>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</si>
  <si>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</si>
  <si>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</si>
  <si>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</si>
  <si>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</si>
  <si>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</si>
  <si>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</si>
  <si>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</si>
  <si>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</si>
  <si>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</si>
  <si>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</si>
  <si>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</si>
  <si>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</si>
  <si>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</si>
  <si>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</si>
  <si>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</si>
  <si>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</si>
  <si>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</si>
  <si>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</si>
  <si>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</si>
  <si>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</si>
  <si>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</si>
  <si>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</si>
  <si>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</si>
  <si>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</si>
  <si>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</si>
  <si>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</si>
  <si>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</si>
  <si>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</si>
  <si>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</si>
  <si>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</si>
  <si>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</si>
  <si>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</si>
  <si>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</si>
  <si>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</si>
  <si>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</si>
  <si>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</si>
  <si>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</si>
  <si>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</si>
  <si>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</si>
  <si>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</si>
  <si>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</si>
  <si>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</si>
  <si>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</si>
  <si>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</si>
  <si>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</si>
  <si>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</si>
  <si>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</si>
  <si>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</si>
  <si>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</si>
  <si>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</si>
  <si>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</si>
  <si>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</si>
  <si>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</si>
  <si>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</si>
  <si>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</si>
  <si>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</si>
  <si>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</si>
  <si>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</si>
  <si>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</si>
  <si>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</si>
  <si>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</si>
  <si>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</si>
  <si>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</si>
  <si>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</si>
  <si>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</si>
  <si>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</si>
  <si>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</si>
  <si>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</si>
  <si>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</si>
  <si>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</si>
  <si>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</si>
  <si>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</si>
  <si>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</si>
  <si>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</si>
  <si>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</si>
  <si>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</si>
  <si>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</si>
  <si>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</si>
  <si>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</si>
  <si>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</si>
  <si>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</si>
  <si>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</si>
  <si>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</si>
  <si>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</si>
  <si>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</si>
  <si>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</si>
  <si>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</si>
  <si>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</si>
  <si>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</si>
  <si>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</si>
  <si>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</si>
  <si>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</si>
  <si>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</si>
  <si>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</si>
  <si>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</si>
  <si>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</si>
  <si>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</si>
  <si>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</si>
  <si>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</si>
  <si>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</si>
  <si>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</si>
  <si>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</si>
  <si>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</si>
  <si>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</si>
  <si>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</si>
  <si>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</si>
  <si>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</si>
  <si>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</si>
  <si>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</si>
  <si>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</si>
  <si>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</si>
  <si>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</si>
  <si>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</si>
  <si>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</si>
  <si>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</si>
  <si>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</si>
  <si>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</si>
  <si>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</si>
  <si>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</si>
  <si>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</si>
  <si>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</si>
  <si>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</si>
  <si>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</si>
  <si>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</si>
  <si>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</si>
  <si>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</si>
  <si>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</si>
  <si>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</si>
  <si>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</si>
  <si>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</si>
  <si>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</si>
  <si>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</si>
  <si>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</si>
  <si>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</si>
  <si>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</si>
  <si>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</si>
  <si>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</si>
  <si>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</si>
  <si>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</si>
  <si>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</si>
  <si>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</si>
  <si>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</si>
  <si>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</si>
  <si>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</si>
  <si>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</si>
  <si>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</si>
  <si>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</si>
  <si>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</si>
  <si>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</si>
  <si>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</si>
  <si>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</si>
  <si>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</si>
  <si>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</si>
  <si>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</si>
  <si>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</si>
  <si>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</si>
  <si>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</si>
  <si>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</si>
  <si>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</si>
  <si>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</si>
  <si>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</si>
  <si>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</si>
  <si>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</si>
  <si>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</si>
  <si>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</si>
  <si>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</si>
  <si>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</si>
  <si>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</si>
  <si>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</si>
  <si>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</si>
  <si>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</si>
  <si>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</si>
  <si>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</si>
  <si>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</si>
  <si>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</si>
  <si>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</si>
  <si>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</si>
  <si>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</si>
  <si>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</si>
  <si>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</si>
  <si>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</si>
  <si>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</si>
  <si>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</si>
  <si>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</si>
  <si>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</si>
  <si>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</si>
  <si>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</si>
  <si>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</si>
  <si>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</si>
  <si>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</si>
  <si>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</si>
  <si>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</si>
  <si>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</si>
  <si>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</si>
  <si>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</si>
  <si>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</si>
  <si>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</si>
  <si>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</si>
  <si>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</si>
  <si>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</si>
  <si>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</si>
  <si>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</si>
  <si>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</si>
  <si>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</si>
  <si>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</si>
  <si>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</si>
  <si>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</si>
  <si>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</si>
  <si>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</si>
  <si>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</si>
  <si>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</si>
  <si>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</si>
  <si>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</si>
  <si>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</si>
  <si>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</si>
  <si>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</si>
  <si>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</si>
  <si>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</si>
  <si>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</si>
  <si>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</si>
  <si>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</si>
  <si>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</si>
  <si>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</si>
  <si>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</si>
  <si>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</si>
  <si>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</si>
  <si>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</si>
  <si>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</si>
  <si>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</si>
  <si>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</si>
  <si>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</si>
  <si>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</si>
  <si>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</si>
  <si>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</si>
  <si>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</si>
  <si>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</si>
  <si>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</si>
  <si>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</si>
  <si>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</si>
  <si>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</si>
  <si>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</si>
  <si>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</si>
  <si>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</si>
  <si>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</si>
  <si>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</si>
  <si>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</si>
  <si>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</si>
  <si>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</si>
  <si>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</si>
  <si>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</si>
  <si>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</si>
  <si>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</si>
  <si>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</si>
  <si>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</si>
  <si>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</si>
  <si>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</si>
  <si>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</si>
  <si>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</si>
  <si>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</si>
  <si>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</si>
  <si>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</si>
  <si>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</si>
  <si>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</si>
  <si>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</si>
  <si>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</si>
  <si>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</si>
  <si>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</si>
  <si>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</si>
  <si>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</si>
  <si>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</si>
  <si>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</si>
  <si>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</si>
  <si>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</si>
  <si>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</si>
  <si>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</si>
  <si>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</si>
  <si>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</si>
  <si>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</si>
  <si>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</si>
  <si>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</si>
  <si>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</si>
  <si>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</si>
  <si>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</si>
  <si>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</si>
  <si>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</si>
  <si>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</si>
  <si>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</si>
  <si>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</si>
  <si>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</si>
  <si>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</si>
  <si>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</si>
  <si>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</si>
  <si>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</si>
  <si>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</si>
  <si>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</si>
  <si>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</si>
  <si>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</si>
  <si>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</si>
  <si>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</si>
  <si>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</si>
  <si>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</si>
  <si>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</si>
  <si>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</si>
  <si>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</si>
  <si>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</si>
  <si>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</si>
  <si>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</si>
  <si>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</si>
  <si>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</si>
  <si>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</si>
  <si>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</si>
  <si>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</si>
  <si>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</si>
  <si>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</si>
  <si>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</si>
  <si>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</si>
  <si>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</si>
  <si>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</si>
  <si>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</si>
  <si>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</si>
  <si>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</si>
  <si>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</si>
  <si>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</si>
  <si>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</si>
  <si>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</si>
  <si>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</si>
  <si>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</si>
  <si>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</si>
  <si>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</si>
  <si>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</si>
  <si>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</si>
  <si>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</si>
  <si>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</si>
  <si>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</si>
  <si>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</si>
  <si>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</si>
  <si>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</si>
  <si>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</si>
  <si>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</si>
  <si>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</si>
  <si>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</si>
  <si>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</si>
  <si>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</si>
  <si>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</si>
  <si>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</si>
  <si>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</si>
  <si>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</si>
  <si>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</si>
  <si>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</si>
  <si>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</si>
  <si>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</si>
  <si>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</si>
  <si>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</si>
  <si>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</si>
  <si>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</si>
  <si>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</si>
  <si>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</si>
  <si>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</si>
  <si>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</si>
  <si>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</si>
  <si>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</si>
  <si>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</si>
  <si>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</si>
  <si>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</si>
  <si>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</si>
  <si>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</si>
  <si>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</si>
  <si>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</si>
  <si>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</si>
  <si>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</si>
  <si>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</si>
  <si>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</si>
  <si>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</si>
  <si>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</si>
  <si>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</si>
  <si>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</si>
  <si>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</si>
  <si>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</si>
  <si>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</si>
  <si>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</si>
  <si>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</si>
  <si>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</si>
  <si>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</si>
  <si>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</si>
  <si>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</si>
  <si>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</si>
  <si>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</si>
  <si>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</si>
  <si>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</si>
  <si>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</si>
  <si>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</si>
  <si>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</si>
  <si>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</si>
  <si>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</si>
  <si>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</si>
  <si>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</si>
  <si>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</si>
  <si>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</si>
  <si>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</si>
  <si>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</si>
  <si>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</si>
  <si>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</si>
  <si>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</si>
  <si>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</si>
  <si>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</si>
  <si>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</si>
  <si>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</si>
  <si>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</si>
  <si>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</si>
  <si>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</si>
  <si>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</si>
  <si>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</si>
  <si>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</si>
  <si>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</si>
  <si>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</si>
  <si>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</si>
  <si>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</si>
  <si>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</si>
  <si>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</si>
  <si>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</si>
  <si>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</si>
  <si>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</si>
  <si>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</si>
  <si>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</si>
  <si>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</si>
  <si>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</si>
  <si>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</si>
  <si>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</si>
  <si>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</si>
  <si>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</si>
  <si>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</si>
  <si>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</si>
  <si>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</si>
  <si>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</si>
  <si>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</si>
  <si>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</si>
  <si>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</si>
  <si>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</si>
  <si>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</si>
  <si>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</si>
  <si>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</si>
  <si>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</si>
  <si>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</si>
  <si>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</si>
  <si>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</si>
  <si>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</si>
  <si>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</si>
  <si>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</si>
  <si>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</si>
  <si>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</si>
  <si>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</si>
  <si>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</si>
  <si>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</si>
  <si>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</si>
  <si>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</si>
  <si>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</si>
  <si>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</si>
  <si>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</si>
  <si>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</si>
  <si>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</si>
  <si>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</si>
  <si>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</si>
  <si>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</si>
  <si>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</si>
  <si>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</si>
  <si>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</si>
  <si>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</si>
  <si>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</si>
  <si>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</si>
  <si>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</si>
  <si>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</si>
  <si>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</si>
  <si>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</si>
  <si>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</si>
  <si>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</si>
  <si>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</si>
  <si>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</si>
  <si>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</si>
  <si>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</si>
  <si>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</si>
  <si>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</si>
  <si>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</si>
  <si>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</si>
  <si>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</si>
  <si>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</si>
  <si>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</si>
  <si>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</si>
  <si>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</si>
  <si>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</si>
  <si>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</si>
  <si>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</si>
  <si>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</si>
  <si>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</si>
  <si>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</si>
  <si>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</si>
  <si>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</si>
  <si>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</si>
  <si>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</si>
  <si>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</si>
  <si>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</si>
  <si>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</si>
  <si>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</si>
  <si>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</si>
  <si>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</si>
  <si>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</si>
  <si>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</si>
  <si>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</si>
  <si>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</si>
  <si>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</si>
  <si>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</si>
  <si>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</si>
  <si>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</si>
  <si>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</si>
  <si>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</si>
  <si>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</si>
  <si>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</si>
  <si>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</si>
  <si>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MATRIZ</t>
  </si>
  <si>
    <t>203067-1</t>
  </si>
  <si>
    <t>ESAB INDUSTRIA</t>
  </si>
  <si>
    <t>MAURO MARQUES</t>
  </si>
  <si>
    <t>EXPRESSO_250</t>
  </si>
  <si>
    <t>CTE NORMAL</t>
  </si>
  <si>
    <t>CONTAGEM - MG</t>
  </si>
  <si>
    <t>RAFAEL VICENTE</t>
  </si>
  <si>
    <t>GERFESON SOUZA OLIVEIRA</t>
  </si>
  <si>
    <t>JAIR BATISTA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</si>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</sst>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[Analise_GERFESON_21092026.xlsx]Resumo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ESAB INDUSTRIA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3581.39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ESAB INDUSTRIA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1752.2387999999999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[Analise_GERFESON_21092026.xlsx]Resumo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ESAB INDUSTRIA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3581.39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ESAB INDUSTRIA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1752.2387999999999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9.4310564814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0756" count="8000">
        <n v="30075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1T00:00:00" maxDate="2026-09-12T00:00:00"/>
    </cacheField>
    <cacheField name="DATA" numFmtId="14">
      <sharedItems containsNonDate="0" containsDate="1" containsString="0" containsBlank="1" minDate="2026-09-11T00:00:00" maxDate="2026-09-1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ESAB INDUSTRIA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55301.96" maxValue="355301.96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581.39" maxValue="3581.39"/>
    </cacheField>
    <cacheField name="VOLUMES" numFmtId="0">
      <sharedItems containsString="0" containsBlank="1" containsNumber="1" containsInteger="1" minValue="28" maxValue="28"/>
    </cacheField>
    <cacheField name="PESO" numFmtId="0">
      <sharedItems containsString="0" containsBlank="1" containsNumber="1" minValue="773.67" maxValue="773.67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900" maxValue="9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429.77" maxValue="429.7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77.65" maxValue="177.65"/>
    </cacheField>
    <cacheField name="OUTROS" numFmtId="0">
      <sharedItems containsString="0" containsBlank="1" containsNumber="1" minValue="35.22" maxValue="35.22"/>
    </cacheField>
    <cacheField name="C.TOTAL" numFmtId="0">
      <sharedItems containsString="0" containsBlank="1" containsNumber="1" minValue="1734.12" maxValue="1734.12"/>
    </cacheField>
    <cacheField name="RECEITA" numFmtId="0">
      <sharedItems containsString="0" containsBlank="1" containsNumber="1" minValue="1847.27" maxValue="1847.27"/>
    </cacheField>
    <cacheField name="IMPOSTO" numFmtId="0">
      <sharedItems containsString="0" containsBlank="1" containsNumber="1" minValue="931.16" maxValue="931.16"/>
    </cacheField>
    <cacheField name="RESULTADO" numFmtId="0">
      <sharedItems containsString="0" containsBlank="1" containsNumber="1" minValue="916.11" maxValue="916.1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916.11" maxValue="916.11"/>
    </cacheField>
    <cacheField name="MARGEM" numFmtId="10">
      <sharedItems containsString="0" containsBlank="1" containsNumber="1" minValue="0.25579999999999997" maxValue="0.2557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1T00:00:00"/>
    <d v="2026-09-11T00:00:00"/>
    <m/>
    <s v="203067-1"/>
    <x v="0"/>
    <s v="MAURO MARQUES"/>
    <n v="355301.96"/>
    <x v="0"/>
    <s v="CTE NORMAL"/>
    <s v="CONTAGEM - MG"/>
    <n v="3581.39"/>
    <n v="28"/>
    <n v="773.67"/>
    <s v="RAFAEL VICENTE"/>
    <n v="0"/>
    <s v="GERFESON SOUZA OLIVEIRA"/>
    <n v="900"/>
    <s v="JAIR BATISTA"/>
    <n v="0"/>
    <n v="429.77"/>
    <n v="0"/>
    <n v="0"/>
    <n v="177.65"/>
    <n v="35.22"/>
    <n v="1734.12"/>
    <n v="1847.27"/>
    <n v="931.16"/>
    <n v="916.11"/>
    <n v="0"/>
    <n v="916.11"/>
    <n v="0.25579999999999997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1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6"/>
        <item m="1" x="47"/>
        <item sd="0" m="1" x="669"/>
        <item m="1" x="661"/>
        <item m="1" x="469"/>
        <item m="1" x="44"/>
        <item sd="0" m="1" x="730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0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4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x="0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6"/>
        <item m="1" x="458"/>
        <item m="1" x="790"/>
        <item m="1" x="704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8"/>
        <item m="1" x="383"/>
        <item m="1" x="590"/>
        <item m="1" x="747"/>
        <item sd="0" m="1" x="269"/>
        <item m="1" x="17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1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6"/>
        <item m="1" x="209"/>
        <item m="1" x="682"/>
        <item m="1" x="275"/>
        <item m="1" x="472"/>
        <item m="1" x="799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5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9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7"/>
        <item m="1" x="620"/>
        <item m="1" x="731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m="1" x="703"/>
        <item m="1" x="204"/>
        <item sd="0" m="1" x="644"/>
        <item m="1" x="779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47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1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6"/>
        <item m="1" x="47"/>
        <item sd="0" m="1" x="669"/>
        <item m="1" x="661"/>
        <item m="1" x="469"/>
        <item m="1" x="44"/>
        <item sd="0" m="1" x="730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0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4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x="0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6"/>
        <item m="1" x="458"/>
        <item m="1" x="790"/>
        <item sd="0" m="1" x="704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8"/>
        <item m="1" x="383"/>
        <item m="1" x="590"/>
        <item m="1" x="747"/>
        <item sd="0" m="1" x="269"/>
        <item m="1" x="17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1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6"/>
        <item m="1" x="209"/>
        <item m="1" x="682"/>
        <item m="1" x="275"/>
        <item m="1" x="472"/>
        <item m="1" x="799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5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9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7"/>
        <item m="1" x="620"/>
        <item m="1" x="731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m="1" x="703"/>
        <item m="1" x="204"/>
        <item sd="0" m="1" x="644"/>
        <item m="1" x="779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47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4" s="1" nd="1"/>
        <i x="149" s="1" nd="1"/>
        <i x="187" s="1" nd="1"/>
        <i x="273" s="1" nd="1"/>
        <i x="11" s="1" nd="1"/>
        <i x="761" s="1" nd="1"/>
        <i x="392" s="1" nd="1"/>
        <i x="712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2" s="1" nd="1"/>
        <i x="20" s="1" nd="1"/>
        <i x="757" s="1" nd="1"/>
        <i x="112" s="1" nd="1"/>
        <i x="545" s="1" nd="1"/>
        <i x="828" s="1" nd="1"/>
        <i x="270" s="1" nd="1"/>
        <i x="479" s="1" nd="1"/>
        <i x="772" s="1" nd="1"/>
        <i x="266" s="1" nd="1"/>
        <i x="343" s="1" nd="1"/>
        <i x="677" s="1" nd="1"/>
        <i x="800" s="1" nd="1"/>
        <i x="76" s="1" nd="1"/>
        <i x="47" s="1" nd="1"/>
        <i x="669" s="1" nd="1"/>
        <i x="661" s="1" nd="1"/>
        <i x="469" s="1" nd="1"/>
        <i x="44" s="1" nd="1"/>
        <i x="730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2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6" s="1" nd="1"/>
        <i x="421" s="1" nd="1"/>
        <i x="80" s="1" nd="1"/>
        <i x="697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1" s="1" nd="1"/>
        <i x="4" s="1" nd="1"/>
        <i x="770" s="1" nd="1"/>
        <i x="14" s="1" nd="1"/>
        <i x="739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7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5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9" s="1" nd="1"/>
        <i x="53" s="1" nd="1"/>
        <i x="793" s="1" nd="1"/>
        <i x="716" s="1" nd="1"/>
        <i x="417" s="1" nd="1"/>
        <i x="734" s="1" nd="1"/>
        <i x="813" s="1" nd="1"/>
        <i x="562" s="1" nd="1"/>
        <i x="559" s="1" nd="1"/>
        <i x="429" s="1" nd="1"/>
        <i x="714" s="1" nd="1"/>
        <i x="505" s="1" nd="1"/>
        <i x="173" s="1" nd="1"/>
        <i x="628" s="1" nd="1"/>
        <i x="375" s="1" nd="1"/>
        <i x="807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8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3" s="1" nd="1"/>
        <i x="580" s="1" nd="1"/>
        <i x="518" s="1" nd="1"/>
        <i x="797" s="1" nd="1"/>
        <i x="165" s="1" nd="1"/>
        <i x="826" s="1" nd="1"/>
        <i x="110" s="1" nd="1"/>
        <i x="422" s="1" nd="1"/>
        <i x="427" s="1" nd="1"/>
        <i x="9" s="1" nd="1"/>
        <i x="42" s="1" nd="1"/>
        <i x="16" s="1" nd="1"/>
        <i x="623" s="1" nd="1"/>
        <i x="557" s="1" nd="1"/>
        <i x="627" s="1" nd="1"/>
        <i x="345" s="1" nd="1"/>
        <i x="433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4" s="1" nd="1"/>
        <i x="636" s="1" nd="1"/>
        <i x="458" s="1" nd="1"/>
        <i x="790" s="1" nd="1"/>
        <i x="704" s="1" nd="1"/>
        <i x="234" s="1" nd="1"/>
        <i x="598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1" s="1" nd="1"/>
        <i x="805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5" s="1" nd="1"/>
        <i x="388" s="1" nd="1"/>
        <i x="370" s="1" nd="1"/>
        <i x="616" s="1" nd="1"/>
        <i x="57" s="1" nd="1"/>
        <i x="708" s="1" nd="1"/>
        <i x="23" s="1" nd="1"/>
        <i x="36" s="1" nd="1"/>
        <i x="8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1" s="1" nd="1"/>
        <i x="143" s="1" nd="1"/>
        <i x="667" s="1" nd="1"/>
        <i x="839" s="1" nd="1"/>
        <i x="38" s="1" nd="1"/>
        <i x="383" s="1" nd="1"/>
        <i x="590" s="1" nd="1"/>
        <i x="747" s="1" nd="1"/>
        <i x="269" s="1" nd="1"/>
        <i x="17" s="1" nd="1"/>
        <i x="638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6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59" s="1" nd="1"/>
        <i x="691" s="1" nd="1"/>
        <i x="21" s="1" nd="1"/>
        <i x="727" s="1" nd="1"/>
        <i x="780" s="1" nd="1"/>
        <i x="640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6" s="1" nd="1"/>
        <i x="116" s="1" nd="1"/>
        <i x="376" s="1" nd="1"/>
        <i x="718" s="1" nd="1"/>
        <i x="127" s="1" nd="1"/>
        <i x="33" s="1" nd="1"/>
        <i x="302" s="1" nd="1"/>
        <i x="549" s="1" nd="1"/>
        <i x="60" s="1" nd="1"/>
        <i x="452" s="1" nd="1"/>
        <i x="774" s="1" nd="1"/>
        <i x="485" s="1" nd="1"/>
        <i x="740" s="1" nd="1"/>
        <i x="454" s="1" nd="1"/>
        <i x="521" s="1" nd="1"/>
        <i x="162" s="1" nd="1"/>
        <i x="404" s="1" nd="1"/>
        <i x="741" s="1" nd="1"/>
        <i x="194" s="1" nd="1"/>
        <i x="746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8" s="1" nd="1"/>
        <i x="804" s="1" nd="1"/>
        <i x="91" s="1" nd="1"/>
        <i x="573" s="1" nd="1"/>
        <i x="157" s="1" nd="1"/>
        <i x="561" s="1" nd="1"/>
        <i x="45" s="1" nd="1"/>
        <i x="723" s="1" nd="1"/>
        <i x="748" s="1" nd="1"/>
        <i x="743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5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2" s="1" nd="1"/>
        <i x="272" s="1" nd="1"/>
        <i x="75" s="1" nd="1"/>
        <i x="130" s="1" nd="1"/>
        <i x="655" s="1" nd="1"/>
        <i x="721" s="1" nd="1"/>
        <i x="642" s="1" nd="1"/>
        <i x="231" s="1" nd="1"/>
        <i x="373" s="1" nd="1"/>
        <i x="735" s="1" nd="1"/>
        <i x="132" s="1" nd="1"/>
        <i x="86" s="1" nd="1"/>
        <i x="209" s="1" nd="1"/>
        <i x="682" s="1" nd="1"/>
        <i x="275" s="1" nd="1"/>
        <i x="472" s="1" nd="1"/>
        <i x="799" s="1" nd="1"/>
        <i x="217" s="1" nd="1"/>
        <i x="827" s="1" nd="1"/>
        <i x="69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1" s="1" nd="1"/>
        <i x="268" s="1" nd="1"/>
        <i x="751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4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0" s="1" nd="1"/>
        <i x="535" s="1" nd="1"/>
        <i x="645" s="1" nd="1"/>
        <i x="610" s="1" nd="1"/>
        <i x="834" s="1" nd="1"/>
        <i x="787" s="1" nd="1"/>
        <i x="28" s="1" nd="1"/>
        <i x="782" s="1" nd="1"/>
        <i x="253" s="1" nd="1"/>
        <i x="475" s="1" nd="1"/>
        <i x="812" s="1" nd="1"/>
        <i x="464" s="1" nd="1"/>
        <i x="745" s="1" nd="1"/>
        <i x="649" s="1" nd="1"/>
        <i x="775" s="1" nd="1"/>
        <i x="71" s="1" nd="1"/>
        <i x="713" s="1" nd="1"/>
        <i x="574" s="1" nd="1"/>
        <i x="184" s="1" nd="1"/>
        <i x="717" s="1" nd="1"/>
        <i x="111" s="1" nd="1"/>
        <i x="254" s="1" nd="1"/>
        <i x="512" s="1" nd="1"/>
        <i x="95" s="1" nd="1"/>
        <i x="523" s="1" nd="1"/>
        <i x="789" s="1" nd="1"/>
        <i x="19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0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1" s="1" nd="1"/>
        <i x="584" s="1" nd="1"/>
        <i x="749" s="1" nd="1"/>
        <i x="722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6" s="1" nd="1"/>
        <i x="796" s="1" nd="1"/>
        <i x="726" s="1" nd="1"/>
        <i x="412" s="1" nd="1"/>
        <i x="25" s="1" nd="1"/>
        <i x="342" s="1" nd="1"/>
        <i x="490" s="1" nd="1"/>
        <i x="511" s="1" nd="1"/>
        <i x="769" s="1" nd="1"/>
        <i x="719" s="1" nd="1"/>
        <i x="760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4" s="1" nd="1"/>
        <i x="155" s="1" nd="1"/>
        <i x="233" s="1" nd="1"/>
        <i x="238" s="1" nd="1"/>
        <i x="466" s="1" nd="1"/>
        <i x="707" s="1" nd="1"/>
        <i x="620" s="1" nd="1"/>
        <i x="731" s="1" nd="1"/>
        <i x="471" s="1" nd="1"/>
        <i x="552" s="1" nd="1"/>
        <i x="264" s="1" nd="1"/>
        <i x="250" s="1" nd="1"/>
        <i x="633" s="1" nd="1"/>
        <i x="700" s="1" nd="1"/>
        <i x="357" s="1" nd="1"/>
        <i x="13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7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8" s="1" nd="1"/>
        <i x="612" s="1" nd="1"/>
        <i x="560" s="1" nd="1"/>
        <i x="308" s="1" nd="1"/>
        <i x="654" s="1" nd="1"/>
        <i x="725" s="1" nd="1"/>
        <i x="405" s="1" nd="1"/>
        <i x="744" s="1" nd="1"/>
        <i x="79" s="1" nd="1"/>
        <i x="51" s="1" nd="1"/>
        <i x="851" s="1" nd="1"/>
        <i x="29" s="1" nd="1"/>
        <i x="571" s="1" nd="1"/>
        <i x="513" s="1" nd="1"/>
        <i x="413" s="1" nd="1"/>
        <i x="703" s="1" nd="1"/>
        <i x="204" s="1" nd="1"/>
        <i x="644" s="1" nd="1"/>
        <i x="779" s="1" nd="1"/>
        <i x="468" s="1" nd="1"/>
        <i x="40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29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3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5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7" s="1" nd="1"/>
        <i x="473" s="1" nd="1"/>
        <i x="824" s="1" nd="1"/>
        <i x="35" s="1" nd="1"/>
        <i x="311" s="1" nd="1"/>
        <i x="825" s="1" nd="1"/>
        <i x="563" s="1" nd="1"/>
        <i x="62" s="1" nd="1"/>
        <i x="569" s="1" nd="1"/>
        <i x="431" s="1" nd="1"/>
        <i x="426" s="1" nd="1"/>
        <i x="176" s="1" nd="1"/>
        <i x="366" s="1" nd="1"/>
        <i x="758" s="1" nd="1"/>
        <i x="601" s="1" nd="1"/>
        <i x="12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1" totalsRowShown="0" headerRowDxfId="92" dataDxfId="90" headerRowBorderDxfId="91" tableBorderDxfId="89" totalsRowBorderDxfId="88">
  <autoFilter ref="A1:D381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300756</v>
      </c>
      <c r="B2" s="12" t="s">
        <v>600</v>
      </c>
      <c r="C2" s="14">
        <v>46276</v>
      </c>
      <c r="D2" s="14">
        <v>46276</v>
      </c>
      <c r="E2" s="12"/>
      <c r="F2" s="15" t="s">
        <v>601</v>
      </c>
      <c r="G2" s="15" t="s">
        <v>602</v>
      </c>
      <c r="H2" s="15" t="s">
        <v>603</v>
      </c>
      <c r="I2" s="16">
        <v>355301.96</v>
      </c>
      <c r="J2" s="15" t="s">
        <v>604</v>
      </c>
      <c r="K2" s="15" t="s">
        <v>605</v>
      </c>
      <c r="L2" s="15" t="s">
        <v>606</v>
      </c>
      <c r="M2" s="15">
        <v>3581.39</v>
      </c>
      <c r="N2" s="15">
        <v>28</v>
      </c>
      <c r="O2" s="16">
        <v>773.67</v>
      </c>
      <c r="P2" s="15" t="s">
        <v>607</v>
      </c>
      <c r="Q2" s="15">
        <v>0</v>
      </c>
      <c r="R2" s="15" t="s">
        <v>608</v>
      </c>
      <c r="S2" s="15">
        <v>900</v>
      </c>
      <c r="T2" s="15" t="s">
        <v>609</v>
      </c>
      <c r="U2" s="15">
        <v>0</v>
      </c>
      <c r="V2" s="15">
        <v>429.77</v>
      </c>
      <c r="W2" s="15">
        <v>0</v>
      </c>
      <c r="X2" s="15">
        <v>0</v>
      </c>
      <c r="Y2" s="15">
        <v>177.65</v>
      </c>
      <c r="Z2" s="15">
        <v>35.22</v>
      </c>
      <c r="AA2" s="15">
        <v>1734.12</v>
      </c>
      <c r="AB2" s="15">
        <v>1847.27</v>
      </c>
      <c r="AC2" s="15">
        <v>931.16</v>
      </c>
      <c r="AD2" s="15">
        <v>916.11</v>
      </c>
      <c r="AE2" s="15">
        <v>0</v>
      </c>
      <c r="AF2" s="15">
        <v>916.11</v>
      </c>
      <c r="AG2" s="17">
        <v>0.25579999999999997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3581.39</v>
      </c>
      <c r="F3" s="93"/>
      <c r="G3" s="94"/>
      <c r="H3" s="95">
        <f>'Resumo Detalhado'!C2</f>
        <v>773.67</v>
      </c>
      <c r="I3" s="96"/>
      <c r="J3" s="97">
        <f>E3/H3</f>
        <v>4.6290925071412881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7.0333636363636362E-2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900</v>
      </c>
      <c r="F7" s="109"/>
      <c r="G7" s="109"/>
      <c r="H7" s="109"/>
      <c r="I7" s="109"/>
      <c r="J7" s="109">
        <f>E7/H3</f>
        <v>1.1632866726123541</v>
      </c>
      <c r="K7" s="109"/>
      <c r="L7" s="109"/>
      <c r="M7" s="110">
        <f>E7/E3</f>
        <v>0.25129907661550405</v>
      </c>
      <c r="N7" s="110"/>
      <c r="O7" s="110"/>
      <c r="P7" s="109">
        <f>E11+K11+Q11+E15+K15+Q15+E19+H19+K19</f>
        <v>2402.1735999999996</v>
      </c>
      <c r="Q7" s="109"/>
      <c r="R7" s="109"/>
      <c r="S7" s="109">
        <f>P7/H3</f>
        <v>3.1049072602013776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900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900</v>
      </c>
      <c r="L11" s="94"/>
      <c r="M11" s="38"/>
      <c r="N11" s="92">
        <f>K11/H3</f>
        <v>1.1632866726123541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429.77</v>
      </c>
      <c r="F15" s="113"/>
      <c r="G15" s="113"/>
      <c r="H15" s="113"/>
      <c r="I15" s="114"/>
      <c r="J15" s="38"/>
      <c r="K15" s="116">
        <f>'Resumo Detalhado'!K2+'Resumo Detalhado'!L2</f>
        <v>573.02239999999995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177.65</v>
      </c>
      <c r="F19" s="119"/>
      <c r="G19" s="38"/>
      <c r="H19" s="106">
        <f>'Resumo Detalhado'!J2</f>
        <v>35.22</v>
      </c>
      <c r="I19" s="108"/>
      <c r="J19" s="38"/>
      <c r="K19" s="106">
        <f>'Resumo Detalhado'!L2</f>
        <v>286.51119999999997</v>
      </c>
      <c r="L19" s="108"/>
      <c r="M19" s="38"/>
      <c r="N19" s="112" t="s">
        <v>593</v>
      </c>
      <c r="O19" s="113"/>
      <c r="P19" s="113"/>
      <c r="Q19" s="113"/>
      <c r="R19" s="119"/>
      <c r="S19" s="112">
        <f>_xlfn.XLOOKUP(N19,Target!C:C,Target!D:D)</f>
        <v>1200</v>
      </c>
      <c r="T19" s="113"/>
      <c r="U19" s="119"/>
      <c r="V19" s="36"/>
      <c r="W19" s="126" t="str">
        <f>IF(D11=S19,"NO TARGET",IF(D11&lt;S19,"ABAIXO DO TARGET",IF(D11&gt;S19,"FORA DO TARGET")))</f>
        <v>ABAIXO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1752.2387999999999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0.48926221383317647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7.21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610</v>
      </c>
      <c r="F1" s="29"/>
    </row>
    <row r="2" spans="1:18" x14ac:dyDescent="0.3">
      <c r="B2" s="29">
        <f>SUM(B6:B5000)</f>
        <v>3581.39</v>
      </c>
      <c r="C2" s="29">
        <f>SUM(C6:C5000)</f>
        <v>773.67</v>
      </c>
      <c r="D2" s="29">
        <f>SUM(D6:D5000)</f>
        <v>0</v>
      </c>
      <c r="E2" s="29">
        <f>SUM(E6:E5000)</f>
        <v>900</v>
      </c>
      <c r="F2" s="29">
        <f>SUM(F6:F5000)</f>
        <v>0</v>
      </c>
      <c r="G2" s="29"/>
      <c r="H2" s="29">
        <f t="shared" ref="H2:P2" si="0">SUM(H6:H5000)</f>
        <v>429.77</v>
      </c>
      <c r="I2" s="29">
        <f t="shared" si="0"/>
        <v>177.65</v>
      </c>
      <c r="J2" s="29">
        <f t="shared" si="0"/>
        <v>35.22</v>
      </c>
      <c r="K2" s="29">
        <f t="shared" si="0"/>
        <v>286.51119999999997</v>
      </c>
      <c r="L2" s="29">
        <f t="shared" si="0"/>
        <v>286.51119999999997</v>
      </c>
      <c r="M2" s="29">
        <f t="shared" si="0"/>
        <v>0</v>
      </c>
      <c r="N2" s="29">
        <f t="shared" si="0"/>
        <v>1752.2387999999999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602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300756</v>
      </c>
      <c r="B6" s="139">
        <v>3581.39</v>
      </c>
      <c r="C6" s="140">
        <v>773.67</v>
      </c>
      <c r="D6" s="139">
        <v>0</v>
      </c>
      <c r="E6" s="139">
        <v>900</v>
      </c>
      <c r="F6" s="139">
        <v>0</v>
      </c>
      <c r="G6" s="141">
        <v>0.25129907661550405</v>
      </c>
      <c r="H6" s="139">
        <v>429.77</v>
      </c>
      <c r="I6" s="139">
        <v>177.65</v>
      </c>
      <c r="J6" s="139">
        <v>35.22</v>
      </c>
      <c r="K6" s="139">
        <v>286.51119999999997</v>
      </c>
      <c r="L6" s="139">
        <v>286.51119999999997</v>
      </c>
      <c r="M6" s="139">
        <v>0</v>
      </c>
      <c r="N6" s="139">
        <v>1752.2387999999999</v>
      </c>
      <c r="O6" s="141">
        <v>0.48926221383317647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4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610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602</v>
      </c>
      <c r="B5" s="10">
        <v>3581.39</v>
      </c>
      <c r="C5" s="10">
        <v>1752.2387999999999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1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2026-09-24T13:20:50Z</dcterms:modified>
  <cp:category/>
  <cp:contentStatus/>
</cp:coreProperties>
</file>