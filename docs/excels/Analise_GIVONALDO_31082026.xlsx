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29D58C1-FD79-4ACC-8506-C95516FFF3D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<sst xmlns="http://schemas.openxmlformats.org/spreadsheetml/2006/main" count="870" uniqueCount="597">
  <si>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</si>
  <si>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</si>
  <si>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</si>
  <si>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</si>
  <si>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</si>
  <si>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</si>
  <si>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</si>
  <si>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</si>
  <si>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</si>
  <si>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</si>
  <si>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</si>
  <si>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</si>
  <si>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</si>
  <si>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</si>
  <si>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</si>
  <si>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</si>
  <si>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</si>
  <si>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</si>
  <si>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</si>
  <si>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</si>
  <si>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</si>
  <si>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</si>
  <si>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</si>
  <si>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</si>
  <si>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</si>
  <si>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</si>
  <si>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</si>
  <si>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</si>
  <si>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</si>
  <si>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</si>
  <si>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</si>
  <si>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</si>
  <si>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</si>
  <si>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</si>
  <si>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</si>
  <si>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</si>
  <si>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</si>
  <si>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</si>
  <si>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</si>
  <si>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</si>
  <si>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</si>
  <si>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</si>
  <si>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</si>
  <si>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</si>
  <si>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</si>
  <si>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</si>
  <si>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</si>
  <si>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</si>
  <si>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</si>
  <si>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</si>
  <si>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</si>
  <si>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</si>
  <si>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</si>
  <si>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</si>
  <si>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</si>
  <si>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</si>
  <si>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</si>
  <si>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</si>
  <si>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</si>
  <si>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</si>
  <si>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</si>
  <si>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</si>
  <si>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</si>
  <si>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</si>
  <si>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</si>
  <si>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</si>
  <si>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</si>
  <si>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</si>
  <si>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</si>
  <si>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</si>
  <si>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</si>
  <si>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</si>
  <si>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</si>
  <si>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</si>
  <si>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</si>
  <si>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</si>
  <si>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</si>
  <si>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</si>
  <si>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</si>
  <si>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</si>
  <si>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</si>
  <si>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</si>
  <si>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</si>
  <si>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</si>
  <si>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</si>
  <si>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</si>
  <si>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</si>
  <si>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</si>
  <si>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</si>
  <si>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</si>
  <si>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</si>
  <si>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</si>
  <si>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</si>
  <si>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</si>
  <si>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</si>
  <si>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</si>
  <si>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</si>
  <si>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</si>
  <si>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</si>
  <si>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</si>
  <si>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</si>
  <si>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</si>
  <si>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</si>
  <si>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</si>
  <si>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</si>
  <si>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</si>
  <si>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</si>
  <si>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</si>
  <si>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</si>
  <si>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</si>
  <si>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</si>
  <si>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</si>
  <si>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</si>
  <si>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</si>
  <si>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</si>
  <si>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</si>
  <si>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</si>
  <si>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</si>
  <si>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</si>
  <si>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</si>
  <si>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</si>
  <si>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</si>
  <si>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</si>
  <si>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</si>
  <si>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</si>
  <si>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</si>
  <si>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</si>
  <si>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</si>
  <si>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</si>
  <si>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</si>
  <si>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</si>
  <si>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</si>
  <si>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</si>
  <si>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</si>
  <si>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</si>
  <si>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</si>
  <si>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</si>
  <si>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</si>
  <si>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</si>
  <si>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</si>
  <si>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</si>
  <si>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</si>
  <si>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</si>
  <si>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</si>
  <si>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</si>
  <si>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</si>
  <si>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</si>
  <si>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</si>
  <si>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</si>
  <si>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</si>
  <si>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</si>
  <si>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</si>
  <si>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</si>
  <si>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</si>
  <si>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</si>
  <si>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</si>
  <si>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</si>
  <si>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</si>
  <si>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</si>
  <si>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</si>
  <si>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</si>
  <si>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</si>
  <si>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</si>
  <si>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</si>
  <si>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</si>
  <si>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</si>
  <si>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</si>
  <si>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</si>
  <si>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</si>
  <si>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</si>
  <si>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</si>
  <si>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</si>
  <si>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</si>
  <si>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</si>
  <si>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</si>
  <si>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</si>
  <si>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</si>
  <si>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</si>
  <si>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</si>
  <si>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</si>
  <si>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</si>
  <si>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</si>
  <si>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</si>
  <si>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</si>
  <si>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</si>
  <si>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</si>
  <si>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</si>
  <si>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</si>
  <si>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</si>
  <si>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</si>
  <si>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</si>
  <si>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</si>
  <si>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</si>
  <si>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</si>
  <si>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</si>
  <si>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</si>
  <si>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</si>
  <si>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</si>
  <si>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</si>
  <si>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</si>
  <si>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</si>
  <si>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</si>
  <si>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</si>
  <si>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</si>
  <si>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</si>
  <si>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</si>
  <si>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</si>
  <si>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</si>
  <si>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</si>
  <si>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</si>
  <si>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</si>
  <si>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</si>
  <si>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</si>
  <si>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</si>
  <si>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</si>
  <si>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</si>
  <si>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</si>
  <si>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</si>
  <si>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</si>
  <si>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</si>
  <si>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</si>
  <si>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</si>
  <si>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</si>
  <si>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</si>
  <si>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</si>
  <si>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</si>
  <si>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</si>
  <si>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</si>
  <si>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</si>
  <si>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</si>
  <si>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</si>
  <si>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</si>
  <si>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</si>
  <si>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</si>
  <si>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</si>
  <si>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</si>
  <si>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</si>
  <si>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</si>
  <si>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</si>
  <si>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</si>
  <si>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</si>
  <si>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</si>
  <si>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</si>
  <si>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</si>
  <si>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</si>
  <si>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</si>
  <si>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</si>
  <si>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</si>
  <si>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</si>
  <si>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</si>
  <si>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</si>
  <si>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</si>
  <si>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</si>
  <si>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</si>
  <si>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</si>
  <si>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</si>
  <si>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</si>
  <si>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</si>
  <si>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</si>
  <si>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</si>
  <si>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</si>
  <si>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</si>
  <si>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</si>
  <si>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</si>
  <si>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</si>
  <si>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</si>
  <si>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</si>
  <si>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</si>
  <si>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</si>
  <si>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</si>
  <si>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</si>
  <si>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</si>
  <si>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</si>
  <si>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</si>
  <si>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</si>
  <si>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</si>
  <si>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</si>
  <si>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</si>
  <si>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</si>
  <si>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</si>
  <si>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</si>
  <si>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</si>
  <si>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</si>
  <si>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</si>
  <si>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</si>
  <si>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</si>
  <si>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</si>
  <si>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</si>
  <si>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</si>
  <si>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</si>
  <si>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</si>
  <si>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</si>
  <si>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</si>
  <si>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</si>
  <si>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</si>
  <si>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</si>
  <si>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</si>
  <si>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</si>
  <si>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</si>
  <si>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</si>
  <si>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</si>
  <si>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</si>
  <si>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</si>
  <si>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</si>
  <si>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</si>
  <si>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</si>
  <si>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</si>
  <si>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</si>
  <si>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</si>
  <si>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</si>
  <si>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</si>
  <si>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</si>
  <si>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</si>
  <si>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</si>
  <si>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</si>
  <si>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</si>
  <si>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</si>
  <si>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</si>
  <si>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</si>
  <si>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</si>
  <si>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</si>
  <si>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</si>
  <si>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</si>
  <si>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</si>
  <si>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</si>
  <si>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</si>
  <si>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</si>
  <si>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</si>
  <si>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</si>
  <si>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</si>
  <si>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</si>
  <si>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</si>
  <si>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</si>
  <si>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</si>
  <si>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</si>
  <si>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</si>
  <si>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</si>
  <si>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</si>
  <si>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</si>
  <si>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</si>
  <si>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</si>
  <si>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</si>
  <si>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</si>
  <si>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</si>
  <si>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</si>
  <si>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</si>
  <si>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</si>
  <si>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</si>
  <si>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</si>
  <si>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</si>
  <si>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</si>
  <si>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</si>
  <si>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</si>
  <si>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</si>
  <si>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</si>
  <si>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</si>
  <si>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</si>
  <si>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</si>
  <si>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</si>
  <si>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</si>
  <si>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</si>
  <si>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</si>
  <si>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</si>
  <si>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</si>
  <si>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</si>
  <si>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</si>
  <si>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</si>
  <si>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</si>
  <si>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</si>
  <si>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</si>
  <si>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</si>
  <si>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</si>
  <si>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</si>
  <si>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</si>
  <si>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</si>
  <si>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</si>
  <si>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</si>
  <si>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</si>
  <si>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</si>
  <si>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</si>
  <si>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</si>
  <si>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</si>
  <si>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</si>
  <si>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</si>
  <si>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</si>
  <si>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</si>
  <si>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</si>
  <si>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</si>
  <si>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</si>
  <si>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</si>
  <si>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</si>
  <si>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</si>
  <si>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</si>
  <si>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</si>
  <si>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</si>
  <si>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</si>
  <si>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</si>
  <si>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</si>
  <si>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</si>
  <si>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</si>
  <si>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</si>
  <si>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</si>
  <si>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</si>
  <si>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</si>
  <si>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</si>
  <si>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</si>
  <si>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</si>
  <si>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</si>
  <si>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</si>
  <si>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</si>
  <si>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</si>
  <si>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</si>
  <si>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</si>
  <si>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</si>
  <si>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</si>
  <si>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</si>
  <si>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</si>
  <si>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</si>
  <si>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</si>
  <si>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</si>
  <si>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</si>
  <si>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</si>
  <si>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</si>
  <si>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</si>
  <si>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</si>
  <si>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</si>
  <si>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</si>
  <si>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</si>
  <si>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</si>
  <si>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</si>
  <si>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</si>
  <si>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</si>
  <si>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</si>
  <si>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</si>
  <si>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</si>
  <si>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</si>
  <si>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</si>
  <si>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</si>
  <si>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</si>
  <si>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</si>
  <si>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</si>
  <si>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</si>
  <si>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</si>
  <si>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</si>
  <si>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</si>
  <si>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</si>
  <si>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</si>
  <si>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</si>
  <si>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</si>
  <si>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</si>
  <si>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</si>
  <si>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</si>
  <si>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</si>
  <si>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</si>
  <si>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</si>
  <si>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</si>
  <si>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</si>
  <si>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</si>
  <si>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</si>
  <si>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</si>
  <si>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</si>
  <si>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</si>
  <si>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</si>
  <si>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</si>
  <si>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</si>
  <si>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</si>
  <si>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</si>
  <si>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</si>
  <si>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</si>
  <si>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</si>
  <si>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</si>
  <si>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</si>
  <si>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</si>
  <si>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</si>
  <si>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</si>
  <si>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</si>
  <si>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</si>
  <si>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</si>
  <si>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</si>
  <si>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</si>
  <si>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</si>
  <si>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</si>
  <si>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</si>
  <si>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</si>
  <si>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</si>
  <si>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</si>
  <si>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</si>
  <si>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</si>
  <si>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</si>
  <si>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</si>
  <si>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</si>
  <si>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</si>
  <si>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</si>
  <si>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</si>
  <si>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</si>
  <si>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</si>
  <si>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</si>
  <si>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</si>
  <si>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</si>
  <si>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</si>
  <si>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</si>
  <si>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</si>
  <si>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</si>
  <si>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</si>
  <si>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</si>
  <si>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</si>
  <si>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</si>
  <si>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</si>
  <si>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</si>
  <si>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</si>
  <si>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</si>
  <si>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</si>
  <si>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</si>
  <si>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</si>
  <si>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</si>
  <si>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</si>
  <si>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</si>
  <si>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</si>
  <si>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</si>
  <si>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</si>
  <si>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</si>
  <si>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</si>
  <si>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</si>
  <si>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</si>
  <si>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</si>
  <si>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</si>
  <si>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</si>
  <si>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</si>
  <si>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</si>
  <si>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</si>
  <si>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</si>
  <si>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</si>
  <si>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</si>
  <si>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</si>
  <si>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</si>
  <si>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</si>
  <si>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</si>
  <si>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</si>
  <si>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</si>
  <si>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</si>
  <si>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</si>
  <si>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</si>
  <si>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</si>
  <si>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</si>
  <si>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</si>
  <si>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</si>
  <si>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</si>
  <si>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</si>
  <si>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</si>
  <si>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</si>
  <si>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</si>
  <si>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</si>
  <si>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</si>
  <si>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</si>
  <si>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</si>
  <si>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</si>
  <si>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</si>
  <si>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</si>
  <si>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</si>
  <si>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</si>
  <si>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</si>
  <si>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</si>
  <si>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</si>
  <si>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</si>
  <si>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</si>
  <si>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</si>
  <si>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</si>
  <si>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</si>
  <si>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</si>
  <si>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</si>
  <si>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</si>
  <si>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</si>
  <si>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</si>
  <si>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</si>
  <si>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</si>
  <si>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</si>
  <si>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</si>
  <si>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</si>
  <si>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</si>
  <si>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</si>
  <si>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202243-1</t>
  </si>
  <si>
    <t>IGP - CLINI COM</t>
  </si>
  <si>
    <t>MICHELL MARQUES</t>
  </si>
  <si>
    <t>ECONOMICO_250</t>
  </si>
  <si>
    <t>CTE NORMAL</t>
  </si>
  <si>
    <t>SAO PAULO - SP</t>
  </si>
  <si>
    <t>PEX LOGISTICA INTEGRADA L</t>
  </si>
  <si>
    <t>JOSE EMILTON DA COSTA - O</t>
  </si>
  <si>
    <t>RENNER AUTO LOCADORA LTDA</t>
  </si>
  <si>
    <t>202371-1</t>
  </si>
  <si>
    <t>SEGER COMERCIAL</t>
  </si>
  <si>
    <t>MAURO MARQUES</t>
  </si>
  <si>
    <t>PERSONALIZADO</t>
  </si>
  <si>
    <t>GIVONALDO DA COSTA SILVA</t>
  </si>
  <si>
    <t>G.S CITRUS COMERCIO ATACA</t>
  </si>
  <si>
    <t>São Paulo-Sp X São Paulo-Sp3/4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</si>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</sst>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6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[Analise_GIVONALDO_31082026.xlsx]Resumo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101.64</c:v>
                </c:pt>
                <c:pt idx="1">
                  <c:v>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26.067599999999992</c:v>
                </c:pt>
                <c:pt idx="1">
                  <c:v>1616.2200000000003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[Analise_GIVONALDO_31082026.xlsx]Resumo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101.64</c:v>
                </c:pt>
                <c:pt idx="1">
                  <c:v>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26.067599999999992</c:v>
                </c:pt>
                <c:pt idx="1">
                  <c:v>1616.2200000000003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42608229166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156" count="8000">
        <n v="298821"/>
        <n v="29915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9T00:00:00"/>
    </cacheField>
    <cacheField name="DATA" numFmtId="14">
      <sharedItems containsNonDate="0" containsDate="1" containsString="0" containsBlank="1" minDate="2026-08-27T00:00:00" maxDate="2026-08-29T00:00:00"/>
    </cacheField>
    <cacheField name="FAT" numFmtId="0">
      <sharedItems containsString="0" containsBlank="1" containsNumber="1" containsInteger="1" minValue="65011" maxValue="65013"/>
    </cacheField>
    <cacheField name="CT-E" numFmtId="0">
      <sharedItems containsBlank="1"/>
    </cacheField>
    <cacheField name="CLIENTE TOMADOR" numFmtId="0">
      <sharedItems containsBlank="1" count="855">
        <s v="IGP - CLINI COM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00.85" maxValue="106423.12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1.64" maxValue="4079"/>
    </cacheField>
    <cacheField name="VOLUMES" numFmtId="0">
      <sharedItems containsString="0" containsBlank="1" containsNumber="1" containsInteger="1" minValue="1" maxValue="5"/>
    </cacheField>
    <cacheField name="PESO" numFmtId="0">
      <sharedItems containsString="0" containsBlank="1" containsNumber="1" minValue="109.61" maxValue="1559.38"/>
    </cacheField>
    <cacheField name="RESP. COLETA" numFmtId="0">
      <sharedItems containsBlank="1"/>
    </cacheField>
    <cacheField name="CUSTO COLETA" numFmtId="0">
      <sharedItems containsString="0" containsBlank="1" containsNumber="1" minValue="0" maxValue="4.1500000000000004"/>
    </cacheField>
    <cacheField name="RESP. ENTREGA" numFmtId="0">
      <sharedItems containsBlank="1"/>
    </cacheField>
    <cacheField name="CUSTO ENTREGA" numFmtId="0">
      <sharedItems containsString="0" containsBlank="1" containsNumber="1" minValue="40" maxValue="1214.6199999999999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2" maxValue="489.4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" maxValue="53.21"/>
    </cacheField>
    <cacheField name="OUTROS" numFmtId="0">
      <sharedItems containsString="0" containsBlank="1" containsNumber="1" minValue="2.46" maxValue="52.83"/>
    </cacheField>
    <cacheField name="C.TOTAL" numFmtId="0">
      <sharedItems containsString="0" containsBlank="1" containsNumber="1" minValue="91.55" maxValue="2281.4899999999998"/>
    </cacheField>
    <cacheField name="RECEITA" numFmtId="0">
      <sharedItems containsString="0" containsBlank="1" containsNumber="1" minValue="10.09" maxValue="1797.51"/>
    </cacheField>
    <cacheField name="IMPOSTO" numFmtId="0">
      <sharedItems containsString="0" containsBlank="1" containsNumber="1" minValue="26.43" maxValue="1060.54"/>
    </cacheField>
    <cacheField name="RESULTADO" numFmtId="0">
      <sharedItems containsString="0" containsBlank="1" containsNumber="1" minValue="-16.34" maxValue="736.9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6.34" maxValue="736.97"/>
    </cacheField>
    <cacheField name="MARGEM" numFmtId="10">
      <sharedItems containsString="0" containsBlank="1" containsNumber="1" minValue="-0.16079999999999997" maxValue="0.18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7T00:00:00"/>
    <d v="2026-08-27T00:00:00"/>
    <n v="65011"/>
    <s v="202243-1"/>
    <x v="0"/>
    <s v="MICHELL MARQUES"/>
    <n v="1000.85"/>
    <x v="0"/>
    <s v="CTE NORMAL"/>
    <s v="SAO PAULO - SP"/>
    <n v="101.64"/>
    <n v="1"/>
    <n v="109.61"/>
    <s v="PEX LOGISTICA INTEGRADA L"/>
    <n v="4.1500000000000004"/>
    <s v="JOSE EMILTON DA COSTA - O"/>
    <n v="40"/>
    <s v="RENNER AUTO LOCADORA LTDA"/>
    <n v="0"/>
    <n v="12.2"/>
    <n v="0"/>
    <n v="0"/>
    <n v="0.5"/>
    <n v="2.46"/>
    <n v="91.55"/>
    <n v="10.09"/>
    <n v="26.43"/>
    <n v="-16.34"/>
    <n v="0"/>
    <n v="-16.34"/>
    <n v="-0.16079999999999997"/>
    <m/>
  </r>
  <r>
    <x v="1"/>
    <s v="MATRIZ"/>
    <d v="2026-08-28T00:00:00"/>
    <d v="2026-08-28T00:00:00"/>
    <n v="65013"/>
    <s v="202371-1"/>
    <x v="1"/>
    <s v="MAURO MARQUES"/>
    <n v="106423.12"/>
    <x v="1"/>
    <s v="CTE NORMAL"/>
    <s v="SAO PAULO - SP"/>
    <n v="4079"/>
    <n v="5"/>
    <n v="1559.38"/>
    <s v="MATRIZ"/>
    <n v="0"/>
    <s v="GIVONALDO DA COSTA SILVA"/>
    <n v="1214.6199999999999"/>
    <s v="G.S CITRUS COMERCIO ATACA"/>
    <n v="0"/>
    <n v="489.48"/>
    <n v="0"/>
    <n v="0"/>
    <n v="53.21"/>
    <n v="52.83"/>
    <n v="2281.4899999999998"/>
    <n v="1797.51"/>
    <n v="1060.54"/>
    <n v="736.97"/>
    <n v="0"/>
    <n v="736.97"/>
    <n v="0.1807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1"/>
        <item m="1" x="505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9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1"/>
        <item m="1" x="463"/>
        <item m="1" x="139"/>
        <item m="1" x="661"/>
        <item m="1" x="373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6"/>
        <item m="1" x="258"/>
        <item m="1" x="407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6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50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8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0"/>
        <item m="1" x="354"/>
        <item m="1" x="104"/>
        <item sd="0" m="1" x="538"/>
        <item m="1" x="209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7"/>
        <item m="1" x="545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70"/>
        <item sd="0" m="1" x="336"/>
        <item sd="0" m="1" x="176"/>
        <item x="0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7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m="1" x="548"/>
        <item m="1" x="61"/>
        <item m="1" x="452"/>
        <item m="1" x="774"/>
        <item m="1" x="485"/>
        <item m="1" x="740"/>
        <item sd="0" m="1" x="454"/>
        <item m="1" x="520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2"/>
        <item m="1" x="854"/>
        <item m="1" x="432"/>
        <item m="1" x="569"/>
        <item m="1" x="488"/>
        <item m="1" x="183"/>
        <item sd="0" m="1" x="375"/>
        <item m="1" x="243"/>
        <item m="1" x="338"/>
        <item m="1" x="527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2"/>
        <item m="1" x="247"/>
        <item m="1" x="399"/>
        <item sd="0" m="1" x="482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6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8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0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1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2"/>
        <item m="1" x="414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1"/>
        <item m="1" x="513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50"/>
    </i>
    <i r="1">
      <x v="7998"/>
    </i>
    <i>
      <x v="69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9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1"/>
        <item m="1" x="505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9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1"/>
        <item m="1" x="463"/>
        <item m="1" x="139"/>
        <item m="1" x="661"/>
        <item m="1" x="373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5"/>
        <item m="1" x="382"/>
        <item m="1" x="448"/>
        <item m="1" x="160"/>
        <item m="1" x="278"/>
        <item sd="0" m="1" x="204"/>
        <item m="1" x="494"/>
        <item m="1" x="290"/>
        <item m="1" x="526"/>
        <item m="1" x="258"/>
        <item m="1" x="407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6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50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8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0"/>
        <item m="1" x="354"/>
        <item m="1" x="104"/>
        <item sd="0" m="1" x="538"/>
        <item m="1" x="209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7"/>
        <item m="1" x="545"/>
        <item m="1" x="214"/>
        <item m="1" x="416"/>
        <item m="1" x="420"/>
        <item m="1" x="802"/>
        <item m="1" x="42"/>
        <item m="1" x="805"/>
        <item sd="0" m="1" x="487"/>
        <item m="1" x="443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0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70"/>
        <item sd="0" m="1" x="336"/>
        <item sd="0" m="1" x="176"/>
        <item x="0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7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m="1" x="548"/>
        <item m="1" x="61"/>
        <item m="1" x="452"/>
        <item m="1" x="774"/>
        <item m="1" x="485"/>
        <item m="1" x="740"/>
        <item sd="0" m="1" x="454"/>
        <item m="1" x="520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0"/>
        <item m="1" x="664"/>
        <item m="1" x="493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4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2"/>
        <item m="1" x="854"/>
        <item m="1" x="432"/>
        <item m="1" x="569"/>
        <item m="1" x="488"/>
        <item m="1" x="183"/>
        <item sd="0" m="1" x="375"/>
        <item m="1" x="243"/>
        <item m="1" x="338"/>
        <item m="1" x="527"/>
        <item m="1" x="423"/>
        <item m="1" x="788"/>
        <item m="1" x="302"/>
        <item m="1" x="310"/>
        <item m="1" x="368"/>
        <item m="1" x="491"/>
        <item m="1" x="662"/>
        <item m="1" x="189"/>
        <item m="1" x="659"/>
        <item m="1" x="222"/>
        <item m="1" x="449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2"/>
        <item m="1" x="247"/>
        <item m="1" x="399"/>
        <item sd="0" m="1" x="482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6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8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0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4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1"/>
        <item m="1" x="396"/>
        <item m="1" x="670"/>
        <item m="1" x="186"/>
        <item sd="0" m="1" x="410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2"/>
        <item m="1" x="414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1"/>
        <item m="1" x="692"/>
        <item m="1" x="442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1"/>
        <item m="1" x="513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7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50"/>
    </i>
    <i>
      <x v="69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9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7" s="1" nd="1"/>
        <i x="476" s="1" nd="1"/>
        <i x="633" s="1" nd="1"/>
        <i x="446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1" s="1" nd="1"/>
        <i x="505" s="1" nd="1"/>
        <i x="553" s="1" nd="1"/>
        <i x="477" s="1" nd="1"/>
        <i x="245" s="1" nd="1"/>
        <i x="848" s="1" nd="1"/>
        <i x="832" s="1" nd="1"/>
        <i x="742" s="1" nd="1"/>
        <i x="241" s="1" nd="1"/>
        <i x="240" s="1" nd="1"/>
        <i x="462" s="1" nd="1"/>
        <i x="287" s="1" nd="1"/>
        <i x="549" s="1" nd="1"/>
        <i x="845" s="1" nd="1"/>
        <i x="445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3" s="1" nd="1"/>
        <i x="409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9" s="1" nd="1"/>
        <i x="208" s="1" nd="1"/>
        <i x="521" s="1" nd="1"/>
        <i x="463" s="1" nd="1"/>
        <i x="139" s="1" nd="1"/>
        <i x="661" s="1" nd="1"/>
        <i x="373" s="1" nd="1"/>
        <i x="155" s="1" nd="1"/>
        <i x="252" s="1" nd="1"/>
        <i x="628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3" s="1" nd="1"/>
        <i x="53" s="1" nd="1"/>
        <i x="649" s="1" nd="1"/>
        <i x="470" s="1" nd="1"/>
        <i x="250" s="1" nd="1"/>
        <i x="329" s="1" nd="1"/>
        <i x="437" s="1" nd="1"/>
        <i x="353" s="1" nd="1"/>
        <i x="571" s="1" nd="1"/>
        <i x="567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7" s="1" nd="1"/>
        <i x="853" s="1" nd="1"/>
        <i x="829" s="1" nd="1"/>
        <i x="107" s="1" nd="1"/>
        <i x="402" s="1" nd="1"/>
        <i x="115" s="1" nd="1"/>
        <i x="652" s="1" nd="1"/>
        <i x="656" s="1" nd="1"/>
        <i x="795" s="1" nd="1"/>
        <i x="695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6" s="1" nd="1"/>
        <i x="258" s="1" nd="1"/>
        <i x="407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8" s="1" nd="1"/>
        <i x="734" s="1" nd="1"/>
        <i x="813" s="1" nd="1"/>
        <i x="561" s="1" nd="1"/>
        <i x="558" s="1" nd="1"/>
        <i x="429" s="1" nd="1"/>
        <i x="714" s="1" nd="1"/>
        <i x="504" s="1" nd="1"/>
        <i x="174" s="1" nd="1"/>
        <i x="627" s="1" nd="1"/>
        <i x="376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50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6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8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0" s="1" nd="1"/>
        <i x="354" s="1" nd="1"/>
        <i x="104" s="1" nd="1"/>
        <i x="538" s="1" nd="1"/>
        <i x="209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7" s="1" nd="1"/>
        <i x="545" s="1" nd="1"/>
        <i x="214" s="1" nd="1"/>
        <i x="416" s="1" nd="1"/>
        <i x="420" s="1" nd="1"/>
        <i x="802" s="1" nd="1"/>
        <i x="42" s="1" nd="1"/>
        <i x="805" s="1" nd="1"/>
        <i x="487" s="1" nd="1"/>
        <i x="443" s="1" nd="1"/>
        <i x="400" s="1" nd="1"/>
        <i x="608" s="1" nd="1"/>
        <i x="154" s="1" nd="1"/>
        <i x="16" s="1" nd="1"/>
        <i x="233" s="1" nd="1"/>
        <i x="242" s="1" nd="1"/>
        <i x="6" s="1" nd="1"/>
        <i x="389" s="1" nd="1"/>
        <i x="371" s="1" nd="1"/>
        <i x="615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89" s="1" nd="1"/>
        <i x="747" s="1" nd="1"/>
        <i x="270" s="1" nd="1"/>
        <i x="18" s="1" nd="1"/>
        <i x="637" s="1" nd="1"/>
        <i x="390" s="1" nd="1"/>
        <i x="480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70" s="1" nd="1"/>
        <i x="336" s="1" nd="1"/>
        <i x="176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9" s="1" nd="1"/>
        <i x="815" s="1" nd="1"/>
        <i x="776" s="1" nd="1"/>
        <i x="145" s="1" nd="1"/>
        <i x="497" s="1" nd="1"/>
        <i x="467" s="1" nd="1"/>
        <i x="141" s="1" nd="1"/>
        <i x="756" s="1" nd="1"/>
        <i x="149" s="1" nd="1"/>
        <i x="225" s="1" nd="1"/>
        <i x="720" s="1" nd="1"/>
        <i x="555" s="1" nd="1"/>
        <i x="117" s="1" nd="1"/>
        <i x="377" s="1" nd="1"/>
        <i x="718" s="1" nd="1"/>
        <i x="128" s="1" nd="1"/>
        <i x="34" s="1" nd="1"/>
        <i x="303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0" s="1" nd="1"/>
        <i x="664" s="1" nd="1"/>
        <i x="493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4" s="1" nd="1"/>
        <i x="101" s="1" nd="1"/>
        <i x="481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2" s="1" nd="1"/>
        <i x="799" s="1" nd="1"/>
        <i x="218" s="1" nd="1"/>
        <i x="827" s="1" nd="1"/>
        <i x="70" s="1" nd="1"/>
        <i x="119" s="1" nd="1"/>
        <i x="645" s="1" nd="1"/>
        <i x="412" s="1" nd="1"/>
        <i x="854" s="1" nd="1"/>
        <i x="432" s="1" nd="1"/>
        <i x="569" s="1" nd="1"/>
        <i x="488" s="1" nd="1"/>
        <i x="183" s="1" nd="1"/>
        <i x="375" s="1" nd="1"/>
        <i x="243" s="1" nd="1"/>
        <i x="338" s="1" nd="1"/>
        <i x="527" s="1" nd="1"/>
        <i x="423" s="1" nd="1"/>
        <i x="788" s="1" nd="1"/>
        <i x="302" s="1" nd="1"/>
        <i x="310" s="1" nd="1"/>
        <i x="368" s="1" nd="1"/>
        <i x="491" s="1" nd="1"/>
        <i x="662" s="1" nd="1"/>
        <i x="189" s="1" nd="1"/>
        <i x="659" s="1" nd="1"/>
        <i x="222" s="1" nd="1"/>
        <i x="449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2" s="1" nd="1"/>
        <i x="247" s="1" nd="1"/>
        <i x="399" s="1" nd="1"/>
        <i x="482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7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2" s="1" nd="1"/>
        <i x="657" s="1" nd="1"/>
        <i x="311" s="1" nd="1"/>
        <i x="75" s="1" nd="1"/>
        <i x="669" s="1" nd="1"/>
        <i x="95" s="1" nd="1"/>
        <i x="440" s="1" nd="1"/>
        <i x="352" s="1" nd="1"/>
        <i x="784" s="1" nd="1"/>
        <i x="498" s="1" nd="1"/>
        <i x="62" s="1" nd="1"/>
        <i x="456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8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4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3" s="1" nd="1"/>
        <i x="26" s="1" nd="1"/>
        <i x="343" s="1" nd="1"/>
        <i x="490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6" s="1" nd="1"/>
        <i x="706" s="1" nd="1"/>
        <i x="619" s="1" nd="1"/>
        <i x="731" s="1" nd="1"/>
        <i x="471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4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7" s="1" nd="1"/>
        <i x="613" s="1" nd="1"/>
        <i x="777" s="1" nd="1"/>
        <i x="395" s="1" nd="1"/>
        <i x="401" s="1" nd="1"/>
        <i x="704" s="1" nd="1"/>
        <i x="404" s="1" nd="1"/>
        <i x="830" s="1" nd="1"/>
        <i x="396" s="1" nd="1"/>
        <i x="670" s="1" nd="1"/>
        <i x="186" s="1" nd="1"/>
        <i x="410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6" s="1" nd="1"/>
        <i x="744" s="1" nd="1"/>
        <i x="80" s="1" nd="1"/>
        <i x="52" s="1" nd="1"/>
        <i x="851" s="1" nd="1"/>
        <i x="30" s="1" nd="1"/>
        <i x="570" s="1" nd="1"/>
        <i x="512" s="1" nd="1"/>
        <i x="414" s="1" nd="1"/>
        <i x="702" s="1" nd="1"/>
        <i x="205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1" s="1" nd="1"/>
        <i x="692" s="1" nd="1"/>
        <i x="442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6" s="1" nd="1"/>
        <i x="361" s="1" nd="1"/>
        <i x="451" s="1" nd="1"/>
        <i x="513" s="1" nd="1"/>
        <i x="123" s="1" nd="1"/>
        <i x="646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4" s="1" nd="1"/>
        <i x="27" s="1" nd="1"/>
        <i x="765" s="1" nd="1"/>
        <i x="415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8" s="1" nd="1"/>
        <i x="230" s="1" nd="1"/>
        <i x="8" s="1" nd="1"/>
        <i x="473" s="1" nd="1"/>
        <i x="824" s="1" nd="1"/>
        <i x="36" s="1" nd="1"/>
        <i x="312" s="1" nd="1"/>
        <i x="825" s="1" nd="1"/>
        <i x="562" s="1" nd="1"/>
        <i x="63" s="1" nd="1"/>
        <i x="568" s="1" nd="1"/>
        <i x="431" s="1" nd="1"/>
        <i x="426" s="1" nd="1"/>
        <i x="177" s="1" nd="1"/>
        <i x="367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2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298821</v>
      </c>
      <c r="B2" s="12" t="s">
        <v>579</v>
      </c>
      <c r="C2" s="14">
        <v>46261</v>
      </c>
      <c r="D2" s="14">
        <v>46261</v>
      </c>
      <c r="E2" s="12">
        <v>65011</v>
      </c>
      <c r="F2" s="15" t="s">
        <v>580</v>
      </c>
      <c r="G2" s="15" t="s">
        <v>581</v>
      </c>
      <c r="H2" s="15" t="s">
        <v>582</v>
      </c>
      <c r="I2" s="16">
        <v>1000.85</v>
      </c>
      <c r="J2" s="15" t="s">
        <v>583</v>
      </c>
      <c r="K2" s="15" t="s">
        <v>584</v>
      </c>
      <c r="L2" s="15" t="s">
        <v>585</v>
      </c>
      <c r="M2" s="15">
        <v>101.64</v>
      </c>
      <c r="N2" s="15">
        <v>1</v>
      </c>
      <c r="O2" s="16">
        <v>109.61</v>
      </c>
      <c r="P2" s="15" t="s">
        <v>586</v>
      </c>
      <c r="Q2" s="15">
        <v>4.1500000000000004</v>
      </c>
      <c r="R2" s="15" t="s">
        <v>587</v>
      </c>
      <c r="S2" s="15">
        <v>40</v>
      </c>
      <c r="T2" s="15" t="s">
        <v>588</v>
      </c>
      <c r="U2" s="15">
        <v>0</v>
      </c>
      <c r="V2" s="15">
        <v>12.2</v>
      </c>
      <c r="W2" s="15">
        <v>0</v>
      </c>
      <c r="X2" s="15">
        <v>0</v>
      </c>
      <c r="Y2" s="15">
        <v>0.5</v>
      </c>
      <c r="Z2" s="15">
        <v>2.46</v>
      </c>
      <c r="AA2" s="15">
        <v>91.55</v>
      </c>
      <c r="AB2" s="15">
        <v>10.09</v>
      </c>
      <c r="AC2" s="15">
        <v>26.43</v>
      </c>
      <c r="AD2" s="15">
        <v>-16.34</v>
      </c>
      <c r="AE2" s="15">
        <v>0</v>
      </c>
      <c r="AF2" s="15">
        <v>-16.34</v>
      </c>
      <c r="AG2" s="17">
        <v>-0.16079999999999997</v>
      </c>
      <c r="AH2" s="15"/>
    </row>
    <row r="3" spans="1:34" s="1" customFormat="1" ht="12" customHeight="1" x14ac:dyDescent="0.3">
      <c r="A3" s="13">
        <v>299156</v>
      </c>
      <c r="B3" s="12" t="s">
        <v>579</v>
      </c>
      <c r="C3" s="14">
        <v>46262</v>
      </c>
      <c r="D3" s="14">
        <v>46262</v>
      </c>
      <c r="E3" s="12">
        <v>65013</v>
      </c>
      <c r="F3" s="15" t="s">
        <v>589</v>
      </c>
      <c r="G3" s="15" t="s">
        <v>590</v>
      </c>
      <c r="H3" s="15" t="s">
        <v>591</v>
      </c>
      <c r="I3" s="16">
        <v>106423.12</v>
      </c>
      <c r="J3" s="15" t="s">
        <v>592</v>
      </c>
      <c r="K3" s="15" t="s">
        <v>584</v>
      </c>
      <c r="L3" s="15" t="s">
        <v>585</v>
      </c>
      <c r="M3" s="16">
        <v>4079</v>
      </c>
      <c r="N3" s="15">
        <v>5</v>
      </c>
      <c r="O3" s="16">
        <v>1559.38</v>
      </c>
      <c r="P3" s="15" t="s">
        <v>579</v>
      </c>
      <c r="Q3" s="15">
        <v>0</v>
      </c>
      <c r="R3" s="15" t="s">
        <v>593</v>
      </c>
      <c r="S3" s="15">
        <v>1214.6199999999999</v>
      </c>
      <c r="T3" s="15" t="s">
        <v>594</v>
      </c>
      <c r="U3" s="15">
        <v>0</v>
      </c>
      <c r="V3" s="15">
        <v>489.48</v>
      </c>
      <c r="W3" s="15">
        <v>0</v>
      </c>
      <c r="X3" s="15">
        <v>0</v>
      </c>
      <c r="Y3" s="15">
        <v>53.21</v>
      </c>
      <c r="Z3" s="15">
        <v>52.83</v>
      </c>
      <c r="AA3" s="16">
        <v>2281.4899999999998</v>
      </c>
      <c r="AB3" s="16">
        <v>1797.51</v>
      </c>
      <c r="AC3" s="15">
        <v>1060.54</v>
      </c>
      <c r="AD3" s="15">
        <v>736.97</v>
      </c>
      <c r="AE3" s="15">
        <v>0</v>
      </c>
      <c r="AF3" s="15">
        <v>736.97</v>
      </c>
      <c r="AG3" s="17">
        <v>0.1807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4180.6400000000003</v>
      </c>
      <c r="F3" s="89"/>
      <c r="G3" s="90"/>
      <c r="H3" s="133">
        <f>'Resumo Detalhado'!C2</f>
        <v>1668.99</v>
      </c>
      <c r="I3" s="134"/>
      <c r="J3" s="135">
        <f>E3/H3</f>
        <v>2.504892180300661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0.47685428571428573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1304.1500000000001</v>
      </c>
      <c r="F7" s="112"/>
      <c r="G7" s="112"/>
      <c r="H7" s="112"/>
      <c r="I7" s="112"/>
      <c r="J7" s="112">
        <f>E7/H3</f>
        <v>0.78140072738602395</v>
      </c>
      <c r="K7" s="112"/>
      <c r="L7" s="112"/>
      <c r="M7" s="130">
        <f>E7/E3</f>
        <v>0.31194984499980866</v>
      </c>
      <c r="N7" s="130"/>
      <c r="O7" s="130"/>
      <c r="P7" s="112">
        <f>E11+K11+Q11+E15+K15+Q15+E19+H19+K19</f>
        <v>2918.1835999999998</v>
      </c>
      <c r="Q7" s="112"/>
      <c r="R7" s="112"/>
      <c r="S7" s="112">
        <f>P7/H3</f>
        <v>1.7484727889322285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1300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1300</v>
      </c>
      <c r="L11" s="90"/>
      <c r="M11" s="38"/>
      <c r="N11" s="88">
        <f>K11/H3</f>
        <v>0.77891419361410197</v>
      </c>
      <c r="O11" s="90"/>
      <c r="P11" s="38"/>
      <c r="Q11" s="88">
        <f>'Resumo Detalhado'!D2</f>
        <v>4.1500000000000004</v>
      </c>
      <c r="R11" s="90"/>
      <c r="S11" s="38"/>
      <c r="T11" s="88">
        <f>Q11/H3</f>
        <v>2.4865337719219408E-3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501.68</v>
      </c>
      <c r="F15" s="119"/>
      <c r="G15" s="119"/>
      <c r="H15" s="119"/>
      <c r="I15" s="132"/>
      <c r="J15" s="38"/>
      <c r="K15" s="113">
        <f>'Resumo Detalhado'!K2+'Resumo Detalhado'!L2</f>
        <v>668.90239999999994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53.71</v>
      </c>
      <c r="F19" s="120"/>
      <c r="G19" s="38"/>
      <c r="H19" s="122">
        <f>'Resumo Detalhado'!J2</f>
        <v>55.29</v>
      </c>
      <c r="I19" s="123"/>
      <c r="J19" s="38"/>
      <c r="K19" s="122">
        <f>'Resumo Detalhado'!L2</f>
        <v>334.45119999999997</v>
      </c>
      <c r="L19" s="123"/>
      <c r="M19" s="38"/>
      <c r="N19" s="121" t="s">
        <v>595</v>
      </c>
      <c r="O19" s="119"/>
      <c r="P19" s="119"/>
      <c r="Q19" s="119"/>
      <c r="R19" s="120"/>
      <c r="S19" s="121">
        <v>900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1642.2876000000003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0.39283162386620235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596</v>
      </c>
      <c r="F1" s="29"/>
    </row>
    <row r="2" spans="1:18" x14ac:dyDescent="0.3">
      <c r="B2" s="29">
        <f>SUM(B6:B5000)</f>
        <v>4180.6400000000003</v>
      </c>
      <c r="C2" s="29">
        <f>SUM(C6:C5000)</f>
        <v>1668.99</v>
      </c>
      <c r="D2" s="29">
        <f>SUM(D6:D5000)</f>
        <v>4.1500000000000004</v>
      </c>
      <c r="E2" s="29">
        <f>SUM(E6:E5000)</f>
        <v>1254.6199999999999</v>
      </c>
      <c r="F2" s="29">
        <f>SUM(F6:F5000)</f>
        <v>0</v>
      </c>
      <c r="G2" s="29"/>
      <c r="H2" s="29">
        <f t="shared" ref="H2:P2" si="0">SUM(H6:H5000)</f>
        <v>501.68</v>
      </c>
      <c r="I2" s="29">
        <f t="shared" si="0"/>
        <v>53.71</v>
      </c>
      <c r="J2" s="29">
        <f t="shared" si="0"/>
        <v>55.29</v>
      </c>
      <c r="K2" s="29">
        <f t="shared" si="0"/>
        <v>334.45119999999997</v>
      </c>
      <c r="L2" s="29">
        <f t="shared" si="0"/>
        <v>334.45119999999997</v>
      </c>
      <c r="M2" s="29">
        <f t="shared" si="0"/>
        <v>0</v>
      </c>
      <c r="N2" s="29">
        <f t="shared" si="0"/>
        <v>1642.2876000000003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298821</v>
      </c>
      <c r="B6" s="140">
        <v>101.64</v>
      </c>
      <c r="C6" s="141">
        <v>109.61</v>
      </c>
      <c r="D6" s="140">
        <v>4.1500000000000004</v>
      </c>
      <c r="E6" s="140">
        <v>40</v>
      </c>
      <c r="F6" s="140">
        <v>0</v>
      </c>
      <c r="G6" s="142">
        <v>0.43437622983077528</v>
      </c>
      <c r="H6" s="140">
        <v>12.2</v>
      </c>
      <c r="I6" s="140">
        <v>0.5</v>
      </c>
      <c r="J6" s="140">
        <v>2.46</v>
      </c>
      <c r="K6" s="140">
        <v>8.1311999999999998</v>
      </c>
      <c r="L6" s="140">
        <v>8.1311999999999998</v>
      </c>
      <c r="M6" s="140">
        <v>0</v>
      </c>
      <c r="N6" s="140">
        <v>26.067599999999992</v>
      </c>
      <c r="O6" s="142">
        <v>0.25646989374262091</v>
      </c>
      <c r="Q6"/>
    </row>
    <row r="7" spans="1:18" s="31" customFormat="1" x14ac:dyDescent="0.3">
      <c r="A7" s="139" t="s">
        <v>590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299156</v>
      </c>
      <c r="B8" s="140">
        <v>4079</v>
      </c>
      <c r="C8" s="141">
        <v>1559.38</v>
      </c>
      <c r="D8" s="140">
        <v>0</v>
      </c>
      <c r="E8" s="140">
        <v>1214.6199999999999</v>
      </c>
      <c r="F8" s="140">
        <v>0</v>
      </c>
      <c r="G8" s="142">
        <v>0.29777396420691343</v>
      </c>
      <c r="H8" s="140">
        <v>489.48</v>
      </c>
      <c r="I8" s="140">
        <v>53.21</v>
      </c>
      <c r="J8" s="140">
        <v>52.83</v>
      </c>
      <c r="K8" s="140">
        <v>326.32</v>
      </c>
      <c r="L8" s="140">
        <v>326.32</v>
      </c>
      <c r="M8" s="140">
        <v>0</v>
      </c>
      <c r="N8" s="140">
        <v>1616.2200000000003</v>
      </c>
      <c r="O8" s="142">
        <v>0.39622946800686448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596</v>
      </c>
    </row>
    <row r="2" spans="1:4" x14ac:dyDescent="0.3">
      <c r="B2" s="29">
        <f>SUM(B6:B5000)</f>
        <v>4079</v>
      </c>
      <c r="C2" s="29">
        <f>SUM(C6:C5000)</f>
        <v>1616.2200000000003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581</v>
      </c>
      <c r="B5" s="10">
        <v>101.64</v>
      </c>
      <c r="C5" s="10">
        <v>26.067599999999992</v>
      </c>
    </row>
    <row r="6" spans="1:4" x14ac:dyDescent="0.3">
      <c r="A6" s="144" t="s">
        <v>590</v>
      </c>
      <c r="B6" s="140">
        <v>4079</v>
      </c>
      <c r="C6" s="140">
        <v>1616.2200000000003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5" t="s">
        <v>595</v>
      </c>
      <c r="D368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2026-09-03T13:13:42Z</dcterms:modified>
  <cp:category/>
  <cp:contentStatus/>
</cp:coreProperties>
</file>