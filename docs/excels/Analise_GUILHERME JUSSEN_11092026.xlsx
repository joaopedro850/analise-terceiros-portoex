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D4F39DE-7E22-4818-A56A-F56A5A26713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<sst xmlns="http://schemas.openxmlformats.org/spreadsheetml/2006/main" count="857" uniqueCount="590">
  <si>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</si>
  <si>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</si>
  <si>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</si>
  <si>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</si>
  <si>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</si>
  <si>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</si>
  <si>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</si>
  <si>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</si>
  <si>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</si>
  <si>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</si>
  <si>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</si>
  <si>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</si>
  <si>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</si>
  <si>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</si>
  <si>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</si>
  <si>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</si>
  <si>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</si>
  <si>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</si>
  <si>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</si>
  <si>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</si>
  <si>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</si>
  <si>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</si>
  <si>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</si>
  <si>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</si>
  <si>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</si>
  <si>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</si>
  <si>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</si>
  <si>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</si>
  <si>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</si>
  <si>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</si>
  <si>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</si>
  <si>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</si>
  <si>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</si>
  <si>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</si>
  <si>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</si>
  <si>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</si>
  <si>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</si>
  <si>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</si>
  <si>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</si>
  <si>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</si>
  <si>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</si>
  <si>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</si>
  <si>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</si>
  <si>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</si>
  <si>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</si>
  <si>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</si>
  <si>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</si>
  <si>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</si>
  <si>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</si>
  <si>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</si>
  <si>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</si>
  <si>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</si>
  <si>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</si>
  <si>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</si>
  <si>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</si>
  <si>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</si>
  <si>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</si>
  <si>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</si>
  <si>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</si>
  <si>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</si>
  <si>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</si>
  <si>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</si>
  <si>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</si>
  <si>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</si>
  <si>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</si>
  <si>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</si>
  <si>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</si>
  <si>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</si>
  <si>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</si>
  <si>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</si>
  <si>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</si>
  <si>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</si>
  <si>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</si>
  <si>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</si>
  <si>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</si>
  <si>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</si>
  <si>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</si>
  <si>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</si>
  <si>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</si>
  <si>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</si>
  <si>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</si>
  <si>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</si>
  <si>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</si>
  <si>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</si>
  <si>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</si>
  <si>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</si>
  <si>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</si>
  <si>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</si>
  <si>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</si>
  <si>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</si>
  <si>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</si>
  <si>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</si>
  <si>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</si>
  <si>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</si>
  <si>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</si>
  <si>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</si>
  <si>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</si>
  <si>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</si>
  <si>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</si>
  <si>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</si>
  <si>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</si>
  <si>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</si>
  <si>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</si>
  <si>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</si>
  <si>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</si>
  <si>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</si>
  <si>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</si>
  <si>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</si>
  <si>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</si>
  <si>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</si>
  <si>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</si>
  <si>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</si>
  <si>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</si>
  <si>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</si>
  <si>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</si>
  <si>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</si>
  <si>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</si>
  <si>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</si>
  <si>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</si>
  <si>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</si>
  <si>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</si>
  <si>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</si>
  <si>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</si>
  <si>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</si>
  <si>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</si>
  <si>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</si>
  <si>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</si>
  <si>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</si>
  <si>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</si>
  <si>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</si>
  <si>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</si>
  <si>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</si>
  <si>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</si>
  <si>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</si>
  <si>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</si>
  <si>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</si>
  <si>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</si>
  <si>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</si>
  <si>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</si>
  <si>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</si>
  <si>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</si>
  <si>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</si>
  <si>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</si>
  <si>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</si>
  <si>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</si>
  <si>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</si>
  <si>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</si>
  <si>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</si>
  <si>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</si>
  <si>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</si>
  <si>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</si>
  <si>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</si>
  <si>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</si>
  <si>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</si>
  <si>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</si>
  <si>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</si>
  <si>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</si>
  <si>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</si>
  <si>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</si>
  <si>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</si>
  <si>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</si>
  <si>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</si>
  <si>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</si>
  <si>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</si>
  <si>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</si>
  <si>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</si>
  <si>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</si>
  <si>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</si>
  <si>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</si>
  <si>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</si>
  <si>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</si>
  <si>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</si>
  <si>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</si>
  <si>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</si>
  <si>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</si>
  <si>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</si>
  <si>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</si>
  <si>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</si>
  <si>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</si>
  <si>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</si>
  <si>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</si>
  <si>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</si>
  <si>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</si>
  <si>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</si>
  <si>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</si>
  <si>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</si>
  <si>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</si>
  <si>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</si>
  <si>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</si>
  <si>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</si>
  <si>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</si>
  <si>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</si>
  <si>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</si>
  <si>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</si>
  <si>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</si>
  <si>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</si>
  <si>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</si>
  <si>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</si>
  <si>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</si>
  <si>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</si>
  <si>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</si>
  <si>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</si>
  <si>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</si>
  <si>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</si>
  <si>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</si>
  <si>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</si>
  <si>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</si>
  <si>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</si>
  <si>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</si>
  <si>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</si>
  <si>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</si>
  <si>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</si>
  <si>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</si>
  <si>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</si>
  <si>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</si>
  <si>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</si>
  <si>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</si>
  <si>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</si>
  <si>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</si>
  <si>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</si>
  <si>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</si>
  <si>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</si>
  <si>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</si>
  <si>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</si>
  <si>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</si>
  <si>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</si>
  <si>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</si>
  <si>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</si>
  <si>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</si>
  <si>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</si>
  <si>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</si>
  <si>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</si>
  <si>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</si>
  <si>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</si>
  <si>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</si>
  <si>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</si>
  <si>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</si>
  <si>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</si>
  <si>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</si>
  <si>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</si>
  <si>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</si>
  <si>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</si>
  <si>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</si>
  <si>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</si>
  <si>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</si>
  <si>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</si>
  <si>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</si>
  <si>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</si>
  <si>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</si>
  <si>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</si>
  <si>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</si>
  <si>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</si>
  <si>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</si>
  <si>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</si>
  <si>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</si>
  <si>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</si>
  <si>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</si>
  <si>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</si>
  <si>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</si>
  <si>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</si>
  <si>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</si>
  <si>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</si>
  <si>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</si>
  <si>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</si>
  <si>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</si>
  <si>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</si>
  <si>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</si>
  <si>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</si>
  <si>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</si>
  <si>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</si>
  <si>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</si>
  <si>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</si>
  <si>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</si>
  <si>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</si>
  <si>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</si>
  <si>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</si>
  <si>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</si>
  <si>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</si>
  <si>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</si>
  <si>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</si>
  <si>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</si>
  <si>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</si>
  <si>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</si>
  <si>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</si>
  <si>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</si>
  <si>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</si>
  <si>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</si>
  <si>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</si>
  <si>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</si>
  <si>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</si>
  <si>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</si>
  <si>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</si>
  <si>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</si>
  <si>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</si>
  <si>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</si>
  <si>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</si>
  <si>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</si>
  <si>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</si>
  <si>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</si>
  <si>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</si>
  <si>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</si>
  <si>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</si>
  <si>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</si>
  <si>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</si>
  <si>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</si>
  <si>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</si>
  <si>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</si>
  <si>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</si>
  <si>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</si>
  <si>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</si>
  <si>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</si>
  <si>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</si>
  <si>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</si>
  <si>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</si>
  <si>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</si>
  <si>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</si>
  <si>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</si>
  <si>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</si>
  <si>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</si>
  <si>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</si>
  <si>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</si>
  <si>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</si>
  <si>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</si>
  <si>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</si>
  <si>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</si>
  <si>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</si>
  <si>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</si>
  <si>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</si>
  <si>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</si>
  <si>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</si>
  <si>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</si>
  <si>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</si>
  <si>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</si>
  <si>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</si>
  <si>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</si>
  <si>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</si>
  <si>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</si>
  <si>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</si>
  <si>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</si>
  <si>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</si>
  <si>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</si>
  <si>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</si>
  <si>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</si>
  <si>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</si>
  <si>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</si>
  <si>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</si>
  <si>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</si>
  <si>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</si>
  <si>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</si>
  <si>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</si>
  <si>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</si>
  <si>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</si>
  <si>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</si>
  <si>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</si>
  <si>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</si>
  <si>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</si>
  <si>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</si>
  <si>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</si>
  <si>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</si>
  <si>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</si>
  <si>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</si>
  <si>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</si>
  <si>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</si>
  <si>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</si>
  <si>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</si>
  <si>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</si>
  <si>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</si>
  <si>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</si>
  <si>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</si>
  <si>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</si>
  <si>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</si>
  <si>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</si>
  <si>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</si>
  <si>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</si>
  <si>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</si>
  <si>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</si>
  <si>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</si>
  <si>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</si>
  <si>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</si>
  <si>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</si>
  <si>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</si>
  <si>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</si>
  <si>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</si>
  <si>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</si>
  <si>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</si>
  <si>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</si>
  <si>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</si>
  <si>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</si>
  <si>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</si>
  <si>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</si>
  <si>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</si>
  <si>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</si>
  <si>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</si>
  <si>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</si>
  <si>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</si>
  <si>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</si>
  <si>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</si>
  <si>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</si>
  <si>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</si>
  <si>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</si>
  <si>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</si>
  <si>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</si>
  <si>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</si>
  <si>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</si>
  <si>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</si>
  <si>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</si>
  <si>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</si>
  <si>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</si>
  <si>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</si>
  <si>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</si>
  <si>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</si>
  <si>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</si>
  <si>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</si>
  <si>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</si>
  <si>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</si>
  <si>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</si>
  <si>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</si>
  <si>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</si>
  <si>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</si>
  <si>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</si>
  <si>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</si>
  <si>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</si>
  <si>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</si>
  <si>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</si>
  <si>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</si>
  <si>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</si>
  <si>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</si>
  <si>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</si>
  <si>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</si>
  <si>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</si>
  <si>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</si>
  <si>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</si>
  <si>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</si>
  <si>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</si>
  <si>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</si>
  <si>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</si>
  <si>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</si>
  <si>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</si>
  <si>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</si>
  <si>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</si>
  <si>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</si>
  <si>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</si>
  <si>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</si>
  <si>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</si>
  <si>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</si>
  <si>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</si>
  <si>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</si>
  <si>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</si>
  <si>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</si>
  <si>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</si>
  <si>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</si>
  <si>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</si>
  <si>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</si>
  <si>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</si>
  <si>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</si>
  <si>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</si>
  <si>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</si>
  <si>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</si>
  <si>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</si>
  <si>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</si>
  <si>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</si>
  <si>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</si>
  <si>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</si>
  <si>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</si>
  <si>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</si>
  <si>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</si>
  <si>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</si>
  <si>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</si>
  <si>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</si>
  <si>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</si>
  <si>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</si>
  <si>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</si>
  <si>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</si>
  <si>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</si>
  <si>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</si>
  <si>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</si>
  <si>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</si>
  <si>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</si>
  <si>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</si>
  <si>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</si>
  <si>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</si>
  <si>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</si>
  <si>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</si>
  <si>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</si>
  <si>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</si>
  <si>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</si>
  <si>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</si>
  <si>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</si>
  <si>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</si>
  <si>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</si>
  <si>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</si>
  <si>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</si>
  <si>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</si>
  <si>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</si>
  <si>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</si>
  <si>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</si>
  <si>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</si>
  <si>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</si>
  <si>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</si>
  <si>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</si>
  <si>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</si>
  <si>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</si>
  <si>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</si>
  <si>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</si>
  <si>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</si>
  <si>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</si>
  <si>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</si>
  <si>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</si>
  <si>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</si>
  <si>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</si>
  <si>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</si>
  <si>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</si>
  <si>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</si>
  <si>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</si>
  <si>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</si>
  <si>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</si>
  <si>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</si>
  <si>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</si>
  <si>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</si>
  <si>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</si>
  <si>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</si>
  <si>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</si>
  <si>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</si>
  <si>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</si>
  <si>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</si>
  <si>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</si>
  <si>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</si>
  <si>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</si>
  <si>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</si>
  <si>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</si>
  <si>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</si>
  <si>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</si>
  <si>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</si>
  <si>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</si>
  <si>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</si>
  <si>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</si>
  <si>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</si>
  <si>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</si>
  <si>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</si>
  <si>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</si>
  <si>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</si>
  <si>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</si>
  <si>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</si>
  <si>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</si>
  <si>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</si>
  <si>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</si>
  <si>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</si>
  <si>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</si>
  <si>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</si>
  <si>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</si>
  <si>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</si>
  <si>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</si>
  <si>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</si>
  <si>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</si>
  <si>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</si>
  <si>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</si>
  <si>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</si>
  <si>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</si>
  <si>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</si>
  <si>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</si>
  <si>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</si>
  <si>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</si>
  <si>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</si>
  <si>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</si>
  <si>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</si>
  <si>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</si>
  <si>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</si>
  <si>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</si>
  <si>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</si>
  <si>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</si>
  <si>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</si>
  <si>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</si>
  <si>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</si>
  <si>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</si>
  <si>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</si>
  <si>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</si>
  <si>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</si>
  <si>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</si>
  <si>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</si>
  <si>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</si>
  <si>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3010-1</t>
  </si>
  <si>
    <t>AC COMERCIAL IM</t>
  </si>
  <si>
    <t>TIAGO SANTANA</t>
  </si>
  <si>
    <t>PERSONALIZADO_L</t>
  </si>
  <si>
    <t>CTE NORMAL</t>
  </si>
  <si>
    <t>OSASCO - SP</t>
  </si>
  <si>
    <t>TRANSPORTES RODOVIARIO UP</t>
  </si>
  <si>
    <t>INDEFINIDO</t>
  </si>
  <si>
    <t>Navegantes-Sc X Osasco-Spcarreta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</si>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</sst>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[Analise_GUILHERME JUSSEN_11092026.xlsx]Resumo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1198.6599999999999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[Analise_GUILHERME JUSSEN_11092026.xlsx]Resumo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1198.6599999999999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08182870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1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73022.98" maxValue="373022.9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9287" maxValue="9287"/>
    </cacheField>
    <cacheField name="VOLUMES" numFmtId="0">
      <sharedItems containsString="0" containsBlank="1" containsNumber="1" containsInteger="1" minValue="20" maxValue="20"/>
    </cacheField>
    <cacheField name="PESO" numFmtId="0">
      <sharedItems containsString="0" containsBlank="1" containsNumber="1" containsInteger="1" minValue="7200" maxValue="720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500" maxValue="5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14.44" maxValue="1114.4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49.21" maxValue="149.21"/>
    </cacheField>
    <cacheField name="OUTROS" numFmtId="0">
      <sharedItems containsString="0" containsBlank="1" containsNumber="1" containsInteger="1" minValue="500" maxValue="500"/>
    </cacheField>
    <cacheField name="C.TOTAL" numFmtId="0">
      <sharedItems containsString="0" containsBlank="1" containsNumber="1" minValue="7263.65" maxValue="7263.65"/>
    </cacheField>
    <cacheField name="RECEITA" numFmtId="0">
      <sharedItems containsString="0" containsBlank="1" containsNumber="1" minValue="2023.35" maxValue="2023.35"/>
    </cacheField>
    <cacheField name="IMPOSTO" numFmtId="0">
      <sharedItems containsString="0" containsBlank="1" containsNumber="1" minValue="1485.92" maxValue="1485.92"/>
    </cacheField>
    <cacheField name="RESULTADO" numFmtId="0">
      <sharedItems containsString="0" containsBlank="1" containsNumber="1" minValue="537.42999999999995" maxValue="537.42999999999995"/>
    </cacheField>
    <cacheField name="COMIS" numFmtId="0">
      <sharedItems containsString="0" containsBlank="1" containsNumber="1" minValue="81.73" maxValue="81.73"/>
    </cacheField>
    <cacheField name="LUCRO LIQ" numFmtId="0">
      <sharedItems containsString="0" containsBlank="1" containsNumber="1" minValue="455.7" maxValue="455.7"/>
    </cacheField>
    <cacheField name="MARGEM" numFmtId="10">
      <sharedItems containsString="0" containsBlank="1" containsNumber="1" minValue="4.9100000000000005E-2" maxValue="4.910000000000000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1T00:00:00"/>
    <m/>
    <s v="3010-1"/>
    <x v="0"/>
    <s v="TIAGO SANTANA"/>
    <n v="373022.98"/>
    <x v="0"/>
    <s v="CTE NORMAL"/>
    <s v="OSASCO - SP"/>
    <n v="9287"/>
    <n v="20"/>
    <n v="7200"/>
    <s v="MATRIZ"/>
    <n v="0"/>
    <s v="TRANSPORTES RODOVIARIO UP"/>
    <n v="5500"/>
    <s v="INDEFINIDO"/>
    <n v="0"/>
    <n v="1114.44"/>
    <n v="0"/>
    <n v="0"/>
    <n v="149.21"/>
    <n v="500"/>
    <n v="7263.65"/>
    <n v="2023.35"/>
    <n v="1485.92"/>
    <n v="537.42999999999995"/>
    <n v="81.73"/>
    <n v="455.7"/>
    <n v="4.9100000000000005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3110</v>
      </c>
      <c r="B2" s="12" t="s">
        <v>579</v>
      </c>
      <c r="C2" s="14">
        <v>46275</v>
      </c>
      <c r="D2" s="14">
        <v>46276</v>
      </c>
      <c r="E2" s="12"/>
      <c r="F2" s="15" t="s">
        <v>580</v>
      </c>
      <c r="G2" s="15" t="s">
        <v>581</v>
      </c>
      <c r="H2" s="15" t="s">
        <v>582</v>
      </c>
      <c r="I2" s="16">
        <v>373022.98</v>
      </c>
      <c r="J2" s="15" t="s">
        <v>583</v>
      </c>
      <c r="K2" s="15" t="s">
        <v>584</v>
      </c>
      <c r="L2" s="15" t="s">
        <v>585</v>
      </c>
      <c r="M2" s="15">
        <v>9287</v>
      </c>
      <c r="N2" s="15">
        <v>20</v>
      </c>
      <c r="O2" s="16">
        <v>7200</v>
      </c>
      <c r="P2" s="15" t="s">
        <v>579</v>
      </c>
      <c r="Q2" s="15">
        <v>0</v>
      </c>
      <c r="R2" s="15" t="s">
        <v>586</v>
      </c>
      <c r="S2" s="15">
        <v>5500</v>
      </c>
      <c r="T2" s="15" t="s">
        <v>587</v>
      </c>
      <c r="U2" s="15">
        <v>0</v>
      </c>
      <c r="V2" s="15">
        <v>1114.44</v>
      </c>
      <c r="W2" s="15">
        <v>0</v>
      </c>
      <c r="X2" s="15">
        <v>0</v>
      </c>
      <c r="Y2" s="15">
        <v>149.21</v>
      </c>
      <c r="Z2" s="15">
        <v>500</v>
      </c>
      <c r="AA2" s="15">
        <v>7263.65</v>
      </c>
      <c r="AB2" s="15">
        <v>2023.35</v>
      </c>
      <c r="AC2" s="15">
        <v>1485.92</v>
      </c>
      <c r="AD2" s="15">
        <v>537.42999999999995</v>
      </c>
      <c r="AE2" s="15">
        <v>81.73</v>
      </c>
      <c r="AF2" s="15">
        <v>455.7</v>
      </c>
      <c r="AG2" s="17">
        <v>4.9100000000000005E-2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9287</v>
      </c>
      <c r="F3" s="93"/>
      <c r="G3" s="94"/>
      <c r="H3" s="95">
        <f>'Resumo Detalhado'!C2</f>
        <v>7200</v>
      </c>
      <c r="I3" s="96"/>
      <c r="J3" s="97">
        <f>E3/H3</f>
        <v>1.2898611111111111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0.32727272727272727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5500</v>
      </c>
      <c r="F7" s="109"/>
      <c r="G7" s="109"/>
      <c r="H7" s="109"/>
      <c r="I7" s="109"/>
      <c r="J7" s="109">
        <f>E7/H3</f>
        <v>0.76388888888888884</v>
      </c>
      <c r="K7" s="109"/>
      <c r="L7" s="109"/>
      <c r="M7" s="110">
        <f>E7/E3</f>
        <v>0.59222569182728546</v>
      </c>
      <c r="N7" s="110"/>
      <c r="O7" s="110"/>
      <c r="P7" s="109">
        <f>E11+K11+Q11+E15+K15+Q15+E19+H19+K19</f>
        <v>9492.5299999999988</v>
      </c>
      <c r="Q7" s="109"/>
      <c r="R7" s="109"/>
      <c r="S7" s="109">
        <f>P7/H3</f>
        <v>1.3184069444444442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5500</v>
      </c>
      <c r="L11" s="94"/>
      <c r="M11" s="38"/>
      <c r="N11" s="92">
        <f>K11/H3</f>
        <v>0.76388888888888884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1114.44</v>
      </c>
      <c r="F15" s="113"/>
      <c r="G15" s="113"/>
      <c r="H15" s="113"/>
      <c r="I15" s="114"/>
      <c r="J15" s="38"/>
      <c r="K15" s="116">
        <f>'Resumo Detalhado'!K2+'Resumo Detalhado'!L2</f>
        <v>1485.92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149.21</v>
      </c>
      <c r="F19" s="119"/>
      <c r="G19" s="38"/>
      <c r="H19" s="106">
        <f>'Resumo Detalhado'!J2</f>
        <v>500</v>
      </c>
      <c r="I19" s="108"/>
      <c r="J19" s="38"/>
      <c r="K19" s="106">
        <f>'Resumo Detalhado'!L2</f>
        <v>742.96</v>
      </c>
      <c r="L19" s="108"/>
      <c r="M19" s="38"/>
      <c r="N19" s="112" t="s">
        <v>588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1198.6599999999999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0.12906859050285344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9287</v>
      </c>
      <c r="C2" s="29">
        <f>SUM(C6:C5000)</f>
        <v>7200</v>
      </c>
      <c r="D2" s="29">
        <f>SUM(D6:D5000)</f>
        <v>0</v>
      </c>
      <c r="E2" s="29">
        <f>SUM(E6:E5000)</f>
        <v>5500</v>
      </c>
      <c r="F2" s="29">
        <f>SUM(F6:F5000)</f>
        <v>0</v>
      </c>
      <c r="G2" s="29"/>
      <c r="H2" s="29">
        <f t="shared" ref="H2:P2" si="0">SUM(H6:H5000)</f>
        <v>1114.44</v>
      </c>
      <c r="I2" s="29">
        <f t="shared" si="0"/>
        <v>149.21</v>
      </c>
      <c r="J2" s="29">
        <f t="shared" si="0"/>
        <v>500</v>
      </c>
      <c r="K2" s="29">
        <f t="shared" si="0"/>
        <v>742.96</v>
      </c>
      <c r="L2" s="29">
        <f t="shared" si="0"/>
        <v>742.96</v>
      </c>
      <c r="M2" s="29">
        <f t="shared" si="0"/>
        <v>81.73</v>
      </c>
      <c r="N2" s="29">
        <f t="shared" si="0"/>
        <v>1198.6599999999999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3110</v>
      </c>
      <c r="B6" s="140">
        <v>9287</v>
      </c>
      <c r="C6" s="141">
        <v>7200</v>
      </c>
      <c r="D6" s="140">
        <v>0</v>
      </c>
      <c r="E6" s="140">
        <v>5500</v>
      </c>
      <c r="F6" s="140">
        <v>0</v>
      </c>
      <c r="G6" s="142">
        <v>0.59222569182728546</v>
      </c>
      <c r="H6" s="140">
        <v>1114.44</v>
      </c>
      <c r="I6" s="140">
        <v>149.21</v>
      </c>
      <c r="J6" s="140">
        <v>500</v>
      </c>
      <c r="K6" s="140">
        <v>742.96</v>
      </c>
      <c r="L6" s="140">
        <v>742.96</v>
      </c>
      <c r="M6" s="140">
        <v>81.73</v>
      </c>
      <c r="N6" s="140">
        <v>1198.6599999999999</v>
      </c>
      <c r="O6" s="142">
        <v>0.12906859050285344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9287</v>
      </c>
      <c r="C5" s="10">
        <v>1198.6599999999999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2026-09-16T13:19:27Z</dcterms:modified>
  <cp:category/>
  <cp:contentStatus/>
</cp:coreProperties>
</file>