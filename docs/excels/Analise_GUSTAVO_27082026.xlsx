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F13D690-EA2A-4499-8CA8-FB33B4D073E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<sst xmlns="http://schemas.openxmlformats.org/spreadsheetml/2006/main" count="870" uniqueCount="596">
  <si>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</si>
  <si>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</si>
  <si>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</si>
  <si>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</si>
  <si>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</si>
  <si>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</si>
  <si>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</si>
  <si>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</si>
  <si>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</si>
  <si>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</si>
  <si>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</si>
  <si>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</si>
  <si>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</si>
  <si>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</si>
  <si>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</si>
  <si>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</si>
  <si>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</si>
  <si>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</si>
  <si>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</si>
  <si>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</si>
  <si>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</si>
  <si>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</si>
  <si>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</si>
  <si>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</si>
  <si>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</si>
  <si>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</si>
  <si>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</si>
  <si>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</si>
  <si>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</si>
  <si>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</si>
  <si>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</si>
  <si>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</si>
  <si>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</si>
  <si>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</si>
  <si>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</si>
  <si>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</si>
  <si>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</si>
  <si>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</si>
  <si>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</si>
  <si>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</si>
  <si>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</si>
  <si>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</si>
  <si>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</si>
  <si>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</si>
  <si>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</si>
  <si>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</si>
  <si>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</si>
  <si>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</si>
  <si>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</si>
  <si>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</si>
  <si>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</si>
  <si>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</si>
  <si>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</si>
  <si>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</si>
  <si>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</si>
  <si>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</si>
  <si>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</si>
  <si>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</si>
  <si>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</si>
  <si>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</si>
  <si>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</si>
  <si>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</si>
  <si>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</si>
  <si>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</si>
  <si>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</si>
  <si>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</si>
  <si>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</si>
  <si>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</si>
  <si>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</si>
  <si>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</si>
  <si>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</si>
  <si>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</si>
  <si>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</si>
  <si>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</si>
  <si>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</si>
  <si>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</si>
  <si>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</si>
  <si>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</si>
  <si>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</si>
  <si>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</si>
  <si>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</si>
  <si>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</si>
  <si>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</si>
  <si>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</si>
  <si>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</si>
  <si>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</si>
  <si>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</si>
  <si>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</si>
  <si>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</si>
  <si>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</si>
  <si>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</si>
  <si>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</si>
  <si>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</si>
  <si>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</si>
  <si>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</si>
  <si>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</si>
  <si>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</si>
  <si>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</si>
  <si>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</si>
  <si>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</si>
  <si>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</si>
  <si>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</si>
  <si>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</si>
  <si>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</si>
  <si>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</si>
  <si>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</si>
  <si>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</si>
  <si>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</si>
  <si>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</si>
  <si>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</si>
  <si>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</si>
  <si>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</si>
  <si>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</si>
  <si>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</si>
  <si>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</si>
  <si>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</si>
  <si>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</si>
  <si>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</si>
  <si>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</si>
  <si>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</si>
  <si>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</si>
  <si>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</si>
  <si>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</si>
  <si>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</si>
  <si>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</si>
  <si>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</si>
  <si>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</si>
  <si>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</si>
  <si>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</si>
  <si>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</si>
  <si>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</si>
  <si>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</si>
  <si>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</si>
  <si>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</si>
  <si>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</si>
  <si>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</si>
  <si>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</si>
  <si>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</si>
  <si>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</si>
  <si>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</si>
  <si>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</si>
  <si>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</si>
  <si>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</si>
  <si>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</si>
  <si>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</si>
  <si>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</si>
  <si>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</si>
  <si>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</si>
  <si>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</si>
  <si>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</si>
  <si>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</si>
  <si>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</si>
  <si>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</si>
  <si>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</si>
  <si>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</si>
  <si>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</si>
  <si>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</si>
  <si>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</si>
  <si>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</si>
  <si>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</si>
  <si>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</si>
  <si>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</si>
  <si>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</si>
  <si>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</si>
  <si>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</si>
  <si>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</si>
  <si>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</si>
  <si>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</si>
  <si>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</si>
  <si>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</si>
  <si>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</si>
  <si>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</si>
  <si>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</si>
  <si>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</si>
  <si>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</si>
  <si>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</si>
  <si>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</si>
  <si>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</si>
  <si>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</si>
  <si>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</si>
  <si>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</si>
  <si>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</si>
  <si>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</si>
  <si>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</si>
  <si>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</si>
  <si>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</si>
  <si>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</si>
  <si>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</si>
  <si>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</si>
  <si>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</si>
  <si>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</si>
  <si>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</si>
  <si>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</si>
  <si>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</si>
  <si>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</si>
  <si>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</si>
  <si>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</si>
  <si>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</si>
  <si>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</si>
  <si>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</si>
  <si>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</si>
  <si>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</si>
  <si>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</si>
  <si>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</si>
  <si>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</si>
  <si>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</si>
  <si>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</si>
  <si>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</si>
  <si>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</si>
  <si>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</si>
  <si>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</si>
  <si>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</si>
  <si>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</si>
  <si>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</si>
  <si>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</si>
  <si>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</si>
  <si>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</si>
  <si>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</si>
  <si>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</si>
  <si>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</si>
  <si>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</si>
  <si>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</si>
  <si>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</si>
  <si>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</si>
  <si>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</si>
  <si>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</si>
  <si>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</si>
  <si>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</si>
  <si>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</si>
  <si>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</si>
  <si>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</si>
  <si>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</si>
  <si>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</si>
  <si>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</si>
  <si>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</si>
  <si>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</si>
  <si>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</si>
  <si>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</si>
  <si>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</si>
  <si>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</si>
  <si>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</si>
  <si>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</si>
  <si>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</si>
  <si>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</si>
  <si>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</si>
  <si>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</si>
  <si>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</si>
  <si>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</si>
  <si>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</si>
  <si>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</si>
  <si>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</si>
  <si>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</si>
  <si>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</si>
  <si>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</si>
  <si>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</si>
  <si>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</si>
  <si>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</si>
  <si>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</si>
  <si>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</si>
  <si>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</si>
  <si>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</si>
  <si>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</si>
  <si>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</si>
  <si>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</si>
  <si>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</si>
  <si>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</si>
  <si>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</si>
  <si>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</si>
  <si>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</si>
  <si>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</si>
  <si>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</si>
  <si>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</si>
  <si>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</si>
  <si>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</si>
  <si>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</si>
  <si>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</si>
  <si>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</si>
  <si>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</si>
  <si>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</si>
  <si>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</si>
  <si>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</si>
  <si>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</si>
  <si>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</si>
  <si>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</si>
  <si>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</si>
  <si>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</si>
  <si>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</si>
  <si>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</si>
  <si>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</si>
  <si>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</si>
  <si>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</si>
  <si>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</si>
  <si>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</si>
  <si>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</si>
  <si>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</si>
  <si>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</si>
  <si>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</si>
  <si>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</si>
  <si>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</si>
  <si>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</si>
  <si>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</si>
  <si>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</si>
  <si>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</si>
  <si>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</si>
  <si>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</si>
  <si>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</si>
  <si>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</si>
  <si>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</si>
  <si>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</si>
  <si>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</si>
  <si>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</si>
  <si>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</si>
  <si>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</si>
  <si>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</si>
  <si>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</si>
  <si>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</si>
  <si>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</si>
  <si>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</si>
  <si>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</si>
  <si>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</si>
  <si>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</si>
  <si>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</si>
  <si>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</si>
  <si>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</si>
  <si>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</si>
  <si>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</si>
  <si>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</si>
  <si>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</si>
  <si>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</si>
  <si>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</si>
  <si>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</si>
  <si>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</si>
  <si>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</si>
  <si>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</si>
  <si>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</si>
  <si>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</si>
  <si>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</si>
  <si>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</si>
  <si>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</si>
  <si>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</si>
  <si>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</si>
  <si>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</si>
  <si>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</si>
  <si>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</si>
  <si>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</si>
  <si>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</si>
  <si>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</si>
  <si>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</si>
  <si>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</si>
  <si>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</si>
  <si>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</si>
  <si>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</si>
  <si>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</si>
  <si>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</si>
  <si>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</si>
  <si>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</si>
  <si>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</si>
  <si>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</si>
  <si>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</si>
  <si>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</si>
  <si>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</si>
  <si>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</si>
  <si>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</si>
  <si>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</si>
  <si>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</si>
  <si>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</si>
  <si>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</si>
  <si>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</si>
  <si>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</si>
  <si>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</si>
  <si>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</si>
  <si>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</si>
  <si>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</si>
  <si>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</si>
  <si>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</si>
  <si>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</si>
  <si>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</si>
  <si>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</si>
  <si>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</si>
  <si>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</si>
  <si>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</si>
  <si>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</si>
  <si>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</si>
  <si>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</si>
  <si>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</si>
  <si>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</si>
  <si>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</si>
  <si>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</si>
  <si>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</si>
  <si>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</si>
  <si>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</si>
  <si>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</si>
  <si>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</si>
  <si>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</si>
  <si>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</si>
  <si>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</si>
  <si>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</si>
  <si>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</si>
  <si>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</si>
  <si>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</si>
  <si>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</si>
  <si>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</si>
  <si>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</si>
  <si>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</si>
  <si>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</si>
  <si>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</si>
  <si>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</si>
  <si>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</si>
  <si>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</si>
  <si>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</si>
  <si>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</si>
  <si>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</si>
  <si>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</si>
  <si>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</si>
  <si>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</si>
  <si>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</si>
  <si>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</si>
  <si>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</si>
  <si>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</si>
  <si>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</si>
  <si>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</si>
  <si>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</si>
  <si>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</si>
  <si>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</si>
  <si>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</si>
  <si>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</si>
  <si>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</si>
  <si>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</si>
  <si>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</si>
  <si>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</si>
  <si>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</si>
  <si>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</si>
  <si>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</si>
  <si>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</si>
  <si>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</si>
  <si>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</si>
  <si>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</si>
  <si>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</si>
  <si>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</si>
  <si>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</si>
  <si>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</si>
  <si>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</si>
  <si>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</si>
  <si>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</si>
  <si>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</si>
  <si>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</si>
  <si>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</si>
  <si>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</si>
  <si>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</si>
  <si>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</si>
  <si>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</si>
  <si>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</si>
  <si>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</si>
  <si>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</si>
  <si>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</si>
  <si>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</si>
  <si>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</si>
  <si>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</si>
  <si>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</si>
  <si>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</si>
  <si>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</si>
  <si>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</si>
  <si>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</si>
  <si>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</si>
  <si>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</si>
  <si>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</si>
  <si>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</si>
  <si>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</si>
  <si>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</si>
  <si>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</si>
  <si>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</si>
  <si>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</si>
  <si>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</si>
  <si>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</si>
  <si>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</si>
  <si>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</si>
  <si>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</si>
  <si>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</si>
  <si>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</si>
  <si>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</si>
  <si>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</si>
  <si>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</si>
  <si>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</si>
  <si>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</si>
  <si>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</si>
  <si>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</si>
  <si>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</si>
  <si>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</si>
  <si>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</si>
  <si>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</si>
  <si>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</si>
  <si>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</si>
  <si>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</si>
  <si>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</si>
  <si>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</si>
  <si>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</si>
  <si>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</si>
  <si>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</si>
  <si>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</si>
  <si>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</si>
  <si>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</si>
  <si>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</si>
  <si>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</si>
  <si>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</si>
  <si>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</si>
  <si>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</si>
  <si>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</si>
  <si>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</si>
  <si>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</si>
  <si>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</si>
  <si>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</si>
  <si>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</si>
  <si>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</si>
  <si>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</si>
  <si>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</si>
  <si>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</si>
  <si>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</si>
  <si>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</si>
  <si>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</si>
  <si>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</si>
  <si>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</si>
  <si>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</si>
  <si>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</si>
  <si>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</si>
  <si>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</si>
  <si>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</si>
  <si>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</si>
  <si>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</si>
  <si>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</si>
  <si>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</si>
  <si>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</si>
  <si>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</si>
  <si>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</si>
  <si>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</si>
  <si>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</si>
  <si>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</si>
  <si>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</si>
  <si>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</si>
  <si>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</si>
  <si>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</si>
  <si>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</si>
  <si>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</si>
  <si>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</si>
  <si>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</si>
  <si>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</si>
  <si>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</si>
  <si>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</si>
  <si>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</si>
  <si>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</si>
  <si>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</si>
  <si>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</si>
  <si>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</si>
  <si>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</si>
  <si>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</si>
  <si>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</si>
  <si>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</si>
  <si>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</si>
  <si>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</si>
  <si>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</si>
  <si>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</si>
  <si>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</si>
  <si>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</si>
  <si>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</si>
  <si>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</si>
  <si>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</si>
  <si>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</si>
  <si>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</si>
  <si>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</si>
  <si>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</si>
  <si>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</si>
  <si>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</si>
  <si>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</si>
  <si>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</si>
  <si>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</si>
  <si>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</si>
  <si>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</si>
  <si>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</si>
  <si>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</si>
  <si>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</si>
  <si>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</si>
  <si>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2624-1</t>
  </si>
  <si>
    <t>STRATUS COMERCI</t>
  </si>
  <si>
    <t>MICHELL MARQUES</t>
  </si>
  <si>
    <t>ECONOMICO_250</t>
  </si>
  <si>
    <t>CTE NORMAL</t>
  </si>
  <si>
    <t>TABOAO DA SERRA - SP</t>
  </si>
  <si>
    <t>HELTON JOHN DA SILVA</t>
  </si>
  <si>
    <t>LUIZA EDUARDA SCHERER MAR</t>
  </si>
  <si>
    <t>INDEFINIDO</t>
  </si>
  <si>
    <t>2653-1</t>
  </si>
  <si>
    <t>CASA MEDITERRAN</t>
  </si>
  <si>
    <t>CAIO LUCIANO MATIAS</t>
  </si>
  <si>
    <t>PERSONALIZADO_L</t>
  </si>
  <si>
    <t>ITAPEVI - SP</t>
  </si>
  <si>
    <t>Garibaldi-Rs X Itapevi-Sptruck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</si>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</sst>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[Analise_GUSTAVO_27082026.xlsx]Resumo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CASA MEDITERRAN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10067.07</c:v>
                </c:pt>
                <c:pt idx="1">
                  <c:v>182.93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CASA MEDITERRAN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976.64879999999948</c:v>
                </c:pt>
                <c:pt idx="1">
                  <c:v>-32.068799999999996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[Analise_GUSTAVO_27082026.xlsx]Resumo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CASA MEDITERRAN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10067.07</c:v>
                </c:pt>
                <c:pt idx="1">
                  <c:v>182.93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CASA MEDITERRAN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976.64879999999948</c:v>
                </c:pt>
                <c:pt idx="1">
                  <c:v>-32.068799999999996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6.45988495370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712"/>
        <n v="274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6T00:00:00" maxDate="2026-08-28T00:00:00"/>
    </cacheField>
    <cacheField name="DATA" numFmtId="14">
      <sharedItems containsNonDate="0" containsDate="1" containsString="0" containsBlank="1" minDate="2026-08-26T00:00:00" maxDate="2026-08-28T00:00:00"/>
    </cacheField>
    <cacheField name="FAT" numFmtId="0">
      <sharedItems containsString="0" containsBlank="1" containsNumber="1" containsInteger="1" minValue="473" maxValue="473"/>
    </cacheField>
    <cacheField name="CT-E" numFmtId="0">
      <sharedItems containsBlank="1"/>
    </cacheField>
    <cacheField name="CLIENTE TOMADOR" numFmtId="0">
      <sharedItems containsBlank="1" count="856">
        <s v="STRATUS COMERCI"/>
        <s v="CASA MEDITERRAN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7123.89" maxValue="50567.59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82.93" maxValue="10067.07"/>
    </cacheField>
    <cacheField name="VOLUMES" numFmtId="0">
      <sharedItems containsString="0" containsBlank="1" containsNumber="1" containsInteger="1" minValue="10" maxValue="544"/>
    </cacheField>
    <cacheField name="PESO" numFmtId="0">
      <sharedItems containsString="0" containsBlank="1" containsNumber="1" minValue="225.56" maxValue="5440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50"/>
    </cacheField>
    <cacheField name="RESP. ENTREGA" numFmtId="0">
      <sharedItems containsBlank="1"/>
    </cacheField>
    <cacheField name="CUSTO ENTREGA" numFmtId="0">
      <sharedItems containsString="0" containsBlank="1" containsNumber="1" minValue="107.08" maxValue="5892.92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1.95" maxValue="1208.0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85" maxValue="20.23"/>
    </cacheField>
    <cacheField name="OUTROS" numFmtId="0">
      <sharedItems containsString="0" containsBlank="1" containsNumber="1" minValue="3.85" maxValue="92.72"/>
    </cacheField>
    <cacheField name="C.TOTAL" numFmtId="0">
      <sharedItems containsString="0" containsBlank="1" containsNumber="1" minValue="185.73" maxValue="7213.92"/>
    </cacheField>
    <cacheField name="RECEITA" numFmtId="0">
      <sharedItems containsString="0" containsBlank="1" containsNumber="1" minValue="-2.8" maxValue="2853.15"/>
    </cacheField>
    <cacheField name="IMPOSTO" numFmtId="0">
      <sharedItems containsString="0" containsBlank="1" containsNumber="1" minValue="29.27" maxValue="1610.73"/>
    </cacheField>
    <cacheField name="RESULTADO" numFmtId="0">
      <sharedItems containsString="0" containsBlank="1" containsNumber="1" minValue="-32.07" maxValue="1242.42"/>
    </cacheField>
    <cacheField name="COMIS" numFmtId="0">
      <sharedItems containsString="0" containsBlank="1" containsNumber="1" minValue="0" maxValue="265.77"/>
    </cacheField>
    <cacheField name="LUCRO LIQ" numFmtId="0">
      <sharedItems containsString="0" containsBlank="1" containsNumber="1" minValue="-32.07" maxValue="976.65"/>
    </cacheField>
    <cacheField name="MARGEM" numFmtId="10">
      <sharedItems containsString="0" containsBlank="1" containsNumber="1" minValue="-0.17530000000000001" maxValue="9.6999999999999989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26T00:00:00"/>
    <d v="2026-08-26T00:00:00"/>
    <n v="473"/>
    <s v="2624-1"/>
    <x v="0"/>
    <s v="MICHELL MARQUES"/>
    <n v="7123.89"/>
    <x v="0"/>
    <s v="CTE NORMAL"/>
    <s v="TABOAO DA SERRA - SP"/>
    <n v="182.93"/>
    <n v="10"/>
    <n v="225.56"/>
    <s v="HELTON JOHN DA SILVA"/>
    <n v="50"/>
    <s v="LUIZA EDUARDA SCHERER MAR"/>
    <n v="107.08"/>
    <s v="INDEFINIDO"/>
    <n v="0"/>
    <n v="21.95"/>
    <n v="0"/>
    <n v="0"/>
    <n v="2.85"/>
    <n v="3.85"/>
    <n v="185.73"/>
    <n v="-2.8"/>
    <n v="29.27"/>
    <n v="-32.07"/>
    <n v="0"/>
    <n v="-32.07"/>
    <n v="-0.17530000000000001"/>
    <m/>
  </r>
  <r>
    <x v="1"/>
    <s v="MATRIZ"/>
    <d v="2026-08-27T00:00:00"/>
    <d v="2026-08-27T00:00:00"/>
    <m/>
    <s v="2653-1"/>
    <x v="1"/>
    <s v="CAIO LUCIANO MATIAS"/>
    <n v="50567.59"/>
    <x v="1"/>
    <s v="CTE NORMAL"/>
    <s v="ITAPEVI - SP"/>
    <n v="10067.07"/>
    <n v="544"/>
    <n v="5440"/>
    <s v="MATRIZ"/>
    <n v="0"/>
    <s v="LUIZA EDUARDA SCHERER MAR"/>
    <n v="5892.92"/>
    <s v="INDEFINIDO"/>
    <n v="0"/>
    <n v="1208.05"/>
    <n v="0"/>
    <n v="0"/>
    <n v="20.23"/>
    <n v="92.72"/>
    <n v="7213.92"/>
    <n v="2853.15"/>
    <n v="1610.73"/>
    <n v="1242.42"/>
    <n v="265.77"/>
    <n v="976.65"/>
    <n v="9.6999999999999989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1"/>
        <item m="1" x="506"/>
        <item sd="0" m="1" x="554"/>
        <item m="1" x="477"/>
        <item sd="0" m="1" x="245"/>
        <item m="1" x="849"/>
        <item m="1" x="833"/>
        <item m="1" x="743"/>
        <item m="1" x="241"/>
        <item m="1" x="240"/>
        <item m="1" x="462"/>
        <item m="1" x="287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9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9"/>
        <item m="1" x="208"/>
        <item sd="0" m="1" x="522"/>
        <item m="1" x="463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7"/>
        <item m="1" x="249"/>
        <item sd="0" m="1" x="764"/>
        <item m="1" x="426"/>
        <item m="1" x="437"/>
        <item m="1" x="168"/>
        <item m="1" x="543"/>
        <item m="1" x="807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x="1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8"/>
        <item m="1" x="854"/>
        <item sd="0" m="1" x="830"/>
        <item m="1" x="107"/>
        <item m="1" x="402"/>
        <item m="1" x="115"/>
        <item sd="0" m="1" x="653"/>
        <item m="1" x="657"/>
        <item m="1" x="796"/>
        <item sd="0" m="1" x="696"/>
        <item m="1" x="455"/>
        <item m="1" x="382"/>
        <item m="1" x="448"/>
        <item m="1" x="160"/>
        <item m="1" x="278"/>
        <item sd="0" m="1" x="204"/>
        <item m="1" x="494"/>
        <item m="1" x="290"/>
        <item m="1" x="527"/>
        <item m="1" x="258"/>
        <item m="1" x="407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8"/>
        <item m="1" x="735"/>
        <item m="1" x="814"/>
        <item m="1" x="562"/>
        <item m="1" x="559"/>
        <item m="1" x="430"/>
        <item m="1" x="715"/>
        <item m="1" x="505"/>
        <item m="1" x="174"/>
        <item m="1" x="628"/>
        <item m="1" x="376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8"/>
        <item m="1" x="791"/>
        <item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m="1" x="806"/>
        <item sd="0" m="1" x="487"/>
        <item m="1" x="443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0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9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8"/>
        <item m="1" x="70"/>
        <item m="1" x="119"/>
        <item m="1" x="646"/>
        <item m="1" x="412"/>
        <item m="1" x="855"/>
        <item m="1" x="433"/>
        <item m="1" x="570"/>
        <item m="1" x="488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2"/>
        <item m="1" x="247"/>
        <item m="1" x="399"/>
        <item sd="0" m="1" x="482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3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1"/>
        <item m="1" x="495"/>
        <item m="1" x="396"/>
        <item m="1" x="671"/>
        <item m="1" x="186"/>
        <item sd="0" m="1" x="410"/>
        <item m="1" x="474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2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1"/>
        <item m="1" x="693"/>
        <item x="0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1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3"/>
        <item sd="0" m="1" x="825"/>
        <item m="1" x="36"/>
        <item m="1" x="312"/>
        <item m="1" x="826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44"/>
    </i>
    <i r="1">
      <x v="7999"/>
    </i>
    <i>
      <x v="735"/>
    </i>
    <i r="1">
      <x v="7998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8"/>
            <x v="168"/>
            <x v="194"/>
            <x v="253"/>
            <x v="259"/>
            <x v="263"/>
            <x v="291"/>
            <x v="293"/>
            <x v="295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4"/>
            <x v="239"/>
            <x v="240"/>
            <x v="268"/>
            <x v="277"/>
            <x v="287"/>
            <x v="294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6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1"/>
        <item m="1" x="506"/>
        <item sd="0" m="1" x="554"/>
        <item m="1" x="477"/>
        <item sd="0" m="1" x="245"/>
        <item m="1" x="849"/>
        <item m="1" x="833"/>
        <item m="1" x="743"/>
        <item m="1" x="241"/>
        <item m="1" x="240"/>
        <item m="1" x="462"/>
        <item m="1" x="287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9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9"/>
        <item m="1" x="208"/>
        <item sd="0" m="1" x="522"/>
        <item m="1" x="463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7"/>
        <item m="1" x="249"/>
        <item sd="0" m="1" x="764"/>
        <item m="1" x="426"/>
        <item m="1" x="437"/>
        <item m="1" x="168"/>
        <item m="1" x="543"/>
        <item m="1" x="807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x="1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8"/>
        <item m="1" x="854"/>
        <item sd="0" m="1" x="830"/>
        <item m="1" x="107"/>
        <item m="1" x="402"/>
        <item m="1" x="115"/>
        <item sd="0" m="1" x="653"/>
        <item m="1" x="657"/>
        <item m="1" x="796"/>
        <item sd="0" m="1" x="696"/>
        <item m="1" x="455"/>
        <item m="1" x="382"/>
        <item m="1" x="448"/>
        <item m="1" x="160"/>
        <item m="1" x="278"/>
        <item sd="0" m="1" x="204"/>
        <item m="1" x="494"/>
        <item m="1" x="290"/>
        <item m="1" x="527"/>
        <item m="1" x="258"/>
        <item m="1" x="407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8"/>
        <item m="1" x="735"/>
        <item m="1" x="814"/>
        <item m="1" x="562"/>
        <item m="1" x="559"/>
        <item m="1" x="430"/>
        <item m="1" x="715"/>
        <item m="1" x="505"/>
        <item m="1" x="174"/>
        <item m="1" x="628"/>
        <item m="1" x="376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8"/>
        <item m="1" x="791"/>
        <item sd="0"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m="1" x="806"/>
        <item sd="0" m="1" x="487"/>
        <item m="1" x="443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0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9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8"/>
        <item m="1" x="70"/>
        <item m="1" x="119"/>
        <item m="1" x="646"/>
        <item m="1" x="412"/>
        <item m="1" x="855"/>
        <item m="1" x="433"/>
        <item m="1" x="570"/>
        <item m="1" x="488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2"/>
        <item m="1" x="247"/>
        <item m="1" x="399"/>
        <item sd="0" m="1" x="482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3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1"/>
        <item m="1" x="495"/>
        <item m="1" x="396"/>
        <item m="1" x="671"/>
        <item m="1" x="186"/>
        <item sd="0" m="1" x="410"/>
        <item m="1" x="474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2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1"/>
        <item m="1" x="693"/>
        <item x="0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1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3"/>
        <item sd="0" m="1" x="825"/>
        <item m="1" x="36"/>
        <item m="1" x="312"/>
        <item m="1" x="826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44"/>
    </i>
    <i>
      <x v="735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8"/>
            <x v="168"/>
            <x v="194"/>
            <x v="253"/>
            <x v="259"/>
            <x v="263"/>
            <x v="291"/>
            <x v="293"/>
            <x v="295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4"/>
            <x v="239"/>
            <x v="240"/>
            <x v="268"/>
            <x v="277"/>
            <x v="287"/>
            <x v="294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6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8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1" s="1"/>
        <i x="0" s="1"/>
        <i x="2" s="1"/>
        <i x="819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3" s="1" nd="1"/>
        <i x="713" s="1" nd="1"/>
        <i x="297" s="1" nd="1"/>
        <i x="114" s="1" nd="1"/>
        <i x="272" s="1" nd="1"/>
        <i x="591" s="1" nd="1"/>
        <i x="325" s="1" nd="1"/>
        <i x="676" s="1" nd="1"/>
        <i x="502" s="1" nd="1"/>
        <i x="25" s="1" nd="1"/>
        <i x="582" s="1" nd="1"/>
        <i x="853" s="1" nd="1"/>
        <i x="21" s="1" nd="1"/>
        <i x="758" s="1" nd="1"/>
        <i x="113" s="1" nd="1"/>
        <i x="545" s="1" nd="1"/>
        <i x="829" s="1" nd="1"/>
        <i x="271" s="1" nd="1"/>
        <i x="479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10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1" s="1" nd="1"/>
        <i x="323" s="1" nd="1"/>
        <i x="461" s="1" nd="1"/>
        <i x="506" s="1" nd="1"/>
        <i x="554" s="1" nd="1"/>
        <i x="477" s="1" nd="1"/>
        <i x="245" s="1" nd="1"/>
        <i x="849" s="1" nd="1"/>
        <i x="833" s="1" nd="1"/>
        <i x="743" s="1" nd="1"/>
        <i x="241" s="1" nd="1"/>
        <i x="240" s="1" nd="1"/>
        <i x="462" s="1" nd="1"/>
        <i x="287" s="1" nd="1"/>
        <i x="550" s="1" nd="1"/>
        <i x="846" s="1" nd="1"/>
        <i x="445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3" s="1" nd="1"/>
        <i x="409" s="1" nd="1"/>
        <i x="516" s="1" nd="1"/>
        <i x="319" s="1" nd="1"/>
        <i x="592" s="1" nd="1"/>
        <i x="596" s="1" nd="1"/>
        <i x="733" s="1" nd="1"/>
        <i x="786" s="1" nd="1"/>
        <i x="184" s="1" nd="1"/>
        <i x="836" s="1" nd="1"/>
        <i x="712" s="1" nd="1"/>
        <i x="379" s="1" nd="1"/>
        <i x="208" s="1" nd="1"/>
        <i x="522" s="1" nd="1"/>
        <i x="463" s="1" nd="1"/>
        <i x="139" s="1" nd="1"/>
        <i x="662" s="1" nd="1"/>
        <i x="373" s="1" nd="1"/>
        <i x="155" s="1" nd="1"/>
        <i x="252" s="1" nd="1"/>
        <i x="629" s="1" nd="1"/>
        <i x="737" s="1" nd="1"/>
        <i x="422" s="1" nd="1"/>
        <i x="81" s="1" nd="1"/>
        <i x="697" s="1" nd="1"/>
        <i x="285" s="1" nd="1"/>
        <i x="847" s="1" nd="1"/>
        <i x="249" s="1" nd="1"/>
        <i x="764" s="1" nd="1"/>
        <i x="426" s="1" nd="1"/>
        <i x="437" s="1" nd="1"/>
        <i x="168" s="1" nd="1"/>
        <i x="543" s="1" nd="1"/>
        <i x="807" s="1" nd="1"/>
        <i x="621" s="1" nd="1"/>
        <i x="5" s="1" nd="1"/>
        <i x="771" s="1" nd="1"/>
        <i x="15" s="1" nd="1"/>
        <i x="740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50" s="1" nd="1"/>
        <i x="329" s="1" nd="1"/>
        <i x="438" s="1" nd="1"/>
        <i x="353" s="1" nd="1"/>
        <i x="572" s="1" nd="1"/>
        <i x="568" s="1" nd="1"/>
        <i x="734" s="1" nd="1"/>
        <i x="756" s="1" nd="1"/>
        <i x="121" s="1" nd="1"/>
        <i x="391" s="1" nd="1"/>
        <i x="89" s="1" nd="1"/>
        <i x="383" s="1" nd="1"/>
        <i x="815" s="1" nd="1"/>
        <i x="397" s="1" nd="1"/>
        <i x="259" s="1" nd="1"/>
        <i x="378" s="1" nd="1"/>
        <i x="850" s="1" nd="1"/>
        <i x="648" s="1" nd="1"/>
        <i x="854" s="1" nd="1"/>
        <i x="830" s="1" nd="1"/>
        <i x="107" s="1" nd="1"/>
        <i x="402" s="1" nd="1"/>
        <i x="115" s="1" nd="1"/>
        <i x="653" s="1" nd="1"/>
        <i x="657" s="1" nd="1"/>
        <i x="796" s="1" nd="1"/>
        <i x="696" s="1" nd="1"/>
        <i x="455" s="1" nd="1"/>
        <i x="382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7" s="1" nd="1"/>
        <i x="841" s="1" nd="1"/>
        <i x="457" s="1" nd="1"/>
        <i x="478" s="1" nd="1"/>
        <i x="751" s="1" nd="1"/>
        <i x="639" s="1" nd="1"/>
        <i x="54" s="1" nd="1"/>
        <i x="794" s="1" nd="1"/>
        <i x="717" s="1" nd="1"/>
        <i x="418" s="1" nd="1"/>
        <i x="735" s="1" nd="1"/>
        <i x="814" s="1" nd="1"/>
        <i x="562" s="1" nd="1"/>
        <i x="559" s="1" nd="1"/>
        <i x="430" s="1" nd="1"/>
        <i x="715" s="1" nd="1"/>
        <i x="505" s="1" nd="1"/>
        <i x="174" s="1" nd="1"/>
        <i x="628" s="1" nd="1"/>
        <i x="376" s="1" nd="1"/>
        <i x="808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0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7" s="1" nd="1"/>
        <i x="111" s="1" nd="1"/>
        <i x="423" s="1" nd="1"/>
        <i x="428" s="1" nd="1"/>
        <i x="10" s="1" nd="1"/>
        <i x="43" s="1" nd="1"/>
        <i x="17" s="1" nd="1"/>
        <i x="623" s="1" nd="1"/>
        <i x="557" s="1" nd="1"/>
        <i x="627" s="1" nd="1"/>
        <i x="346" s="1" nd="1"/>
        <i x="434" s="1" nd="1"/>
        <i x="709" s="1" nd="1"/>
        <i x="211" s="1" nd="1"/>
        <i x="440" s="1" nd="1"/>
        <i x="103" s="1" nd="1"/>
        <i x="197" s="1" nd="1"/>
        <i x="832" s="1" nd="1"/>
        <i x="765" s="1" nd="1"/>
        <i x="509" s="1" nd="1"/>
        <i x="822" s="1" nd="1"/>
        <i x="342" s="1" nd="1"/>
        <i x="224" s="1" nd="1"/>
        <i x="65" s="1" nd="1"/>
        <i x="636" s="1" nd="1"/>
        <i x="458" s="1" nd="1"/>
        <i x="791" s="1" nd="1"/>
        <i x="704" s="1" nd="1"/>
        <i x="235" s="1" nd="1"/>
        <i x="598" s="1" nd="1"/>
        <i x="44" s="1" nd="1"/>
        <i x="844" s="1" nd="1"/>
        <i x="124" s="1" nd="1"/>
        <i x="268" s="1" nd="1"/>
        <i x="293" s="1" nd="1"/>
        <i x="355" s="1" nd="1"/>
        <i x="99" s="1" nd="1"/>
        <i x="460" s="1" nd="1"/>
        <i x="581" s="1" nd="1"/>
        <i x="354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7" s="1" nd="1"/>
        <i x="546" s="1" nd="1"/>
        <i x="214" s="1" nd="1"/>
        <i x="416" s="1" nd="1"/>
        <i x="420" s="1" nd="1"/>
        <i x="803" s="1" nd="1"/>
        <i x="42" s="1" nd="1"/>
        <i x="806" s="1" nd="1"/>
        <i x="487" s="1" nd="1"/>
        <i x="443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8" s="1" nd="1"/>
        <i x="24" s="1" nd="1"/>
        <i x="37" s="1" nd="1"/>
        <i x="9" s="1" nd="1"/>
        <i x="419" s="1" nd="1"/>
        <i x="684" s="1" nd="1"/>
        <i x="286" s="1" nd="1"/>
        <i x="317" s="1" nd="1"/>
        <i x="381" s="1" nd="1"/>
        <i x="540" s="1" nd="1"/>
        <i x="315" s="1" nd="1"/>
        <i x="340" s="1" nd="1"/>
        <i x="772" s="1" nd="1"/>
        <i x="144" s="1" nd="1"/>
        <i x="667" s="1" nd="1"/>
        <i x="840" s="1" nd="1"/>
        <i x="39" s="1" nd="1"/>
        <i x="384" s="1" nd="1"/>
        <i x="590" s="1" nd="1"/>
        <i x="748" s="1" nd="1"/>
        <i x="270" s="1" nd="1"/>
        <i x="18" s="1" nd="1"/>
        <i x="638" s="1" nd="1"/>
        <i x="390" s="1" nd="1"/>
        <i x="480" s="1" nd="1"/>
        <i x="345" s="1" nd="1"/>
        <i x="738" s="1" nd="1"/>
        <i x="246" s="1" nd="1"/>
        <i x="262" s="1" nd="1"/>
        <i x="275" s="1" nd="1"/>
        <i x="823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70" s="1" nd="1"/>
        <i x="336" s="1" nd="1"/>
        <i x="176" s="1" nd="1"/>
        <i x="421" s="1" nd="1"/>
        <i x="702" s="1" nd="1"/>
        <i x="698" s="1" nd="1"/>
        <i x="380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9" s="1" nd="1"/>
        <i x="816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7" s="1" nd="1"/>
        <i x="719" s="1" nd="1"/>
        <i x="128" s="1" nd="1"/>
        <i x="34" s="1" nd="1"/>
        <i x="303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5" s="1" nd="1"/>
        <i x="742" s="1" nd="1"/>
        <i x="195" s="1" nd="1"/>
        <i x="747" s="1" nd="1"/>
        <i x="385" s="1" nd="1"/>
        <i x="138" s="1" nd="1"/>
        <i x="659" s="1" nd="1"/>
        <i x="431" s="1" nd="1"/>
        <i x="665" s="1" nd="1"/>
        <i x="493" s="1" nd="1"/>
        <i x="686" s="1" nd="1"/>
        <i x="328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8" s="1" nd="1"/>
        <i x="125" s="1" nd="1"/>
        <i x="465" s="1" nd="1"/>
        <i x="701" s="1" nd="1"/>
        <i x="429" s="1" nd="1"/>
        <i x="364" s="1" nd="1"/>
        <i x="101" s="1" nd="1"/>
        <i x="481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1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4" s="1" nd="1"/>
        <i x="736" s="1" nd="1"/>
        <i x="133" s="1" nd="1"/>
        <i x="87" s="1" nd="1"/>
        <i x="210" s="1" nd="1"/>
        <i x="682" s="1" nd="1"/>
        <i x="276" s="1" nd="1"/>
        <i x="472" s="1" nd="1"/>
        <i x="800" s="1" nd="1"/>
        <i x="218" s="1" nd="1"/>
        <i x="828" s="1" nd="1"/>
        <i x="70" s="1" nd="1"/>
        <i x="119" s="1" nd="1"/>
        <i x="646" s="1" nd="1"/>
        <i x="412" s="1" nd="1"/>
        <i x="855" s="1" nd="1"/>
        <i x="433" s="1" nd="1"/>
        <i x="570" s="1" nd="1"/>
        <i x="488" s="1" nd="1"/>
        <i x="183" s="1" nd="1"/>
        <i x="375" s="1" nd="1"/>
        <i x="243" s="1" nd="1"/>
        <i x="338" s="1" nd="1"/>
        <i x="528" s="1" nd="1"/>
        <i x="424" s="1" nd="1"/>
        <i x="789" s="1" nd="1"/>
        <i x="302" s="1" nd="1"/>
        <i x="310" s="1" nd="1"/>
        <i x="368" s="1" nd="1"/>
        <i x="491" s="1" nd="1"/>
        <i x="663" s="1" nd="1"/>
        <i x="189" s="1" nd="1"/>
        <i x="660" s="1" nd="1"/>
        <i x="222" s="1" nd="1"/>
        <i x="449" s="1" nd="1"/>
        <i x="148" s="1" nd="1"/>
        <i x="363" s="1" nd="1"/>
        <i x="264" s="1" nd="1"/>
        <i x="292" s="1" nd="1"/>
        <i x="541" s="1" nd="1"/>
        <i x="811" s="1" nd="1"/>
        <i x="604" s="1" nd="1"/>
        <i x="32" s="1" nd="1"/>
        <i x="269" s="1" nd="1"/>
        <i x="752" s="1" nd="1"/>
        <i x="372" s="1" nd="1"/>
        <i x="247" s="1" nd="1"/>
        <i x="399" s="1" nd="1"/>
        <i x="482" s="1" nd="1"/>
        <i x="339" s="1" nd="1"/>
        <i x="613" s="1" nd="1"/>
        <i x="673" s="1" nd="1"/>
        <i x="839" s="1" nd="1"/>
        <i x="51" s="1" nd="1"/>
        <i x="606" s="1" nd="1"/>
        <i x="85" s="1" nd="1"/>
        <i x="327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20" s="1" nd="1"/>
        <i x="170" s="1" nd="1"/>
        <i x="710" s="1" nd="1"/>
        <i x="172" s="1" nd="1"/>
        <i x="587" s="1" nd="1"/>
        <i x="228" s="1" nd="1"/>
        <i x="392" s="1" nd="1"/>
        <i x="658" s="1" nd="1"/>
        <i x="311" s="1" nd="1"/>
        <i x="75" s="1" nd="1"/>
        <i x="670" s="1" nd="1"/>
        <i x="95" s="1" nd="1"/>
        <i x="441" s="1" nd="1"/>
        <i x="352" s="1" nd="1"/>
        <i x="785" s="1" nd="1"/>
        <i x="499" s="1" nd="1"/>
        <i x="62" s="1" nd="1"/>
        <i x="456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8" s="1" nd="1"/>
        <i x="321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4" s="1" nd="1"/>
        <i x="475" s="1" nd="1"/>
        <i x="813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4" s="1" nd="1"/>
        <i x="337" s="1" nd="1"/>
        <i x="524" s="1" nd="1"/>
        <i x="248" s="1" nd="1"/>
        <i x="11" s="1" nd="1"/>
        <i x="143" s="1" nd="1"/>
        <i x="652" s="1" nd="1"/>
        <i x="605" s="1" nd="1"/>
        <i x="442" s="1" nd="1"/>
        <i x="23" s="1" nd="1"/>
        <i x="595" s="1" nd="1"/>
        <i x="436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4" s="1" nd="1"/>
        <i x="314" s="1" nd="1"/>
        <i x="348" s="1" nd="1"/>
        <i x="283" s="1" nd="1"/>
        <i x="324" s="1" nd="1"/>
        <i x="845" s="1" nd="1"/>
        <i x="359" s="1" nd="1"/>
        <i x="388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4" s="1" nd="1"/>
        <i x="586" s="1" nd="1"/>
        <i x="797" s="1" nd="1"/>
        <i x="727" s="1" nd="1"/>
        <i x="413" s="1" nd="1"/>
        <i x="26" s="1" nd="1"/>
        <i x="343" s="1" nd="1"/>
        <i x="490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8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6" s="1" nd="1"/>
        <i x="707" s="1" nd="1"/>
        <i x="620" s="1" nd="1"/>
        <i x="732" s="1" nd="1"/>
        <i x="471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2" s="1" nd="1"/>
        <i x="444" s="1" nd="1"/>
        <i x="194" s="1" nd="1"/>
        <i x="307" s="1" nd="1"/>
        <i x="341" s="1" nd="1"/>
        <i x="97" s="1" nd="1"/>
        <i x="695" s="1" nd="1"/>
        <i x="306" s="1" nd="1"/>
        <i x="356" s="1" nd="1"/>
        <i x="403" s="1" nd="1"/>
        <i x="618" s="1" nd="1"/>
        <i x="614" s="1" nd="1"/>
        <i x="778" s="1" nd="1"/>
        <i x="395" s="1" nd="1"/>
        <i x="401" s="1" nd="1"/>
        <i x="705" s="1" nd="1"/>
        <i x="404" s="1" nd="1"/>
        <i x="831" s="1" nd="1"/>
        <i x="495" s="1" nd="1"/>
        <i x="396" s="1" nd="1"/>
        <i x="671" s="1" nd="1"/>
        <i x="186" s="1" nd="1"/>
        <i x="410" s="1" nd="1"/>
        <i x="474" s="1" nd="1"/>
        <i x="838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6" s="1" nd="1"/>
        <i x="745" s="1" nd="1"/>
        <i x="80" s="1" nd="1"/>
        <i x="52" s="1" nd="1"/>
        <i x="852" s="1" nd="1"/>
        <i x="30" s="1" nd="1"/>
        <i x="571" s="1" nd="1"/>
        <i x="513" s="1" nd="1"/>
        <i x="414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9" s="1" nd="1"/>
        <i x="817" s="1" nd="1"/>
        <i x="625" s="1" nd="1"/>
        <i x="459" s="1" nd="1"/>
        <i x="692" s="1" nd="1"/>
        <i x="135" s="1" nd="1"/>
        <i x="411" s="1" nd="1"/>
        <i x="693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6" s="1" nd="1"/>
        <i x="577" s="1" nd="1"/>
        <i x="361" s="1" nd="1"/>
        <i x="451" s="1" nd="1"/>
        <i x="514" s="1" nd="1"/>
        <i x="123" s="1" nd="1"/>
        <i x="647" s="1" nd="1"/>
        <i x="49" s="1" nd="1"/>
        <i x="417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5" s="1" nd="1"/>
        <i x="27" s="1" nd="1"/>
        <i x="766" s="1" nd="1"/>
        <i x="415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3" s="1" nd="1"/>
        <i x="825" s="1" nd="1"/>
        <i x="36" s="1" nd="1"/>
        <i x="312" s="1" nd="1"/>
        <i x="826" s="1" nd="1"/>
        <i x="563" s="1" nd="1"/>
        <i x="63" s="1" nd="1"/>
        <i x="569" s="1" nd="1"/>
        <i x="432" s="1" nd="1"/>
        <i x="427" s="1" nd="1"/>
        <i x="177" s="1" nd="1"/>
        <i x="367" s="1" nd="1"/>
        <i x="759" s="1" nd="1"/>
        <i x="601" s="1" nd="1"/>
        <i x="13" s="1" nd="1"/>
        <i x="93" s="1" nd="1"/>
        <i x="439" s="1" nd="1"/>
        <i x="435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3" s="1" nd="1"/>
        <i x="837" s="1" nd="1"/>
        <i x="492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2712</v>
      </c>
      <c r="B2" s="12" t="s">
        <v>579</v>
      </c>
      <c r="C2" s="14">
        <v>46260</v>
      </c>
      <c r="D2" s="14">
        <v>46260</v>
      </c>
      <c r="E2" s="12">
        <v>473</v>
      </c>
      <c r="F2" s="15" t="s">
        <v>580</v>
      </c>
      <c r="G2" s="15" t="s">
        <v>581</v>
      </c>
      <c r="H2" s="15" t="s">
        <v>582</v>
      </c>
      <c r="I2" s="16">
        <v>7123.89</v>
      </c>
      <c r="J2" s="15" t="s">
        <v>583</v>
      </c>
      <c r="K2" s="15" t="s">
        <v>584</v>
      </c>
      <c r="L2" s="15" t="s">
        <v>585</v>
      </c>
      <c r="M2" s="15">
        <v>182.93</v>
      </c>
      <c r="N2" s="15">
        <v>10</v>
      </c>
      <c r="O2" s="16">
        <v>225.56</v>
      </c>
      <c r="P2" s="15" t="s">
        <v>586</v>
      </c>
      <c r="Q2" s="15">
        <v>50</v>
      </c>
      <c r="R2" s="15" t="s">
        <v>587</v>
      </c>
      <c r="S2" s="15">
        <v>107.08</v>
      </c>
      <c r="T2" s="15" t="s">
        <v>588</v>
      </c>
      <c r="U2" s="15">
        <v>0</v>
      </c>
      <c r="V2" s="15">
        <v>21.95</v>
      </c>
      <c r="W2" s="15">
        <v>0</v>
      </c>
      <c r="X2" s="15">
        <v>0</v>
      </c>
      <c r="Y2" s="15">
        <v>2.85</v>
      </c>
      <c r="Z2" s="15">
        <v>3.85</v>
      </c>
      <c r="AA2" s="15">
        <v>185.73</v>
      </c>
      <c r="AB2" s="15">
        <v>-2.8</v>
      </c>
      <c r="AC2" s="15">
        <v>29.27</v>
      </c>
      <c r="AD2" s="15">
        <v>-32.07</v>
      </c>
      <c r="AE2" s="15">
        <v>0</v>
      </c>
      <c r="AF2" s="15">
        <v>-32.07</v>
      </c>
      <c r="AG2" s="17">
        <v>-0.17530000000000001</v>
      </c>
      <c r="AH2" s="15"/>
    </row>
    <row r="3" spans="1:34" s="1" customFormat="1" ht="12" customHeight="1" x14ac:dyDescent="0.3">
      <c r="A3" s="13">
        <v>2742</v>
      </c>
      <c r="B3" s="12" t="s">
        <v>579</v>
      </c>
      <c r="C3" s="14">
        <v>46261</v>
      </c>
      <c r="D3" s="14">
        <v>46261</v>
      </c>
      <c r="E3" s="12"/>
      <c r="F3" s="15" t="s">
        <v>589</v>
      </c>
      <c r="G3" s="15" t="s">
        <v>590</v>
      </c>
      <c r="H3" s="15" t="s">
        <v>591</v>
      </c>
      <c r="I3" s="16">
        <v>50567.59</v>
      </c>
      <c r="J3" s="15" t="s">
        <v>592</v>
      </c>
      <c r="K3" s="15" t="s">
        <v>584</v>
      </c>
      <c r="L3" s="15" t="s">
        <v>593</v>
      </c>
      <c r="M3" s="16">
        <v>10067.07</v>
      </c>
      <c r="N3" s="15">
        <v>544</v>
      </c>
      <c r="O3" s="16">
        <v>5440</v>
      </c>
      <c r="P3" s="15" t="s">
        <v>579</v>
      </c>
      <c r="Q3" s="15">
        <v>0</v>
      </c>
      <c r="R3" s="15" t="s">
        <v>587</v>
      </c>
      <c r="S3" s="15">
        <v>5892.92</v>
      </c>
      <c r="T3" s="15" t="s">
        <v>588</v>
      </c>
      <c r="U3" s="15">
        <v>0</v>
      </c>
      <c r="V3" s="15">
        <v>1208.05</v>
      </c>
      <c r="W3" s="15">
        <v>0</v>
      </c>
      <c r="X3" s="15">
        <v>0</v>
      </c>
      <c r="Y3" s="15">
        <v>20.23</v>
      </c>
      <c r="Z3" s="15">
        <v>92.72</v>
      </c>
      <c r="AA3" s="16">
        <v>7213.92</v>
      </c>
      <c r="AB3" s="16">
        <v>2853.15</v>
      </c>
      <c r="AC3" s="15">
        <v>1610.73</v>
      </c>
      <c r="AD3" s="15">
        <v>1242.42</v>
      </c>
      <c r="AE3" s="15">
        <v>265.77</v>
      </c>
      <c r="AF3" s="15">
        <v>976.65</v>
      </c>
      <c r="AG3" s="17">
        <v>9.6999999999999989E-2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10250</v>
      </c>
      <c r="F3" s="89"/>
      <c r="G3" s="90"/>
      <c r="H3" s="133">
        <f>'Resumo Detalhado'!C2</f>
        <v>5665.56</v>
      </c>
      <c r="I3" s="134"/>
      <c r="J3" s="135">
        <f>E3/H3</f>
        <v>1.8091768510085497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0.51505090909090911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6050</v>
      </c>
      <c r="F7" s="112"/>
      <c r="G7" s="112"/>
      <c r="H7" s="112"/>
      <c r="I7" s="112"/>
      <c r="J7" s="112">
        <f>E7/H3</f>
        <v>1.0678556047416319</v>
      </c>
      <c r="K7" s="112"/>
      <c r="L7" s="112"/>
      <c r="M7" s="130">
        <f>E7/E3</f>
        <v>0.59024390243902436</v>
      </c>
      <c r="N7" s="130"/>
      <c r="O7" s="130"/>
      <c r="P7" s="112">
        <f>E11+K11+Q11+E15+K15+Q15+E19+H19+K19</f>
        <v>9859.65</v>
      </c>
      <c r="Q7" s="112"/>
      <c r="R7" s="112"/>
      <c r="S7" s="112">
        <f>P7/H3</f>
        <v>1.7402781013703852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6000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6000</v>
      </c>
      <c r="L11" s="90"/>
      <c r="M11" s="38"/>
      <c r="N11" s="88">
        <f>K11/H3</f>
        <v>1.0590303518098827</v>
      </c>
      <c r="O11" s="90"/>
      <c r="P11" s="38"/>
      <c r="Q11" s="88">
        <f>'Resumo Detalhado'!D2</f>
        <v>50</v>
      </c>
      <c r="R11" s="90"/>
      <c r="S11" s="38"/>
      <c r="T11" s="88">
        <f>Q11/H3</f>
        <v>8.8252529317490239E-3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1230</v>
      </c>
      <c r="F15" s="119"/>
      <c r="G15" s="119"/>
      <c r="H15" s="119"/>
      <c r="I15" s="132"/>
      <c r="J15" s="38"/>
      <c r="K15" s="113">
        <f>'Resumo Detalhado'!K2+'Resumo Detalhado'!L2</f>
        <v>1640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23.080000000000002</v>
      </c>
      <c r="F19" s="120"/>
      <c r="G19" s="38"/>
      <c r="H19" s="122">
        <f>'Resumo Detalhado'!J2</f>
        <v>96.57</v>
      </c>
      <c r="I19" s="123"/>
      <c r="J19" s="38"/>
      <c r="K19" s="122">
        <f>'Resumo Detalhado'!L2</f>
        <v>820</v>
      </c>
      <c r="L19" s="123"/>
      <c r="M19" s="38"/>
      <c r="N19" s="121" t="s">
        <v>594</v>
      </c>
      <c r="O19" s="119"/>
      <c r="P19" s="119"/>
      <c r="Q19" s="119"/>
      <c r="R19" s="120"/>
      <c r="S19" s="121">
        <v>6000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944.57999999999947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9.2154146341463364E-2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595</v>
      </c>
      <c r="F1" s="29"/>
    </row>
    <row r="2" spans="1:18" x14ac:dyDescent="0.3">
      <c r="B2" s="29">
        <f>SUM(B6:B5000)</f>
        <v>10250</v>
      </c>
      <c r="C2" s="29">
        <f>SUM(C6:C5000)</f>
        <v>5665.56</v>
      </c>
      <c r="D2" s="29">
        <f>SUM(D6:D5000)</f>
        <v>50</v>
      </c>
      <c r="E2" s="29">
        <f>SUM(E6:E5000)</f>
        <v>6000</v>
      </c>
      <c r="F2" s="29">
        <f>SUM(F6:F5000)</f>
        <v>0</v>
      </c>
      <c r="G2" s="29"/>
      <c r="H2" s="29">
        <f t="shared" ref="H2:P2" si="0">SUM(H6:H5000)</f>
        <v>1230</v>
      </c>
      <c r="I2" s="29">
        <f t="shared" si="0"/>
        <v>23.080000000000002</v>
      </c>
      <c r="J2" s="29">
        <f t="shared" si="0"/>
        <v>96.57</v>
      </c>
      <c r="K2" s="29">
        <f t="shared" si="0"/>
        <v>820</v>
      </c>
      <c r="L2" s="29">
        <f t="shared" si="0"/>
        <v>820</v>
      </c>
      <c r="M2" s="29">
        <f t="shared" si="0"/>
        <v>265.77</v>
      </c>
      <c r="N2" s="29">
        <f t="shared" si="0"/>
        <v>944.57999999999947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590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2742</v>
      </c>
      <c r="B6" s="140">
        <v>10067.07</v>
      </c>
      <c r="C6" s="141">
        <v>5440</v>
      </c>
      <c r="D6" s="140">
        <v>0</v>
      </c>
      <c r="E6" s="140">
        <v>5892.92</v>
      </c>
      <c r="F6" s="140">
        <v>0</v>
      </c>
      <c r="G6" s="142">
        <v>0.58536595056953022</v>
      </c>
      <c r="H6" s="140">
        <v>1208.05</v>
      </c>
      <c r="I6" s="140">
        <v>20.23</v>
      </c>
      <c r="J6" s="140">
        <v>92.72</v>
      </c>
      <c r="K6" s="140">
        <v>805.36559999999997</v>
      </c>
      <c r="L6" s="140">
        <v>805.36559999999997</v>
      </c>
      <c r="M6" s="140">
        <v>265.77</v>
      </c>
      <c r="N6" s="140">
        <v>976.64879999999948</v>
      </c>
      <c r="O6" s="142">
        <v>9.7014205722221011E-2</v>
      </c>
      <c r="Q6"/>
    </row>
    <row r="7" spans="1:18" s="31" customFormat="1" x14ac:dyDescent="0.3">
      <c r="A7" s="139" t="s">
        <v>581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2712</v>
      </c>
      <c r="B8" s="140">
        <v>182.93</v>
      </c>
      <c r="C8" s="141">
        <v>225.56</v>
      </c>
      <c r="D8" s="140">
        <v>50</v>
      </c>
      <c r="E8" s="140">
        <v>107.08</v>
      </c>
      <c r="F8" s="140">
        <v>0</v>
      </c>
      <c r="G8" s="142">
        <v>0.85868911605532161</v>
      </c>
      <c r="H8" s="140">
        <v>21.95</v>
      </c>
      <c r="I8" s="140">
        <v>2.85</v>
      </c>
      <c r="J8" s="140">
        <v>3.85</v>
      </c>
      <c r="K8" s="140">
        <v>14.634400000000001</v>
      </c>
      <c r="L8" s="140">
        <v>14.634400000000001</v>
      </c>
      <c r="M8" s="140">
        <v>0</v>
      </c>
      <c r="N8" s="140">
        <v>-32.068799999999996</v>
      </c>
      <c r="O8" s="142">
        <v>-0.1753064013557098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886718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595</v>
      </c>
    </row>
    <row r="2" spans="1:4" x14ac:dyDescent="0.3">
      <c r="B2" s="29">
        <f>SUM(B6:B5000)</f>
        <v>182.93</v>
      </c>
      <c r="C2" s="29">
        <f>SUM(C6:C5000)</f>
        <v>-32.068799999999996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590</v>
      </c>
      <c r="B5" s="10">
        <v>10067.07</v>
      </c>
      <c r="C5" s="10">
        <v>976.64879999999948</v>
      </c>
    </row>
    <row r="6" spans="1:4" x14ac:dyDescent="0.3">
      <c r="A6" s="139" t="s">
        <v>581</v>
      </c>
      <c r="B6" s="140">
        <v>182.93</v>
      </c>
      <c r="C6" s="140">
        <v>-32.068799999999996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3" t="s">
        <v>594</v>
      </c>
      <c r="D368" s="87">
        <v>6000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2026-09-01T14:02:23Z</dcterms:modified>
  <cp:category/>
  <cp:contentStatus/>
</cp:coreProperties>
</file>