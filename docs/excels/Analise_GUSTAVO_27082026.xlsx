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5F9D6C4-38A2-4E14-BEE5-EEB434AC767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<sst xmlns="http://schemas.openxmlformats.org/spreadsheetml/2006/main" count="870" uniqueCount="596">
  <si>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</si>
  <si>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</si>
  <si>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</si>
  <si>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</si>
  <si>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</si>
  <si>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</si>
  <si>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</si>
  <si>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</si>
  <si>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</si>
  <si>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</si>
  <si>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</si>
  <si>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</si>
  <si>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</si>
  <si>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</si>
  <si>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</si>
  <si>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</si>
  <si>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</si>
  <si>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</si>
  <si>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</si>
  <si>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</si>
  <si>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</si>
  <si>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</si>
  <si>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</si>
  <si>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</si>
  <si>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</si>
  <si>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</si>
  <si>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</si>
  <si>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</si>
  <si>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</si>
  <si>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</si>
  <si>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</si>
  <si>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</si>
  <si>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</si>
  <si>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</si>
  <si>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</si>
  <si>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</si>
  <si>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</si>
  <si>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</si>
  <si>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</si>
  <si>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</si>
  <si>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</si>
  <si>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</si>
  <si>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</si>
  <si>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</si>
  <si>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</si>
  <si>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</si>
  <si>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</si>
  <si>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</si>
  <si>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</si>
  <si>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</si>
  <si>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</si>
  <si>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</si>
  <si>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</si>
  <si>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</si>
  <si>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</si>
  <si>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</si>
  <si>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</si>
  <si>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</si>
  <si>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</si>
  <si>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</si>
  <si>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</si>
  <si>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</si>
  <si>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</si>
  <si>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</si>
  <si>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</si>
  <si>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</si>
  <si>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</si>
  <si>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</si>
  <si>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</si>
  <si>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</si>
  <si>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</si>
  <si>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</si>
  <si>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</si>
  <si>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</si>
  <si>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</si>
  <si>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</si>
  <si>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</si>
  <si>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</si>
  <si>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</si>
  <si>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</si>
  <si>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</si>
  <si>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</si>
  <si>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</si>
  <si>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</si>
  <si>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</si>
  <si>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</si>
  <si>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</si>
  <si>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</si>
  <si>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</si>
  <si>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</si>
  <si>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</si>
  <si>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</si>
  <si>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</si>
  <si>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</si>
  <si>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</si>
  <si>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</si>
  <si>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</si>
  <si>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</si>
  <si>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</si>
  <si>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</si>
  <si>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</si>
  <si>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</si>
  <si>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</si>
  <si>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</si>
  <si>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</si>
  <si>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</si>
  <si>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</si>
  <si>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</si>
  <si>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</si>
  <si>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</si>
  <si>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</si>
  <si>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</si>
  <si>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</si>
  <si>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</si>
  <si>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</si>
  <si>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</si>
  <si>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</si>
  <si>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</si>
  <si>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</si>
  <si>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</si>
  <si>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</si>
  <si>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</si>
  <si>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</si>
  <si>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</si>
  <si>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</si>
  <si>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</si>
  <si>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</si>
  <si>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</si>
  <si>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</si>
  <si>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</si>
  <si>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</si>
  <si>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</si>
  <si>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</si>
  <si>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</si>
  <si>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</si>
  <si>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</si>
  <si>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</si>
  <si>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</si>
  <si>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</si>
  <si>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</si>
  <si>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</si>
  <si>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</si>
  <si>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</si>
  <si>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</si>
  <si>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</si>
  <si>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</si>
  <si>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</si>
  <si>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</si>
  <si>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</si>
  <si>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</si>
  <si>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</si>
  <si>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</si>
  <si>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</si>
  <si>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</si>
  <si>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</si>
  <si>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</si>
  <si>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</si>
  <si>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</si>
  <si>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</si>
  <si>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</si>
  <si>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</si>
  <si>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</si>
  <si>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</si>
  <si>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</si>
  <si>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</si>
  <si>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</si>
  <si>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</si>
  <si>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</si>
  <si>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</si>
  <si>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</si>
  <si>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</si>
  <si>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</si>
  <si>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</si>
  <si>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</si>
  <si>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</si>
  <si>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</si>
  <si>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</si>
  <si>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</si>
  <si>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</si>
  <si>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</si>
  <si>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</si>
  <si>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</si>
  <si>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</si>
  <si>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</si>
  <si>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</si>
  <si>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</si>
  <si>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</si>
  <si>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</si>
  <si>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</si>
  <si>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</si>
  <si>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</si>
  <si>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</si>
  <si>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</si>
  <si>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</si>
  <si>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</si>
  <si>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</si>
  <si>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</si>
  <si>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</si>
  <si>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</si>
  <si>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</si>
  <si>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</si>
  <si>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</si>
  <si>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</si>
  <si>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</si>
  <si>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</si>
  <si>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</si>
  <si>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</si>
  <si>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</si>
  <si>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</si>
  <si>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</si>
  <si>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</si>
  <si>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</si>
  <si>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</si>
  <si>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</si>
  <si>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</si>
  <si>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</si>
  <si>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</si>
  <si>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</si>
  <si>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</si>
  <si>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</si>
  <si>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</si>
  <si>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</si>
  <si>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</si>
  <si>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</si>
  <si>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</si>
  <si>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</si>
  <si>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</si>
  <si>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</si>
  <si>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</si>
  <si>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</si>
  <si>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</si>
  <si>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</si>
  <si>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</si>
  <si>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</si>
  <si>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</si>
  <si>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</si>
  <si>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</si>
  <si>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</si>
  <si>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</si>
  <si>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</si>
  <si>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</si>
  <si>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</si>
  <si>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</si>
  <si>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</si>
  <si>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</si>
  <si>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</si>
  <si>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</si>
  <si>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</si>
  <si>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</si>
  <si>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</si>
  <si>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</si>
  <si>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</si>
  <si>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</si>
  <si>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</si>
  <si>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</si>
  <si>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</si>
  <si>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</si>
  <si>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</si>
  <si>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</si>
  <si>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</si>
  <si>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</si>
  <si>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</si>
  <si>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</si>
  <si>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</si>
  <si>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</si>
  <si>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</si>
  <si>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</si>
  <si>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</si>
  <si>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</si>
  <si>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</si>
  <si>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</si>
  <si>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</si>
  <si>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</si>
  <si>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</si>
  <si>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</si>
  <si>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</si>
  <si>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</si>
  <si>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</si>
  <si>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</si>
  <si>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</si>
  <si>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</si>
  <si>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</si>
  <si>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</si>
  <si>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</si>
  <si>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</si>
  <si>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</si>
  <si>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</si>
  <si>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</si>
  <si>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</si>
  <si>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</si>
  <si>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</si>
  <si>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</si>
  <si>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</si>
  <si>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</si>
  <si>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</si>
  <si>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</si>
  <si>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</si>
  <si>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</si>
  <si>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</si>
  <si>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</si>
  <si>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</si>
  <si>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</si>
  <si>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</si>
  <si>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</si>
  <si>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</si>
  <si>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</si>
  <si>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</si>
  <si>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</si>
  <si>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</si>
  <si>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</si>
  <si>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</si>
  <si>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</si>
  <si>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</si>
  <si>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</si>
  <si>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</si>
  <si>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</si>
  <si>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</si>
  <si>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</si>
  <si>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</si>
  <si>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</si>
  <si>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</si>
  <si>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</si>
  <si>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</si>
  <si>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</si>
  <si>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</si>
  <si>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</si>
  <si>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</si>
  <si>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</si>
  <si>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</si>
  <si>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</si>
  <si>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</si>
  <si>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</si>
  <si>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</si>
  <si>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</si>
  <si>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</si>
  <si>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</si>
  <si>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</si>
  <si>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</si>
  <si>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</si>
  <si>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</si>
  <si>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</si>
  <si>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</si>
  <si>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</si>
  <si>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</si>
  <si>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</si>
  <si>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</si>
  <si>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</si>
  <si>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</si>
  <si>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</si>
  <si>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</si>
  <si>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</si>
  <si>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</si>
  <si>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</si>
  <si>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</si>
  <si>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</si>
  <si>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</si>
  <si>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</si>
  <si>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</si>
  <si>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</si>
  <si>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</si>
  <si>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</si>
  <si>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</si>
  <si>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</si>
  <si>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</si>
  <si>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</si>
  <si>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</si>
  <si>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</si>
  <si>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</si>
  <si>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</si>
  <si>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</si>
  <si>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</si>
  <si>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</si>
  <si>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</si>
  <si>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</si>
  <si>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</si>
  <si>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</si>
  <si>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</si>
  <si>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</si>
  <si>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</si>
  <si>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</si>
  <si>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</si>
  <si>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</si>
  <si>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</si>
  <si>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</si>
  <si>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</si>
  <si>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</si>
  <si>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</si>
  <si>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</si>
  <si>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</si>
  <si>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</si>
  <si>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</si>
  <si>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</si>
  <si>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</si>
  <si>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</si>
  <si>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</si>
  <si>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</si>
  <si>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</si>
  <si>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</si>
  <si>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</si>
  <si>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</si>
  <si>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</si>
  <si>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</si>
  <si>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</si>
  <si>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</si>
  <si>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</si>
  <si>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</si>
  <si>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</si>
  <si>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</si>
  <si>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</si>
  <si>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</si>
  <si>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</si>
  <si>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</si>
  <si>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</si>
  <si>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</si>
  <si>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</si>
  <si>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</si>
  <si>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</si>
  <si>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</si>
  <si>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</si>
  <si>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</si>
  <si>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</si>
  <si>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</si>
  <si>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</si>
  <si>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</si>
  <si>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</si>
  <si>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</si>
  <si>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</si>
  <si>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</si>
  <si>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</si>
  <si>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</si>
  <si>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</si>
  <si>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</si>
  <si>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</si>
  <si>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</si>
  <si>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</si>
  <si>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</si>
  <si>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</si>
  <si>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</si>
  <si>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</si>
  <si>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</si>
  <si>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</si>
  <si>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</si>
  <si>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</si>
  <si>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</si>
  <si>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</si>
  <si>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</si>
  <si>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</si>
  <si>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</si>
  <si>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</si>
  <si>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</si>
  <si>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</si>
  <si>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</si>
  <si>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</si>
  <si>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</si>
  <si>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</si>
  <si>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</si>
  <si>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</si>
  <si>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</si>
  <si>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</si>
  <si>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</si>
  <si>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</si>
  <si>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</si>
  <si>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</si>
  <si>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</si>
  <si>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</si>
  <si>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</si>
  <si>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</si>
  <si>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</si>
  <si>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</si>
  <si>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</si>
  <si>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</si>
  <si>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</si>
  <si>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</si>
  <si>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</si>
  <si>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</si>
  <si>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</si>
  <si>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</si>
  <si>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</si>
  <si>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</si>
  <si>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</si>
  <si>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</si>
  <si>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</si>
  <si>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</si>
  <si>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</si>
  <si>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</si>
  <si>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</si>
  <si>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</si>
  <si>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</si>
  <si>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</si>
  <si>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</si>
  <si>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</si>
  <si>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</si>
  <si>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</si>
  <si>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</si>
  <si>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</si>
  <si>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</si>
  <si>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</si>
  <si>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</si>
  <si>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</si>
  <si>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</si>
  <si>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</si>
  <si>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</si>
  <si>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</si>
  <si>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</si>
  <si>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</si>
  <si>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</si>
  <si>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</si>
  <si>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</si>
  <si>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</si>
  <si>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</si>
  <si>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</si>
  <si>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</si>
  <si>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</si>
  <si>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</si>
  <si>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</si>
  <si>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</si>
  <si>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</si>
  <si>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</si>
  <si>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</si>
  <si>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</si>
  <si>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</si>
  <si>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</si>
  <si>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</si>
  <si>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</si>
  <si>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</si>
  <si>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</si>
  <si>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</si>
  <si>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</si>
  <si>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</si>
  <si>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</si>
  <si>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</si>
  <si>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</si>
  <si>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</si>
  <si>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</si>
  <si>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</si>
  <si>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</si>
  <si>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</si>
  <si>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</si>
  <si>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</si>
  <si>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</si>
  <si>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</si>
  <si>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</si>
  <si>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</si>
  <si>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</si>
  <si>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</si>
  <si>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</si>
  <si>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</si>
  <si>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</si>
  <si>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</si>
  <si>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</si>
  <si>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</si>
  <si>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</si>
  <si>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</si>
  <si>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</si>
  <si>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</si>
  <si>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</si>
  <si>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</si>
  <si>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</si>
  <si>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</si>
  <si>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</si>
  <si>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</si>
  <si>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</si>
  <si>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</si>
  <si>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</si>
  <si>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</si>
  <si>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</si>
  <si>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</si>
  <si>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</si>
  <si>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</si>
  <si>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</si>
  <si>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</si>
  <si>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</si>
  <si>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</si>
  <si>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</si>
  <si>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</si>
  <si>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</si>
  <si>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</si>
  <si>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</si>
  <si>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</si>
  <si>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</si>
  <si>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2624-1</t>
  </si>
  <si>
    <t>STRATUS COMERCI</t>
  </si>
  <si>
    <t>MICHELL MARQUES</t>
  </si>
  <si>
    <t>ECONOMICO_250</t>
  </si>
  <si>
    <t>CTE NORMAL</t>
  </si>
  <si>
    <t>TABOAO DA SERRA - SP</t>
  </si>
  <si>
    <t>HELTON JOHN DA SILVA</t>
  </si>
  <si>
    <t>LUIZA EDUARDA SCHERER MAR</t>
  </si>
  <si>
    <t>INDEFINIDO</t>
  </si>
  <si>
    <t>2653-1</t>
  </si>
  <si>
    <t>CASA MEDITERRAN</t>
  </si>
  <si>
    <t>CAIO LUCIANO MATIAS</t>
  </si>
  <si>
    <t>PERSONALIZADO_L</t>
  </si>
  <si>
    <t>ITAPEVI - SP</t>
  </si>
  <si>
    <t>Garibaldi-Rs X Itapevi-Sptruck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</si>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</sst>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[Analise_GUSTAVO_27082026.xlsx]Resumo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CASA MEDITERRAN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10067.07</c:v>
                </c:pt>
                <c:pt idx="1">
                  <c:v>182.93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CASA MEDITERRAN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976.64879999999948</c:v>
                </c:pt>
                <c:pt idx="1">
                  <c:v>-32.068799999999996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[Analise_GUSTAVO_27082026.xlsx]Resumo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CASA MEDITERRAN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10067.07</c:v>
                </c:pt>
                <c:pt idx="1">
                  <c:v>182.93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CASA MEDITERRAN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976.64879999999948</c:v>
                </c:pt>
                <c:pt idx="1">
                  <c:v>-32.068799999999996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60652337963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712"/>
        <n v="274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6T00:00:00" maxDate="2026-08-28T00:00:00"/>
    </cacheField>
    <cacheField name="DATA" numFmtId="14">
      <sharedItems containsNonDate="0" containsDate="1" containsString="0" containsBlank="1" minDate="2026-08-26T00:00:00" maxDate="2026-08-28T00:00:00"/>
    </cacheField>
    <cacheField name="FAT" numFmtId="0">
      <sharedItems containsString="0" containsBlank="1" containsNumber="1" containsInteger="1" minValue="473" maxValue="473"/>
    </cacheField>
    <cacheField name="CT-E" numFmtId="0">
      <sharedItems containsBlank="1"/>
    </cacheField>
    <cacheField name="CLIENTE TOMADOR" numFmtId="0">
      <sharedItems containsBlank="1" count="856">
        <s v="STRATUS COMERCI"/>
        <s v="CASA MEDITERRAN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7123.89" maxValue="50567.5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82.93" maxValue="10067.07"/>
    </cacheField>
    <cacheField name="VOLUMES" numFmtId="0">
      <sharedItems containsString="0" containsBlank="1" containsNumber="1" containsInteger="1" minValue="10" maxValue="544"/>
    </cacheField>
    <cacheField name="PESO" numFmtId="0">
      <sharedItems containsString="0" containsBlank="1" containsNumber="1" minValue="225.56" maxValue="544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50"/>
    </cacheField>
    <cacheField name="RESP. ENTREGA" numFmtId="0">
      <sharedItems containsBlank="1"/>
    </cacheField>
    <cacheField name="CUSTO ENTREGA" numFmtId="0">
      <sharedItems containsString="0" containsBlank="1" containsNumber="1" minValue="107.08" maxValue="5892.9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1.95" maxValue="1208.0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5" maxValue="20.23"/>
    </cacheField>
    <cacheField name="OUTROS" numFmtId="0">
      <sharedItems containsString="0" containsBlank="1" containsNumber="1" minValue="3.85" maxValue="92.72"/>
    </cacheField>
    <cacheField name="C.TOTAL" numFmtId="0">
      <sharedItems containsString="0" containsBlank="1" containsNumber="1" minValue="185.73" maxValue="7213.92"/>
    </cacheField>
    <cacheField name="RECEITA" numFmtId="0">
      <sharedItems containsString="0" containsBlank="1" containsNumber="1" minValue="-2.8" maxValue="2853.15"/>
    </cacheField>
    <cacheField name="IMPOSTO" numFmtId="0">
      <sharedItems containsString="0" containsBlank="1" containsNumber="1" minValue="29.27" maxValue="1610.73"/>
    </cacheField>
    <cacheField name="RESULTADO" numFmtId="0">
      <sharedItems containsString="0" containsBlank="1" containsNumber="1" minValue="-32.07" maxValue="1242.42"/>
    </cacheField>
    <cacheField name="COMIS" numFmtId="0">
      <sharedItems containsString="0" containsBlank="1" containsNumber="1" minValue="0" maxValue="265.77"/>
    </cacheField>
    <cacheField name="LUCRO LIQ" numFmtId="0">
      <sharedItems containsString="0" containsBlank="1" containsNumber="1" minValue="-32.07" maxValue="976.65"/>
    </cacheField>
    <cacheField name="MARGEM" numFmtId="10">
      <sharedItems containsString="0" containsBlank="1" containsNumber="1" minValue="-0.17530000000000001" maxValue="9.6999999999999989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26T00:00:00"/>
    <d v="2026-08-26T00:00:00"/>
    <n v="473"/>
    <s v="2624-1"/>
    <x v="0"/>
    <s v="MICHELL MARQUES"/>
    <n v="7123.89"/>
    <x v="0"/>
    <s v="CTE NORMAL"/>
    <s v="TABOAO DA SERRA - SP"/>
    <n v="182.93"/>
    <n v="10"/>
    <n v="225.56"/>
    <s v="HELTON JOHN DA SILVA"/>
    <n v="50"/>
    <s v="LUIZA EDUARDA SCHERER MAR"/>
    <n v="107.08"/>
    <s v="INDEFINIDO"/>
    <n v="0"/>
    <n v="21.95"/>
    <n v="0"/>
    <n v="0"/>
    <n v="2.85"/>
    <n v="3.85"/>
    <n v="185.73"/>
    <n v="-2.8"/>
    <n v="29.27"/>
    <n v="-32.07"/>
    <n v="0"/>
    <n v="-32.07"/>
    <n v="-0.17530000000000001"/>
    <m/>
  </r>
  <r>
    <x v="1"/>
    <s v="MATRIZ"/>
    <d v="2026-08-27T00:00:00"/>
    <d v="2026-08-27T00:00:00"/>
    <m/>
    <s v="2653-1"/>
    <x v="1"/>
    <s v="CAIO LUCIANO MATIAS"/>
    <n v="50567.59"/>
    <x v="1"/>
    <s v="CTE NORMAL"/>
    <s v="ITAPEVI - SP"/>
    <n v="10067.07"/>
    <n v="544"/>
    <n v="5440"/>
    <s v="MATRIZ"/>
    <n v="0"/>
    <s v="LUIZA EDUARDA SCHERER MAR"/>
    <n v="5892.92"/>
    <s v="INDEFINIDO"/>
    <n v="0"/>
    <n v="1208.05"/>
    <n v="0"/>
    <n v="0"/>
    <n v="20.23"/>
    <n v="92.72"/>
    <n v="7213.92"/>
    <n v="2853.15"/>
    <n v="1610.73"/>
    <n v="1242.42"/>
    <n v="265.77"/>
    <n v="976.65"/>
    <n v="9.6999999999999989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x="1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0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44"/>
    </i>
    <i r="1">
      <x v="7999"/>
    </i>
    <i>
      <x v="735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8"/>
            <x v="168"/>
            <x v="194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4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6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x="1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0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44"/>
    </i>
    <i>
      <x v="73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8"/>
            <x v="168"/>
            <x v="194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4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6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8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3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9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8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5" s="1" nd="1"/>
        <i x="396" s="1" nd="1"/>
        <i x="671" s="1" nd="1"/>
        <i x="186" s="1" nd="1"/>
        <i x="410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1" s="1" nd="1"/>
        <i x="69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2712</v>
      </c>
      <c r="B2" s="12" t="s">
        <v>579</v>
      </c>
      <c r="C2" s="14">
        <v>46260</v>
      </c>
      <c r="D2" s="14">
        <v>46260</v>
      </c>
      <c r="E2" s="12">
        <v>473</v>
      </c>
      <c r="F2" s="15" t="s">
        <v>580</v>
      </c>
      <c r="G2" s="15" t="s">
        <v>581</v>
      </c>
      <c r="H2" s="15" t="s">
        <v>582</v>
      </c>
      <c r="I2" s="16">
        <v>7123.89</v>
      </c>
      <c r="J2" s="15" t="s">
        <v>583</v>
      </c>
      <c r="K2" s="15" t="s">
        <v>584</v>
      </c>
      <c r="L2" s="15" t="s">
        <v>585</v>
      </c>
      <c r="M2" s="15">
        <v>182.93</v>
      </c>
      <c r="N2" s="15">
        <v>10</v>
      </c>
      <c r="O2" s="16">
        <v>225.56</v>
      </c>
      <c r="P2" s="15" t="s">
        <v>586</v>
      </c>
      <c r="Q2" s="15">
        <v>50</v>
      </c>
      <c r="R2" s="15" t="s">
        <v>587</v>
      </c>
      <c r="S2" s="15">
        <v>107.08</v>
      </c>
      <c r="T2" s="15" t="s">
        <v>588</v>
      </c>
      <c r="U2" s="15">
        <v>0</v>
      </c>
      <c r="V2" s="15">
        <v>21.95</v>
      </c>
      <c r="W2" s="15">
        <v>0</v>
      </c>
      <c r="X2" s="15">
        <v>0</v>
      </c>
      <c r="Y2" s="15">
        <v>2.85</v>
      </c>
      <c r="Z2" s="15">
        <v>3.85</v>
      </c>
      <c r="AA2" s="15">
        <v>185.73</v>
      </c>
      <c r="AB2" s="15">
        <v>-2.8</v>
      </c>
      <c r="AC2" s="15">
        <v>29.27</v>
      </c>
      <c r="AD2" s="15">
        <v>-32.07</v>
      </c>
      <c r="AE2" s="15">
        <v>0</v>
      </c>
      <c r="AF2" s="15">
        <v>-32.07</v>
      </c>
      <c r="AG2" s="17">
        <v>-0.17530000000000001</v>
      </c>
      <c r="AH2" s="15"/>
    </row>
    <row r="3" spans="1:34" s="1" customFormat="1" ht="12" customHeight="1" x14ac:dyDescent="0.3">
      <c r="A3" s="13">
        <v>2742</v>
      </c>
      <c r="B3" s="12" t="s">
        <v>579</v>
      </c>
      <c r="C3" s="14">
        <v>46261</v>
      </c>
      <c r="D3" s="14">
        <v>46261</v>
      </c>
      <c r="E3" s="12"/>
      <c r="F3" s="15" t="s">
        <v>589</v>
      </c>
      <c r="G3" s="15" t="s">
        <v>590</v>
      </c>
      <c r="H3" s="15" t="s">
        <v>591</v>
      </c>
      <c r="I3" s="16">
        <v>50567.59</v>
      </c>
      <c r="J3" s="15" t="s">
        <v>592</v>
      </c>
      <c r="K3" s="15" t="s">
        <v>584</v>
      </c>
      <c r="L3" s="15" t="s">
        <v>593</v>
      </c>
      <c r="M3" s="16">
        <v>10067.07</v>
      </c>
      <c r="N3" s="15">
        <v>544</v>
      </c>
      <c r="O3" s="16">
        <v>5440</v>
      </c>
      <c r="P3" s="15" t="s">
        <v>579</v>
      </c>
      <c r="Q3" s="15">
        <v>0</v>
      </c>
      <c r="R3" s="15" t="s">
        <v>587</v>
      </c>
      <c r="S3" s="15">
        <v>5892.92</v>
      </c>
      <c r="T3" s="15" t="s">
        <v>588</v>
      </c>
      <c r="U3" s="15">
        <v>0</v>
      </c>
      <c r="V3" s="15">
        <v>1208.05</v>
      </c>
      <c r="W3" s="15">
        <v>0</v>
      </c>
      <c r="X3" s="15">
        <v>0</v>
      </c>
      <c r="Y3" s="15">
        <v>20.23</v>
      </c>
      <c r="Z3" s="15">
        <v>92.72</v>
      </c>
      <c r="AA3" s="16">
        <v>7213.92</v>
      </c>
      <c r="AB3" s="16">
        <v>2853.15</v>
      </c>
      <c r="AC3" s="15">
        <v>1610.73</v>
      </c>
      <c r="AD3" s="15">
        <v>1242.42</v>
      </c>
      <c r="AE3" s="15">
        <v>265.77</v>
      </c>
      <c r="AF3" s="15">
        <v>976.65</v>
      </c>
      <c r="AG3" s="17">
        <v>9.6999999999999989E-2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10250</v>
      </c>
      <c r="F3" s="89"/>
      <c r="G3" s="90"/>
      <c r="H3" s="133">
        <f>'Resumo Detalhado'!C2</f>
        <v>5665.56</v>
      </c>
      <c r="I3" s="134"/>
      <c r="J3" s="135">
        <f>E3/H3</f>
        <v>1.8091768510085497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0.51505090909090911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6050</v>
      </c>
      <c r="F7" s="112"/>
      <c r="G7" s="112"/>
      <c r="H7" s="112"/>
      <c r="I7" s="112"/>
      <c r="J7" s="112">
        <f>E7/H3</f>
        <v>1.0678556047416319</v>
      </c>
      <c r="K7" s="112"/>
      <c r="L7" s="112"/>
      <c r="M7" s="130">
        <f>E7/E3</f>
        <v>0.59024390243902436</v>
      </c>
      <c r="N7" s="130"/>
      <c r="O7" s="130"/>
      <c r="P7" s="112">
        <f>E11+K11+Q11+E15+K15+Q15+E19+H19+K19</f>
        <v>9859.65</v>
      </c>
      <c r="Q7" s="112"/>
      <c r="R7" s="112"/>
      <c r="S7" s="112">
        <f>P7/H3</f>
        <v>1.7402781013703852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6000</v>
      </c>
      <c r="L11" s="90"/>
      <c r="M11" s="38"/>
      <c r="N11" s="88">
        <f>K11/H3</f>
        <v>1.0590303518098827</v>
      </c>
      <c r="O11" s="90"/>
      <c r="P11" s="38"/>
      <c r="Q11" s="88">
        <f>'Resumo Detalhado'!D2</f>
        <v>50</v>
      </c>
      <c r="R11" s="90"/>
      <c r="S11" s="38"/>
      <c r="T11" s="88">
        <f>Q11/H3</f>
        <v>8.8252529317490239E-3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1230</v>
      </c>
      <c r="F15" s="119"/>
      <c r="G15" s="119"/>
      <c r="H15" s="119"/>
      <c r="I15" s="132"/>
      <c r="J15" s="38"/>
      <c r="K15" s="113">
        <f>'Resumo Detalhado'!K2+'Resumo Detalhado'!L2</f>
        <v>1640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23.080000000000002</v>
      </c>
      <c r="F19" s="120"/>
      <c r="G19" s="38"/>
      <c r="H19" s="122">
        <f>'Resumo Detalhado'!J2</f>
        <v>96.57</v>
      </c>
      <c r="I19" s="123"/>
      <c r="J19" s="38"/>
      <c r="K19" s="122">
        <f>'Resumo Detalhado'!L2</f>
        <v>820</v>
      </c>
      <c r="L19" s="123"/>
      <c r="M19" s="38"/>
      <c r="N19" s="121" t="s">
        <v>594</v>
      </c>
      <c r="O19" s="119"/>
      <c r="P19" s="119"/>
      <c r="Q19" s="119"/>
      <c r="R19" s="120"/>
      <c r="S19" s="121">
        <v>6000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944.57999999999947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9.2154146341463364E-2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595</v>
      </c>
      <c r="F1" s="29"/>
    </row>
    <row r="2" spans="1:18" x14ac:dyDescent="0.3">
      <c r="B2" s="29">
        <f>SUM(B6:B5000)</f>
        <v>10250</v>
      </c>
      <c r="C2" s="29">
        <f>SUM(C6:C5000)</f>
        <v>5665.56</v>
      </c>
      <c r="D2" s="29">
        <f>SUM(D6:D5000)</f>
        <v>50</v>
      </c>
      <c r="E2" s="29">
        <f>SUM(E6:E5000)</f>
        <v>6000</v>
      </c>
      <c r="F2" s="29">
        <f>SUM(F6:F5000)</f>
        <v>0</v>
      </c>
      <c r="G2" s="29"/>
      <c r="H2" s="29">
        <f t="shared" ref="H2:P2" si="0">SUM(H6:H5000)</f>
        <v>1230</v>
      </c>
      <c r="I2" s="29">
        <f t="shared" si="0"/>
        <v>23.080000000000002</v>
      </c>
      <c r="J2" s="29">
        <f t="shared" si="0"/>
        <v>96.57</v>
      </c>
      <c r="K2" s="29">
        <f t="shared" si="0"/>
        <v>820</v>
      </c>
      <c r="L2" s="29">
        <f t="shared" si="0"/>
        <v>820</v>
      </c>
      <c r="M2" s="29">
        <f t="shared" si="0"/>
        <v>265.77</v>
      </c>
      <c r="N2" s="29">
        <f t="shared" si="0"/>
        <v>944.57999999999947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590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2742</v>
      </c>
      <c r="B6" s="140">
        <v>10067.07</v>
      </c>
      <c r="C6" s="141">
        <v>5440</v>
      </c>
      <c r="D6" s="140">
        <v>0</v>
      </c>
      <c r="E6" s="140">
        <v>5892.92</v>
      </c>
      <c r="F6" s="140">
        <v>0</v>
      </c>
      <c r="G6" s="142">
        <v>0.58536595056953022</v>
      </c>
      <c r="H6" s="140">
        <v>1208.05</v>
      </c>
      <c r="I6" s="140">
        <v>20.23</v>
      </c>
      <c r="J6" s="140">
        <v>92.72</v>
      </c>
      <c r="K6" s="140">
        <v>805.36559999999997</v>
      </c>
      <c r="L6" s="140">
        <v>805.36559999999997</v>
      </c>
      <c r="M6" s="140">
        <v>265.77</v>
      </c>
      <c r="N6" s="140">
        <v>976.64879999999948</v>
      </c>
      <c r="O6" s="142">
        <v>9.7014205722221011E-2</v>
      </c>
      <c r="Q6"/>
    </row>
    <row r="7" spans="1:18" s="31" customFormat="1" x14ac:dyDescent="0.3">
      <c r="A7" s="139" t="s">
        <v>581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2712</v>
      </c>
      <c r="B8" s="140">
        <v>182.93</v>
      </c>
      <c r="C8" s="141">
        <v>225.56</v>
      </c>
      <c r="D8" s="140">
        <v>50</v>
      </c>
      <c r="E8" s="140">
        <v>107.08</v>
      </c>
      <c r="F8" s="140">
        <v>0</v>
      </c>
      <c r="G8" s="142">
        <v>0.85868911605532161</v>
      </c>
      <c r="H8" s="140">
        <v>21.95</v>
      </c>
      <c r="I8" s="140">
        <v>2.85</v>
      </c>
      <c r="J8" s="140">
        <v>3.85</v>
      </c>
      <c r="K8" s="140">
        <v>14.634400000000001</v>
      </c>
      <c r="L8" s="140">
        <v>14.634400000000001</v>
      </c>
      <c r="M8" s="140">
        <v>0</v>
      </c>
      <c r="N8" s="140">
        <v>-32.068799999999996</v>
      </c>
      <c r="O8" s="142">
        <v>-0.1753064013557098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595</v>
      </c>
    </row>
    <row r="2" spans="1:4" x14ac:dyDescent="0.3">
      <c r="B2" s="29">
        <f>SUM(B6:B5000)</f>
        <v>182.93</v>
      </c>
      <c r="C2" s="29">
        <f>SUM(C6:C5000)</f>
        <v>-32.068799999999996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590</v>
      </c>
      <c r="B5" s="10">
        <v>10067.07</v>
      </c>
      <c r="C5" s="10">
        <v>976.64879999999948</v>
      </c>
    </row>
    <row r="6" spans="1:4" x14ac:dyDescent="0.3">
      <c r="A6" s="139" t="s">
        <v>581</v>
      </c>
      <c r="B6" s="140">
        <v>182.93</v>
      </c>
      <c r="C6" s="140">
        <v>-32.068799999999996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594</v>
      </c>
      <c r="D368" s="87">
        <v>6000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2026-09-01T17:33:32Z</dcterms:modified>
  <cp:category/>
  <cp:contentStatus/>
</cp:coreProperties>
</file>