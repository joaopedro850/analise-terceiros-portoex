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DA2A611-1B90-498F-8685-1ED2FA74529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<sst xmlns="http://schemas.openxmlformats.org/spreadsheetml/2006/main" count="869" uniqueCount="598">
  <si>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</si>
  <si>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</si>
  <si>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</si>
  <si>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</si>
  <si>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</si>
  <si>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</si>
  <si>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</si>
  <si>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</si>
  <si>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</si>
  <si>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</si>
  <si>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</si>
  <si>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</si>
  <si>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</si>
  <si>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</si>
  <si>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</si>
  <si>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</si>
  <si>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</si>
  <si>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</si>
  <si>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</si>
  <si>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</si>
  <si>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</si>
  <si>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</si>
  <si>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</si>
  <si>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</si>
  <si>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</si>
  <si>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</si>
  <si>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</si>
  <si>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</si>
  <si>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</si>
  <si>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</si>
  <si>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</si>
  <si>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</si>
  <si>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</si>
  <si>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</si>
  <si>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</si>
  <si>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</si>
  <si>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</si>
  <si>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</si>
  <si>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</si>
  <si>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</si>
  <si>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</si>
  <si>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</si>
  <si>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</si>
  <si>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</si>
  <si>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</si>
  <si>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</si>
  <si>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</si>
  <si>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</si>
  <si>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</si>
  <si>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</si>
  <si>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</si>
  <si>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</si>
  <si>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</si>
  <si>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</si>
  <si>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</si>
  <si>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</si>
  <si>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</si>
  <si>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</si>
  <si>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</si>
  <si>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</si>
  <si>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</si>
  <si>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</si>
  <si>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</si>
  <si>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</si>
  <si>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</si>
  <si>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</si>
  <si>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</si>
  <si>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</si>
  <si>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</si>
  <si>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</si>
  <si>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</si>
  <si>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</si>
  <si>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</si>
  <si>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</si>
  <si>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</si>
  <si>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</si>
  <si>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</si>
  <si>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</si>
  <si>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</si>
  <si>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</si>
  <si>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</si>
  <si>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</si>
  <si>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</si>
  <si>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</si>
  <si>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</si>
  <si>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</si>
  <si>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</si>
  <si>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</si>
  <si>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</si>
  <si>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</si>
  <si>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</si>
  <si>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</si>
  <si>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</si>
  <si>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</si>
  <si>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</si>
  <si>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</si>
  <si>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</si>
  <si>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</si>
  <si>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</si>
  <si>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</si>
  <si>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</si>
  <si>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</si>
  <si>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</si>
  <si>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</si>
  <si>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</si>
  <si>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</si>
  <si>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</si>
  <si>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</si>
  <si>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</si>
  <si>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</si>
  <si>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</si>
  <si>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</si>
  <si>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</si>
  <si>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</si>
  <si>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</si>
  <si>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</si>
  <si>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</si>
  <si>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</si>
  <si>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</si>
  <si>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</si>
  <si>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</si>
  <si>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</si>
  <si>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</si>
  <si>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</si>
  <si>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</si>
  <si>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</si>
  <si>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</si>
  <si>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</si>
  <si>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</si>
  <si>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</si>
  <si>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</si>
  <si>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</si>
  <si>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</si>
  <si>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</si>
  <si>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</si>
  <si>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</si>
  <si>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</si>
  <si>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</si>
  <si>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</si>
  <si>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</si>
  <si>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</si>
  <si>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</si>
  <si>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</si>
  <si>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</si>
  <si>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</si>
  <si>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</si>
  <si>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</si>
  <si>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</si>
  <si>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</si>
  <si>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</si>
  <si>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</si>
  <si>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</si>
  <si>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</si>
  <si>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</si>
  <si>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</si>
  <si>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</si>
  <si>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</si>
  <si>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</si>
  <si>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</si>
  <si>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</si>
  <si>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</si>
  <si>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</si>
  <si>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</si>
  <si>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</si>
  <si>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</si>
  <si>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</si>
  <si>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</si>
  <si>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</si>
  <si>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</si>
  <si>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</si>
  <si>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</si>
  <si>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</si>
  <si>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</si>
  <si>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</si>
  <si>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</si>
  <si>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</si>
  <si>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</si>
  <si>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</si>
  <si>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</si>
  <si>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</si>
  <si>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</si>
  <si>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</si>
  <si>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</si>
  <si>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</si>
  <si>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</si>
  <si>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</si>
  <si>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</si>
  <si>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</si>
  <si>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</si>
  <si>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</si>
  <si>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</si>
  <si>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</si>
  <si>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</si>
  <si>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</si>
  <si>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</si>
  <si>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</si>
  <si>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</si>
  <si>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</si>
  <si>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</si>
  <si>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</si>
  <si>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</si>
  <si>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</si>
  <si>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</si>
  <si>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</si>
  <si>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</si>
  <si>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</si>
  <si>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</si>
  <si>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</si>
  <si>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</si>
  <si>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</si>
  <si>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</si>
  <si>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</si>
  <si>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</si>
  <si>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</si>
  <si>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</si>
  <si>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</si>
  <si>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</si>
  <si>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</si>
  <si>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</si>
  <si>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</si>
  <si>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</si>
  <si>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</si>
  <si>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</si>
  <si>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</si>
  <si>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</si>
  <si>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</si>
  <si>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</si>
  <si>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</si>
  <si>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</si>
  <si>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</si>
  <si>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</si>
  <si>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</si>
  <si>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</si>
  <si>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</si>
  <si>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</si>
  <si>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</si>
  <si>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</si>
  <si>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</si>
  <si>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</si>
  <si>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</si>
  <si>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</si>
  <si>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</si>
  <si>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</si>
  <si>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</si>
  <si>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</si>
  <si>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</si>
  <si>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</si>
  <si>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</si>
  <si>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</si>
  <si>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</si>
  <si>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</si>
  <si>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</si>
  <si>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</si>
  <si>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</si>
  <si>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</si>
  <si>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</si>
  <si>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</si>
  <si>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</si>
  <si>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</si>
  <si>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</si>
  <si>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</si>
  <si>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</si>
  <si>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</si>
  <si>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</si>
  <si>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</si>
  <si>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</si>
  <si>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</si>
  <si>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</si>
  <si>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</si>
  <si>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</si>
  <si>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</si>
  <si>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</si>
  <si>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</si>
  <si>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</si>
  <si>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</si>
  <si>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</si>
  <si>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</si>
  <si>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</si>
  <si>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</si>
  <si>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</si>
  <si>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</si>
  <si>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</si>
  <si>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</si>
  <si>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</si>
  <si>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</si>
  <si>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</si>
  <si>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</si>
  <si>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</si>
  <si>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</si>
  <si>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</si>
  <si>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</si>
  <si>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</si>
  <si>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</si>
  <si>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</si>
  <si>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</si>
  <si>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</si>
  <si>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</si>
  <si>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</si>
  <si>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</si>
  <si>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</si>
  <si>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</si>
  <si>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</si>
  <si>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</si>
  <si>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</si>
  <si>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</si>
  <si>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</si>
  <si>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</si>
  <si>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</si>
  <si>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</si>
  <si>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</si>
  <si>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</si>
  <si>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</si>
  <si>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</si>
  <si>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</si>
  <si>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</si>
  <si>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</si>
  <si>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</si>
  <si>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</si>
  <si>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</si>
  <si>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</si>
  <si>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</si>
  <si>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</si>
  <si>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</si>
  <si>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</si>
  <si>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</si>
  <si>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</si>
  <si>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</si>
  <si>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</si>
  <si>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</si>
  <si>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</si>
  <si>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</si>
  <si>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</si>
  <si>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</si>
  <si>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</si>
  <si>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</si>
  <si>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</si>
  <si>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</si>
  <si>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</si>
  <si>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</si>
  <si>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</si>
  <si>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</si>
  <si>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</si>
  <si>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</si>
  <si>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</si>
  <si>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</si>
  <si>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</si>
  <si>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</si>
  <si>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</si>
  <si>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</si>
  <si>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</si>
  <si>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</si>
  <si>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</si>
  <si>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</si>
  <si>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</si>
  <si>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</si>
  <si>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</si>
  <si>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</si>
  <si>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</si>
  <si>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</si>
  <si>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</si>
  <si>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</si>
  <si>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</si>
  <si>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</si>
  <si>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</si>
  <si>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</si>
  <si>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</si>
  <si>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</si>
  <si>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</si>
  <si>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</si>
  <si>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</si>
  <si>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</si>
  <si>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</si>
  <si>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</si>
  <si>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</si>
  <si>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</si>
  <si>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</si>
  <si>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</si>
  <si>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</si>
  <si>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</si>
  <si>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</si>
  <si>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</si>
  <si>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</si>
  <si>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</si>
  <si>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</si>
  <si>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</si>
  <si>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</si>
  <si>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</si>
  <si>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</si>
  <si>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</si>
  <si>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</si>
  <si>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</si>
  <si>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</si>
  <si>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</si>
  <si>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</si>
  <si>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</si>
  <si>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</si>
  <si>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</si>
  <si>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</si>
  <si>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</si>
  <si>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</si>
  <si>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</si>
  <si>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</si>
  <si>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</si>
  <si>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</si>
  <si>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</si>
  <si>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</si>
  <si>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</si>
  <si>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</si>
  <si>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</si>
  <si>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</si>
  <si>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</si>
  <si>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</si>
  <si>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</si>
  <si>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</si>
  <si>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</si>
  <si>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</si>
  <si>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</si>
  <si>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</si>
  <si>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</si>
  <si>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</si>
  <si>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</si>
  <si>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</si>
  <si>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</si>
  <si>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</si>
  <si>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</si>
  <si>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</si>
  <si>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</si>
  <si>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</si>
  <si>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</si>
  <si>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</si>
  <si>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</si>
  <si>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</si>
  <si>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</si>
  <si>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</si>
  <si>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</si>
  <si>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</si>
  <si>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</si>
  <si>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</si>
  <si>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</si>
  <si>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</si>
  <si>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</si>
  <si>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</si>
  <si>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</si>
  <si>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</si>
  <si>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</si>
  <si>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</si>
  <si>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</si>
  <si>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</si>
  <si>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</si>
  <si>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</si>
  <si>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</si>
  <si>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</si>
  <si>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</si>
  <si>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</si>
  <si>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</si>
  <si>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</si>
  <si>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</si>
  <si>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</si>
  <si>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</si>
  <si>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</si>
  <si>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</si>
  <si>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</si>
  <si>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</si>
  <si>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</si>
  <si>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</si>
  <si>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</si>
  <si>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</si>
  <si>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</si>
  <si>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</si>
  <si>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</si>
  <si>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</si>
  <si>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</si>
  <si>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</si>
  <si>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</si>
  <si>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</si>
  <si>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</si>
  <si>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</si>
  <si>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</si>
  <si>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</si>
  <si>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</si>
  <si>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</si>
  <si>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</si>
  <si>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</si>
  <si>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</si>
  <si>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</si>
  <si>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</si>
  <si>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</si>
  <si>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</si>
  <si>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</si>
  <si>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</si>
  <si>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</si>
  <si>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</si>
  <si>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</si>
  <si>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</si>
  <si>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</si>
  <si>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</si>
  <si>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</si>
  <si>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</si>
  <si>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</si>
  <si>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</si>
  <si>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</si>
  <si>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</si>
  <si>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</si>
  <si>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</si>
  <si>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</si>
  <si>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</si>
  <si>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</si>
  <si>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</si>
  <si>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</si>
  <si>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</si>
  <si>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</si>
  <si>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</si>
  <si>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</si>
  <si>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</si>
  <si>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</si>
  <si>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</si>
  <si>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</si>
  <si>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</si>
  <si>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</si>
  <si>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</si>
  <si>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</si>
  <si>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</si>
  <si>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</si>
  <si>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</si>
  <si>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</si>
  <si>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</si>
  <si>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</si>
  <si>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</si>
  <si>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</si>
  <si>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</si>
  <si>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</si>
  <si>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</si>
  <si>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</si>
  <si>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</si>
  <si>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</si>
  <si>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</si>
  <si>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</si>
  <si>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</si>
  <si>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</si>
  <si>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</si>
  <si>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</si>
  <si>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</si>
  <si>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</si>
  <si>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</si>
  <si>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</si>
  <si>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</si>
  <si>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</si>
  <si>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</si>
  <si>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</si>
  <si>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</si>
  <si>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</si>
  <si>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</si>
  <si>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</si>
  <si>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</si>
  <si>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</si>
  <si>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</si>
  <si>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</si>
  <si>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</si>
  <si>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</si>
  <si>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</si>
  <si>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</si>
  <si>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</si>
  <si>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</si>
  <si>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</si>
  <si>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</si>
  <si>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</si>
  <si>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</si>
  <si>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</si>
  <si>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</si>
  <si>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</si>
  <si>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</si>
  <si>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</si>
  <si>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</si>
  <si>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</si>
  <si>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</si>
  <si>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</si>
  <si>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</si>
  <si>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</si>
  <si>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</si>
  <si>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FILIAL SP</t>
  </si>
  <si>
    <t>35909-1</t>
  </si>
  <si>
    <t>ANSELL BRAZIL L</t>
  </si>
  <si>
    <t>MARLON MARQUES</t>
  </si>
  <si>
    <t>EXPRESSO_250</t>
  </si>
  <si>
    <t>CTE NORMAL</t>
  </si>
  <si>
    <t>CAXIAS DO SUL - RS</t>
  </si>
  <si>
    <t>TRANSFER TRANSPORTES URGE</t>
  </si>
  <si>
    <t>DFL TRANSPORTES EIRELI</t>
  </si>
  <si>
    <t>MATRIZ</t>
  </si>
  <si>
    <t>201996-1</t>
  </si>
  <si>
    <t>FORTE TRANSPORT</t>
  </si>
  <si>
    <t>MURILO PEREIRA</t>
  </si>
  <si>
    <t>SUBCONTRATO_ECO</t>
  </si>
  <si>
    <t>PORTO ALEGRE - RS</t>
  </si>
  <si>
    <t>ALLAN BENTO ADRIANO</t>
  </si>
  <si>
    <t>N/D</t>
  </si>
  <si>
    <t>HALISON GOMES JESUS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</si>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</sst>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[Analise_HALISON_27082026.xlsx]Resumo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FORTE TRANSPORT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205.39</c:v>
                </c:pt>
                <c:pt idx="1">
                  <c:v>2291.73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FORTE TRANSPORT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22.727599999999999</c:v>
                </c:pt>
                <c:pt idx="1">
                  <c:v>1810.8631999999998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[Analise_HALISON_27082026.xlsx]Resumo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FORTE TRANSPORT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205.39</c:v>
                </c:pt>
                <c:pt idx="1">
                  <c:v>2291.73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FORTE TRANSPORT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22.727599999999999</c:v>
                </c:pt>
                <c:pt idx="1">
                  <c:v>1810.8631999999998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6.60663090278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8112" count="8000">
        <n v="297844"/>
        <n v="29811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4T00:00:00" maxDate="2026-08-26T00:00:00"/>
    </cacheField>
    <cacheField name="DATA" numFmtId="14">
      <sharedItems containsNonDate="0" containsDate="1" containsString="0" containsBlank="1" minDate="2026-08-24T00:00:00" maxDate="2026-08-26T00:00:00"/>
    </cacheField>
    <cacheField name="FAT" numFmtId="0">
      <sharedItems containsString="0" containsBlank="1" containsNumber="1" containsInteger="1" minValue="65000" maxValue="65003"/>
    </cacheField>
    <cacheField name="CT-E" numFmtId="0">
      <sharedItems containsBlank="1"/>
    </cacheField>
    <cacheField name="CLIENTE TOMADOR" numFmtId="0">
      <sharedItems containsBlank="1" count="855">
        <s v="ANSELL BRAZIL L"/>
        <s v="FORTE TRANSPORT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7594.28" maxValue="163887.82999999999"/>
    </cacheField>
    <cacheField name="SERVICO" numFmtId="0">
      <sharedItems containsBlank="1" count="27">
        <s v="EXPRESSO_250"/>
        <s v="SUBCONTRATO_ECO"/>
        <m/>
        <s v="REPASSE" u="1"/>
        <s v="DEDICADO VAN" u="1"/>
        <s v="DEDICADO" u="1"/>
        <s v="LEAL DISTRIBUIC" u="1"/>
        <s v="ECONOMICO_200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05.39" maxValue="2291.73"/>
    </cacheField>
    <cacheField name="VOLUMES" numFmtId="0">
      <sharedItems containsString="0" containsBlank="1" containsNumber="1" containsInteger="1" minValue="6" maxValue="10"/>
    </cacheField>
    <cacheField name="PESO" numFmtId="0">
      <sharedItems containsString="0" containsBlank="1" containsNumber="1" containsInteger="1" minValue="89" maxValue="585"/>
    </cacheField>
    <cacheField name="RESP. COLETA" numFmtId="0">
      <sharedItems containsBlank="1"/>
    </cacheField>
    <cacheField name="CUSTO COLETA" numFmtId="0">
      <sharedItems containsString="0" containsBlank="1" containsNumber="1" minValue="0" maxValue="19.1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21.35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24.6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3.8" maxValue="81.94"/>
    </cacheField>
    <cacheField name="OUTROS" numFmtId="0">
      <sharedItems containsString="0" containsBlank="1" containsNumber="1" minValue="0" maxValue="13.13"/>
    </cacheField>
    <cacheField name="C.TOTAL" numFmtId="0">
      <sharedItems containsString="0" containsBlank="1" containsNumber="1" minValue="424.25" maxValue="982.14"/>
    </cacheField>
    <cacheField name="RECEITA" numFmtId="0">
      <sharedItems containsString="0" containsBlank="1" containsNumber="1" minValue="-218.86" maxValue="1309.5899999999999"/>
    </cacheField>
    <cacheField name="IMPOSTO" numFmtId="0">
      <sharedItems containsString="0" containsBlank="1" containsNumber="1" minValue="53.4" maxValue="595.85"/>
    </cacheField>
    <cacheField name="RESULTADO" numFmtId="0">
      <sharedItems containsString="0" containsBlank="1" containsNumber="1" minValue="-272.26" maxValue="713.7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72.26" maxValue="713.74"/>
    </cacheField>
    <cacheField name="MARGEM" numFmtId="10">
      <sharedItems containsString="0" containsBlank="1" containsNumber="1" minValue="-1.3256000000000001" maxValue="0.3114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FILIAL SP"/>
    <d v="2026-08-25T00:00:00"/>
    <d v="2026-08-25T00:00:00"/>
    <n v="65000"/>
    <s v="35909-1"/>
    <x v="0"/>
    <s v="MARLON MARQUES"/>
    <n v="7594.28"/>
    <x v="0"/>
    <s v="CTE NORMAL"/>
    <s v="CAXIAS DO SUL - RS"/>
    <n v="205.39"/>
    <n v="10"/>
    <n v="89"/>
    <s v="FILIAL SP"/>
    <n v="0"/>
    <s v="TRANSFER TRANSPORTES URGE"/>
    <n v="121.35"/>
    <s v="DFL TRANSPORTES EIRELI"/>
    <n v="0"/>
    <n v="24.65"/>
    <n v="0"/>
    <n v="0"/>
    <n v="3.8"/>
    <n v="0"/>
    <n v="424.25"/>
    <n v="-218.86"/>
    <n v="53.4"/>
    <n v="-272.26"/>
    <n v="0"/>
    <n v="-272.26"/>
    <n v="-1.3256000000000001"/>
    <m/>
  </r>
  <r>
    <x v="1"/>
    <s v="MATRIZ"/>
    <d v="2026-08-24T00:00:00"/>
    <d v="2026-08-24T00:00:00"/>
    <n v="65003"/>
    <s v="201996-1"/>
    <x v="1"/>
    <s v="MURILO PEREIRA"/>
    <n v="163887.82999999999"/>
    <x v="1"/>
    <s v="CTE NORMAL"/>
    <s v="PORTO ALEGRE - RS"/>
    <n v="2291.73"/>
    <n v="6"/>
    <n v="585"/>
    <s v="ALLAN BENTO ADRIANO"/>
    <n v="19.12"/>
    <s v="N/D"/>
    <n v="0"/>
    <s v="HALISON GOMES JESUS"/>
    <n v="0"/>
    <n v="0"/>
    <n v="0"/>
    <n v="0"/>
    <n v="81.94"/>
    <n v="13.13"/>
    <n v="982.14"/>
    <n v="1309.5899999999999"/>
    <n v="595.85"/>
    <n v="713.74"/>
    <n v="0"/>
    <n v="713.74"/>
    <n v="0.31140000000000001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2"/>
        <item m="1" x="21"/>
        <item m="1" x="758"/>
        <item m="1" x="113"/>
        <item m="1" x="545"/>
        <item m="1" x="828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09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2"/>
        <item x="0"/>
        <item sd="0" m="1" x="554"/>
        <item m="1" x="478"/>
        <item sd="0" m="1" x="245"/>
        <item m="1" x="848"/>
        <item m="1" x="832"/>
        <item m="1" x="743"/>
        <item m="1" x="241"/>
        <item m="1" x="240"/>
        <item m="1" x="463"/>
        <item m="1" x="287"/>
        <item m="1" x="550"/>
        <item m="1" x="845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m="1" x="516"/>
        <item m="1" x="319"/>
        <item m="1" x="592"/>
        <item m="1" x="596"/>
        <item m="1" x="733"/>
        <item m="1" x="786"/>
        <item m="1" x="184"/>
        <item m="1" x="835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6"/>
        <item m="1" x="249"/>
        <item sd="0" m="1" x="764"/>
        <item m="1" x="426"/>
        <item m="1" x="437"/>
        <item m="1" x="168"/>
        <item m="1" x="543"/>
        <item m="1" x="806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3"/>
        <item m="1" x="562"/>
        <item m="1" x="559"/>
        <item m="1" x="430"/>
        <item m="1" x="715"/>
        <item m="1" x="506"/>
        <item m="1" x="174"/>
        <item m="1" x="628"/>
        <item m="1" x="376"/>
        <item m="1" x="807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1"/>
        <item m="1" x="765"/>
        <item m="1" x="509"/>
        <item m="1" x="821"/>
        <item m="1" x="342"/>
        <item m="1" x="224"/>
        <item m="1" x="65"/>
        <item m="1" x="636"/>
        <item m="1" x="459"/>
        <item m="1" x="791"/>
        <item m="1" x="704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x="1"/>
        <item m="1" x="42"/>
        <item m="1" x="805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39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5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4"/>
        <item m="1" x="92"/>
        <item m="1" x="573"/>
        <item m="1" x="158"/>
        <item sd="0" m="1" x="561"/>
        <item m="1" x="46"/>
        <item m="1" x="724"/>
        <item m="1" x="749"/>
        <item m="1" x="744"/>
        <item m="1" x="847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0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7"/>
        <item m="1" x="70"/>
        <item m="1" x="119"/>
        <item m="1" x="646"/>
        <item m="1" x="412"/>
        <item m="1" x="854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0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8"/>
        <item m="1" x="51"/>
        <item m="1" x="606"/>
        <item m="1" x="85"/>
        <item m="1" x="327"/>
        <item m="1" x="35"/>
        <item m="1" x="497"/>
        <item sd="0" m="1" x="507"/>
        <item m="1" x="448"/>
        <item m="1" x="167"/>
        <item m="1" x="134"/>
        <item m="1" x="253"/>
        <item m="1" x="301"/>
        <item m="1" x="819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4"/>
        <item m="1" x="788"/>
        <item m="1" x="29"/>
        <item m="1" x="783"/>
        <item m="1" x="254"/>
        <item m="1" x="476"/>
        <item m="1" x="812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3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3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3"/>
        <item m="1" x="586"/>
        <item m="1" x="797"/>
        <item m="1" x="727"/>
        <item m="1" x="413"/>
        <item m="1" x="26"/>
        <item m="1" x="343"/>
        <item m="1" x="491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1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0"/>
        <item m="1" x="496"/>
        <item m="1" x="396"/>
        <item m="1" x="671"/>
        <item m="1" x="186"/>
        <item sd="0" m="1" x="410"/>
        <item m="1" x="475"/>
        <item m="1" x="837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1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8"/>
        <item m="1" x="816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1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x="1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0"/>
    </i>
    <i r="1">
      <x v="7998"/>
    </i>
    <i>
      <x v="29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3"/>
        <item m="1" x="25"/>
        <item m="1" x="582"/>
        <item m="1" x="852"/>
        <item m="1" x="21"/>
        <item m="1" x="758"/>
        <item m="1" x="113"/>
        <item m="1" x="545"/>
        <item m="1" x="828"/>
        <item m="1" x="271"/>
        <item m="1" x="480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70"/>
        <item m="1" x="45"/>
        <item sd="0" m="1" x="731"/>
        <item m="1" x="690"/>
        <item m="1" x="217"/>
        <item sd="0" m="1" x="477"/>
        <item m="1" x="634"/>
        <item m="1" x="447"/>
        <item sd="0" m="1" x="809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2"/>
        <item x="0"/>
        <item sd="0" m="1" x="554"/>
        <item m="1" x="478"/>
        <item sd="0" m="1" x="245"/>
        <item m="1" x="848"/>
        <item m="1" x="832"/>
        <item m="1" x="743"/>
        <item m="1" x="241"/>
        <item m="1" x="240"/>
        <item m="1" x="463"/>
        <item m="1" x="287"/>
        <item m="1" x="550"/>
        <item m="1" x="845"/>
        <item m="1" x="446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4"/>
        <item m="1" x="409"/>
        <item m="1" x="516"/>
        <item m="1" x="319"/>
        <item m="1" x="592"/>
        <item m="1" x="596"/>
        <item m="1" x="733"/>
        <item m="1" x="786"/>
        <item m="1" x="184"/>
        <item m="1" x="835"/>
        <item m="1" x="712"/>
        <item m="1" x="379"/>
        <item m="1" x="208"/>
        <item sd="0" m="1" x="522"/>
        <item m="1" x="464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6"/>
        <item m="1" x="249"/>
        <item sd="0" m="1" x="764"/>
        <item m="1" x="426"/>
        <item m="1" x="437"/>
        <item m="1" x="168"/>
        <item m="1" x="543"/>
        <item m="1" x="806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4"/>
        <item m="1" x="53"/>
        <item m="1" x="650"/>
        <item m="1" x="471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m="1" x="657"/>
        <item m="1" x="796"/>
        <item sd="0" m="1" x="696"/>
        <item m="1" x="456"/>
        <item m="1" x="382"/>
        <item m="1" x="449"/>
        <item m="1" x="160"/>
        <item m="1" x="278"/>
        <item sd="0" m="1" x="204"/>
        <item m="1" x="495"/>
        <item m="1" x="290"/>
        <item m="1" x="527"/>
        <item m="1" x="258"/>
        <item m="1" x="407"/>
        <item m="1" x="840"/>
        <item m="1" x="458"/>
        <item sd="0" m="1" x="479"/>
        <item m="1" x="751"/>
        <item sd="0" m="1" x="639"/>
        <item m="1" x="54"/>
        <item m="1" x="794"/>
        <item m="1" x="717"/>
        <item m="1" x="418"/>
        <item m="1" x="735"/>
        <item m="1" x="813"/>
        <item m="1" x="562"/>
        <item m="1" x="559"/>
        <item m="1" x="430"/>
        <item m="1" x="715"/>
        <item m="1" x="506"/>
        <item m="1" x="174"/>
        <item m="1" x="628"/>
        <item m="1" x="376"/>
        <item m="1" x="807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1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6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1"/>
        <item m="1" x="765"/>
        <item m="1" x="509"/>
        <item m="1" x="821"/>
        <item m="1" x="342"/>
        <item m="1" x="224"/>
        <item m="1" x="65"/>
        <item m="1" x="636"/>
        <item m="1" x="459"/>
        <item m="1" x="791"/>
        <item sd="0" m="1" x="704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1"/>
        <item m="1" x="581"/>
        <item m="1" x="354"/>
        <item m="1" x="104"/>
        <item sd="0" m="1" x="539"/>
        <item m="1" x="209"/>
        <item m="1" x="672"/>
        <item m="1" x="487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x="1"/>
        <item m="1" x="42"/>
        <item m="1" x="805"/>
        <item sd="0" m="1" x="488"/>
        <item m="1" x="444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39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1"/>
        <item m="1" x="345"/>
        <item m="1" x="738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5"/>
        <item m="1" x="777"/>
        <item m="1" x="145"/>
        <item m="1" x="499"/>
        <item m="1" x="468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3"/>
        <item m="1" x="775"/>
        <item m="1" x="486"/>
        <item m="1" x="741"/>
        <item sd="0" m="1" x="455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4"/>
        <item sd="0" m="1" x="686"/>
        <item sd="0" m="1" x="328"/>
        <item m="1" x="769"/>
        <item sd="0" m="1" x="804"/>
        <item m="1" x="92"/>
        <item m="1" x="573"/>
        <item m="1" x="158"/>
        <item sd="0" m="1" x="561"/>
        <item m="1" x="46"/>
        <item m="1" x="724"/>
        <item m="1" x="749"/>
        <item m="1" x="744"/>
        <item m="1" x="847"/>
        <item sd="0" m="1" x="125"/>
        <item m="1" x="466"/>
        <item m="1" x="701"/>
        <item m="1" x="429"/>
        <item m="1" x="364"/>
        <item m="1" x="101"/>
        <item m="1" x="482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0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3"/>
        <item m="1" x="800"/>
        <item m="1" x="218"/>
        <item m="1" x="827"/>
        <item m="1" x="70"/>
        <item m="1" x="119"/>
        <item m="1" x="646"/>
        <item m="1" x="412"/>
        <item m="1" x="854"/>
        <item m="1" x="433"/>
        <item m="1" x="570"/>
        <item m="1" x="489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2"/>
        <item m="1" x="663"/>
        <item m="1" x="189"/>
        <item m="1" x="660"/>
        <item m="1" x="222"/>
        <item m="1" x="450"/>
        <item m="1" x="148"/>
        <item m="1" x="363"/>
        <item m="1" x="264"/>
        <item m="1" x="292"/>
        <item m="1" x="541"/>
        <item m="1" x="810"/>
        <item m="1" x="604"/>
        <item m="1" x="32"/>
        <item m="1" x="269"/>
        <item m="1" x="752"/>
        <item m="1" x="372"/>
        <item m="1" x="247"/>
        <item m="1" x="399"/>
        <item sd="0" m="1" x="483"/>
        <item m="1" x="339"/>
        <item m="1" x="613"/>
        <item m="1" x="673"/>
        <item m="1" x="838"/>
        <item m="1" x="51"/>
        <item m="1" x="606"/>
        <item m="1" x="85"/>
        <item m="1" x="327"/>
        <item m="1" x="35"/>
        <item m="1" x="497"/>
        <item sd="0" m="1" x="507"/>
        <item m="1" x="448"/>
        <item m="1" x="167"/>
        <item m="1" x="134"/>
        <item m="1" x="253"/>
        <item m="1" x="301"/>
        <item m="1" x="819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500"/>
        <item m="1" x="62"/>
        <item m="1" x="457"/>
        <item m="1" x="83"/>
        <item m="1" x="326"/>
        <item sd="0" m="1" x="169"/>
        <item m="1" x="333"/>
        <item m="1" x="565"/>
        <item m="1" x="505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4"/>
        <item m="1" x="788"/>
        <item m="1" x="29"/>
        <item m="1" x="783"/>
        <item m="1" x="254"/>
        <item m="1" x="476"/>
        <item m="1" x="812"/>
        <item m="1" x="465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3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5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5"/>
        <item m="1" x="803"/>
        <item sd="0" m="1" x="792"/>
        <item m="1" x="201"/>
        <item m="1" x="152"/>
        <item m="1" x="237"/>
        <item m="1" x="504"/>
        <item m="1" x="787"/>
        <item m="1" x="260"/>
        <item sd="0" m="1" x="753"/>
        <item m="1" x="129"/>
        <item m="1" x="212"/>
        <item m="1" x="833"/>
        <item m="1" x="586"/>
        <item m="1" x="797"/>
        <item m="1" x="727"/>
        <item m="1" x="413"/>
        <item m="1" x="26"/>
        <item m="1" x="343"/>
        <item m="1" x="491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5"/>
        <item m="1" x="156"/>
        <item m="1" x="234"/>
        <item m="1" x="239"/>
        <item m="1" x="467"/>
        <item m="1" x="707"/>
        <item m="1" x="620"/>
        <item m="1" x="732"/>
        <item m="1" x="472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1"/>
        <item m="1" x="445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0"/>
        <item m="1" x="496"/>
        <item m="1" x="396"/>
        <item m="1" x="671"/>
        <item m="1" x="186"/>
        <item sd="0" m="1" x="410"/>
        <item m="1" x="475"/>
        <item m="1" x="837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1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9"/>
        <item sd="0" m="1" x="41"/>
        <item m="1" x="694"/>
        <item m="1" x="664"/>
        <item sd="0" m="1" x="808"/>
        <item m="1" x="816"/>
        <item m="1" x="625"/>
        <item m="1" x="460"/>
        <item m="1" x="692"/>
        <item sd="0" m="1" x="135"/>
        <item m="1" x="411"/>
        <item m="1" x="693"/>
        <item m="1" x="443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2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1"/>
        <item m="1" x="69"/>
        <item m="1" x="680"/>
        <item m="1" x="82"/>
        <item m="1" x="635"/>
        <item m="1" x="67"/>
        <item m="1" x="651"/>
        <item m="1" x="490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4"/>
        <item sd="0" m="1" x="824"/>
        <item m="1" x="36"/>
        <item m="1" x="312"/>
        <item m="1" x="825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3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x="1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0"/>
    </i>
    <i>
      <x v="29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29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3" s="1" nd="1"/>
        <i x="25" s="1" nd="1"/>
        <i x="582" s="1" nd="1"/>
        <i x="852" s="1" nd="1"/>
        <i x="21" s="1" nd="1"/>
        <i x="758" s="1" nd="1"/>
        <i x="113" s="1" nd="1"/>
        <i x="545" s="1" nd="1"/>
        <i x="828" s="1" nd="1"/>
        <i x="271" s="1" nd="1"/>
        <i x="480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70" s="1" nd="1"/>
        <i x="45" s="1" nd="1"/>
        <i x="731" s="1" nd="1"/>
        <i x="690" s="1" nd="1"/>
        <i x="217" s="1" nd="1"/>
        <i x="477" s="1" nd="1"/>
        <i x="634" s="1" nd="1"/>
        <i x="447" s="1" nd="1"/>
        <i x="809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0" s="1" nd="1"/>
        <i x="323" s="1" nd="1"/>
        <i x="462" s="1" nd="1"/>
        <i x="554" s="1" nd="1"/>
        <i x="478" s="1" nd="1"/>
        <i x="245" s="1" nd="1"/>
        <i x="848" s="1" nd="1"/>
        <i x="832" s="1" nd="1"/>
        <i x="743" s="1" nd="1"/>
        <i x="241" s="1" nd="1"/>
        <i x="240" s="1" nd="1"/>
        <i x="463" s="1" nd="1"/>
        <i x="287" s="1" nd="1"/>
        <i x="550" s="1" nd="1"/>
        <i x="845" s="1" nd="1"/>
        <i x="446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4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5" s="1" nd="1"/>
        <i x="712" s="1" nd="1"/>
        <i x="379" s="1" nd="1"/>
        <i x="208" s="1" nd="1"/>
        <i x="522" s="1" nd="1"/>
        <i x="464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6" s="1" nd="1"/>
        <i x="249" s="1" nd="1"/>
        <i x="764" s="1" nd="1"/>
        <i x="426" s="1" nd="1"/>
        <i x="437" s="1" nd="1"/>
        <i x="168" s="1" nd="1"/>
        <i x="543" s="1" nd="1"/>
        <i x="806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4" s="1" nd="1"/>
        <i x="53" s="1" nd="1"/>
        <i x="650" s="1" nd="1"/>
        <i x="471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8" s="1" nd="1"/>
        <i x="853" s="1" nd="1"/>
        <i x="829" s="1" nd="1"/>
        <i x="107" s="1" nd="1"/>
        <i x="402" s="1" nd="1"/>
        <i x="115" s="1" nd="1"/>
        <i x="653" s="1" nd="1"/>
        <i x="657" s="1" nd="1"/>
        <i x="796" s="1" nd="1"/>
        <i x="696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7" s="1" nd="1"/>
        <i x="258" s="1" nd="1"/>
        <i x="407" s="1" nd="1"/>
        <i x="840" s="1" nd="1"/>
        <i x="458" s="1" nd="1"/>
        <i x="479" s="1" nd="1"/>
        <i x="751" s="1" nd="1"/>
        <i x="639" s="1" nd="1"/>
        <i x="54" s="1" nd="1"/>
        <i x="794" s="1" nd="1"/>
        <i x="717" s="1" nd="1"/>
        <i x="418" s="1" nd="1"/>
        <i x="735" s="1" nd="1"/>
        <i x="813" s="1" nd="1"/>
        <i x="562" s="1" nd="1"/>
        <i x="559" s="1" nd="1"/>
        <i x="430" s="1" nd="1"/>
        <i x="715" s="1" nd="1"/>
        <i x="506" s="1" nd="1"/>
        <i x="174" s="1" nd="1"/>
        <i x="628" s="1" nd="1"/>
        <i x="376" s="1" nd="1"/>
        <i x="807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1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6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1" s="1" nd="1"/>
        <i x="765" s="1" nd="1"/>
        <i x="509" s="1" nd="1"/>
        <i x="821" s="1" nd="1"/>
        <i x="342" s="1" nd="1"/>
        <i x="224" s="1" nd="1"/>
        <i x="65" s="1" nd="1"/>
        <i x="636" s="1" nd="1"/>
        <i x="459" s="1" nd="1"/>
        <i x="791" s="1" nd="1"/>
        <i x="704" s="1" nd="1"/>
        <i x="235" s="1" nd="1"/>
        <i x="598" s="1" nd="1"/>
        <i x="44" s="1" nd="1"/>
        <i x="843" s="1" nd="1"/>
        <i x="124" s="1" nd="1"/>
        <i x="268" s="1" nd="1"/>
        <i x="293" s="1" nd="1"/>
        <i x="355" s="1" nd="1"/>
        <i x="99" s="1" nd="1"/>
        <i x="461" s="1" nd="1"/>
        <i x="581" s="1" nd="1"/>
        <i x="354" s="1" nd="1"/>
        <i x="104" s="1" nd="1"/>
        <i x="539" s="1" nd="1"/>
        <i x="209" s="1" nd="1"/>
        <i x="672" s="1" nd="1"/>
        <i x="487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42" s="1" nd="1"/>
        <i x="805" s="1" nd="1"/>
        <i x="488" s="1" nd="1"/>
        <i x="444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39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1" s="1" nd="1"/>
        <i x="345" s="1" nd="1"/>
        <i x="738" s="1" nd="1"/>
        <i x="246" s="1" nd="1"/>
        <i x="262" s="1" nd="1"/>
        <i x="275" s="1" nd="1"/>
        <i x="822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5" s="1" nd="1"/>
        <i x="777" s="1" nd="1"/>
        <i x="145" s="1" nd="1"/>
        <i x="499" s="1" nd="1"/>
        <i x="468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3" s="1" nd="1"/>
        <i x="775" s="1" nd="1"/>
        <i x="486" s="1" nd="1"/>
        <i x="741" s="1" nd="1"/>
        <i x="455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4" s="1" nd="1"/>
        <i x="686" s="1" nd="1"/>
        <i x="328" s="1" nd="1"/>
        <i x="769" s="1" nd="1"/>
        <i x="804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7" s="1" nd="1"/>
        <i x="125" s="1" nd="1"/>
        <i x="466" s="1" nd="1"/>
        <i x="701" s="1" nd="1"/>
        <i x="429" s="1" nd="1"/>
        <i x="364" s="1" nd="1"/>
        <i x="101" s="1" nd="1"/>
        <i x="482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0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3" s="1" nd="1"/>
        <i x="800" s="1" nd="1"/>
        <i x="218" s="1" nd="1"/>
        <i x="827" s="1" nd="1"/>
        <i x="70" s="1" nd="1"/>
        <i x="119" s="1" nd="1"/>
        <i x="646" s="1" nd="1"/>
        <i x="412" s="1" nd="1"/>
        <i x="854" s="1" nd="1"/>
        <i x="433" s="1" nd="1"/>
        <i x="570" s="1" nd="1"/>
        <i x="489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2" s="1" nd="1"/>
        <i x="663" s="1" nd="1"/>
        <i x="189" s="1" nd="1"/>
        <i x="660" s="1" nd="1"/>
        <i x="222" s="1" nd="1"/>
        <i x="450" s="1" nd="1"/>
        <i x="148" s="1" nd="1"/>
        <i x="363" s="1" nd="1"/>
        <i x="264" s="1" nd="1"/>
        <i x="292" s="1" nd="1"/>
        <i x="541" s="1" nd="1"/>
        <i x="810" s="1" nd="1"/>
        <i x="604" s="1" nd="1"/>
        <i x="32" s="1" nd="1"/>
        <i x="269" s="1" nd="1"/>
        <i x="752" s="1" nd="1"/>
        <i x="372" s="1" nd="1"/>
        <i x="247" s="1" nd="1"/>
        <i x="399" s="1" nd="1"/>
        <i x="483" s="1" nd="1"/>
        <i x="339" s="1" nd="1"/>
        <i x="613" s="1" nd="1"/>
        <i x="673" s="1" nd="1"/>
        <i x="838" s="1" nd="1"/>
        <i x="51" s="1" nd="1"/>
        <i x="606" s="1" nd="1"/>
        <i x="85" s="1" nd="1"/>
        <i x="327" s="1" nd="1"/>
        <i x="35" s="1" nd="1"/>
        <i x="497" s="1" nd="1"/>
        <i x="507" s="1" nd="1"/>
        <i x="448" s="1" nd="1"/>
        <i x="167" s="1" nd="1"/>
        <i x="134" s="1" nd="1"/>
        <i x="253" s="1" nd="1"/>
        <i x="301" s="1" nd="1"/>
        <i x="819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500" s="1" nd="1"/>
        <i x="62" s="1" nd="1"/>
        <i x="457" s="1" nd="1"/>
        <i x="83" s="1" nd="1"/>
        <i x="326" s="1" nd="1"/>
        <i x="169" s="1" nd="1"/>
        <i x="333" s="1" nd="1"/>
        <i x="565" s="1" nd="1"/>
        <i x="505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4" s="1" nd="1"/>
        <i x="788" s="1" nd="1"/>
        <i x="29" s="1" nd="1"/>
        <i x="783" s="1" nd="1"/>
        <i x="254" s="1" nd="1"/>
        <i x="476" s="1" nd="1"/>
        <i x="812" s="1" nd="1"/>
        <i x="465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3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5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5" s="1" nd="1"/>
        <i x="803" s="1" nd="1"/>
        <i x="792" s="1" nd="1"/>
        <i x="201" s="1" nd="1"/>
        <i x="152" s="1" nd="1"/>
        <i x="237" s="1" nd="1"/>
        <i x="504" s="1" nd="1"/>
        <i x="787" s="1" nd="1"/>
        <i x="260" s="1" nd="1"/>
        <i x="753" s="1" nd="1"/>
        <i x="129" s="1" nd="1"/>
        <i x="212" s="1" nd="1"/>
        <i x="833" s="1" nd="1"/>
        <i x="586" s="1" nd="1"/>
        <i x="797" s="1" nd="1"/>
        <i x="727" s="1" nd="1"/>
        <i x="413" s="1" nd="1"/>
        <i x="26" s="1" nd="1"/>
        <i x="343" s="1" nd="1"/>
        <i x="491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7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7" s="1" nd="1"/>
        <i x="707" s="1" nd="1"/>
        <i x="620" s="1" nd="1"/>
        <i x="732" s="1" nd="1"/>
        <i x="472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1" s="1" nd="1"/>
        <i x="445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0" s="1" nd="1"/>
        <i x="496" s="1" nd="1"/>
        <i x="396" s="1" nd="1"/>
        <i x="671" s="1" nd="1"/>
        <i x="186" s="1" nd="1"/>
        <i x="410" s="1" nd="1"/>
        <i x="475" s="1" nd="1"/>
        <i x="837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1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9" s="1" nd="1"/>
        <i x="41" s="1" nd="1"/>
        <i x="694" s="1" nd="1"/>
        <i x="664" s="1" nd="1"/>
        <i x="808" s="1" nd="1"/>
        <i x="816" s="1" nd="1"/>
        <i x="625" s="1" nd="1"/>
        <i x="460" s="1" nd="1"/>
        <i x="692" s="1" nd="1"/>
        <i x="135" s="1" nd="1"/>
        <i x="411" s="1" nd="1"/>
        <i x="693" s="1" nd="1"/>
        <i x="44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2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1" s="1" nd="1"/>
        <i x="69" s="1" nd="1"/>
        <i x="680" s="1" nd="1"/>
        <i x="82" s="1" nd="1"/>
        <i x="635" s="1" nd="1"/>
        <i x="67" s="1" nd="1"/>
        <i x="651" s="1" nd="1"/>
        <i x="490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4" s="1" nd="1"/>
        <i x="824" s="1" nd="1"/>
        <i x="36" s="1" nd="1"/>
        <i x="312" s="1" nd="1"/>
        <i x="825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2" s="1" nd="1"/>
        <i x="836" s="1" nd="1"/>
        <i x="493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4" s="1" nd="1"/>
        <i x="15" s="1" nd="1"/>
        <i x="24" s="1" nd="1"/>
        <i x="4" s="1" nd="1"/>
        <i x="7" s="1" nd="1"/>
        <i x="8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297844</v>
      </c>
      <c r="B2" s="12" t="s">
        <v>579</v>
      </c>
      <c r="C2" s="14">
        <v>46259</v>
      </c>
      <c r="D2" s="14">
        <v>46259</v>
      </c>
      <c r="E2" s="12">
        <v>65000</v>
      </c>
      <c r="F2" s="15" t="s">
        <v>580</v>
      </c>
      <c r="G2" s="15" t="s">
        <v>581</v>
      </c>
      <c r="H2" s="15" t="s">
        <v>582</v>
      </c>
      <c r="I2" s="16">
        <v>7594.28</v>
      </c>
      <c r="J2" s="15" t="s">
        <v>583</v>
      </c>
      <c r="K2" s="15" t="s">
        <v>584</v>
      </c>
      <c r="L2" s="15" t="s">
        <v>585</v>
      </c>
      <c r="M2" s="15">
        <v>205.39</v>
      </c>
      <c r="N2" s="15">
        <v>10</v>
      </c>
      <c r="O2" s="16">
        <v>89</v>
      </c>
      <c r="P2" s="15" t="s">
        <v>579</v>
      </c>
      <c r="Q2" s="15">
        <v>0</v>
      </c>
      <c r="R2" s="15" t="s">
        <v>586</v>
      </c>
      <c r="S2" s="15">
        <v>121.35</v>
      </c>
      <c r="T2" s="15" t="s">
        <v>587</v>
      </c>
      <c r="U2" s="15">
        <v>0</v>
      </c>
      <c r="V2" s="15">
        <v>24.65</v>
      </c>
      <c r="W2" s="15">
        <v>0</v>
      </c>
      <c r="X2" s="15">
        <v>0</v>
      </c>
      <c r="Y2" s="15">
        <v>3.8</v>
      </c>
      <c r="Z2" s="15">
        <v>0</v>
      </c>
      <c r="AA2" s="15">
        <v>424.25</v>
      </c>
      <c r="AB2" s="15">
        <v>-218.86</v>
      </c>
      <c r="AC2" s="15">
        <v>53.4</v>
      </c>
      <c r="AD2" s="15">
        <v>-272.26</v>
      </c>
      <c r="AE2" s="15">
        <v>0</v>
      </c>
      <c r="AF2" s="15">
        <v>-272.26</v>
      </c>
      <c r="AG2" s="17">
        <v>-1.3256000000000001</v>
      </c>
      <c r="AH2" s="15"/>
    </row>
    <row r="3" spans="1:34" s="1" customFormat="1" ht="12" customHeight="1" x14ac:dyDescent="0.3">
      <c r="A3" s="13">
        <v>298112</v>
      </c>
      <c r="B3" s="12" t="s">
        <v>588</v>
      </c>
      <c r="C3" s="14">
        <v>46258</v>
      </c>
      <c r="D3" s="14">
        <v>46258</v>
      </c>
      <c r="E3" s="12">
        <v>65003</v>
      </c>
      <c r="F3" s="15" t="s">
        <v>589</v>
      </c>
      <c r="G3" s="15" t="s">
        <v>590</v>
      </c>
      <c r="H3" s="15" t="s">
        <v>591</v>
      </c>
      <c r="I3" s="16">
        <v>163887.82999999999</v>
      </c>
      <c r="J3" s="15" t="s">
        <v>592</v>
      </c>
      <c r="K3" s="15" t="s">
        <v>584</v>
      </c>
      <c r="L3" s="15" t="s">
        <v>593</v>
      </c>
      <c r="M3" s="16">
        <v>2291.73</v>
      </c>
      <c r="N3" s="15">
        <v>6</v>
      </c>
      <c r="O3" s="16">
        <v>585</v>
      </c>
      <c r="P3" s="15" t="s">
        <v>594</v>
      </c>
      <c r="Q3" s="15">
        <v>19.12</v>
      </c>
      <c r="R3" s="15" t="s">
        <v>595</v>
      </c>
      <c r="S3" s="15">
        <v>0</v>
      </c>
      <c r="T3" s="15" t="s">
        <v>596</v>
      </c>
      <c r="U3" s="15">
        <v>0</v>
      </c>
      <c r="V3" s="15">
        <v>0</v>
      </c>
      <c r="W3" s="15">
        <v>0</v>
      </c>
      <c r="X3" s="15">
        <v>0</v>
      </c>
      <c r="Y3" s="15">
        <v>81.94</v>
      </c>
      <c r="Z3" s="15">
        <v>13.13</v>
      </c>
      <c r="AA3" s="16">
        <v>982.14</v>
      </c>
      <c r="AB3" s="16">
        <v>1309.5899999999999</v>
      </c>
      <c r="AC3" s="15">
        <v>595.85</v>
      </c>
      <c r="AD3" s="15">
        <v>713.74</v>
      </c>
      <c r="AE3" s="15">
        <v>0</v>
      </c>
      <c r="AF3" s="15">
        <v>713.74</v>
      </c>
      <c r="AG3" s="17">
        <v>0.31140000000000001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2497.12</v>
      </c>
      <c r="F3" s="89"/>
      <c r="G3" s="90"/>
      <c r="H3" s="133">
        <f>'Resumo Detalhado'!C2</f>
        <v>674</v>
      </c>
      <c r="I3" s="134"/>
      <c r="J3" s="135">
        <f>E3/H3</f>
        <v>3.7049258160237386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0.56166666666666665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919.12</v>
      </c>
      <c r="F7" s="112"/>
      <c r="G7" s="112"/>
      <c r="H7" s="112"/>
      <c r="I7" s="112"/>
      <c r="J7" s="112">
        <f>E7/H3</f>
        <v>1.363679525222552</v>
      </c>
      <c r="K7" s="112"/>
      <c r="L7" s="112"/>
      <c r="M7" s="130">
        <f>E7/E3</f>
        <v>0.36807201896584868</v>
      </c>
      <c r="N7" s="130"/>
      <c r="O7" s="130"/>
      <c r="P7" s="112">
        <f>E11+K11+Q11+E15+K15+Q15+E19+H19+K19</f>
        <v>1728.8188</v>
      </c>
      <c r="Q7" s="112"/>
      <c r="R7" s="112"/>
      <c r="S7" s="112">
        <f>P7/H3</f>
        <v>2.5650130563798221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900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900</v>
      </c>
      <c r="L11" s="90"/>
      <c r="M11" s="38"/>
      <c r="N11" s="88">
        <f>K11/H3</f>
        <v>1.3353115727002967</v>
      </c>
      <c r="O11" s="90"/>
      <c r="P11" s="38"/>
      <c r="Q11" s="88">
        <f>'Resumo Detalhado'!D2</f>
        <v>19.12</v>
      </c>
      <c r="R11" s="90"/>
      <c r="S11" s="38"/>
      <c r="T11" s="88">
        <f>Q11/H3</f>
        <v>2.8367952522255196E-2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24.65</v>
      </c>
      <c r="F15" s="119"/>
      <c r="G15" s="119"/>
      <c r="H15" s="119"/>
      <c r="I15" s="132"/>
      <c r="J15" s="38"/>
      <c r="K15" s="113">
        <f>'Resumo Detalhado'!K2+'Resumo Detalhado'!L2</f>
        <v>399.53919999999999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85.74</v>
      </c>
      <c r="F19" s="120"/>
      <c r="G19" s="38"/>
      <c r="H19" s="122">
        <v>100</v>
      </c>
      <c r="I19" s="123"/>
      <c r="J19" s="38"/>
      <c r="K19" s="122">
        <f>'Resumo Detalhado'!L2</f>
        <v>199.7696</v>
      </c>
      <c r="L19" s="123"/>
      <c r="M19" s="38"/>
      <c r="N19" s="121" t="s">
        <v>219</v>
      </c>
      <c r="O19" s="119"/>
      <c r="P19" s="119"/>
      <c r="Q19" s="119"/>
      <c r="R19" s="120"/>
      <c r="S19" s="121">
        <f>_xlfn.XLOOKUP(N19,Target!C:C,Target!D:D)</f>
        <v>2300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1833.5907999999997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0.73428221310950204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597</v>
      </c>
      <c r="F1" s="29"/>
    </row>
    <row r="2" spans="1:18" x14ac:dyDescent="0.3">
      <c r="B2" s="29">
        <f>SUM(B6:B5000)</f>
        <v>2497.12</v>
      </c>
      <c r="C2" s="29">
        <f>SUM(C6:C5000)</f>
        <v>674</v>
      </c>
      <c r="D2" s="29">
        <f>SUM(D6:D5000)</f>
        <v>19.12</v>
      </c>
      <c r="E2" s="29">
        <f>SUM(E6:E5000)</f>
        <v>121.35</v>
      </c>
      <c r="F2" s="29">
        <f>SUM(F6:F5000)</f>
        <v>0</v>
      </c>
      <c r="G2" s="29"/>
      <c r="H2" s="29">
        <f t="shared" ref="H2:P2" si="0">SUM(H6:H5000)</f>
        <v>24.65</v>
      </c>
      <c r="I2" s="29">
        <f t="shared" si="0"/>
        <v>85.74</v>
      </c>
      <c r="J2" s="29">
        <f t="shared" si="0"/>
        <v>13.13</v>
      </c>
      <c r="K2" s="29">
        <f t="shared" si="0"/>
        <v>199.7696</v>
      </c>
      <c r="L2" s="29">
        <f t="shared" si="0"/>
        <v>199.7696</v>
      </c>
      <c r="M2" s="29">
        <f t="shared" si="0"/>
        <v>0</v>
      </c>
      <c r="N2" s="29">
        <f t="shared" si="0"/>
        <v>1833.5907999999997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297844</v>
      </c>
      <c r="B6" s="140">
        <v>205.39</v>
      </c>
      <c r="C6" s="141">
        <v>89</v>
      </c>
      <c r="D6" s="140">
        <v>0</v>
      </c>
      <c r="E6" s="140">
        <v>121.35</v>
      </c>
      <c r="F6" s="140">
        <v>0</v>
      </c>
      <c r="G6" s="142">
        <v>0.59082720677735046</v>
      </c>
      <c r="H6" s="140">
        <v>24.65</v>
      </c>
      <c r="I6" s="140">
        <v>3.8</v>
      </c>
      <c r="J6" s="140">
        <v>0</v>
      </c>
      <c r="K6" s="140">
        <v>16.4312</v>
      </c>
      <c r="L6" s="140">
        <v>16.4312</v>
      </c>
      <c r="M6" s="140">
        <v>0</v>
      </c>
      <c r="N6" s="140">
        <v>22.727599999999999</v>
      </c>
      <c r="O6" s="142">
        <v>0.11065582550270218</v>
      </c>
      <c r="Q6"/>
    </row>
    <row r="7" spans="1:18" s="31" customFormat="1" x14ac:dyDescent="0.3">
      <c r="A7" s="9" t="s">
        <v>590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298112</v>
      </c>
      <c r="B8" s="140">
        <v>2291.73</v>
      </c>
      <c r="C8" s="141">
        <v>585</v>
      </c>
      <c r="D8" s="140">
        <v>19.12</v>
      </c>
      <c r="E8" s="140">
        <v>0</v>
      </c>
      <c r="F8" s="140">
        <v>0</v>
      </c>
      <c r="G8" s="142">
        <v>8.3430421559258731E-3</v>
      </c>
      <c r="H8" s="140">
        <v>0</v>
      </c>
      <c r="I8" s="140">
        <v>81.94</v>
      </c>
      <c r="J8" s="140">
        <v>13.13</v>
      </c>
      <c r="K8" s="140">
        <v>183.33840000000001</v>
      </c>
      <c r="L8" s="140">
        <v>183.33840000000001</v>
      </c>
      <c r="M8" s="140">
        <v>0</v>
      </c>
      <c r="N8" s="140">
        <v>1810.8631999999998</v>
      </c>
      <c r="O8" s="142">
        <v>0.79017301340035684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597</v>
      </c>
    </row>
    <row r="2" spans="1:4" x14ac:dyDescent="0.3">
      <c r="B2" s="29">
        <f>SUM(B6:B5000)</f>
        <v>2291.73</v>
      </c>
      <c r="C2" s="29">
        <f>SUM(C6:C5000)</f>
        <v>1810.8631999999998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205.39</v>
      </c>
      <c r="C5" s="10">
        <v>22.727599999999999</v>
      </c>
    </row>
    <row r="6" spans="1:4" x14ac:dyDescent="0.3">
      <c r="A6" s="9" t="s">
        <v>590</v>
      </c>
      <c r="B6" s="140">
        <v>2291.73</v>
      </c>
      <c r="C6" s="140">
        <v>1810.8631999999998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2026-09-01T17:33:40Z</dcterms:modified>
  <cp:category/>
  <cp:contentStatus/>
</cp:coreProperties>
</file>