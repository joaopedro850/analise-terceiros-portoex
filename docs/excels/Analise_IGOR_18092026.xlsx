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67F5A5E-3017-4BD8-BF2C-5DB8457556B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<sst xmlns="http://schemas.openxmlformats.org/spreadsheetml/2006/main" count="884" uniqueCount="609">
  <si>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</si>
  <si>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</si>
  <si>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</si>
  <si>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</si>
  <si>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</si>
  <si>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</si>
  <si>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</si>
  <si>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</si>
  <si>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</si>
  <si>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</si>
  <si>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</si>
  <si>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</si>
  <si>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</si>
  <si>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</si>
  <si>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</si>
  <si>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</si>
  <si>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</si>
  <si>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</si>
  <si>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</si>
  <si>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</si>
  <si>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</si>
  <si>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</si>
  <si>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</si>
  <si>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</si>
  <si>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</si>
  <si>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</si>
  <si>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</si>
  <si>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</si>
  <si>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</si>
  <si>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</si>
  <si>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</si>
  <si>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</si>
  <si>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</si>
  <si>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</si>
  <si>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</si>
  <si>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</si>
  <si>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</si>
  <si>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</si>
  <si>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</si>
  <si>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</si>
  <si>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</si>
  <si>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</si>
  <si>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</si>
  <si>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</si>
  <si>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</si>
  <si>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</si>
  <si>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</si>
  <si>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</si>
  <si>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</si>
  <si>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</si>
  <si>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</si>
  <si>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</si>
  <si>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</si>
  <si>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</si>
  <si>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</si>
  <si>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</si>
  <si>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</si>
  <si>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</si>
  <si>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</si>
  <si>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</si>
  <si>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</si>
  <si>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</si>
  <si>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</si>
  <si>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</si>
  <si>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</si>
  <si>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</si>
  <si>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</si>
  <si>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</si>
  <si>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</si>
  <si>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</si>
  <si>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</si>
  <si>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</si>
  <si>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</si>
  <si>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</si>
  <si>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</si>
  <si>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</si>
  <si>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</si>
  <si>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</si>
  <si>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</si>
  <si>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</si>
  <si>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</si>
  <si>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</si>
  <si>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</si>
  <si>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</si>
  <si>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</si>
  <si>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</si>
  <si>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</si>
  <si>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</si>
  <si>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</si>
  <si>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</si>
  <si>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</si>
  <si>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</si>
  <si>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</si>
  <si>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</si>
  <si>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</si>
  <si>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</si>
  <si>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</si>
  <si>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</si>
  <si>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</si>
  <si>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</si>
  <si>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</si>
  <si>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</si>
  <si>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</si>
  <si>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</si>
  <si>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</si>
  <si>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</si>
  <si>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</si>
  <si>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</si>
  <si>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</si>
  <si>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</si>
  <si>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</si>
  <si>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</si>
  <si>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</si>
  <si>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</si>
  <si>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</si>
  <si>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</si>
  <si>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</si>
  <si>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</si>
  <si>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</si>
  <si>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</si>
  <si>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</si>
  <si>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</si>
  <si>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</si>
  <si>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</si>
  <si>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</si>
  <si>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</si>
  <si>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</si>
  <si>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</si>
  <si>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</si>
  <si>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</si>
  <si>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</si>
  <si>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</si>
  <si>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</si>
  <si>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</si>
  <si>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</si>
  <si>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</si>
  <si>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</si>
  <si>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</si>
  <si>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</si>
  <si>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</si>
  <si>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</si>
  <si>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</si>
  <si>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</si>
  <si>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</si>
  <si>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</si>
  <si>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</si>
  <si>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</si>
  <si>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</si>
  <si>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</si>
  <si>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</si>
  <si>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</si>
  <si>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</si>
  <si>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</si>
  <si>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</si>
  <si>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</si>
  <si>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</si>
  <si>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</si>
  <si>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</si>
  <si>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</si>
  <si>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</si>
  <si>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</si>
  <si>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</si>
  <si>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</si>
  <si>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</si>
  <si>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</si>
  <si>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</si>
  <si>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</si>
  <si>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</si>
  <si>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</si>
  <si>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</si>
  <si>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</si>
  <si>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</si>
  <si>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</si>
  <si>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</si>
  <si>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</si>
  <si>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</si>
  <si>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</si>
  <si>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</si>
  <si>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</si>
  <si>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</si>
  <si>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</si>
  <si>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</si>
  <si>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</si>
  <si>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</si>
  <si>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</si>
  <si>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</si>
  <si>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</si>
  <si>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</si>
  <si>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</si>
  <si>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</si>
  <si>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</si>
  <si>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</si>
  <si>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</si>
  <si>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</si>
  <si>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</si>
  <si>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</si>
  <si>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</si>
  <si>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</si>
  <si>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</si>
  <si>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</si>
  <si>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</si>
  <si>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</si>
  <si>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</si>
  <si>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</si>
  <si>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</si>
  <si>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</si>
  <si>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</si>
  <si>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</si>
  <si>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</si>
  <si>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</si>
  <si>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</si>
  <si>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</si>
  <si>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</si>
  <si>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</si>
  <si>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</si>
  <si>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</si>
  <si>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</si>
  <si>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</si>
  <si>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</si>
  <si>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</si>
  <si>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</si>
  <si>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</si>
  <si>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</si>
  <si>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</si>
  <si>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</si>
  <si>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</si>
  <si>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</si>
  <si>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</si>
  <si>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</si>
  <si>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</si>
  <si>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</si>
  <si>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</si>
  <si>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</si>
  <si>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</si>
  <si>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</si>
  <si>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</si>
  <si>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</si>
  <si>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</si>
  <si>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</si>
  <si>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</si>
  <si>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</si>
  <si>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</si>
  <si>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</si>
  <si>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</si>
  <si>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</si>
  <si>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</si>
  <si>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</si>
  <si>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</si>
  <si>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</si>
  <si>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</si>
  <si>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</si>
  <si>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</si>
  <si>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</si>
  <si>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</si>
  <si>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</si>
  <si>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</si>
  <si>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</si>
  <si>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</si>
  <si>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</si>
  <si>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</si>
  <si>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</si>
  <si>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</si>
  <si>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</si>
  <si>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</si>
  <si>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</si>
  <si>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</si>
  <si>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</si>
  <si>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</si>
  <si>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</si>
  <si>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</si>
  <si>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</si>
  <si>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</si>
  <si>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</si>
  <si>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</si>
  <si>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</si>
  <si>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</si>
  <si>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</si>
  <si>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</si>
  <si>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</si>
  <si>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</si>
  <si>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</si>
  <si>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</si>
  <si>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</si>
  <si>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</si>
  <si>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</si>
  <si>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</si>
  <si>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</si>
  <si>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</si>
  <si>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</si>
  <si>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</si>
  <si>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</si>
  <si>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</si>
  <si>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</si>
  <si>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</si>
  <si>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</si>
  <si>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</si>
  <si>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</si>
  <si>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</si>
  <si>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</si>
  <si>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</si>
  <si>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</si>
  <si>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</si>
  <si>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</si>
  <si>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</si>
  <si>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</si>
  <si>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</si>
  <si>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</si>
  <si>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</si>
  <si>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</si>
  <si>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</si>
  <si>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</si>
  <si>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</si>
  <si>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</si>
  <si>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</si>
  <si>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</si>
  <si>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</si>
  <si>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</si>
  <si>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</si>
  <si>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</si>
  <si>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</si>
  <si>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</si>
  <si>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</si>
  <si>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</si>
  <si>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</si>
  <si>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</si>
  <si>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</si>
  <si>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</si>
  <si>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</si>
  <si>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</si>
  <si>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</si>
  <si>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</si>
  <si>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</si>
  <si>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</si>
  <si>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</si>
  <si>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</si>
  <si>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</si>
  <si>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</si>
  <si>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</si>
  <si>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</si>
  <si>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</si>
  <si>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</si>
  <si>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</si>
  <si>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</si>
  <si>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</si>
  <si>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</si>
  <si>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</si>
  <si>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</si>
  <si>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</si>
  <si>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</si>
  <si>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</si>
  <si>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</si>
  <si>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</si>
  <si>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</si>
  <si>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</si>
  <si>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</si>
  <si>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</si>
  <si>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</si>
  <si>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</si>
  <si>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</si>
  <si>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</si>
  <si>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</si>
  <si>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</si>
  <si>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</si>
  <si>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</si>
  <si>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</si>
  <si>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</si>
  <si>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</si>
  <si>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</si>
  <si>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</si>
  <si>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</si>
  <si>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</si>
  <si>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</si>
  <si>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</si>
  <si>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</si>
  <si>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</si>
  <si>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</si>
  <si>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</si>
  <si>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</si>
  <si>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</si>
  <si>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</si>
  <si>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</si>
  <si>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</si>
  <si>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</si>
  <si>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</si>
  <si>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</si>
  <si>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</si>
  <si>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</si>
  <si>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</si>
  <si>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</si>
  <si>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</si>
  <si>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</si>
  <si>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</si>
  <si>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</si>
  <si>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</si>
  <si>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</si>
  <si>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</si>
  <si>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</si>
  <si>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</si>
  <si>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</si>
  <si>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</si>
  <si>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</si>
  <si>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</si>
  <si>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</si>
  <si>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</si>
  <si>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</si>
  <si>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</si>
  <si>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</si>
  <si>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</si>
  <si>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</si>
  <si>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</si>
  <si>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</si>
  <si>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</si>
  <si>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</si>
  <si>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</si>
  <si>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</si>
  <si>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</si>
  <si>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</si>
  <si>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</si>
  <si>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</si>
  <si>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</si>
  <si>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</si>
  <si>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</si>
  <si>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</si>
  <si>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</si>
  <si>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</si>
  <si>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</si>
  <si>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</si>
  <si>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</si>
  <si>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</si>
  <si>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</si>
  <si>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</si>
  <si>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</si>
  <si>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</si>
  <si>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</si>
  <si>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</si>
  <si>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</si>
  <si>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</si>
  <si>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</si>
  <si>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</si>
  <si>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</si>
  <si>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</si>
  <si>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</si>
  <si>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</si>
  <si>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</si>
  <si>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</si>
  <si>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</si>
  <si>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</si>
  <si>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</si>
  <si>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</si>
  <si>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</si>
  <si>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</si>
  <si>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</si>
  <si>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</si>
  <si>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</si>
  <si>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</si>
  <si>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</si>
  <si>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</si>
  <si>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</si>
  <si>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</si>
  <si>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</si>
  <si>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</si>
  <si>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</si>
  <si>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</si>
  <si>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</si>
  <si>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</si>
  <si>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</si>
  <si>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</si>
  <si>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</si>
  <si>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</si>
  <si>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</si>
  <si>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</si>
  <si>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</si>
  <si>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</si>
  <si>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</si>
  <si>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</si>
  <si>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</si>
  <si>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</si>
  <si>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</si>
  <si>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</si>
  <si>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</si>
  <si>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</si>
  <si>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</si>
  <si>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</si>
  <si>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</si>
  <si>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</si>
  <si>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</si>
  <si>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</si>
  <si>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</si>
  <si>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</si>
  <si>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</si>
  <si>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</si>
  <si>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</si>
  <si>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</si>
  <si>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</si>
  <si>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</si>
  <si>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</si>
  <si>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</si>
  <si>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</si>
  <si>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</si>
  <si>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</si>
  <si>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</si>
  <si>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</si>
  <si>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</si>
  <si>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</si>
  <si>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</si>
  <si>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</si>
  <si>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</si>
  <si>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</si>
  <si>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</si>
  <si>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</si>
  <si>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</si>
  <si>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</si>
  <si>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</si>
  <si>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</si>
  <si>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</si>
  <si>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</si>
  <si>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</si>
  <si>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</si>
  <si>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</si>
  <si>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</si>
  <si>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</si>
  <si>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</si>
  <si>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</si>
  <si>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</si>
  <si>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</si>
  <si>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</si>
  <si>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</si>
  <si>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</si>
  <si>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</si>
  <si>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</si>
  <si>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</si>
  <si>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</si>
  <si>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</si>
  <si>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</si>
  <si>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</si>
  <si>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</si>
  <si>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</si>
  <si>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</si>
  <si>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</si>
  <si>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</si>
  <si>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</si>
  <si>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</si>
  <si>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</si>
  <si>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</si>
  <si>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</si>
  <si>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</si>
  <si>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</si>
  <si>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</si>
  <si>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</si>
  <si>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</si>
  <si>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</si>
  <si>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</si>
  <si>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</si>
  <si>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</si>
  <si>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</si>
  <si>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</si>
  <si>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</si>
  <si>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</si>
  <si>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</si>
  <si>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</si>
  <si>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</si>
  <si>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</si>
  <si>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</si>
  <si>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</si>
  <si>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</si>
  <si>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</si>
  <si>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</si>
  <si>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</si>
  <si>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</si>
  <si>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</si>
  <si>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</si>
  <si>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</si>
  <si>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</si>
  <si>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</si>
  <si>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</si>
  <si>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</si>
  <si>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</si>
  <si>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</si>
  <si>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</si>
  <si>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</si>
  <si>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</si>
  <si>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</si>
  <si>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</si>
  <si>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</si>
  <si>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</si>
  <si>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</si>
  <si>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</si>
  <si>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</si>
  <si>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</si>
  <si>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</si>
  <si>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</si>
  <si>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</si>
  <si>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MATRIZ</t>
  </si>
  <si>
    <t>203015-1</t>
  </si>
  <si>
    <t>BSG BIJOU BRASI</t>
  </si>
  <si>
    <t>TIAGO SANTANA</t>
  </si>
  <si>
    <t>ECONOMICO_250</t>
  </si>
  <si>
    <t>CTE NORMAL</t>
  </si>
  <si>
    <t>BELO HORIZONTE - MG</t>
  </si>
  <si>
    <t>LUIZ FELIPE FERNANDES DA</t>
  </si>
  <si>
    <t>CAMILO DOS SANTOS/COLETA</t>
  </si>
  <si>
    <t>IGOR CLAUDIO SILVA PEREIR</t>
  </si>
  <si>
    <t>203447-1</t>
  </si>
  <si>
    <t>BATIKI COM IMPO</t>
  </si>
  <si>
    <t>GUARULHOS - SP</t>
  </si>
  <si>
    <t>ANTONIO CARLOS DA SILVA</t>
  </si>
  <si>
    <t>JOSE EMILTON DA COSTA - O</t>
  </si>
  <si>
    <t>Fiorino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</si>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</sst>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[Analise_IGOR_18092026.xlsx]Resumo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BSG BIJOU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134.88</c:v>
                </c:pt>
                <c:pt idx="1">
                  <c:v>739.94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BSG BIJOU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53.739600000000003</c:v>
                </c:pt>
                <c:pt idx="1">
                  <c:v>316.72479999999996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[Analise_IGOR_18092026.xlsx]Resumo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BSG BIJOU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134.88</c:v>
                </c:pt>
                <c:pt idx="1">
                  <c:v>739.94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BSG BIJOU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53.739600000000003</c:v>
                </c:pt>
                <c:pt idx="1">
                  <c:v>316.72479999999996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8.41856574074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1717" count="8000">
        <n v="300517"/>
        <n v="30171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0T00:00:00" maxDate="2026-09-19T00:00:00"/>
    </cacheField>
    <cacheField name="DATA" numFmtId="14">
      <sharedItems containsNonDate="0" containsDate="1" containsString="0" containsBlank="1" minDate="2026-09-10T00:00:00" maxDate="2026-09-1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BSG BIJOU BRASI"/>
        <s v="BATIKI COM IMP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997.44" maxValue="13606.44"/>
    </cacheField>
    <cacheField name="SERVICO" numFmtId="0">
      <sharedItems containsBlank="1" count="27"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34.88" maxValue="739.94"/>
    </cacheField>
    <cacheField name="VOLUMES" numFmtId="0">
      <sharedItems containsString="0" containsBlank="1" containsNumber="1" containsInteger="1" minValue="9" maxValue="16"/>
    </cacheField>
    <cacheField name="PESO" numFmtId="0">
      <sharedItems containsString="0" containsBlank="1" containsNumber="1" minValue="45" maxValue="277.5"/>
    </cacheField>
    <cacheField name="RESP. COLETA" numFmtId="0">
      <sharedItems containsBlank="1"/>
    </cacheField>
    <cacheField name="CUSTO COLETA" numFmtId="0">
      <sharedItems containsString="0" containsBlank="1" containsNumber="1" minValue="7.0000000000000007E-2" maxValue="12.66"/>
    </cacheField>
    <cacheField name="RESP. ENTREGA" numFmtId="0">
      <sharedItems containsBlank="1"/>
    </cacheField>
    <cacheField name="CUSTO ENTREGA" numFmtId="0">
      <sharedItems containsString="0" containsBlank="1" containsNumber="1" minValue="40" maxValue="255.72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6.190000000000001" maxValue="88.7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5" maxValue="6.8"/>
    </cacheField>
    <cacheField name="OUTROS" numFmtId="0">
      <sharedItems containsString="0" containsBlank="1" containsNumber="1" minValue="0" maxValue="12.64"/>
    </cacheField>
    <cacheField name="C.TOTAL" numFmtId="0">
      <sharedItems containsString="0" containsBlank="1" containsNumber="1" minValue="321.51" maxValue="2043.59"/>
    </cacheField>
    <cacheField name="RECEITA" numFmtId="0">
      <sharedItems containsString="0" containsBlank="1" containsNumber="1" minValue="-1303.6500000000001" maxValue="-186.63"/>
    </cacheField>
    <cacheField name="IMPOSTO" numFmtId="0">
      <sharedItems containsString="0" containsBlank="1" containsNumber="1" minValue="35.07" maxValue="192.38"/>
    </cacheField>
    <cacheField name="RESULTADO" numFmtId="0">
      <sharedItems containsString="0" containsBlank="1" containsNumber="1" minValue="-1496.03" maxValue="-221.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496.03" maxValue="-221.7"/>
    </cacheField>
    <cacheField name="MARGEM" numFmtId="10">
      <sharedItems containsString="0" containsBlank="1" containsNumber="1" minValue="-2.0218000000000003" maxValue="-1.6436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0T00:00:00"/>
    <d v="2026-09-10T00:00:00"/>
    <m/>
    <s v="203015-1"/>
    <x v="0"/>
    <s v="TIAGO SANTANA"/>
    <n v="13606.44"/>
    <x v="0"/>
    <s v="CTE NORMAL"/>
    <s v="BELO HORIZONTE - MG"/>
    <n v="739.94"/>
    <n v="16"/>
    <n v="277.5"/>
    <s v="LUIZ FELIPE FERNANDES DA"/>
    <n v="7.0000000000000007E-2"/>
    <s v="CAMILO DOS SANTOS/COLETA"/>
    <n v="255.72"/>
    <s v="IGOR CLAUDIO SILVA PEREIR"/>
    <n v="0"/>
    <n v="88.79"/>
    <n v="0"/>
    <n v="0"/>
    <n v="6.8"/>
    <n v="12.64"/>
    <n v="2043.59"/>
    <n v="-1303.6500000000001"/>
    <n v="192.38"/>
    <n v="-1496.03"/>
    <n v="0"/>
    <n v="-1496.03"/>
    <n v="-2.0218000000000003"/>
    <m/>
  </r>
  <r>
    <x v="1"/>
    <s v="MATRIZ"/>
    <d v="2026-09-18T00:00:00"/>
    <d v="2026-09-18T00:00:00"/>
    <m/>
    <s v="203447-1"/>
    <x v="1"/>
    <s v="TIAGO SANTANA"/>
    <n v="2997.44"/>
    <x v="0"/>
    <s v="CTE NORMAL"/>
    <s v="GUARULHOS - SP"/>
    <n v="134.88"/>
    <n v="9"/>
    <n v="45"/>
    <s v="ANTONIO CARLOS DA SILVA"/>
    <n v="12.66"/>
    <s v="JOSE EMILTON DA COSTA - O"/>
    <n v="40"/>
    <s v="IGOR CLAUDIO SILVA PEREIR"/>
    <n v="0"/>
    <n v="16.190000000000001"/>
    <n v="0"/>
    <n v="0"/>
    <n v="1.5"/>
    <n v="0"/>
    <n v="321.51"/>
    <n v="-186.63"/>
    <n v="35.07"/>
    <n v="-221.7"/>
    <n v="0"/>
    <n v="-221.7"/>
    <n v="-1.6436999999999999"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5"/>
        <item sd="0" m="1" x="503"/>
        <item m="1" x="25"/>
        <item m="1" x="582"/>
        <item m="1" x="852"/>
        <item m="1" x="21"/>
        <item m="1" x="757"/>
        <item m="1" x="113"/>
        <item m="1" x="545"/>
        <item m="1" x="828"/>
        <item m="1" x="271"/>
        <item m="1" x="480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70"/>
        <item m="1" x="45"/>
        <item sd="0" m="1" x="730"/>
        <item m="1" x="689"/>
        <item m="1" x="217"/>
        <item sd="0" m="1" x="477"/>
        <item m="1" x="633"/>
        <item m="1" x="447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2"/>
        <item m="1" x="507"/>
        <item sd="0" m="1" x="554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50"/>
        <item m="1" x="845"/>
        <item m="1" x="446"/>
        <item m="1" x="530"/>
        <item m="1" x="665"/>
        <item m="1" x="519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2"/>
        <item m="1" x="207"/>
        <item m="1" x="674"/>
        <item m="1" x="140"/>
        <item m="1" x="688"/>
        <item m="1" x="454"/>
        <item m="1" x="409"/>
        <item x="1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2"/>
        <item m="1" x="464"/>
        <item m="1" x="139"/>
        <item m="1" x="661"/>
        <item m="1" x="373"/>
        <item m="1" x="155"/>
        <item m="1" x="252"/>
        <item m="1" x="628"/>
        <item m="1" x="736"/>
        <item m="1" x="422"/>
        <item m="1" x="81"/>
        <item m="1" x="696"/>
        <item m="1" x="285"/>
        <item m="1" x="846"/>
        <item m="1" x="249"/>
        <item sd="0" m="1" x="763"/>
        <item m="1" x="426"/>
        <item m="1" x="437"/>
        <item m="1" x="168"/>
        <item m="1" x="543"/>
        <item m="1" x="806"/>
        <item sd="0" m="1" x="620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x="0"/>
        <item sd="0" m="1" x="767"/>
        <item m="1" x="484"/>
        <item m="1" x="53"/>
        <item m="1" x="649"/>
        <item m="1" x="471"/>
        <item m="1" x="250"/>
        <item m="1" x="329"/>
        <item m="1" x="438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7"/>
        <item m="1" x="853"/>
        <item sd="0" m="1" x="829"/>
        <item m="1" x="107"/>
        <item m="1" x="402"/>
        <item m="1" x="115"/>
        <item sd="0" m="1" x="652"/>
        <item m="1" x="656"/>
        <item m="1" x="795"/>
        <item sd="0" m="1" x="695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0"/>
        <item sd="0" m="1" x="638"/>
        <item m="1" x="54"/>
        <item m="1" x="793"/>
        <item m="1" x="716"/>
        <item m="1" x="418"/>
        <item m="1" x="734"/>
        <item m="1" x="813"/>
        <item m="1" x="562"/>
        <item m="1" x="559"/>
        <item m="1" x="430"/>
        <item m="1" x="714"/>
        <item m="1" x="506"/>
        <item m="1" x="174"/>
        <item m="1" x="627"/>
        <item m="1" x="376"/>
        <item m="1" x="807"/>
        <item m="1" x="60"/>
        <item m="1" x="631"/>
        <item m="1" x="531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11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3"/>
        <item m="1" x="580"/>
        <item m="1" x="518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2"/>
        <item m="1" x="557"/>
        <item m="1" x="626"/>
        <item m="1" x="346"/>
        <item m="1" x="434"/>
        <item m="1" x="708"/>
        <item m="1" x="211"/>
        <item m="1" x="440"/>
        <item sd="0" m="1" x="103"/>
        <item sd="0" m="1" x="197"/>
        <item m="1" x="831"/>
        <item m="1" x="764"/>
        <item m="1" x="510"/>
        <item m="1" x="821"/>
        <item m="1" x="342"/>
        <item m="1" x="224"/>
        <item m="1" x="65"/>
        <item m="1" x="635"/>
        <item m="1" x="459"/>
        <item m="1" x="790"/>
        <item m="1" x="703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1"/>
        <item m="1" x="487"/>
        <item m="1" x="640"/>
        <item m="1" x="607"/>
        <item m="1" x="532"/>
        <item sd="0" m="1" x="564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5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40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90"/>
        <item m="1" x="747"/>
        <item sd="0" m="1" x="270"/>
        <item m="1" x="18"/>
        <item m="1" x="637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8"/>
        <item m="1" x="332"/>
        <item m="1" x="625"/>
        <item m="1" x="542"/>
        <item sd="0" m="1" x="370"/>
        <item sd="0" m="1" x="336"/>
        <item sd="0" m="1" x="176"/>
        <item m="1" x="421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9"/>
        <item m="1" x="815"/>
        <item m="1" x="776"/>
        <item m="1" x="145"/>
        <item m="1" x="499"/>
        <item m="1" x="468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m="1" x="549"/>
        <item m="1" x="61"/>
        <item m="1" x="453"/>
        <item m="1" x="774"/>
        <item m="1" x="486"/>
        <item m="1" x="740"/>
        <item sd="0" m="1" x="455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1"/>
        <item m="1" x="664"/>
        <item m="1" x="494"/>
        <item sd="0" m="1" x="685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6"/>
        <item m="1" x="700"/>
        <item m="1" x="429"/>
        <item m="1" x="364"/>
        <item m="1" x="101"/>
        <item m="1" x="482"/>
        <item m="1" x="608"/>
        <item sd="0" m="1" x="715"/>
        <item sd="0" m="1" x="55"/>
        <item m="1" x="299"/>
        <item m="1" x="682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4"/>
        <item m="1" x="735"/>
        <item sd="0" m="1" x="133"/>
        <item m="1" x="87"/>
        <item m="1" x="210"/>
        <item m="1" x="681"/>
        <item m="1" x="276"/>
        <item m="1" x="473"/>
        <item m="1" x="799"/>
        <item m="1" x="218"/>
        <item m="1" x="827"/>
        <item m="1" x="70"/>
        <item m="1" x="119"/>
        <item m="1" x="645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8"/>
        <item m="1" x="302"/>
        <item m="1" x="310"/>
        <item m="1" x="368"/>
        <item m="1" x="492"/>
        <item m="1" x="662"/>
        <item m="1" x="189"/>
        <item m="1" x="659"/>
        <item m="1" x="222"/>
        <item m="1" x="450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1"/>
        <item m="1" x="372"/>
        <item m="1" x="247"/>
        <item m="1" x="399"/>
        <item sd="0" m="1" x="483"/>
        <item m="1" x="339"/>
        <item m="1" x="613"/>
        <item m="1" x="672"/>
        <item m="1" x="838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7"/>
        <item m="1" x="311"/>
        <item m="1" x="75"/>
        <item sd="0" m="1" x="669"/>
        <item m="1" x="95"/>
        <item m="1" x="441"/>
        <item sd="0" m="1" x="352"/>
        <item m="1" x="784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0"/>
        <item m="1" x="535"/>
        <item m="1" x="644"/>
        <item m="1" x="610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8"/>
        <item m="1" x="775"/>
        <item sd="0" m="1" x="72"/>
        <item m="1" x="713"/>
        <item m="1" x="574"/>
        <item m="1" x="185"/>
        <item m="1" x="717"/>
        <item m="1" x="112"/>
        <item m="1" x="255"/>
        <item m="1" x="513"/>
        <item m="1" x="96"/>
        <item m="1" x="523"/>
        <item m="1" x="789"/>
        <item m="1" x="20"/>
        <item m="1" x="538"/>
        <item m="1" x="636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1"/>
        <item m="1" x="605"/>
        <item m="1" x="442"/>
        <item m="1" x="23"/>
        <item m="1" x="595"/>
        <item m="1" x="436"/>
        <item m="1" x="68"/>
        <item m="1" x="655"/>
        <item m="1" x="677"/>
        <item m="1" x="566"/>
        <item m="1" x="516"/>
        <item m="1" x="599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7"/>
        <item m="1" x="281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4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1"/>
        <item m="1" x="512"/>
        <item m="1" x="769"/>
        <item m="1" x="719"/>
        <item m="1" x="760"/>
        <item m="1" x="520"/>
        <item m="1" x="642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7"/>
        <item m="1" x="706"/>
        <item m="1" x="619"/>
        <item m="1" x="731"/>
        <item m="1" x="472"/>
        <item m="1" x="552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7"/>
        <item m="1" x="614"/>
        <item m="1" x="777"/>
        <item m="1" x="395"/>
        <item m="1" x="401"/>
        <item m="1" x="704"/>
        <item m="1" x="404"/>
        <item m="1" x="830"/>
        <item m="1" x="496"/>
        <item m="1" x="396"/>
        <item m="1" x="670"/>
        <item m="1" x="186"/>
        <item sd="0" m="1" x="410"/>
        <item m="1" x="475"/>
        <item m="1" x="837"/>
        <item m="1" x="126"/>
        <item sd="0" m="1" x="153"/>
        <item m="1" x="594"/>
        <item m="1" x="778"/>
        <item m="1" x="612"/>
        <item m="1" x="560"/>
        <item m="1" x="309"/>
        <item m="1" x="653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4"/>
        <item m="1" x="414"/>
        <item m="1" x="702"/>
        <item m="1" x="205"/>
        <item sd="0" m="1" x="643"/>
        <item m="1" x="779"/>
        <item sd="0" m="1" x="469"/>
        <item sd="0" m="1" x="41"/>
        <item m="1" x="693"/>
        <item m="1" x="663"/>
        <item sd="0" m="1" x="808"/>
        <item m="1" x="816"/>
        <item m="1" x="624"/>
        <item m="1" x="460"/>
        <item m="1" x="691"/>
        <item sd="0" m="1" x="135"/>
        <item m="1" x="411"/>
        <item m="1" x="692"/>
        <item m="1" x="443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2"/>
        <item m="1" x="515"/>
        <item m="1" x="123"/>
        <item m="1" x="646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79"/>
        <item m="1" x="82"/>
        <item m="1" x="634"/>
        <item m="1" x="67"/>
        <item m="1" x="650"/>
        <item m="1" x="490"/>
        <item m="1" x="753"/>
        <item m="1" x="164"/>
        <item m="1" x="192"/>
        <item m="1" x="678"/>
        <item m="1" x="300"/>
        <item m="1" x="589"/>
        <item sd="0" m="1" x="180"/>
        <item m="1" x="623"/>
        <item sd="0" m="1" x="64"/>
        <item m="1" x="425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8"/>
        <item m="1" x="601"/>
        <item m="1" x="13"/>
        <item m="1" x="93"/>
        <item m="1" x="439"/>
        <item m="1" x="435"/>
        <item m="1" x="122"/>
        <item m="1" x="630"/>
        <item m="1" x="202"/>
        <item m="1" x="157"/>
        <item m="1" x="56"/>
        <item m="1" x="548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0"/>
        <item m="1" x="13"/>
        <item m="1" x="25"/>
        <item m="1" x="18"/>
        <item x="1"/>
        <item m="1" x="7"/>
        <item m="1" x="2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92"/>
    </i>
    <i r="1">
      <x v="7999"/>
    </i>
    <i>
      <x v="137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5"/>
        <item sd="0" m="1" x="503"/>
        <item m="1" x="25"/>
        <item m="1" x="582"/>
        <item m="1" x="852"/>
        <item m="1" x="21"/>
        <item m="1" x="757"/>
        <item m="1" x="113"/>
        <item m="1" x="545"/>
        <item m="1" x="828"/>
        <item m="1" x="271"/>
        <item m="1" x="480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70"/>
        <item m="1" x="45"/>
        <item sd="0" m="1" x="730"/>
        <item m="1" x="689"/>
        <item m="1" x="217"/>
        <item sd="0" m="1" x="477"/>
        <item m="1" x="633"/>
        <item m="1" x="447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2"/>
        <item m="1" x="507"/>
        <item sd="0" m="1" x="554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50"/>
        <item m="1" x="845"/>
        <item m="1" x="446"/>
        <item m="1" x="530"/>
        <item m="1" x="665"/>
        <item m="1" x="519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2"/>
        <item m="1" x="207"/>
        <item m="1" x="674"/>
        <item m="1" x="140"/>
        <item m="1" x="688"/>
        <item m="1" x="454"/>
        <item m="1" x="409"/>
        <item x="1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2"/>
        <item m="1" x="464"/>
        <item m="1" x="139"/>
        <item m="1" x="661"/>
        <item m="1" x="373"/>
        <item m="1" x="155"/>
        <item m="1" x="252"/>
        <item m="1" x="628"/>
        <item m="1" x="736"/>
        <item m="1" x="422"/>
        <item m="1" x="81"/>
        <item m="1" x="696"/>
        <item m="1" x="285"/>
        <item m="1" x="846"/>
        <item m="1" x="249"/>
        <item sd="0" m="1" x="763"/>
        <item m="1" x="426"/>
        <item m="1" x="437"/>
        <item m="1" x="168"/>
        <item m="1" x="543"/>
        <item m="1" x="806"/>
        <item sd="0" m="1" x="620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x="0"/>
        <item sd="0" m="1" x="767"/>
        <item m="1" x="484"/>
        <item m="1" x="53"/>
        <item m="1" x="649"/>
        <item m="1" x="471"/>
        <item m="1" x="250"/>
        <item m="1" x="329"/>
        <item m="1" x="438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7"/>
        <item m="1" x="853"/>
        <item sd="0" m="1" x="829"/>
        <item m="1" x="107"/>
        <item m="1" x="402"/>
        <item m="1" x="115"/>
        <item sd="0" m="1" x="652"/>
        <item m="1" x="656"/>
        <item m="1" x="795"/>
        <item sd="0" m="1" x="695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0"/>
        <item sd="0" m="1" x="638"/>
        <item m="1" x="54"/>
        <item m="1" x="793"/>
        <item m="1" x="716"/>
        <item m="1" x="418"/>
        <item m="1" x="734"/>
        <item m="1" x="813"/>
        <item m="1" x="562"/>
        <item m="1" x="559"/>
        <item m="1" x="430"/>
        <item m="1" x="714"/>
        <item m="1" x="506"/>
        <item m="1" x="174"/>
        <item m="1" x="627"/>
        <item m="1" x="376"/>
        <item m="1" x="807"/>
        <item m="1" x="60"/>
        <item m="1" x="631"/>
        <item m="1" x="531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11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3"/>
        <item m="1" x="580"/>
        <item m="1" x="518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2"/>
        <item m="1" x="557"/>
        <item m="1" x="626"/>
        <item m="1" x="346"/>
        <item m="1" x="434"/>
        <item m="1" x="708"/>
        <item m="1" x="211"/>
        <item m="1" x="440"/>
        <item sd="0" m="1" x="103"/>
        <item sd="0" m="1" x="197"/>
        <item m="1" x="831"/>
        <item m="1" x="764"/>
        <item m="1" x="510"/>
        <item m="1" x="821"/>
        <item m="1" x="342"/>
        <item m="1" x="224"/>
        <item m="1" x="65"/>
        <item m="1" x="635"/>
        <item m="1" x="459"/>
        <item m="1" x="790"/>
        <item sd="0" m="1" x="703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1"/>
        <item m="1" x="487"/>
        <item m="1" x="640"/>
        <item m="1" x="607"/>
        <item m="1" x="532"/>
        <item sd="0" m="1" x="564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5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40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90"/>
        <item m="1" x="747"/>
        <item sd="0" m="1" x="270"/>
        <item m="1" x="18"/>
        <item m="1" x="637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8"/>
        <item m="1" x="332"/>
        <item m="1" x="625"/>
        <item m="1" x="542"/>
        <item sd="0" m="1" x="370"/>
        <item sd="0" m="1" x="336"/>
        <item sd="0" m="1" x="176"/>
        <item m="1" x="421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9"/>
        <item m="1" x="815"/>
        <item m="1" x="776"/>
        <item m="1" x="145"/>
        <item m="1" x="499"/>
        <item m="1" x="468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m="1" x="549"/>
        <item m="1" x="61"/>
        <item m="1" x="453"/>
        <item m="1" x="774"/>
        <item m="1" x="486"/>
        <item m="1" x="740"/>
        <item sd="0" m="1" x="455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1"/>
        <item m="1" x="664"/>
        <item m="1" x="494"/>
        <item sd="0" m="1" x="685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6"/>
        <item m="1" x="700"/>
        <item m="1" x="429"/>
        <item m="1" x="364"/>
        <item m="1" x="101"/>
        <item m="1" x="482"/>
        <item m="1" x="608"/>
        <item sd="0" m="1" x="715"/>
        <item sd="0" m="1" x="55"/>
        <item m="1" x="299"/>
        <item m="1" x="682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4"/>
        <item m="1" x="735"/>
        <item sd="0" m="1" x="133"/>
        <item m="1" x="87"/>
        <item m="1" x="210"/>
        <item m="1" x="681"/>
        <item m="1" x="276"/>
        <item m="1" x="473"/>
        <item m="1" x="799"/>
        <item m="1" x="218"/>
        <item m="1" x="827"/>
        <item m="1" x="70"/>
        <item m="1" x="119"/>
        <item m="1" x="645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8"/>
        <item m="1" x="302"/>
        <item m="1" x="310"/>
        <item m="1" x="368"/>
        <item m="1" x="492"/>
        <item m="1" x="662"/>
        <item m="1" x="189"/>
        <item m="1" x="659"/>
        <item m="1" x="222"/>
        <item m="1" x="450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1"/>
        <item m="1" x="372"/>
        <item m="1" x="247"/>
        <item m="1" x="399"/>
        <item sd="0" m="1" x="483"/>
        <item m="1" x="339"/>
        <item m="1" x="613"/>
        <item m="1" x="672"/>
        <item m="1" x="838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7"/>
        <item m="1" x="311"/>
        <item m="1" x="75"/>
        <item sd="0" m="1" x="669"/>
        <item m="1" x="95"/>
        <item m="1" x="441"/>
        <item sd="0" m="1" x="352"/>
        <item m="1" x="784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0"/>
        <item m="1" x="535"/>
        <item m="1" x="644"/>
        <item m="1" x="610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8"/>
        <item m="1" x="775"/>
        <item sd="0" m="1" x="72"/>
        <item m="1" x="713"/>
        <item m="1" x="574"/>
        <item m="1" x="185"/>
        <item m="1" x="717"/>
        <item m="1" x="112"/>
        <item m="1" x="255"/>
        <item m="1" x="513"/>
        <item m="1" x="96"/>
        <item m="1" x="523"/>
        <item m="1" x="789"/>
        <item m="1" x="20"/>
        <item m="1" x="538"/>
        <item m="1" x="636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1"/>
        <item m="1" x="605"/>
        <item m="1" x="442"/>
        <item m="1" x="23"/>
        <item m="1" x="595"/>
        <item m="1" x="436"/>
        <item m="1" x="68"/>
        <item m="1" x="655"/>
        <item m="1" x="677"/>
        <item m="1" x="566"/>
        <item m="1" x="516"/>
        <item m="1" x="599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7"/>
        <item m="1" x="281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4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1"/>
        <item m="1" x="512"/>
        <item m="1" x="769"/>
        <item m="1" x="719"/>
        <item m="1" x="760"/>
        <item m="1" x="520"/>
        <item m="1" x="642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7"/>
        <item m="1" x="706"/>
        <item m="1" x="619"/>
        <item m="1" x="731"/>
        <item m="1" x="472"/>
        <item m="1" x="552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7"/>
        <item m="1" x="614"/>
        <item m="1" x="777"/>
        <item m="1" x="395"/>
        <item m="1" x="401"/>
        <item m="1" x="704"/>
        <item m="1" x="404"/>
        <item m="1" x="830"/>
        <item m="1" x="496"/>
        <item m="1" x="396"/>
        <item m="1" x="670"/>
        <item m="1" x="186"/>
        <item sd="0" m="1" x="410"/>
        <item m="1" x="475"/>
        <item m="1" x="837"/>
        <item m="1" x="126"/>
        <item sd="0" m="1" x="153"/>
        <item m="1" x="594"/>
        <item m="1" x="778"/>
        <item m="1" x="612"/>
        <item m="1" x="560"/>
        <item m="1" x="309"/>
        <item m="1" x="653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4"/>
        <item m="1" x="414"/>
        <item m="1" x="702"/>
        <item m="1" x="205"/>
        <item sd="0" m="1" x="643"/>
        <item m="1" x="779"/>
        <item sd="0" m="1" x="469"/>
        <item sd="0" m="1" x="41"/>
        <item m="1" x="693"/>
        <item m="1" x="663"/>
        <item sd="0" m="1" x="808"/>
        <item m="1" x="816"/>
        <item m="1" x="624"/>
        <item m="1" x="460"/>
        <item m="1" x="691"/>
        <item sd="0" m="1" x="135"/>
        <item m="1" x="411"/>
        <item m="1" x="692"/>
        <item m="1" x="443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2"/>
        <item m="1" x="515"/>
        <item m="1" x="123"/>
        <item m="1" x="646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79"/>
        <item m="1" x="82"/>
        <item m="1" x="634"/>
        <item m="1" x="67"/>
        <item m="1" x="650"/>
        <item m="1" x="490"/>
        <item m="1" x="753"/>
        <item m="1" x="164"/>
        <item m="1" x="192"/>
        <item m="1" x="678"/>
        <item m="1" x="300"/>
        <item m="1" x="589"/>
        <item sd="0" m="1" x="180"/>
        <item m="1" x="623"/>
        <item sd="0" m="1" x="64"/>
        <item m="1" x="425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8"/>
        <item m="1" x="601"/>
        <item m="1" x="13"/>
        <item m="1" x="93"/>
        <item m="1" x="439"/>
        <item m="1" x="435"/>
        <item m="1" x="122"/>
        <item m="1" x="630"/>
        <item m="1" x="202"/>
        <item m="1" x="157"/>
        <item m="1" x="56"/>
        <item m="1" x="548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0"/>
        <item m="1" x="13"/>
        <item m="1" x="25"/>
        <item m="1" x="18"/>
        <item x="1"/>
        <item m="1" x="7"/>
        <item m="1" x="2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137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13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4" s="1" nd="1"/>
        <i x="150" s="1" nd="1"/>
        <i x="188" s="1" nd="1"/>
        <i x="274" s="1" nd="1"/>
        <i x="12" s="1" nd="1"/>
        <i x="761" s="1" nd="1"/>
        <i x="393" s="1" nd="1"/>
        <i x="712" s="1" nd="1"/>
        <i x="297" s="1" nd="1"/>
        <i x="114" s="1" nd="1"/>
        <i x="272" s="1" nd="1"/>
        <i x="591" s="1" nd="1"/>
        <i x="325" s="1" nd="1"/>
        <i x="675" s="1" nd="1"/>
        <i x="503" s="1" nd="1"/>
        <i x="25" s="1" nd="1"/>
        <i x="582" s="1" nd="1"/>
        <i x="852" s="1" nd="1"/>
        <i x="21" s="1" nd="1"/>
        <i x="757" s="1" nd="1"/>
        <i x="113" s="1" nd="1"/>
        <i x="545" s="1" nd="1"/>
        <i x="828" s="1" nd="1"/>
        <i x="271" s="1" nd="1"/>
        <i x="480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70" s="1" nd="1"/>
        <i x="45" s="1" nd="1"/>
        <i x="730" s="1" nd="1"/>
        <i x="689" s="1" nd="1"/>
        <i x="217" s="1" nd="1"/>
        <i x="477" s="1" nd="1"/>
        <i x="633" s="1" nd="1"/>
        <i x="447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2" s="1" nd="1"/>
        <i x="507" s="1" nd="1"/>
        <i x="554" s="1" nd="1"/>
        <i x="478" s="1" nd="1"/>
        <i x="245" s="1" nd="1"/>
        <i x="848" s="1" nd="1"/>
        <i x="832" s="1" nd="1"/>
        <i x="742" s="1" nd="1"/>
        <i x="241" s="1" nd="1"/>
        <i x="240" s="1" nd="1"/>
        <i x="463" s="1" nd="1"/>
        <i x="287" s="1" nd="1"/>
        <i x="550" s="1" nd="1"/>
        <i x="845" s="1" nd="1"/>
        <i x="446" s="1" nd="1"/>
        <i x="530" s="1" nd="1"/>
        <i x="665" s="1" nd="1"/>
        <i x="519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2" s="1" nd="1"/>
        <i x="207" s="1" nd="1"/>
        <i x="674" s="1" nd="1"/>
        <i x="140" s="1" nd="1"/>
        <i x="688" s="1" nd="1"/>
        <i x="454" s="1" nd="1"/>
        <i x="409" s="1" nd="1"/>
        <i x="319" s="1" nd="1"/>
        <i x="592" s="1" nd="1"/>
        <i x="596" s="1" nd="1"/>
        <i x="732" s="1" nd="1"/>
        <i x="785" s="1" nd="1"/>
        <i x="184" s="1" nd="1"/>
        <i x="835" s="1" nd="1"/>
        <i x="711" s="1" nd="1"/>
        <i x="379" s="1" nd="1"/>
        <i x="208" s="1" nd="1"/>
        <i x="522" s="1" nd="1"/>
        <i x="464" s="1" nd="1"/>
        <i x="139" s="1" nd="1"/>
        <i x="661" s="1" nd="1"/>
        <i x="373" s="1" nd="1"/>
        <i x="155" s="1" nd="1"/>
        <i x="252" s="1" nd="1"/>
        <i x="628" s="1" nd="1"/>
        <i x="736" s="1" nd="1"/>
        <i x="422" s="1" nd="1"/>
        <i x="81" s="1" nd="1"/>
        <i x="696" s="1" nd="1"/>
        <i x="285" s="1" nd="1"/>
        <i x="846" s="1" nd="1"/>
        <i x="249" s="1" nd="1"/>
        <i x="763" s="1" nd="1"/>
        <i x="426" s="1" nd="1"/>
        <i x="437" s="1" nd="1"/>
        <i x="168" s="1" nd="1"/>
        <i x="543" s="1" nd="1"/>
        <i x="806" s="1" nd="1"/>
        <i x="620" s="1" nd="1"/>
        <i x="5" s="1" nd="1"/>
        <i x="770" s="1" nd="1"/>
        <i x="15" s="1" nd="1"/>
        <i x="739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767" s="1" nd="1"/>
        <i x="484" s="1" nd="1"/>
        <i x="53" s="1" nd="1"/>
        <i x="649" s="1" nd="1"/>
        <i x="471" s="1" nd="1"/>
        <i x="250" s="1" nd="1"/>
        <i x="329" s="1" nd="1"/>
        <i x="438" s="1" nd="1"/>
        <i x="353" s="1" nd="1"/>
        <i x="572" s="1" nd="1"/>
        <i x="568" s="1" nd="1"/>
        <i x="733" s="1" nd="1"/>
        <i x="755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7" s="1" nd="1"/>
        <i x="853" s="1" nd="1"/>
        <i x="829" s="1" nd="1"/>
        <i x="107" s="1" nd="1"/>
        <i x="402" s="1" nd="1"/>
        <i x="115" s="1" nd="1"/>
        <i x="652" s="1" nd="1"/>
        <i x="656" s="1" nd="1"/>
        <i x="795" s="1" nd="1"/>
        <i x="695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7" s="1" nd="1"/>
        <i x="258" s="1" nd="1"/>
        <i x="407" s="1" nd="1"/>
        <i x="840" s="1" nd="1"/>
        <i x="458" s="1" nd="1"/>
        <i x="479" s="1" nd="1"/>
        <i x="750" s="1" nd="1"/>
        <i x="638" s="1" nd="1"/>
        <i x="54" s="1" nd="1"/>
        <i x="793" s="1" nd="1"/>
        <i x="716" s="1" nd="1"/>
        <i x="418" s="1" nd="1"/>
        <i x="734" s="1" nd="1"/>
        <i x="813" s="1" nd="1"/>
        <i x="562" s="1" nd="1"/>
        <i x="559" s="1" nd="1"/>
        <i x="430" s="1" nd="1"/>
        <i x="714" s="1" nd="1"/>
        <i x="506" s="1" nd="1"/>
        <i x="174" s="1" nd="1"/>
        <i x="627" s="1" nd="1"/>
        <i x="376" s="1" nd="1"/>
        <i x="807" s="1" nd="1"/>
        <i x="60" s="1" nd="1"/>
        <i x="631" s="1" nd="1"/>
        <i x="531" s="1" nd="1"/>
        <i x="296" s="1" nd="1"/>
        <i x="305" s="1" nd="1"/>
        <i x="175" s="1" nd="1"/>
        <i x="102" s="1" nd="1"/>
        <i x="71" s="1" nd="1"/>
        <i x="579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11" s="1" nd="1"/>
        <i x="118" s="1" nd="1"/>
        <i x="537" s="1" nd="1"/>
        <i x="84" s="1" nd="1"/>
        <i x="603" s="1" nd="1"/>
        <i x="451" s="1" nd="1"/>
        <i x="350" s="1" nd="1"/>
        <i x="79" s="1" nd="1"/>
        <i x="583" s="1" nd="1"/>
        <i x="19" s="1" nd="1"/>
        <i x="161" s="1" nd="1"/>
        <i x="773" s="1" nd="1"/>
        <i x="580" s="1" nd="1"/>
        <i x="518" s="1" nd="1"/>
        <i x="797" s="1" nd="1"/>
        <i x="166" s="1" nd="1"/>
        <i x="826" s="1" nd="1"/>
        <i x="111" s="1" nd="1"/>
        <i x="423" s="1" nd="1"/>
        <i x="428" s="1" nd="1"/>
        <i x="10" s="1" nd="1"/>
        <i x="43" s="1" nd="1"/>
        <i x="17" s="1" nd="1"/>
        <i x="622" s="1" nd="1"/>
        <i x="557" s="1" nd="1"/>
        <i x="626" s="1" nd="1"/>
        <i x="346" s="1" nd="1"/>
        <i x="434" s="1" nd="1"/>
        <i x="708" s="1" nd="1"/>
        <i x="211" s="1" nd="1"/>
        <i x="440" s="1" nd="1"/>
        <i x="103" s="1" nd="1"/>
        <i x="197" s="1" nd="1"/>
        <i x="831" s="1" nd="1"/>
        <i x="764" s="1" nd="1"/>
        <i x="510" s="1" nd="1"/>
        <i x="821" s="1" nd="1"/>
        <i x="342" s="1" nd="1"/>
        <i x="224" s="1" nd="1"/>
        <i x="65" s="1" nd="1"/>
        <i x="635" s="1" nd="1"/>
        <i x="459" s="1" nd="1"/>
        <i x="790" s="1" nd="1"/>
        <i x="703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1" s="1" nd="1"/>
        <i x="581" s="1" nd="1"/>
        <i x="354" s="1" nd="1"/>
        <i x="104" s="1" nd="1"/>
        <i x="539" s="1" nd="1"/>
        <i x="209" s="1" nd="1"/>
        <i x="671" s="1" nd="1"/>
        <i x="487" s="1" nd="1"/>
        <i x="640" s="1" nd="1"/>
        <i x="607" s="1" nd="1"/>
        <i x="532" s="1" nd="1"/>
        <i x="564" s="1" nd="1"/>
        <i x="738" s="1" nd="1"/>
        <i x="517" s="1" nd="1"/>
        <i x="387" s="1" nd="1"/>
        <i x="546" s="1" nd="1"/>
        <i x="214" s="1" nd="1"/>
        <i x="416" s="1" nd="1"/>
        <i x="420" s="1" nd="1"/>
        <i x="802" s="1" nd="1"/>
        <i x="42" s="1" nd="1"/>
        <i x="805" s="1" nd="1"/>
        <i x="488" s="1" nd="1"/>
        <i x="444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5" s="1" nd="1"/>
        <i x="58" s="1" nd="1"/>
        <i x="707" s="1" nd="1"/>
        <i x="24" s="1" nd="1"/>
        <i x="37" s="1" nd="1"/>
        <i x="9" s="1" nd="1"/>
        <i x="419" s="1" nd="1"/>
        <i x="683" s="1" nd="1"/>
        <i x="286" s="1" nd="1"/>
        <i x="317" s="1" nd="1"/>
        <i x="381" s="1" nd="1"/>
        <i x="540" s="1" nd="1"/>
        <i x="315" s="1" nd="1"/>
        <i x="340" s="1" nd="1"/>
        <i x="771" s="1" nd="1"/>
        <i x="144" s="1" nd="1"/>
        <i x="666" s="1" nd="1"/>
        <i x="839" s="1" nd="1"/>
        <i x="39" s="1" nd="1"/>
        <i x="384" s="1" nd="1"/>
        <i x="590" s="1" nd="1"/>
        <i x="747" s="1" nd="1"/>
        <i x="270" s="1" nd="1"/>
        <i x="18" s="1" nd="1"/>
        <i x="637" s="1" nd="1"/>
        <i x="390" s="1" nd="1"/>
        <i x="481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8" s="1" nd="1"/>
        <i x="332" s="1" nd="1"/>
        <i x="625" s="1" nd="1"/>
        <i x="542" s="1" nd="1"/>
        <i x="370" s="1" nd="1"/>
        <i x="336" s="1" nd="1"/>
        <i x="176" s="1" nd="1"/>
        <i x="421" s="1" nd="1"/>
        <i x="701" s="1" nd="1"/>
        <i x="697" s="1" nd="1"/>
        <i x="380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9" s="1" nd="1"/>
        <i x="815" s="1" nd="1"/>
        <i x="776" s="1" nd="1"/>
        <i x="145" s="1" nd="1"/>
        <i x="499" s="1" nd="1"/>
        <i x="468" s="1" nd="1"/>
        <i x="141" s="1" nd="1"/>
        <i x="756" s="1" nd="1"/>
        <i x="149" s="1" nd="1"/>
        <i x="225" s="1" nd="1"/>
        <i x="720" s="1" nd="1"/>
        <i x="556" s="1" nd="1"/>
        <i x="117" s="1" nd="1"/>
        <i x="377" s="1" nd="1"/>
        <i x="718" s="1" nd="1"/>
        <i x="128" s="1" nd="1"/>
        <i x="34" s="1" nd="1"/>
        <i x="303" s="1" nd="1"/>
        <i x="549" s="1" nd="1"/>
        <i x="61" s="1" nd="1"/>
        <i x="453" s="1" nd="1"/>
        <i x="774" s="1" nd="1"/>
        <i x="486" s="1" nd="1"/>
        <i x="740" s="1" nd="1"/>
        <i x="455" s="1" nd="1"/>
        <i x="521" s="1" nd="1"/>
        <i x="163" s="1" nd="1"/>
        <i x="405" s="1" nd="1"/>
        <i x="741" s="1" nd="1"/>
        <i x="195" s="1" nd="1"/>
        <i x="746" s="1" nd="1"/>
        <i x="385" s="1" nd="1"/>
        <i x="138" s="1" nd="1"/>
        <i x="658" s="1" nd="1"/>
        <i x="431" s="1" nd="1"/>
        <i x="664" s="1" nd="1"/>
        <i x="494" s="1" nd="1"/>
        <i x="685" s="1" nd="1"/>
        <i x="328" s="1" nd="1"/>
        <i x="768" s="1" nd="1"/>
        <i x="804" s="1" nd="1"/>
        <i x="92" s="1" nd="1"/>
        <i x="573" s="1" nd="1"/>
        <i x="158" s="1" nd="1"/>
        <i x="561" s="1" nd="1"/>
        <i x="46" s="1" nd="1"/>
        <i x="723" s="1" nd="1"/>
        <i x="748" s="1" nd="1"/>
        <i x="743" s="1" nd="1"/>
        <i x="847" s="1" nd="1"/>
        <i x="125" s="1" nd="1"/>
        <i x="466" s="1" nd="1"/>
        <i x="700" s="1" nd="1"/>
        <i x="429" s="1" nd="1"/>
        <i x="364" s="1" nd="1"/>
        <i x="101" s="1" nd="1"/>
        <i x="482" s="1" nd="1"/>
        <i x="608" s="1" nd="1"/>
        <i x="715" s="1" nd="1"/>
        <i x="55" s="1" nd="1"/>
        <i x="299" s="1" nd="1"/>
        <i x="682" s="1" nd="1"/>
        <i x="136" s="1" nd="1"/>
        <i x="331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4" s="1" nd="1"/>
        <i x="735" s="1" nd="1"/>
        <i x="133" s="1" nd="1"/>
        <i x="87" s="1" nd="1"/>
        <i x="210" s="1" nd="1"/>
        <i x="681" s="1" nd="1"/>
        <i x="276" s="1" nd="1"/>
        <i x="473" s="1" nd="1"/>
        <i x="799" s="1" nd="1"/>
        <i x="218" s="1" nd="1"/>
        <i x="827" s="1" nd="1"/>
        <i x="70" s="1" nd="1"/>
        <i x="119" s="1" nd="1"/>
        <i x="645" s="1" nd="1"/>
        <i x="412" s="1" nd="1"/>
        <i x="854" s="1" nd="1"/>
        <i x="433" s="1" nd="1"/>
        <i x="570" s="1" nd="1"/>
        <i x="489" s="1" nd="1"/>
        <i x="183" s="1" nd="1"/>
        <i x="375" s="1" nd="1"/>
        <i x="243" s="1" nd="1"/>
        <i x="338" s="1" nd="1"/>
        <i x="528" s="1" nd="1"/>
        <i x="424" s="1" nd="1"/>
        <i x="788" s="1" nd="1"/>
        <i x="302" s="1" nd="1"/>
        <i x="310" s="1" nd="1"/>
        <i x="368" s="1" nd="1"/>
        <i x="492" s="1" nd="1"/>
        <i x="662" s="1" nd="1"/>
        <i x="189" s="1" nd="1"/>
        <i x="659" s="1" nd="1"/>
        <i x="222" s="1" nd="1"/>
        <i x="450" s="1" nd="1"/>
        <i x="148" s="1" nd="1"/>
        <i x="363" s="1" nd="1"/>
        <i x="264" s="1" nd="1"/>
        <i x="292" s="1" nd="1"/>
        <i x="541" s="1" nd="1"/>
        <i x="810" s="1" nd="1"/>
        <i x="604" s="1" nd="1"/>
        <i x="32" s="1" nd="1"/>
        <i x="269" s="1" nd="1"/>
        <i x="751" s="1" nd="1"/>
        <i x="372" s="1" nd="1"/>
        <i x="247" s="1" nd="1"/>
        <i x="399" s="1" nd="1"/>
        <i x="483" s="1" nd="1"/>
        <i x="339" s="1" nd="1"/>
        <i x="613" s="1" nd="1"/>
        <i x="672" s="1" nd="1"/>
        <i x="838" s="1" nd="1"/>
        <i x="51" s="1" nd="1"/>
        <i x="606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7" s="1" nd="1"/>
        <i x="228" s="1" nd="1"/>
        <i x="392" s="1" nd="1"/>
        <i x="657" s="1" nd="1"/>
        <i x="311" s="1" nd="1"/>
        <i x="75" s="1" nd="1"/>
        <i x="669" s="1" nd="1"/>
        <i x="95" s="1" nd="1"/>
        <i x="441" s="1" nd="1"/>
        <i x="352" s="1" nd="1"/>
        <i x="784" s="1" nd="1"/>
        <i x="500" s="1" nd="1"/>
        <i x="62" s="1" nd="1"/>
        <i x="457" s="1" nd="1"/>
        <i x="83" s="1" nd="1"/>
        <i x="326" s="1" nd="1"/>
        <i x="169" s="1" nd="1"/>
        <i x="333" s="1" nd="1"/>
        <i x="565" s="1" nd="1"/>
        <i x="505" s="1" nd="1"/>
        <i x="229" s="1" nd="1"/>
        <i x="282" s="1" nd="1"/>
        <i x="94" s="1" nd="1"/>
        <i x="408" s="1" nd="1"/>
        <i x="321" s="1" nd="1"/>
        <i x="710" s="1" nd="1"/>
        <i x="535" s="1" nd="1"/>
        <i x="644" s="1" nd="1"/>
        <i x="610" s="1" nd="1"/>
        <i x="834" s="1" nd="1"/>
        <i x="787" s="1" nd="1"/>
        <i x="29" s="1" nd="1"/>
        <i x="782" s="1" nd="1"/>
        <i x="254" s="1" nd="1"/>
        <i x="476" s="1" nd="1"/>
        <i x="812" s="1" nd="1"/>
        <i x="465" s="1" nd="1"/>
        <i x="745" s="1" nd="1"/>
        <i x="648" s="1" nd="1"/>
        <i x="775" s="1" nd="1"/>
        <i x="72" s="1" nd="1"/>
        <i x="713" s="1" nd="1"/>
        <i x="574" s="1" nd="1"/>
        <i x="185" s="1" nd="1"/>
        <i x="717" s="1" nd="1"/>
        <i x="112" s="1" nd="1"/>
        <i x="255" s="1" nd="1"/>
        <i x="513" s="1" nd="1"/>
        <i x="96" s="1" nd="1"/>
        <i x="523" s="1" nd="1"/>
        <i x="789" s="1" nd="1"/>
        <i x="20" s="1" nd="1"/>
        <i x="538" s="1" nd="1"/>
        <i x="636" s="1" nd="1"/>
        <i x="576" s="1" nd="1"/>
        <i x="198" s="1" nd="1"/>
        <i x="575" s="1" nd="1"/>
        <i x="366" s="1" nd="1"/>
        <i x="823" s="1" nd="1"/>
        <i x="337" s="1" nd="1"/>
        <i x="524" s="1" nd="1"/>
        <i x="248" s="1" nd="1"/>
        <i x="11" s="1" nd="1"/>
        <i x="143" s="1" nd="1"/>
        <i x="651" s="1" nd="1"/>
        <i x="605" s="1" nd="1"/>
        <i x="442" s="1" nd="1"/>
        <i x="23" s="1" nd="1"/>
        <i x="595" s="1" nd="1"/>
        <i x="436" s="1" nd="1"/>
        <i x="68" s="1" nd="1"/>
        <i x="655" s="1" nd="1"/>
        <i x="677" s="1" nd="1"/>
        <i x="566" s="1" nd="1"/>
        <i x="516" s="1" nd="1"/>
        <i x="599" s="1" nd="1"/>
        <i x="318" s="1" nd="1"/>
        <i x="781" s="1" nd="1"/>
        <i x="485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9" s="1" nd="1"/>
        <i x="567" s="1" nd="1"/>
        <i x="687" s="1" nd="1"/>
        <i x="281" s="1" nd="1"/>
        <i x="525" s="1" nd="1"/>
        <i x="526" s="1" nd="1"/>
        <i x="38" s="1" nd="1"/>
        <i x="593" s="1" nd="1"/>
        <i x="801" s="1" nd="1"/>
        <i x="584" s="1" nd="1"/>
        <i x="749" s="1" nd="1"/>
        <i x="722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5" s="1" nd="1"/>
        <i x="803" s="1" nd="1"/>
        <i x="791" s="1" nd="1"/>
        <i x="201" s="1" nd="1"/>
        <i x="152" s="1" nd="1"/>
        <i x="237" s="1" nd="1"/>
        <i x="504" s="1" nd="1"/>
        <i x="786" s="1" nd="1"/>
        <i x="260" s="1" nd="1"/>
        <i x="752" s="1" nd="1"/>
        <i x="129" s="1" nd="1"/>
        <i x="212" s="1" nd="1"/>
        <i x="833" s="1" nd="1"/>
        <i x="586" s="1" nd="1"/>
        <i x="796" s="1" nd="1"/>
        <i x="726" s="1" nd="1"/>
        <i x="413" s="1" nd="1"/>
        <i x="26" s="1" nd="1"/>
        <i x="343" s="1" nd="1"/>
        <i x="491" s="1" nd="1"/>
        <i x="512" s="1" nd="1"/>
        <i x="769" s="1" nd="1"/>
        <i x="719" s="1" nd="1"/>
        <i x="760" s="1" nd="1"/>
        <i x="520" s="1" nd="1"/>
        <i x="642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4" s="1" nd="1"/>
        <i x="156" s="1" nd="1"/>
        <i x="234" s="1" nd="1"/>
        <i x="239" s="1" nd="1"/>
        <i x="467" s="1" nd="1"/>
        <i x="706" s="1" nd="1"/>
        <i x="619" s="1" nd="1"/>
        <i x="731" s="1" nd="1"/>
        <i x="472" s="1" nd="1"/>
        <i x="552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5" s="1" nd="1"/>
        <i x="194" s="1" nd="1"/>
        <i x="307" s="1" nd="1"/>
        <i x="341" s="1" nd="1"/>
        <i x="97" s="1" nd="1"/>
        <i x="694" s="1" nd="1"/>
        <i x="306" s="1" nd="1"/>
        <i x="356" s="1" nd="1"/>
        <i x="403" s="1" nd="1"/>
        <i x="617" s="1" nd="1"/>
        <i x="614" s="1" nd="1"/>
        <i x="777" s="1" nd="1"/>
        <i x="395" s="1" nd="1"/>
        <i x="401" s="1" nd="1"/>
        <i x="704" s="1" nd="1"/>
        <i x="404" s="1" nd="1"/>
        <i x="830" s="1" nd="1"/>
        <i x="496" s="1" nd="1"/>
        <i x="396" s="1" nd="1"/>
        <i x="670" s="1" nd="1"/>
        <i x="186" s="1" nd="1"/>
        <i x="410" s="1" nd="1"/>
        <i x="475" s="1" nd="1"/>
        <i x="837" s="1" nd="1"/>
        <i x="126" s="1" nd="1"/>
        <i x="153" s="1" nd="1"/>
        <i x="594" s="1" nd="1"/>
        <i x="778" s="1" nd="1"/>
        <i x="612" s="1" nd="1"/>
        <i x="560" s="1" nd="1"/>
        <i x="309" s="1" nd="1"/>
        <i x="653" s="1" nd="1"/>
        <i x="725" s="1" nd="1"/>
        <i x="406" s="1" nd="1"/>
        <i x="744" s="1" nd="1"/>
        <i x="80" s="1" nd="1"/>
        <i x="52" s="1" nd="1"/>
        <i x="851" s="1" nd="1"/>
        <i x="30" s="1" nd="1"/>
        <i x="571" s="1" nd="1"/>
        <i x="514" s="1" nd="1"/>
        <i x="414" s="1" nd="1"/>
        <i x="702" s="1" nd="1"/>
        <i x="205" s="1" nd="1"/>
        <i x="643" s="1" nd="1"/>
        <i x="779" s="1" nd="1"/>
        <i x="469" s="1" nd="1"/>
        <i x="41" s="1" nd="1"/>
        <i x="693" s="1" nd="1"/>
        <i x="663" s="1" nd="1"/>
        <i x="808" s="1" nd="1"/>
        <i x="816" s="1" nd="1"/>
        <i x="624" s="1" nd="1"/>
        <i x="460" s="1" nd="1"/>
        <i x="691" s="1" nd="1"/>
        <i x="135" s="1" nd="1"/>
        <i x="411" s="1" nd="1"/>
        <i x="692" s="1" nd="1"/>
        <i x="443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6" s="1" nd="1"/>
        <i x="577" s="1" nd="1"/>
        <i x="361" s="1" nd="1"/>
        <i x="452" s="1" nd="1"/>
        <i x="515" s="1" nd="1"/>
        <i x="123" s="1" nd="1"/>
        <i x="646" s="1" nd="1"/>
        <i x="49" s="1" nd="1"/>
        <i x="417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79" s="1" nd="1"/>
        <i x="82" s="1" nd="1"/>
        <i x="634" s="1" nd="1"/>
        <i x="67" s="1" nd="1"/>
        <i x="650" s="1" nd="1"/>
        <i x="490" s="1" nd="1"/>
        <i x="753" s="1" nd="1"/>
        <i x="164" s="1" nd="1"/>
        <i x="192" s="1" nd="1"/>
        <i x="678" s="1" nd="1"/>
        <i x="300" s="1" nd="1"/>
        <i x="589" s="1" nd="1"/>
        <i x="180" s="1" nd="1"/>
        <i x="623" s="1" nd="1"/>
        <i x="64" s="1" nd="1"/>
        <i x="425" s="1" nd="1"/>
        <i x="27" s="1" nd="1"/>
        <i x="765" s="1" nd="1"/>
        <i x="415" s="1" nd="1"/>
        <i x="553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4" s="1" nd="1"/>
        <i x="824" s="1" nd="1"/>
        <i x="36" s="1" nd="1"/>
        <i x="312" s="1" nd="1"/>
        <i x="825" s="1" nd="1"/>
        <i x="563" s="1" nd="1"/>
        <i x="63" s="1" nd="1"/>
        <i x="569" s="1" nd="1"/>
        <i x="432" s="1" nd="1"/>
        <i x="427" s="1" nd="1"/>
        <i x="177" s="1" nd="1"/>
        <i x="367" s="1" nd="1"/>
        <i x="758" s="1" nd="1"/>
        <i x="601" s="1" nd="1"/>
        <i x="13" s="1" nd="1"/>
        <i x="93" s="1" nd="1"/>
        <i x="439" s="1" nd="1"/>
        <i x="435" s="1" nd="1"/>
        <i x="122" s="1" nd="1"/>
        <i x="630" s="1" nd="1"/>
        <i x="202" s="1" nd="1"/>
        <i x="157" s="1" nd="1"/>
        <i x="56" s="1" nd="1"/>
        <i x="548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3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3" s="1" nd="1"/>
        <i x="23" s="1" nd="1"/>
        <i x="6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7" totalsRowShown="0" headerRowDxfId="92" dataDxfId="90" headerRowBorderDxfId="91" tableBorderDxfId="89" totalsRowBorderDxfId="88">
  <autoFilter ref="A1:D37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300517</v>
      </c>
      <c r="B2" s="12" t="s">
        <v>592</v>
      </c>
      <c r="C2" s="14">
        <v>46275</v>
      </c>
      <c r="D2" s="14">
        <v>46275</v>
      </c>
      <c r="E2" s="12"/>
      <c r="F2" s="15" t="s">
        <v>593</v>
      </c>
      <c r="G2" s="15" t="s">
        <v>594</v>
      </c>
      <c r="H2" s="15" t="s">
        <v>595</v>
      </c>
      <c r="I2" s="16">
        <v>13606.44</v>
      </c>
      <c r="J2" s="15" t="s">
        <v>596</v>
      </c>
      <c r="K2" s="15" t="s">
        <v>597</v>
      </c>
      <c r="L2" s="15" t="s">
        <v>598</v>
      </c>
      <c r="M2" s="15">
        <v>739.94</v>
      </c>
      <c r="N2" s="15">
        <v>16</v>
      </c>
      <c r="O2" s="16">
        <v>277.5</v>
      </c>
      <c r="P2" s="15" t="s">
        <v>599</v>
      </c>
      <c r="Q2" s="15">
        <v>7.0000000000000007E-2</v>
      </c>
      <c r="R2" s="15" t="s">
        <v>600</v>
      </c>
      <c r="S2" s="15">
        <v>255.72</v>
      </c>
      <c r="T2" s="15" t="s">
        <v>601</v>
      </c>
      <c r="U2" s="15">
        <v>0</v>
      </c>
      <c r="V2" s="15">
        <v>88.79</v>
      </c>
      <c r="W2" s="15">
        <v>0</v>
      </c>
      <c r="X2" s="15">
        <v>0</v>
      </c>
      <c r="Y2" s="15">
        <v>6.8</v>
      </c>
      <c r="Z2" s="15">
        <v>12.64</v>
      </c>
      <c r="AA2" s="15">
        <v>2043.59</v>
      </c>
      <c r="AB2" s="15">
        <v>-1303.6500000000001</v>
      </c>
      <c r="AC2" s="15">
        <v>192.38</v>
      </c>
      <c r="AD2" s="15">
        <v>-1496.03</v>
      </c>
      <c r="AE2" s="15">
        <v>0</v>
      </c>
      <c r="AF2" s="15">
        <v>-1496.03</v>
      </c>
      <c r="AG2" s="17">
        <v>-2.0218000000000003</v>
      </c>
      <c r="AH2" s="15"/>
    </row>
    <row r="3" spans="1:34" s="1" customFormat="1" ht="12" customHeight="1" x14ac:dyDescent="0.3">
      <c r="A3" s="13">
        <v>301717</v>
      </c>
      <c r="B3" s="12" t="s">
        <v>592</v>
      </c>
      <c r="C3" s="14">
        <v>46283</v>
      </c>
      <c r="D3" s="14">
        <v>46283</v>
      </c>
      <c r="E3" s="12"/>
      <c r="F3" s="15" t="s">
        <v>602</v>
      </c>
      <c r="G3" s="15" t="s">
        <v>603</v>
      </c>
      <c r="H3" s="15" t="s">
        <v>595</v>
      </c>
      <c r="I3" s="16">
        <v>2997.44</v>
      </c>
      <c r="J3" s="15" t="s">
        <v>596</v>
      </c>
      <c r="K3" s="15" t="s">
        <v>597</v>
      </c>
      <c r="L3" s="15" t="s">
        <v>604</v>
      </c>
      <c r="M3" s="16">
        <v>134.88</v>
      </c>
      <c r="N3" s="15">
        <v>9</v>
      </c>
      <c r="O3" s="16">
        <v>45</v>
      </c>
      <c r="P3" s="15" t="s">
        <v>605</v>
      </c>
      <c r="Q3" s="15">
        <v>12.66</v>
      </c>
      <c r="R3" s="15" t="s">
        <v>606</v>
      </c>
      <c r="S3" s="15">
        <v>40</v>
      </c>
      <c r="T3" s="15" t="s">
        <v>601</v>
      </c>
      <c r="U3" s="15">
        <v>0</v>
      </c>
      <c r="V3" s="15">
        <v>16.190000000000001</v>
      </c>
      <c r="W3" s="15">
        <v>0</v>
      </c>
      <c r="X3" s="15">
        <v>0</v>
      </c>
      <c r="Y3" s="15">
        <v>1.5</v>
      </c>
      <c r="Z3" s="15">
        <v>0</v>
      </c>
      <c r="AA3" s="16">
        <v>321.51</v>
      </c>
      <c r="AB3" s="16">
        <v>-186.63</v>
      </c>
      <c r="AC3" s="15">
        <v>35.07</v>
      </c>
      <c r="AD3" s="15">
        <v>-221.7</v>
      </c>
      <c r="AE3" s="15">
        <v>0</v>
      </c>
      <c r="AF3" s="15">
        <v>-221.7</v>
      </c>
      <c r="AG3" s="17">
        <v>-1.6436999999999999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874.82</v>
      </c>
      <c r="F3" s="93"/>
      <c r="G3" s="94"/>
      <c r="H3" s="95">
        <f>'Resumo Detalhado'!C2</f>
        <v>322.5</v>
      </c>
      <c r="I3" s="96"/>
      <c r="J3" s="97">
        <f>E3/H3</f>
        <v>2.7126201550387599</v>
      </c>
      <c r="K3" s="98"/>
      <c r="L3" s="99"/>
      <c r="M3" s="138" t="s">
        <v>607</v>
      </c>
      <c r="N3" s="93"/>
      <c r="O3" s="94"/>
      <c r="P3" s="135">
        <v>1200</v>
      </c>
      <c r="Q3" s="136"/>
      <c r="R3" s="137"/>
      <c r="S3" s="103">
        <f>MIN(H3/P3,1)</f>
        <v>0.26874999999999999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1812.73</v>
      </c>
      <c r="F7" s="109"/>
      <c r="G7" s="109"/>
      <c r="H7" s="109"/>
      <c r="I7" s="109"/>
      <c r="J7" s="109">
        <f>E7/H3</f>
        <v>5.6208682170542632</v>
      </c>
      <c r="K7" s="109"/>
      <c r="L7" s="109"/>
      <c r="M7" s="110">
        <f>E7/E3</f>
        <v>2.0721176927825153</v>
      </c>
      <c r="N7" s="110"/>
      <c r="O7" s="110"/>
      <c r="P7" s="109">
        <f>E11+K11+Q11+E15+K15+Q15+E19+H19+K19</f>
        <v>2148.6068</v>
      </c>
      <c r="Q7" s="109"/>
      <c r="R7" s="109"/>
      <c r="S7" s="109">
        <f>P7/H3</f>
        <v>6.6623466666666671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1800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1800</v>
      </c>
      <c r="L11" s="94"/>
      <c r="M11" s="38"/>
      <c r="N11" s="92">
        <f>K11/H3</f>
        <v>5.5813953488372094</v>
      </c>
      <c r="O11" s="94"/>
      <c r="P11" s="38"/>
      <c r="Q11" s="92">
        <f>'Resumo Detalhado'!D2</f>
        <v>12.73</v>
      </c>
      <c r="R11" s="94"/>
      <c r="S11" s="38"/>
      <c r="T11" s="92">
        <f>Q11/H3</f>
        <v>3.9472868217054265E-2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104.98</v>
      </c>
      <c r="F15" s="113"/>
      <c r="G15" s="113"/>
      <c r="H15" s="113"/>
      <c r="I15" s="114"/>
      <c r="J15" s="38"/>
      <c r="K15" s="116">
        <f>'Resumo Detalhado'!K2+'Resumo Detalhado'!L2</f>
        <v>139.97120000000001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8.3000000000000007</v>
      </c>
      <c r="F19" s="119"/>
      <c r="G19" s="38"/>
      <c r="H19" s="106">
        <f>'Resumo Detalhado'!J2</f>
        <v>12.64</v>
      </c>
      <c r="I19" s="108"/>
      <c r="J19" s="38"/>
      <c r="K19" s="106">
        <f>'Resumo Detalhado'!L2</f>
        <v>69.985600000000005</v>
      </c>
      <c r="L19" s="108"/>
      <c r="M19" s="38"/>
      <c r="N19" s="112" t="s">
        <v>590</v>
      </c>
      <c r="O19" s="113"/>
      <c r="P19" s="113"/>
      <c r="Q19" s="113"/>
      <c r="R19" s="119"/>
      <c r="S19" s="112">
        <f>_xlfn.XLOOKUP(N19,Target!C:C,Target!D:D)</f>
        <v>1800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370.46439999999996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0.42347500057154608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9.4414062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608</v>
      </c>
      <c r="F1" s="29"/>
    </row>
    <row r="2" spans="1:18" x14ac:dyDescent="0.3">
      <c r="B2" s="29">
        <f>SUM(B6:B5000)</f>
        <v>874.82</v>
      </c>
      <c r="C2" s="29">
        <f>SUM(C6:C5000)</f>
        <v>322.5</v>
      </c>
      <c r="D2" s="29">
        <f>SUM(D6:D5000)</f>
        <v>12.73</v>
      </c>
      <c r="E2" s="29">
        <f>SUM(E6:E5000)</f>
        <v>295.72000000000003</v>
      </c>
      <c r="F2" s="29">
        <f>SUM(F6:F5000)</f>
        <v>0</v>
      </c>
      <c r="G2" s="29"/>
      <c r="H2" s="29">
        <f t="shared" ref="H2:P2" si="0">SUM(H6:H5000)</f>
        <v>104.98</v>
      </c>
      <c r="I2" s="29">
        <f t="shared" si="0"/>
        <v>8.3000000000000007</v>
      </c>
      <c r="J2" s="29">
        <f t="shared" si="0"/>
        <v>12.64</v>
      </c>
      <c r="K2" s="29">
        <f t="shared" si="0"/>
        <v>69.985600000000005</v>
      </c>
      <c r="L2" s="29">
        <f t="shared" si="0"/>
        <v>69.985600000000005</v>
      </c>
      <c r="M2" s="29">
        <f t="shared" si="0"/>
        <v>0</v>
      </c>
      <c r="N2" s="29">
        <f t="shared" si="0"/>
        <v>370.46439999999996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603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301717</v>
      </c>
      <c r="B6" s="140">
        <v>134.88</v>
      </c>
      <c r="C6" s="141">
        <v>45</v>
      </c>
      <c r="D6" s="140">
        <v>12.66</v>
      </c>
      <c r="E6" s="140">
        <v>40</v>
      </c>
      <c r="F6" s="140">
        <v>0</v>
      </c>
      <c r="G6" s="142">
        <v>0.39042111506524318</v>
      </c>
      <c r="H6" s="140">
        <v>16.190000000000001</v>
      </c>
      <c r="I6" s="140">
        <v>1.5</v>
      </c>
      <c r="J6" s="140">
        <v>0</v>
      </c>
      <c r="K6" s="140">
        <v>10.7904</v>
      </c>
      <c r="L6" s="140">
        <v>10.7904</v>
      </c>
      <c r="M6" s="140">
        <v>0</v>
      </c>
      <c r="N6" s="140">
        <v>53.739600000000003</v>
      </c>
      <c r="O6" s="142">
        <v>0.39842526690391461</v>
      </c>
      <c r="Q6"/>
    </row>
    <row r="7" spans="1:18" s="31" customFormat="1" x14ac:dyDescent="0.3">
      <c r="A7" s="139" t="s">
        <v>594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300517</v>
      </c>
      <c r="B8" s="140">
        <v>739.94</v>
      </c>
      <c r="C8" s="141">
        <v>277.5</v>
      </c>
      <c r="D8" s="140">
        <v>7.0000000000000007E-2</v>
      </c>
      <c r="E8" s="140">
        <v>255.72</v>
      </c>
      <c r="F8" s="140">
        <v>0</v>
      </c>
      <c r="G8" s="142">
        <v>0.34569019109657534</v>
      </c>
      <c r="H8" s="140">
        <v>88.79</v>
      </c>
      <c r="I8" s="140">
        <v>6.8</v>
      </c>
      <c r="J8" s="140">
        <v>12.64</v>
      </c>
      <c r="K8" s="140">
        <v>59.195200000000007</v>
      </c>
      <c r="L8" s="140">
        <v>59.195200000000007</v>
      </c>
      <c r="M8" s="140">
        <v>0</v>
      </c>
      <c r="N8" s="140">
        <v>316.72479999999996</v>
      </c>
      <c r="O8" s="142">
        <v>0.42804119252912387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608</v>
      </c>
    </row>
    <row r="2" spans="1:4" x14ac:dyDescent="0.3">
      <c r="B2" s="29">
        <f>SUM(B6:B5000)</f>
        <v>739.94</v>
      </c>
      <c r="C2" s="29">
        <f>SUM(C6:C5000)</f>
        <v>316.72479999999996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603</v>
      </c>
      <c r="B5" s="10">
        <v>134.88</v>
      </c>
      <c r="C5" s="10">
        <v>53.739600000000003</v>
      </c>
    </row>
    <row r="6" spans="1:4" x14ac:dyDescent="0.3">
      <c r="A6" s="144" t="s">
        <v>594</v>
      </c>
      <c r="B6" s="140">
        <v>739.94</v>
      </c>
      <c r="C6" s="140">
        <v>316.72479999999996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2026-09-23T13:02:51Z</dcterms:modified>
  <cp:category/>
  <cp:contentStatus/>
</cp:coreProperties>
</file>