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2689BDD-9169-4A11-8E2F-E46985AB2D1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<sst xmlns="http://schemas.openxmlformats.org/spreadsheetml/2006/main" count="915" uniqueCount="633">
  <si>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</si>
  <si>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</si>
  <si>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</si>
  <si>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</si>
  <si>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</si>
  <si>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</si>
  <si>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</si>
  <si>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</si>
  <si>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</si>
  <si>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</si>
  <si>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</si>
  <si>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</si>
  <si>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</si>
  <si>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</si>
  <si>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</si>
  <si>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</si>
  <si>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</si>
  <si>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</si>
  <si>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</si>
  <si>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</si>
  <si>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</si>
  <si>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</si>
  <si>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</si>
  <si>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</si>
  <si>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</si>
  <si>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</si>
  <si>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</si>
  <si>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</si>
  <si>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</si>
  <si>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</si>
  <si>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</si>
  <si>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</si>
  <si>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</si>
  <si>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</si>
  <si>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</si>
  <si>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</si>
  <si>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</si>
  <si>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</si>
  <si>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</si>
  <si>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</si>
  <si>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</si>
  <si>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</si>
  <si>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</si>
  <si>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</si>
  <si>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</si>
  <si>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</si>
  <si>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</si>
  <si>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</si>
  <si>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</si>
  <si>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</si>
  <si>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</si>
  <si>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</si>
  <si>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</si>
  <si>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</si>
  <si>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</si>
  <si>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</si>
  <si>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</si>
  <si>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</si>
  <si>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</si>
  <si>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</si>
  <si>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</si>
  <si>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</si>
  <si>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</si>
  <si>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</si>
  <si>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</si>
  <si>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</si>
  <si>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</si>
  <si>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</si>
  <si>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</si>
  <si>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</si>
  <si>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</si>
  <si>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</si>
  <si>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</si>
  <si>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</si>
  <si>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</si>
  <si>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</si>
  <si>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</si>
  <si>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</si>
  <si>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</si>
  <si>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</si>
  <si>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</si>
  <si>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</si>
  <si>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</si>
  <si>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</si>
  <si>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</si>
  <si>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</si>
  <si>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</si>
  <si>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</si>
  <si>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</si>
  <si>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</si>
  <si>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</si>
  <si>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</si>
  <si>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</si>
  <si>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</si>
  <si>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</si>
  <si>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</si>
  <si>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</si>
  <si>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</si>
  <si>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</si>
  <si>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</si>
  <si>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</si>
  <si>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</si>
  <si>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</si>
  <si>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</si>
  <si>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</si>
  <si>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</si>
  <si>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</si>
  <si>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</si>
  <si>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</si>
  <si>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</si>
  <si>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</si>
  <si>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</si>
  <si>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</si>
  <si>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</si>
  <si>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</si>
  <si>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</si>
  <si>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</si>
  <si>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</si>
  <si>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</si>
  <si>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</si>
  <si>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</si>
  <si>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</si>
  <si>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</si>
  <si>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</si>
  <si>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</si>
  <si>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</si>
  <si>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</si>
  <si>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</si>
  <si>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</si>
  <si>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</si>
  <si>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</si>
  <si>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</si>
  <si>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</si>
  <si>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</si>
  <si>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</si>
  <si>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</si>
  <si>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</si>
  <si>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</si>
  <si>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</si>
  <si>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</si>
  <si>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</si>
  <si>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</si>
  <si>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</si>
  <si>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</si>
  <si>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</si>
  <si>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</si>
  <si>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</si>
  <si>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</si>
  <si>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</si>
  <si>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</si>
  <si>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</si>
  <si>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</si>
  <si>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</si>
  <si>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</si>
  <si>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</si>
  <si>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</si>
  <si>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</si>
  <si>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</si>
  <si>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</si>
  <si>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</si>
  <si>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</si>
  <si>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</si>
  <si>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</si>
  <si>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</si>
  <si>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</si>
  <si>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</si>
  <si>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</si>
  <si>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</si>
  <si>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</si>
  <si>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</si>
  <si>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</si>
  <si>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</si>
  <si>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</si>
  <si>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</si>
  <si>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</si>
  <si>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</si>
  <si>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</si>
  <si>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</si>
  <si>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</si>
  <si>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</si>
  <si>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</si>
  <si>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</si>
  <si>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</si>
  <si>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</si>
  <si>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</si>
  <si>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</si>
  <si>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</si>
  <si>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</si>
  <si>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</si>
  <si>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</si>
  <si>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</si>
  <si>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</si>
  <si>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</si>
  <si>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</si>
  <si>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</si>
  <si>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</si>
  <si>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</si>
  <si>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</si>
  <si>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</si>
  <si>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</si>
  <si>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</si>
  <si>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</si>
  <si>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</si>
  <si>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</si>
  <si>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</si>
  <si>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</si>
  <si>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</si>
  <si>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</si>
  <si>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</si>
  <si>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</si>
  <si>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</si>
  <si>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</si>
  <si>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</si>
  <si>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</si>
  <si>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</si>
  <si>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</si>
  <si>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</si>
  <si>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</si>
  <si>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</si>
  <si>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</si>
  <si>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</si>
  <si>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</si>
  <si>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</si>
  <si>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</si>
  <si>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</si>
  <si>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</si>
  <si>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</si>
  <si>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</si>
  <si>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</si>
  <si>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</si>
  <si>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</si>
  <si>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</si>
  <si>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</si>
  <si>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</si>
  <si>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</si>
  <si>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</si>
  <si>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</si>
  <si>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</si>
  <si>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</si>
  <si>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</si>
  <si>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</si>
  <si>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</si>
  <si>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</si>
  <si>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</si>
  <si>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</si>
  <si>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</si>
  <si>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</si>
  <si>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</si>
  <si>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</si>
  <si>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</si>
  <si>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</si>
  <si>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</si>
  <si>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</si>
  <si>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</si>
  <si>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</si>
  <si>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</si>
  <si>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</si>
  <si>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</si>
  <si>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</si>
  <si>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</si>
  <si>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</si>
  <si>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</si>
  <si>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</si>
  <si>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</si>
  <si>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</si>
  <si>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</si>
  <si>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</si>
  <si>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</si>
  <si>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</si>
  <si>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</si>
  <si>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</si>
  <si>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</si>
  <si>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</si>
  <si>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</si>
  <si>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</si>
  <si>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</si>
  <si>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</si>
  <si>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</si>
  <si>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</si>
  <si>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</si>
  <si>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</si>
  <si>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</si>
  <si>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</si>
  <si>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</si>
  <si>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</si>
  <si>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</si>
  <si>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</si>
  <si>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</si>
  <si>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</si>
  <si>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</si>
  <si>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</si>
  <si>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</si>
  <si>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</si>
  <si>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</si>
  <si>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</si>
  <si>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</si>
  <si>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</si>
  <si>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</si>
  <si>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</si>
  <si>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</si>
  <si>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</si>
  <si>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</si>
  <si>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</si>
  <si>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</si>
  <si>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</si>
  <si>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</si>
  <si>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</si>
  <si>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</si>
  <si>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</si>
  <si>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</si>
  <si>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</si>
  <si>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</si>
  <si>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</si>
  <si>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</si>
  <si>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</si>
  <si>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</si>
  <si>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</si>
  <si>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</si>
  <si>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</si>
  <si>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</si>
  <si>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</si>
  <si>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</si>
  <si>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</si>
  <si>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</si>
  <si>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</si>
  <si>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</si>
  <si>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</si>
  <si>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</si>
  <si>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</si>
  <si>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</si>
  <si>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</si>
  <si>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</si>
  <si>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</si>
  <si>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</si>
  <si>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</si>
  <si>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</si>
  <si>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</si>
  <si>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</si>
  <si>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</si>
  <si>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</si>
  <si>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</si>
  <si>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</si>
  <si>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</si>
  <si>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</si>
  <si>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</si>
  <si>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</si>
  <si>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</si>
  <si>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</si>
  <si>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</si>
  <si>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</si>
  <si>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</si>
  <si>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</si>
  <si>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</si>
  <si>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</si>
  <si>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</si>
  <si>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</si>
  <si>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</si>
  <si>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</si>
  <si>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</si>
  <si>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</si>
  <si>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</si>
  <si>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</si>
  <si>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</si>
  <si>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</si>
  <si>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</si>
  <si>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</si>
  <si>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</si>
  <si>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</si>
  <si>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</si>
  <si>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</si>
  <si>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</si>
  <si>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</si>
  <si>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</si>
  <si>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</si>
  <si>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</si>
  <si>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</si>
  <si>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</si>
  <si>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</si>
  <si>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</si>
  <si>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</si>
  <si>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</si>
  <si>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</si>
  <si>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</si>
  <si>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</si>
  <si>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</si>
  <si>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</si>
  <si>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</si>
  <si>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</si>
  <si>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</si>
  <si>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</si>
  <si>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</si>
  <si>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</si>
  <si>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</si>
  <si>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</si>
  <si>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</si>
  <si>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</si>
  <si>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</si>
  <si>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</si>
  <si>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</si>
  <si>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</si>
  <si>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</si>
  <si>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</si>
  <si>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</si>
  <si>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</si>
  <si>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</si>
  <si>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</si>
  <si>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</si>
  <si>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</si>
  <si>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</si>
  <si>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</si>
  <si>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</si>
  <si>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</si>
  <si>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</si>
  <si>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</si>
  <si>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</si>
  <si>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</si>
  <si>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</si>
  <si>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</si>
  <si>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</si>
  <si>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</si>
  <si>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</si>
  <si>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</si>
  <si>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</si>
  <si>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</si>
  <si>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</si>
  <si>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</si>
  <si>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</si>
  <si>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</si>
  <si>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</si>
  <si>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</si>
  <si>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</si>
  <si>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</si>
  <si>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</si>
  <si>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</si>
  <si>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</si>
  <si>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</si>
  <si>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</si>
  <si>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</si>
  <si>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</si>
  <si>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</si>
  <si>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</si>
  <si>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</si>
  <si>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</si>
  <si>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</si>
  <si>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</si>
  <si>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</si>
  <si>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</si>
  <si>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</si>
  <si>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</si>
  <si>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</si>
  <si>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</si>
  <si>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</si>
  <si>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</si>
  <si>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</si>
  <si>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</si>
  <si>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</si>
  <si>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</si>
  <si>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</si>
  <si>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</si>
  <si>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</si>
  <si>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</si>
  <si>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</si>
  <si>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</si>
  <si>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</si>
  <si>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</si>
  <si>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</si>
  <si>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</si>
  <si>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</si>
  <si>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</si>
  <si>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</si>
  <si>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</si>
  <si>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</si>
  <si>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</si>
  <si>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</si>
  <si>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</si>
  <si>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</si>
  <si>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</si>
  <si>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</si>
  <si>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</si>
  <si>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</si>
  <si>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</si>
  <si>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</si>
  <si>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</si>
  <si>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</si>
  <si>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</si>
  <si>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</si>
  <si>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</si>
  <si>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</si>
  <si>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</si>
  <si>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</si>
  <si>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</si>
  <si>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</si>
  <si>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</si>
  <si>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</si>
  <si>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</si>
  <si>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</si>
  <si>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</si>
  <si>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</si>
  <si>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</si>
  <si>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</si>
  <si>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</si>
  <si>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</si>
  <si>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</si>
  <si>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</si>
  <si>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</si>
  <si>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</si>
  <si>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</si>
  <si>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</si>
  <si>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</si>
  <si>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</si>
  <si>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</si>
  <si>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</si>
  <si>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</si>
  <si>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</si>
  <si>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</si>
  <si>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</si>
  <si>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</si>
  <si>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</si>
  <si>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</si>
  <si>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</si>
  <si>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</si>
  <si>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</si>
  <si>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</si>
  <si>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</si>
  <si>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</si>
  <si>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</si>
  <si>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</si>
  <si>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</si>
  <si>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</si>
  <si>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</si>
  <si>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</si>
  <si>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</si>
  <si>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</si>
  <si>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</si>
  <si>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</si>
  <si>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</si>
  <si>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</si>
  <si>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</si>
  <si>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</si>
  <si>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</si>
  <si>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</si>
  <si>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</si>
  <si>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</si>
  <si>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</si>
  <si>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</si>
  <si>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</si>
  <si>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</si>
  <si>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</si>
  <si>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</si>
  <si>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</si>
  <si>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</si>
  <si>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</si>
  <si>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</si>
  <si>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</si>
  <si>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</si>
  <si>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</si>
  <si>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</si>
  <si>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</si>
  <si>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</si>
  <si>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</si>
  <si>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</si>
  <si>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</si>
  <si>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</si>
  <si>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</si>
  <si>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</si>
  <si>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</si>
  <si>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</si>
  <si>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</si>
  <si>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</si>
  <si>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</si>
  <si>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</si>
  <si>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</si>
  <si>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</si>
  <si>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</si>
  <si>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</si>
  <si>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</si>
  <si>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</si>
  <si>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</si>
  <si>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</si>
  <si>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</si>
  <si>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</si>
  <si>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</si>
  <si>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</si>
  <si>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</si>
  <si>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</si>
  <si>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</si>
  <si>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</si>
  <si>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</si>
  <si>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</si>
  <si>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</si>
  <si>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</si>
  <si>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</si>
  <si>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</si>
  <si>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</si>
  <si>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</si>
  <si>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</si>
  <si>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</si>
  <si>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</si>
  <si>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</si>
  <si>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</si>
  <si>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</si>
  <si>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</si>
  <si>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</si>
  <si>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</si>
  <si>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</si>
  <si>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</si>
  <si>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</si>
  <si>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</si>
  <si>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</si>
  <si>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</si>
  <si>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</si>
  <si>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</si>
  <si>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</si>
  <si>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</si>
  <si>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</si>
  <si>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</si>
  <si>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</si>
  <si>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204572-1</t>
  </si>
  <si>
    <t>PORTOEXPRESS LO</t>
  </si>
  <si>
    <t>SABRINA SANTOS</t>
  </si>
  <si>
    <t>ECONOMICO_250</t>
  </si>
  <si>
    <t>CTE NORMAL</t>
  </si>
  <si>
    <t>SAO PAULO - SP</t>
  </si>
  <si>
    <t>N/D</t>
  </si>
  <si>
    <t>JACKSON LOPES DE OLIVEIRA</t>
  </si>
  <si>
    <t>204587-1</t>
  </si>
  <si>
    <t>SKO COMERCIO, I</t>
  </si>
  <si>
    <t>URIEL CORREA</t>
  </si>
  <si>
    <t>GILBERTO DE OLIVEIRA</t>
  </si>
  <si>
    <t>JOSE EMILTON DA COSTA - O</t>
  </si>
  <si>
    <t>Fiorino</t>
  </si>
  <si>
    <t>Cascavel-Pr X Jundiaí-Spfiorino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</si>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</sst>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[Analise_JACKSON_08102026.xlsx]Resumo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PORTOEXPRESS LO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</c:v>
                </c:pt>
                <c:pt idx="1">
                  <c:v>191.13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PORTOEXPRESS LO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-2199.1999999999998</c:v>
                </c:pt>
                <c:pt idx="1">
                  <c:v>146.36959999999999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[Analise_JACKSON_08102026.xlsx]Resumo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PORTOEXPRESS LO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</c:v>
                </c:pt>
                <c:pt idx="1">
                  <c:v>191.13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PORTOEXPRESS LO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-2199.1999999999998</c:v>
                </c:pt>
                <c:pt idx="1">
                  <c:v>146.36959999999999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9.48482442129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867" count="8000">
        <n v="304435"/>
        <n v="30486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6T00:00:00" maxDate="2026-10-09T00:00:00"/>
    </cacheField>
    <cacheField name="DATA" numFmtId="14">
      <sharedItems containsNonDate="0" containsDate="1" containsString="0" containsBlank="1" minDate="2026-10-06T00:00:00" maxDate="2026-10-0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PORTOEXPRESS LO"/>
        <s v="SKO COMERCIO, 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" maxValue="2811.6"/>
    </cacheField>
    <cacheField name="SERVICO" numFmtId="0">
      <sharedItems containsBlank="1" count="27"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191.13"/>
    </cacheField>
    <cacheField name="VOLUMES" numFmtId="0">
      <sharedItems containsString="0" containsBlank="1" containsNumber="1" containsInteger="1" minValue="4" maxValue="10"/>
    </cacheField>
    <cacheField name="PESO" numFmtId="0">
      <sharedItems containsString="0" containsBlank="1" containsNumber="1" minValue="44.41" maxValue="151.19999999999999"/>
    </cacheField>
    <cacheField name="RESP. COLETA" numFmtId="0">
      <sharedItems containsBlank="1"/>
    </cacheField>
    <cacheField name="CUSTO COLETA" numFmtId="0">
      <sharedItems containsString="0" containsBlank="1" containsNumber="1" minValue="0" maxValue="5.12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2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.12" maxValue="22.9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.4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99.59" maxValue="1780.46"/>
    </cacheField>
    <cacheField name="RECEITA" numFmtId="0">
      <sharedItems containsString="0" containsBlank="1" containsNumber="1" minValue="-1589.33" maxValue="-498.59"/>
    </cacheField>
    <cacheField name="IMPOSTO" numFmtId="0">
      <sharedItems containsString="0" containsBlank="1" containsNumber="1" minValue="0.26" maxValue="49.69"/>
    </cacheField>
    <cacheField name="RESULTADO" numFmtId="0">
      <sharedItems containsString="0" containsBlank="1" containsNumber="1" minValue="-1639.02" maxValue="-498.8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639.02" maxValue="-498.85"/>
    </cacheField>
    <cacheField name="MARGEM" numFmtId="10">
      <sharedItems containsString="0" containsBlank="1" containsNumber="1" minValue="-498.85" maxValue="-8.5754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6T00:00:00"/>
    <d v="2026-10-06T00:00:00"/>
    <m/>
    <s v="204572-1"/>
    <x v="0"/>
    <s v="SABRINA SANTOS"/>
    <n v="1"/>
    <x v="0"/>
    <s v="CTE NORMAL"/>
    <s v="SAO PAULO - SP"/>
    <n v="1"/>
    <n v="10"/>
    <n v="44.41"/>
    <s v="N/D"/>
    <n v="0"/>
    <s v="N/D"/>
    <n v="2200"/>
    <s v="JACKSON LOPES DE OLIVEIRA"/>
    <n v="0"/>
    <n v="0.12"/>
    <n v="0"/>
    <n v="0"/>
    <n v="0"/>
    <n v="0"/>
    <n v="499.59"/>
    <n v="-498.59"/>
    <n v="0.26"/>
    <n v="-498.85"/>
    <n v="0"/>
    <n v="-498.85"/>
    <n v="-498.85"/>
    <m/>
  </r>
  <r>
    <x v="1"/>
    <s v="MATRIZ"/>
    <d v="2026-10-08T00:00:00"/>
    <d v="2026-10-08T00:00:00"/>
    <m/>
    <s v="204587-1"/>
    <x v="1"/>
    <s v="URIEL CORREA"/>
    <n v="2811.6"/>
    <x v="0"/>
    <s v="CTE NORMAL"/>
    <s v="SAO PAULO - SP"/>
    <n v="191.13"/>
    <n v="4"/>
    <n v="151.19999999999999"/>
    <s v="GILBERTO DE OLIVEIRA"/>
    <n v="5.12"/>
    <s v="JOSE EMILTON DA COSTA - O"/>
    <n v="0"/>
    <s v="JACKSON LOPES DE OLIVEIRA"/>
    <n v="0"/>
    <n v="22.94"/>
    <n v="0"/>
    <n v="0"/>
    <n v="1.41"/>
    <n v="0"/>
    <n v="1780.46"/>
    <n v="-1589.33"/>
    <n v="49.69"/>
    <n v="-1639.02"/>
    <n v="0"/>
    <n v="-1639.02"/>
    <n v="-8.5754000000000001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5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6"/>
        <item sd="0" m="1" x="506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x="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x="1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500"/>
        <item m="1" x="69"/>
        <item m="1" x="679"/>
        <item m="1" x="81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617"/>
    </i>
    <i r="1">
      <x v="7998"/>
    </i>
    <i>
      <x v="71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5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6"/>
        <item sd="0" m="1" x="506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x="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x="1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500"/>
        <item m="1" x="69"/>
        <item m="1" x="679"/>
        <item m="1" x="81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17"/>
    </i>
    <i>
      <x v="71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5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6" s="1" nd="1"/>
        <i x="506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9" s="1" nd="1"/>
        <i x="62" s="1" nd="1"/>
        <i x="456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500" s="1" nd="1"/>
        <i x="69" s="1" nd="1"/>
        <i x="679" s="1" nd="1"/>
        <i x="81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304435</v>
      </c>
      <c r="B2" s="12" t="s">
        <v>616</v>
      </c>
      <c r="C2" s="14">
        <v>46301</v>
      </c>
      <c r="D2" s="14">
        <v>46301</v>
      </c>
      <c r="E2" s="12"/>
      <c r="F2" s="15" t="s">
        <v>617</v>
      </c>
      <c r="G2" s="15" t="s">
        <v>618</v>
      </c>
      <c r="H2" s="15" t="s">
        <v>619</v>
      </c>
      <c r="I2" s="16">
        <v>1</v>
      </c>
      <c r="J2" s="15" t="s">
        <v>620</v>
      </c>
      <c r="K2" s="15" t="s">
        <v>621</v>
      </c>
      <c r="L2" s="15" t="s">
        <v>622</v>
      </c>
      <c r="M2" s="15">
        <v>1</v>
      </c>
      <c r="N2" s="15">
        <v>10</v>
      </c>
      <c r="O2" s="16">
        <v>44.41</v>
      </c>
      <c r="P2" s="15" t="s">
        <v>623</v>
      </c>
      <c r="Q2" s="15">
        <v>0</v>
      </c>
      <c r="R2" s="15" t="s">
        <v>623</v>
      </c>
      <c r="S2" s="15">
        <v>2200</v>
      </c>
      <c r="T2" s="15" t="s">
        <v>624</v>
      </c>
      <c r="U2" s="15">
        <v>0</v>
      </c>
      <c r="V2" s="15">
        <v>0.12</v>
      </c>
      <c r="W2" s="15">
        <v>0</v>
      </c>
      <c r="X2" s="15">
        <v>0</v>
      </c>
      <c r="Y2" s="15">
        <v>0</v>
      </c>
      <c r="Z2" s="15">
        <v>0</v>
      </c>
      <c r="AA2" s="15">
        <v>499.59</v>
      </c>
      <c r="AB2" s="15">
        <v>-498.59</v>
      </c>
      <c r="AC2" s="15">
        <v>0.26</v>
      </c>
      <c r="AD2" s="15">
        <v>-498.85</v>
      </c>
      <c r="AE2" s="15">
        <v>0</v>
      </c>
      <c r="AF2" s="15">
        <v>-498.85</v>
      </c>
      <c r="AG2" s="17">
        <v>-498.85</v>
      </c>
      <c r="AH2" s="15"/>
    </row>
    <row r="3" spans="1:34" s="1" customFormat="1" ht="12" customHeight="1" x14ac:dyDescent="0.3">
      <c r="A3" s="13">
        <v>304867</v>
      </c>
      <c r="B3" s="12" t="s">
        <v>616</v>
      </c>
      <c r="C3" s="14">
        <v>46303</v>
      </c>
      <c r="D3" s="14">
        <v>46303</v>
      </c>
      <c r="E3" s="12"/>
      <c r="F3" s="15" t="s">
        <v>625</v>
      </c>
      <c r="G3" s="15" t="s">
        <v>626</v>
      </c>
      <c r="H3" s="15" t="s">
        <v>627</v>
      </c>
      <c r="I3" s="16">
        <v>2811.6</v>
      </c>
      <c r="J3" s="15" t="s">
        <v>620</v>
      </c>
      <c r="K3" s="15" t="s">
        <v>621</v>
      </c>
      <c r="L3" s="15" t="s">
        <v>622</v>
      </c>
      <c r="M3" s="16">
        <v>191.13</v>
      </c>
      <c r="N3" s="15">
        <v>4</v>
      </c>
      <c r="O3" s="16">
        <v>151.19999999999999</v>
      </c>
      <c r="P3" s="15" t="s">
        <v>628</v>
      </c>
      <c r="Q3" s="15">
        <v>5.12</v>
      </c>
      <c r="R3" s="15" t="s">
        <v>629</v>
      </c>
      <c r="S3" s="15">
        <v>0</v>
      </c>
      <c r="T3" s="15" t="s">
        <v>624</v>
      </c>
      <c r="U3" s="15">
        <v>0</v>
      </c>
      <c r="V3" s="15">
        <v>22.94</v>
      </c>
      <c r="W3" s="15">
        <v>0</v>
      </c>
      <c r="X3" s="15">
        <v>0</v>
      </c>
      <c r="Y3" s="15">
        <v>1.41</v>
      </c>
      <c r="Z3" s="15">
        <v>0</v>
      </c>
      <c r="AA3" s="16">
        <v>1780.46</v>
      </c>
      <c r="AB3" s="16">
        <v>-1589.33</v>
      </c>
      <c r="AC3" s="15">
        <v>49.69</v>
      </c>
      <c r="AD3" s="15">
        <v>-1639.02</v>
      </c>
      <c r="AE3" s="15">
        <v>0</v>
      </c>
      <c r="AF3" s="15">
        <v>-1639.02</v>
      </c>
      <c r="AG3" s="17">
        <v>-8.5754000000000001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192.13</v>
      </c>
      <c r="F3" s="89"/>
      <c r="G3" s="90"/>
      <c r="H3" s="133">
        <f>'Resumo Detalhado'!C2</f>
        <v>195.60999999999999</v>
      </c>
      <c r="I3" s="134"/>
      <c r="J3" s="135">
        <f>E3/H3</f>
        <v>0.9822094984918972</v>
      </c>
      <c r="K3" s="136"/>
      <c r="L3" s="137"/>
      <c r="M3" s="138" t="s">
        <v>630</v>
      </c>
      <c r="N3" s="89"/>
      <c r="O3" s="90"/>
      <c r="P3" s="106">
        <v>1200</v>
      </c>
      <c r="Q3" s="107"/>
      <c r="R3" s="108"/>
      <c r="S3" s="103">
        <f>MIN(H3/P3,1)</f>
        <v>0.16300833333333331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2205.12</v>
      </c>
      <c r="F7" s="112"/>
      <c r="G7" s="112"/>
      <c r="H7" s="112"/>
      <c r="I7" s="112"/>
      <c r="J7" s="112">
        <f>E7/H3</f>
        <v>11.273043300444764</v>
      </c>
      <c r="K7" s="112"/>
      <c r="L7" s="112"/>
      <c r="M7" s="130">
        <f>E7/E3</f>
        <v>11.477228959558632</v>
      </c>
      <c r="N7" s="130"/>
      <c r="O7" s="130"/>
      <c r="P7" s="112">
        <f>E11+K11+Q11+E15+K15+Q15+E19+H19+K19</f>
        <v>2275.7011999999995</v>
      </c>
      <c r="Q7" s="112"/>
      <c r="R7" s="112"/>
      <c r="S7" s="112">
        <f>P7/H3</f>
        <v>11.633869434078012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2200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2200</v>
      </c>
      <c r="L11" s="90"/>
      <c r="M11" s="38"/>
      <c r="N11" s="88">
        <f>K11/H3</f>
        <v>11.246868769490312</v>
      </c>
      <c r="O11" s="90"/>
      <c r="P11" s="38"/>
      <c r="Q11" s="88">
        <f>'Resumo Detalhado'!D2</f>
        <v>5.12</v>
      </c>
      <c r="R11" s="90"/>
      <c r="S11" s="38"/>
      <c r="T11" s="88">
        <f>Q11/H3</f>
        <v>2.6174530954450183E-2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23.060000000000002</v>
      </c>
      <c r="F15" s="119"/>
      <c r="G15" s="119"/>
      <c r="H15" s="119"/>
      <c r="I15" s="132"/>
      <c r="J15" s="38"/>
      <c r="K15" s="113">
        <f>'Resumo Detalhado'!K2+'Resumo Detalhado'!L2</f>
        <v>30.7408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1.41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15.3704</v>
      </c>
      <c r="L19" s="123"/>
      <c r="M19" s="38"/>
      <c r="N19" s="121" t="s">
        <v>631</v>
      </c>
      <c r="O19" s="119"/>
      <c r="P19" s="119"/>
      <c r="Q19" s="119"/>
      <c r="R19" s="120"/>
      <c r="S19" s="121">
        <v>2500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-2052.8303999999998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-10.68459064175298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9.4414062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192.13</v>
      </c>
      <c r="C2" s="29">
        <f>SUM(C6:C5000)</f>
        <v>195.60999999999999</v>
      </c>
      <c r="D2" s="29">
        <f>SUM(D6:D5000)</f>
        <v>5.12</v>
      </c>
      <c r="E2" s="29">
        <f>SUM(E6:E5000)</f>
        <v>2200</v>
      </c>
      <c r="F2" s="29">
        <f>SUM(F6:F5000)</f>
        <v>0</v>
      </c>
      <c r="G2" s="29"/>
      <c r="H2" s="29">
        <f t="shared" ref="H2:P2" si="0">SUM(H6:H5000)</f>
        <v>23.060000000000002</v>
      </c>
      <c r="I2" s="29">
        <f t="shared" si="0"/>
        <v>1.41</v>
      </c>
      <c r="J2" s="29">
        <f t="shared" si="0"/>
        <v>0</v>
      </c>
      <c r="K2" s="29">
        <f t="shared" si="0"/>
        <v>15.3704</v>
      </c>
      <c r="L2" s="29">
        <f t="shared" si="0"/>
        <v>15.3704</v>
      </c>
      <c r="M2" s="29">
        <f t="shared" si="0"/>
        <v>0</v>
      </c>
      <c r="N2" s="29">
        <f t="shared" si="0"/>
        <v>-2052.8303999999998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304435</v>
      </c>
      <c r="B6" s="140">
        <v>1</v>
      </c>
      <c r="C6" s="141">
        <v>44.41</v>
      </c>
      <c r="D6" s="140">
        <v>0</v>
      </c>
      <c r="E6" s="140">
        <v>2200</v>
      </c>
      <c r="F6" s="140">
        <v>0</v>
      </c>
      <c r="G6" s="142">
        <v>2200</v>
      </c>
      <c r="H6" s="140">
        <v>0.12</v>
      </c>
      <c r="I6" s="140">
        <v>0</v>
      </c>
      <c r="J6" s="140">
        <v>0</v>
      </c>
      <c r="K6" s="140">
        <v>0.08</v>
      </c>
      <c r="L6" s="140">
        <v>0.08</v>
      </c>
      <c r="M6" s="140">
        <v>0</v>
      </c>
      <c r="N6" s="140">
        <v>-2199.1999999999998</v>
      </c>
      <c r="O6" s="142">
        <v>-2199.1999999999998</v>
      </c>
      <c r="Q6"/>
    </row>
    <row r="7" spans="1:18" s="31" customFormat="1" x14ac:dyDescent="0.3">
      <c r="A7" s="139" t="s">
        <v>626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304867</v>
      </c>
      <c r="B8" s="140">
        <v>191.13</v>
      </c>
      <c r="C8" s="141">
        <v>151.19999999999999</v>
      </c>
      <c r="D8" s="140">
        <v>5.12</v>
      </c>
      <c r="E8" s="140">
        <v>0</v>
      </c>
      <c r="F8" s="140">
        <v>0</v>
      </c>
      <c r="G8" s="142">
        <v>2.6788050018312144E-2</v>
      </c>
      <c r="H8" s="140">
        <v>22.94</v>
      </c>
      <c r="I8" s="140">
        <v>1.41</v>
      </c>
      <c r="J8" s="140">
        <v>0</v>
      </c>
      <c r="K8" s="140">
        <v>15.2904</v>
      </c>
      <c r="L8" s="140">
        <v>15.2904</v>
      </c>
      <c r="M8" s="140">
        <v>0</v>
      </c>
      <c r="N8" s="140">
        <v>146.36959999999999</v>
      </c>
      <c r="O8" s="142">
        <v>0.76581175116412914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191.13</v>
      </c>
      <c r="C2" s="29">
        <f>SUM(C6:C5000)</f>
        <v>146.36959999999999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</v>
      </c>
      <c r="C5" s="10">
        <v>-2199.1999999999998</v>
      </c>
    </row>
    <row r="6" spans="1:4" x14ac:dyDescent="0.3">
      <c r="A6" s="139" t="s">
        <v>626</v>
      </c>
      <c r="B6" s="140">
        <v>191.13</v>
      </c>
      <c r="C6" s="140">
        <v>146.36959999999999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631</v>
      </c>
      <c r="D395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2026-10-14T14:38:17Z</dcterms:modified>
  <cp:category/>
  <cp:contentStatus/>
</cp:coreProperties>
</file>