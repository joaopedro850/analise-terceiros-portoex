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CF8DC32-5428-4204-B3AB-DE1CB2732819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<sst xmlns="http://schemas.openxmlformats.org/spreadsheetml/2006/main" count="915" uniqueCount="633">
  <si>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</si>
  <si>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</si>
  <si>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</si>
  <si>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</si>
  <si>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</si>
  <si>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</si>
  <si>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</si>
  <si>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</si>
  <si>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</si>
  <si>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</si>
  <si>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</si>
  <si>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</si>
  <si>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</si>
  <si>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</si>
  <si>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</si>
  <si>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</si>
  <si>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</si>
  <si>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</si>
  <si>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</si>
  <si>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</si>
  <si>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</si>
  <si>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</si>
  <si>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</si>
  <si>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</si>
  <si>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</si>
  <si>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</si>
  <si>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</si>
  <si>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</si>
  <si>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</si>
  <si>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</si>
  <si>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</si>
  <si>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</si>
  <si>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</si>
  <si>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</si>
  <si>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</si>
  <si>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</si>
  <si>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</si>
  <si>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</si>
  <si>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</si>
  <si>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</si>
  <si>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</si>
  <si>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</si>
  <si>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</si>
  <si>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</si>
  <si>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</si>
  <si>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</si>
  <si>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</si>
  <si>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</si>
  <si>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</si>
  <si>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</si>
  <si>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</si>
  <si>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</si>
  <si>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</si>
  <si>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</si>
  <si>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</si>
  <si>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</si>
  <si>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</si>
  <si>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</si>
  <si>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</si>
  <si>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</si>
  <si>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</si>
  <si>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</si>
  <si>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</si>
  <si>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</si>
  <si>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</si>
  <si>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</si>
  <si>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</si>
  <si>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</si>
  <si>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</si>
  <si>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</si>
  <si>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</si>
  <si>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</si>
  <si>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</si>
  <si>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</si>
  <si>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</si>
  <si>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</si>
  <si>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</si>
  <si>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</si>
  <si>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</si>
  <si>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</si>
  <si>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</si>
  <si>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</si>
  <si>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</si>
  <si>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</si>
  <si>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</si>
  <si>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</si>
  <si>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</si>
  <si>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</si>
  <si>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</si>
  <si>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</si>
  <si>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</si>
  <si>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</si>
  <si>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</si>
  <si>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</si>
  <si>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</si>
  <si>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</si>
  <si>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</si>
  <si>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</si>
  <si>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</si>
  <si>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</si>
  <si>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</si>
  <si>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</si>
  <si>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</si>
  <si>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</si>
  <si>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</si>
  <si>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</si>
  <si>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</si>
  <si>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</si>
  <si>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</si>
  <si>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</si>
  <si>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</si>
  <si>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</si>
  <si>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</si>
  <si>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</si>
  <si>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</si>
  <si>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</si>
  <si>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</si>
  <si>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</si>
  <si>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</si>
  <si>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</si>
  <si>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</si>
  <si>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</si>
  <si>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</si>
  <si>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</si>
  <si>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</si>
  <si>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</si>
  <si>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</si>
  <si>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</si>
  <si>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</si>
  <si>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</si>
  <si>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</si>
  <si>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</si>
  <si>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</si>
  <si>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</si>
  <si>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</si>
  <si>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</si>
  <si>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</si>
  <si>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</si>
  <si>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</si>
  <si>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</si>
  <si>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</si>
  <si>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</si>
  <si>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</si>
  <si>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</si>
  <si>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</si>
  <si>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</si>
  <si>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</si>
  <si>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</si>
  <si>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</si>
  <si>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</si>
  <si>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</si>
  <si>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</si>
  <si>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</si>
  <si>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</si>
  <si>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</si>
  <si>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</si>
  <si>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</si>
  <si>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</si>
  <si>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</si>
  <si>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</si>
  <si>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</si>
  <si>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</si>
  <si>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</si>
  <si>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</si>
  <si>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</si>
  <si>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</si>
  <si>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</si>
  <si>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</si>
  <si>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</si>
  <si>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</si>
  <si>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</si>
  <si>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</si>
  <si>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</si>
  <si>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</si>
  <si>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</si>
  <si>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</si>
  <si>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</si>
  <si>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</si>
  <si>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</si>
  <si>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</si>
  <si>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</si>
  <si>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</si>
  <si>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</si>
  <si>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</si>
  <si>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</si>
  <si>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</si>
  <si>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</si>
  <si>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</si>
  <si>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</si>
  <si>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</si>
  <si>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</si>
  <si>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</si>
  <si>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</si>
  <si>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</si>
  <si>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</si>
  <si>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</si>
  <si>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</si>
  <si>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</si>
  <si>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</si>
  <si>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</si>
  <si>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</si>
  <si>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</si>
  <si>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</si>
  <si>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</si>
  <si>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</si>
  <si>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</si>
  <si>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</si>
  <si>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</si>
  <si>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</si>
  <si>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</si>
  <si>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</si>
  <si>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</si>
  <si>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</si>
  <si>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</si>
  <si>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</si>
  <si>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</si>
  <si>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</si>
  <si>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</si>
  <si>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</si>
  <si>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</si>
  <si>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</si>
  <si>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</si>
  <si>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</si>
  <si>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</si>
  <si>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</si>
  <si>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</si>
  <si>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</si>
  <si>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</si>
  <si>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</si>
  <si>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</si>
  <si>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</si>
  <si>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</si>
  <si>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</si>
  <si>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</si>
  <si>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</si>
  <si>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</si>
  <si>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</si>
  <si>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</si>
  <si>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</si>
  <si>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</si>
  <si>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</si>
  <si>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</si>
  <si>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</si>
  <si>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</si>
  <si>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</si>
  <si>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</si>
  <si>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</si>
  <si>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</si>
  <si>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</si>
  <si>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</si>
  <si>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</si>
  <si>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</si>
  <si>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</si>
  <si>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</si>
  <si>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</si>
  <si>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</si>
  <si>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</si>
  <si>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</si>
  <si>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</si>
  <si>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</si>
  <si>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</si>
  <si>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</si>
  <si>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</si>
  <si>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</si>
  <si>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</si>
  <si>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</si>
  <si>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</si>
  <si>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</si>
  <si>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</si>
  <si>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</si>
  <si>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</si>
  <si>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</si>
  <si>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</si>
  <si>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</si>
  <si>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</si>
  <si>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</si>
  <si>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</si>
  <si>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</si>
  <si>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</si>
  <si>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</si>
  <si>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</si>
  <si>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</si>
  <si>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</si>
  <si>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</si>
  <si>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</si>
  <si>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</si>
  <si>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</si>
  <si>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</si>
  <si>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</si>
  <si>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</si>
  <si>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</si>
  <si>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</si>
  <si>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</si>
  <si>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</si>
  <si>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</si>
  <si>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</si>
  <si>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</si>
  <si>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</si>
  <si>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</si>
  <si>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</si>
  <si>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</si>
  <si>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</si>
  <si>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</si>
  <si>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</si>
  <si>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</si>
  <si>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</si>
  <si>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</si>
  <si>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</si>
  <si>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</si>
  <si>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</si>
  <si>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</si>
  <si>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</si>
  <si>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</si>
  <si>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</si>
  <si>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</si>
  <si>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</si>
  <si>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</si>
  <si>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</si>
  <si>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</si>
  <si>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</si>
  <si>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</si>
  <si>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</si>
  <si>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</si>
  <si>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</si>
  <si>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</si>
  <si>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</si>
  <si>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</si>
  <si>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</si>
  <si>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</si>
  <si>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</si>
  <si>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</si>
  <si>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</si>
  <si>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</si>
  <si>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</si>
  <si>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</si>
  <si>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</si>
  <si>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</si>
  <si>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</si>
  <si>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</si>
  <si>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</si>
  <si>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</si>
  <si>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</si>
  <si>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</si>
  <si>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</si>
  <si>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</si>
  <si>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</si>
  <si>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</si>
  <si>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</si>
  <si>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</si>
  <si>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</si>
  <si>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</si>
  <si>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</si>
  <si>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</si>
  <si>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</si>
  <si>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</si>
  <si>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</si>
  <si>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</si>
  <si>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</si>
  <si>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</si>
  <si>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</si>
  <si>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</si>
  <si>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</si>
  <si>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</si>
  <si>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</si>
  <si>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</si>
  <si>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</si>
  <si>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</si>
  <si>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</si>
  <si>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</si>
  <si>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</si>
  <si>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</si>
  <si>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</si>
  <si>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</si>
  <si>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</si>
  <si>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</si>
  <si>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</si>
  <si>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</si>
  <si>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</si>
  <si>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</si>
  <si>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</si>
  <si>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</si>
  <si>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</si>
  <si>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</si>
  <si>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</si>
  <si>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</si>
  <si>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</si>
  <si>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</si>
  <si>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</si>
  <si>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</si>
  <si>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</si>
  <si>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</si>
  <si>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</si>
  <si>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</si>
  <si>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</si>
  <si>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</si>
  <si>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</si>
  <si>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</si>
  <si>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</si>
  <si>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</si>
  <si>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</si>
  <si>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</si>
  <si>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</si>
  <si>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</si>
  <si>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</si>
  <si>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</si>
  <si>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</si>
  <si>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</si>
  <si>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</si>
  <si>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</si>
  <si>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</si>
  <si>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</si>
  <si>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</si>
  <si>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</si>
  <si>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</si>
  <si>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</si>
  <si>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</si>
  <si>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</si>
  <si>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</si>
  <si>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</si>
  <si>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</si>
  <si>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</si>
  <si>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</si>
  <si>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</si>
  <si>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</si>
  <si>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</si>
  <si>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</si>
  <si>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</si>
  <si>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</si>
  <si>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</si>
  <si>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</si>
  <si>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</si>
  <si>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</si>
  <si>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</si>
  <si>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</si>
  <si>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</si>
  <si>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</si>
  <si>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</si>
  <si>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</si>
  <si>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</si>
  <si>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</si>
  <si>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</si>
  <si>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</si>
  <si>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</si>
  <si>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</si>
  <si>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</si>
  <si>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</si>
  <si>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</si>
  <si>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</si>
  <si>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</si>
  <si>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</si>
  <si>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</si>
  <si>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</si>
  <si>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</si>
  <si>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</si>
  <si>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</si>
  <si>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</si>
  <si>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</si>
  <si>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</si>
  <si>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</si>
  <si>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</si>
  <si>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</si>
  <si>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</si>
  <si>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</si>
  <si>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</si>
  <si>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</si>
  <si>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</si>
  <si>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</si>
  <si>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</si>
  <si>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</si>
  <si>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</si>
  <si>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</si>
  <si>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</si>
  <si>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</si>
  <si>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</si>
  <si>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</si>
  <si>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</si>
  <si>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</si>
  <si>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</si>
  <si>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</si>
  <si>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</si>
  <si>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</si>
  <si>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</si>
  <si>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</si>
  <si>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</si>
  <si>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</si>
  <si>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</si>
  <si>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</si>
  <si>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</si>
  <si>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</si>
  <si>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</si>
  <si>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</si>
  <si>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</si>
  <si>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</si>
  <si>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</si>
  <si>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</si>
  <si>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</si>
  <si>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</si>
  <si>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</si>
  <si>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</si>
  <si>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</si>
  <si>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</si>
  <si>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</si>
  <si>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</si>
  <si>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</si>
  <si>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</si>
  <si>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</si>
  <si>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</si>
  <si>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</si>
  <si>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</si>
  <si>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</si>
  <si>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</si>
  <si>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</si>
  <si>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</si>
  <si>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</si>
  <si>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</si>
  <si>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</si>
  <si>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</si>
  <si>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</si>
  <si>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</si>
  <si>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</si>
  <si>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</si>
  <si>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</si>
  <si>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</si>
  <si>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</si>
  <si>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</si>
  <si>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</si>
  <si>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</si>
  <si>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</si>
  <si>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</si>
  <si>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</si>
  <si>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</si>
  <si>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</si>
  <si>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</si>
  <si>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</si>
  <si>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</si>
  <si>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</si>
  <si>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</si>
  <si>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</si>
  <si>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</si>
  <si>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</si>
  <si>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</si>
  <si>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</si>
  <si>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</si>
  <si>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</si>
  <si>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</si>
  <si>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</si>
  <si>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</si>
  <si>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</si>
  <si>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</si>
  <si>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</si>
  <si>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</si>
  <si>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</si>
  <si>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</si>
  <si>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</si>
  <si>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</si>
  <si>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</si>
  <si>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</si>
  <si>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</si>
  <si>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</si>
  <si>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</si>
  <si>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</si>
  <si>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</si>
  <si>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</si>
  <si>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</si>
  <si>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</si>
  <si>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</si>
  <si>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</si>
  <si>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</si>
  <si>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</si>
  <si>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</si>
  <si>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</si>
  <si>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</si>
  <si>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</si>
  <si>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</si>
  <si>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</si>
  <si>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</si>
  <si>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</si>
  <si>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</si>
  <si>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</si>
  <si>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</si>
  <si>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</si>
  <si>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</si>
  <si>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</si>
  <si>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</si>
  <si>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</si>
  <si>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</si>
  <si>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</si>
  <si>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</si>
  <si>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</si>
  <si>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</si>
  <si>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</si>
  <si>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</si>
  <si>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</si>
  <si>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</si>
  <si>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</si>
  <si>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</si>
  <si>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</si>
  <si>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</si>
  <si>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</si>
  <si>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</si>
  <si>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</si>
  <si>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</si>
  <si>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</si>
  <si>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</si>
  <si>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</si>
  <si>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</si>
  <si>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</si>
  <si>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</si>
  <si>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</si>
  <si>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</si>
  <si>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</si>
  <si>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</si>
  <si>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</si>
  <si>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</si>
  <si>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</si>
  <si>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</si>
  <si>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</si>
  <si>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204572-1</t>
  </si>
  <si>
    <t>PORTOEXPRESS LO</t>
  </si>
  <si>
    <t>SABRINA SANTOS</t>
  </si>
  <si>
    <t>ECONOMICO_250</t>
  </si>
  <si>
    <t>CTE NORMAL</t>
  </si>
  <si>
    <t>SAO PAULO - SP</t>
  </si>
  <si>
    <t>N/D</t>
  </si>
  <si>
    <t>JACKSON LOPES DE OLIVEIRA</t>
  </si>
  <si>
    <t>204587-1</t>
  </si>
  <si>
    <t>SKO COMERCIO, I</t>
  </si>
  <si>
    <t>URIEL CORREA</t>
  </si>
  <si>
    <t>GILBERTO DE OLIVEIRA</t>
  </si>
  <si>
    <t>JOSE EMILTON DA COSTA - O</t>
  </si>
  <si>
    <t>Fiorino</t>
  </si>
  <si>
    <t>Cascavel-Pr X Jundiaí-Spfiorino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</si>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</sst>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[Analise_JACKSON_08102026.xlsx]Resumo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PORTOEXPRESS LO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</c:v>
                </c:pt>
                <c:pt idx="1">
                  <c:v>191.13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PORTOEXPRESS LO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0.8</c:v>
                </c:pt>
                <c:pt idx="1">
                  <c:v>95.909599999999983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[Analise_JACKSON_08102026.xlsx]Resumo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PORTOEXPRESS LO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</c:v>
                </c:pt>
                <c:pt idx="1">
                  <c:v>191.13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PORTOEXPRESS LO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0.8</c:v>
                </c:pt>
                <c:pt idx="1">
                  <c:v>95.909599999999983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9.42909004629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867" count="8000">
        <n v="304435"/>
        <n v="30486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9T00:00:00"/>
    </cacheField>
    <cacheField name="DATA" numFmtId="14">
      <sharedItems containsNonDate="0" containsDate="1" containsString="0" containsBlank="1" minDate="2026-10-06T00:00:00" maxDate="2026-10-0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PORTOEXPRESS LO"/>
        <s v="SKO COMERCIO, 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" maxValue="2811.6"/>
    </cacheField>
    <cacheField name="SERVICO" numFmtId="0">
      <sharedItems containsBlank="1" count="27"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" maxValue="191.13"/>
    </cacheField>
    <cacheField name="VOLUMES" numFmtId="0">
      <sharedItems containsString="0" containsBlank="1" containsNumber="1" containsInteger="1" minValue="4" maxValue="10"/>
    </cacheField>
    <cacheField name="PESO" numFmtId="0">
      <sharedItems containsString="0" containsBlank="1" containsNumber="1" minValue="44.41" maxValue="151.19999999999999"/>
    </cacheField>
    <cacheField name="RESP. COLETA" numFmtId="0">
      <sharedItems containsBlank="1"/>
    </cacheField>
    <cacheField name="CUSTO COLETA" numFmtId="0">
      <sharedItems containsString="0" containsBlank="1" containsNumber="1" minValue="0" maxValue="5.1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0.46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.12" maxValue="22.9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.4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99.59" maxValue="1780.46"/>
    </cacheField>
    <cacheField name="RECEITA" numFmtId="0">
      <sharedItems containsString="0" containsBlank="1" containsNumber="1" minValue="-1589.33" maxValue="-498.59"/>
    </cacheField>
    <cacheField name="IMPOSTO" numFmtId="0">
      <sharedItems containsString="0" containsBlank="1" containsNumber="1" minValue="0.26" maxValue="49.69"/>
    </cacheField>
    <cacheField name="RESULTADO" numFmtId="0">
      <sharedItems containsString="0" containsBlank="1" containsNumber="1" minValue="-1639.02" maxValue="-498.8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639.02" maxValue="-498.85"/>
    </cacheField>
    <cacheField name="MARGEM" numFmtId="10">
      <sharedItems containsString="0" containsBlank="1" containsNumber="1" minValue="-498.85" maxValue="-8.5754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6T00:00:00"/>
    <d v="2026-10-06T00:00:00"/>
    <m/>
    <s v="204572-1"/>
    <x v="0"/>
    <s v="SABRINA SANTOS"/>
    <n v="1"/>
    <x v="0"/>
    <s v="CTE NORMAL"/>
    <s v="SAO PAULO - SP"/>
    <n v="1"/>
    <n v="10"/>
    <n v="44.41"/>
    <s v="N/D"/>
    <n v="0"/>
    <s v="N/D"/>
    <n v="0"/>
    <s v="JACKSON LOPES DE OLIVEIRA"/>
    <n v="0"/>
    <n v="0.12"/>
    <n v="0"/>
    <n v="0"/>
    <n v="0"/>
    <n v="0"/>
    <n v="499.59"/>
    <n v="-498.59"/>
    <n v="0.26"/>
    <n v="-498.85"/>
    <n v="0"/>
    <n v="-498.85"/>
    <n v="-498.85"/>
    <m/>
  </r>
  <r>
    <x v="1"/>
    <s v="MATRIZ"/>
    <d v="2026-10-08T00:00:00"/>
    <d v="2026-10-08T00:00:00"/>
    <m/>
    <s v="204587-1"/>
    <x v="1"/>
    <s v="URIEL CORREA"/>
    <n v="2811.6"/>
    <x v="0"/>
    <s v="CTE NORMAL"/>
    <s v="SAO PAULO - SP"/>
    <n v="191.13"/>
    <n v="4"/>
    <n v="151.19999999999999"/>
    <s v="GILBERTO DE OLIVEIRA"/>
    <n v="5.12"/>
    <s v="JOSE EMILTON DA COSTA - O"/>
    <n v="50.46"/>
    <s v="JACKSON LOPES DE OLIVEIRA"/>
    <n v="0"/>
    <n v="22.94"/>
    <n v="0"/>
    <n v="0"/>
    <n v="1.41"/>
    <n v="0"/>
    <n v="1780.46"/>
    <n v="-1589.33"/>
    <n v="49.69"/>
    <n v="-1639.02"/>
    <n v="0"/>
    <n v="-1639.02"/>
    <n v="-8.5754000000000001"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1"/>
        <item m="1" x="505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3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6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60"/>
        <item m="1" x="631"/>
        <item m="1" x="530"/>
        <item m="1" x="295"/>
        <item m="1" x="304"/>
        <item m="1" x="174"/>
        <item m="1" x="101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50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8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60"/>
        <item m="1" x="580"/>
        <item m="1" x="353"/>
        <item m="1" x="103"/>
        <item sd="0" m="1" x="538"/>
        <item m="1" x="208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1"/>
        <item m="1" x="452"/>
        <item m="1" x="774"/>
        <item m="1" x="485"/>
        <item m="1" x="740"/>
        <item sd="0" m="1" x="454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0"/>
        <item m="1" x="481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2"/>
        <item m="1" x="799"/>
        <item m="1" x="217"/>
        <item m="1" x="827"/>
        <item m="1" x="70"/>
        <item m="1" x="118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6"/>
        <item sd="0" m="1" x="506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4"/>
        <item m="1" x="440"/>
        <item sd="0" m="1" x="351"/>
        <item m="1" x="784"/>
        <item m="1" x="499"/>
        <item m="1" x="62"/>
        <item m="1" x="456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x="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x="1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500"/>
        <item m="1" x="69"/>
        <item m="1" x="679"/>
        <item m="1" x="81"/>
        <item m="1" x="634"/>
        <item m="1" x="67"/>
        <item m="1" x="650"/>
        <item m="1" x="489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0"/>
        <item m="1" x="13"/>
        <item m="1" x="25"/>
        <item m="1" x="18"/>
        <item x="1"/>
        <item m="1" x="7"/>
        <item m="1" x="2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17"/>
    </i>
    <i r="1">
      <x v="7998"/>
    </i>
    <i>
      <x v="71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1"/>
        <item m="1" x="505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3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6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60"/>
        <item m="1" x="631"/>
        <item m="1" x="530"/>
        <item m="1" x="295"/>
        <item m="1" x="304"/>
        <item m="1" x="174"/>
        <item m="1" x="101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50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8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60"/>
        <item m="1" x="580"/>
        <item m="1" x="353"/>
        <item m="1" x="103"/>
        <item sd="0" m="1" x="538"/>
        <item m="1" x="208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1"/>
        <item m="1" x="452"/>
        <item m="1" x="774"/>
        <item m="1" x="485"/>
        <item m="1" x="740"/>
        <item sd="0" m="1" x="454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0"/>
        <item m="1" x="481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2"/>
        <item m="1" x="799"/>
        <item m="1" x="217"/>
        <item m="1" x="827"/>
        <item m="1" x="70"/>
        <item m="1" x="118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6"/>
        <item sd="0" m="1" x="506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4"/>
        <item m="1" x="440"/>
        <item sd="0" m="1" x="351"/>
        <item m="1" x="784"/>
        <item m="1" x="499"/>
        <item m="1" x="62"/>
        <item m="1" x="456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x="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x="1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500"/>
        <item m="1" x="69"/>
        <item m="1" x="679"/>
        <item m="1" x="81"/>
        <item m="1" x="634"/>
        <item m="1" x="67"/>
        <item m="1" x="650"/>
        <item m="1" x="489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0"/>
        <item m="1" x="13"/>
        <item m="1" x="25"/>
        <item m="1" x="18"/>
        <item x="1"/>
        <item m="1" x="7"/>
        <item m="1" x="2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17"/>
    </i>
    <i>
      <x v="71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9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6" s="1" nd="1"/>
        <i x="476" s="1" nd="1"/>
        <i x="633" s="1" nd="1"/>
        <i x="446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1" s="1" nd="1"/>
        <i x="505" s="1" nd="1"/>
        <i x="553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49" s="1" nd="1"/>
        <i x="845" s="1" nd="1"/>
        <i x="445" s="1" nd="1"/>
        <i x="529" s="1" nd="1"/>
        <i x="665" s="1" nd="1"/>
        <i x="518" s="1" nd="1"/>
        <i x="792" s="1" nd="1"/>
        <i x="178" s="1" nd="1"/>
        <i x="59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3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3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3" s="1" nd="1"/>
        <i x="53" s="1" nd="1"/>
        <i x="649" s="1" nd="1"/>
        <i x="470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6" s="1" nd="1"/>
        <i x="257" s="1" nd="1"/>
        <i x="406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60" s="1" nd="1"/>
        <i x="631" s="1" nd="1"/>
        <i x="530" s="1" nd="1"/>
        <i x="295" s="1" nd="1"/>
        <i x="304" s="1" nd="1"/>
        <i x="174" s="1" nd="1"/>
        <i x="101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50" s="1" nd="1"/>
        <i x="349" s="1" nd="1"/>
        <i x="79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5" s="1" nd="1"/>
        <i x="635" s="1" nd="1"/>
        <i x="458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60" s="1" nd="1"/>
        <i x="580" s="1" nd="1"/>
        <i x="353" s="1" nd="1"/>
        <i x="103" s="1" nd="1"/>
        <i x="538" s="1" nd="1"/>
        <i x="208" s="1" nd="1"/>
        <i x="671" s="1" nd="1"/>
        <i x="486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8" s="1" nd="1"/>
        <i x="467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548" s="1" nd="1"/>
        <i x="61" s="1" nd="1"/>
        <i x="452" s="1" nd="1"/>
        <i x="774" s="1" nd="1"/>
        <i x="485" s="1" nd="1"/>
        <i x="740" s="1" nd="1"/>
        <i x="454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3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5" s="1" nd="1"/>
        <i x="700" s="1" nd="1"/>
        <i x="428" s="1" nd="1"/>
        <i x="363" s="1" nd="1"/>
        <i x="100" s="1" nd="1"/>
        <i x="481" s="1" nd="1"/>
        <i x="607" s="1" nd="1"/>
        <i x="715" s="1" nd="1"/>
        <i x="55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6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2" s="1" nd="1"/>
        <i x="799" s="1" nd="1"/>
        <i x="217" s="1" nd="1"/>
        <i x="827" s="1" nd="1"/>
        <i x="70" s="1" nd="1"/>
        <i x="118" s="1" nd="1"/>
        <i x="645" s="1" nd="1"/>
        <i x="411" s="1" nd="1"/>
        <i x="854" s="1" nd="1"/>
        <i x="432" s="1" nd="1"/>
        <i x="569" s="1" nd="1"/>
        <i x="488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1" s="1" nd="1"/>
        <i x="662" s="1" nd="1"/>
        <i x="188" s="1" nd="1"/>
        <i x="659" s="1" nd="1"/>
        <i x="221" s="1" nd="1"/>
        <i x="449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6" s="1" nd="1"/>
        <i x="506" s="1" nd="1"/>
        <i x="447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5" s="1" nd="1"/>
        <i x="669" s="1" nd="1"/>
        <i x="94" s="1" nd="1"/>
        <i x="440" s="1" nd="1"/>
        <i x="351" s="1" nd="1"/>
        <i x="784" s="1" nd="1"/>
        <i x="499" s="1" nd="1"/>
        <i x="62" s="1" nd="1"/>
        <i x="456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4" s="1" nd="1"/>
        <i x="598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90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6" s="1" nd="1"/>
        <i x="706" s="1" nd="1"/>
        <i x="619" s="1" nd="1"/>
        <i x="731" s="1" nd="1"/>
        <i x="471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5" s="1" nd="1"/>
        <i x="395" s="1" nd="1"/>
        <i x="670" s="1" nd="1"/>
        <i x="185" s="1" nd="1"/>
        <i x="409" s="1" nd="1"/>
        <i x="474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4" s="1" nd="1"/>
        <i x="410" s="1" nd="1"/>
        <i x="692" s="1" nd="1"/>
        <i x="44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1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500" s="1" nd="1"/>
        <i x="69" s="1" nd="1"/>
        <i x="679" s="1" nd="1"/>
        <i x="81" s="1" nd="1"/>
        <i x="634" s="1" nd="1"/>
        <i x="67" s="1" nd="1"/>
        <i x="650" s="1" nd="1"/>
        <i x="489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4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7" s="1" nd="1"/>
        <i x="262" s="1" nd="1"/>
        <i x="31" s="1" nd="1"/>
        <i x="105" s="1" nd="1"/>
        <i x="533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2" s="1" nd="1"/>
        <i x="63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6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2" s="1" nd="1"/>
        <i x="684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3" s="1" nd="1"/>
        <i x="23" s="1" nd="1"/>
        <i x="6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304435</v>
      </c>
      <c r="B2" s="12" t="s">
        <v>616</v>
      </c>
      <c r="C2" s="14">
        <v>46301</v>
      </c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1</v>
      </c>
      <c r="J2" s="15" t="s">
        <v>620</v>
      </c>
      <c r="K2" s="15" t="s">
        <v>621</v>
      </c>
      <c r="L2" s="15" t="s">
        <v>622</v>
      </c>
      <c r="M2" s="15">
        <v>1</v>
      </c>
      <c r="N2" s="15">
        <v>10</v>
      </c>
      <c r="O2" s="16">
        <v>44.41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0.12</v>
      </c>
      <c r="W2" s="15">
        <v>0</v>
      </c>
      <c r="X2" s="15">
        <v>0</v>
      </c>
      <c r="Y2" s="15">
        <v>0</v>
      </c>
      <c r="Z2" s="15">
        <v>0</v>
      </c>
      <c r="AA2" s="15">
        <v>499.59</v>
      </c>
      <c r="AB2" s="15">
        <v>-498.59</v>
      </c>
      <c r="AC2" s="15">
        <v>0.26</v>
      </c>
      <c r="AD2" s="15">
        <v>-498.85</v>
      </c>
      <c r="AE2" s="15">
        <v>0</v>
      </c>
      <c r="AF2" s="15">
        <v>-498.85</v>
      </c>
      <c r="AG2" s="17">
        <v>-498.85</v>
      </c>
      <c r="AH2" s="15"/>
    </row>
    <row r="3" spans="1:34" s="1" customFormat="1" ht="12" customHeight="1" x14ac:dyDescent="0.3">
      <c r="A3" s="13">
        <v>304867</v>
      </c>
      <c r="B3" s="12" t="s">
        <v>616</v>
      </c>
      <c r="C3" s="14">
        <v>46303</v>
      </c>
      <c r="D3" s="14">
        <v>46303</v>
      </c>
      <c r="E3" s="12"/>
      <c r="F3" s="15" t="s">
        <v>625</v>
      </c>
      <c r="G3" s="15" t="s">
        <v>626</v>
      </c>
      <c r="H3" s="15" t="s">
        <v>627</v>
      </c>
      <c r="I3" s="16">
        <v>2811.6</v>
      </c>
      <c r="J3" s="15" t="s">
        <v>620</v>
      </c>
      <c r="K3" s="15" t="s">
        <v>621</v>
      </c>
      <c r="L3" s="15" t="s">
        <v>622</v>
      </c>
      <c r="M3" s="16">
        <v>191.13</v>
      </c>
      <c r="N3" s="15">
        <v>4</v>
      </c>
      <c r="O3" s="16">
        <v>151.19999999999999</v>
      </c>
      <c r="P3" s="15" t="s">
        <v>628</v>
      </c>
      <c r="Q3" s="15">
        <v>5.12</v>
      </c>
      <c r="R3" s="15" t="s">
        <v>629</v>
      </c>
      <c r="S3" s="15">
        <v>50.46</v>
      </c>
      <c r="T3" s="15" t="s">
        <v>624</v>
      </c>
      <c r="U3" s="15">
        <v>0</v>
      </c>
      <c r="V3" s="15">
        <v>22.94</v>
      </c>
      <c r="W3" s="15">
        <v>0</v>
      </c>
      <c r="X3" s="15">
        <v>0</v>
      </c>
      <c r="Y3" s="15">
        <v>1.41</v>
      </c>
      <c r="Z3" s="15">
        <v>0</v>
      </c>
      <c r="AA3" s="16">
        <v>1780.46</v>
      </c>
      <c r="AB3" s="16">
        <v>-1589.33</v>
      </c>
      <c r="AC3" s="15">
        <v>49.69</v>
      </c>
      <c r="AD3" s="15">
        <v>-1639.02</v>
      </c>
      <c r="AE3" s="15">
        <v>0</v>
      </c>
      <c r="AF3" s="15">
        <v>-1639.02</v>
      </c>
      <c r="AG3" s="17">
        <v>-8.5754000000000001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192.13</v>
      </c>
      <c r="F3" s="89"/>
      <c r="G3" s="90"/>
      <c r="H3" s="133">
        <f>'Resumo Detalhado'!C2</f>
        <v>195.60999999999999</v>
      </c>
      <c r="I3" s="134"/>
      <c r="J3" s="135">
        <f>E3/H3</f>
        <v>0.9822094984918972</v>
      </c>
      <c r="K3" s="136"/>
      <c r="L3" s="137"/>
      <c r="M3" s="138" t="s">
        <v>630</v>
      </c>
      <c r="N3" s="89"/>
      <c r="O3" s="90"/>
      <c r="P3" s="106">
        <v>1200</v>
      </c>
      <c r="Q3" s="107"/>
      <c r="R3" s="108"/>
      <c r="S3" s="103">
        <f>MIN(H3/P3,1)</f>
        <v>0.16300833333333331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2205.12</v>
      </c>
      <c r="F7" s="112"/>
      <c r="G7" s="112"/>
      <c r="H7" s="112"/>
      <c r="I7" s="112"/>
      <c r="J7" s="112">
        <f>E7/H3</f>
        <v>11.273043300444764</v>
      </c>
      <c r="K7" s="112"/>
      <c r="L7" s="112"/>
      <c r="M7" s="130">
        <f>E7/E3</f>
        <v>11.477228959558632</v>
      </c>
      <c r="N7" s="130"/>
      <c r="O7" s="130"/>
      <c r="P7" s="112">
        <f>E11+K11+Q11+E15+K15+Q15+E19+H19+K19</f>
        <v>2275.7011999999995</v>
      </c>
      <c r="Q7" s="112"/>
      <c r="R7" s="112"/>
      <c r="S7" s="112">
        <f>P7/H3</f>
        <v>11.633869434078012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2200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2200</v>
      </c>
      <c r="L11" s="90"/>
      <c r="M11" s="38"/>
      <c r="N11" s="88">
        <f>K11/H3</f>
        <v>11.246868769490312</v>
      </c>
      <c r="O11" s="90"/>
      <c r="P11" s="38"/>
      <c r="Q11" s="88">
        <f>'Resumo Detalhado'!D2</f>
        <v>5.12</v>
      </c>
      <c r="R11" s="90"/>
      <c r="S11" s="38"/>
      <c r="T11" s="88">
        <f>Q11/H3</f>
        <v>2.6174530954450183E-2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23.060000000000002</v>
      </c>
      <c r="F15" s="119"/>
      <c r="G15" s="119"/>
      <c r="H15" s="119"/>
      <c r="I15" s="132"/>
      <c r="J15" s="38"/>
      <c r="K15" s="113">
        <f>'Resumo Detalhado'!K2+'Resumo Detalhado'!L2</f>
        <v>30.7408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1.41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15.3704</v>
      </c>
      <c r="L19" s="123"/>
      <c r="M19" s="38"/>
      <c r="N19" s="121" t="s">
        <v>631</v>
      </c>
      <c r="O19" s="119"/>
      <c r="P19" s="119"/>
      <c r="Q19" s="119"/>
      <c r="R19" s="120"/>
      <c r="S19" s="121">
        <v>2500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96.70959999999998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0.50335502003851551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9.4414062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192.13</v>
      </c>
      <c r="C2" s="29">
        <f>SUM(C6:C5000)</f>
        <v>195.60999999999999</v>
      </c>
      <c r="D2" s="29">
        <f>SUM(D6:D5000)</f>
        <v>5.12</v>
      </c>
      <c r="E2" s="29">
        <f>SUM(E6:E5000)</f>
        <v>50.46</v>
      </c>
      <c r="F2" s="29">
        <f>SUM(F6:F5000)</f>
        <v>0</v>
      </c>
      <c r="G2" s="29"/>
      <c r="H2" s="29">
        <f t="shared" ref="H2:P2" si="0">SUM(H6:H5000)</f>
        <v>23.060000000000002</v>
      </c>
      <c r="I2" s="29">
        <f t="shared" si="0"/>
        <v>1.41</v>
      </c>
      <c r="J2" s="29">
        <f t="shared" si="0"/>
        <v>0</v>
      </c>
      <c r="K2" s="29">
        <f t="shared" si="0"/>
        <v>15.3704</v>
      </c>
      <c r="L2" s="29">
        <f t="shared" si="0"/>
        <v>15.3704</v>
      </c>
      <c r="M2" s="29">
        <f t="shared" si="0"/>
        <v>0</v>
      </c>
      <c r="N2" s="29">
        <f t="shared" si="0"/>
        <v>96.70959999999998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304435</v>
      </c>
      <c r="B6" s="140">
        <v>1</v>
      </c>
      <c r="C6" s="141">
        <v>44.41</v>
      </c>
      <c r="D6" s="140">
        <v>0</v>
      </c>
      <c r="E6" s="140">
        <v>0</v>
      </c>
      <c r="F6" s="140">
        <v>0</v>
      </c>
      <c r="G6" s="142">
        <v>0</v>
      </c>
      <c r="H6" s="140">
        <v>0.12</v>
      </c>
      <c r="I6" s="140">
        <v>0</v>
      </c>
      <c r="J6" s="140">
        <v>0</v>
      </c>
      <c r="K6" s="140">
        <v>0.08</v>
      </c>
      <c r="L6" s="140">
        <v>0.08</v>
      </c>
      <c r="M6" s="140">
        <v>0</v>
      </c>
      <c r="N6" s="140">
        <v>0.8</v>
      </c>
      <c r="O6" s="142">
        <v>0.8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304867</v>
      </c>
      <c r="B8" s="140">
        <v>191.13</v>
      </c>
      <c r="C8" s="141">
        <v>151.19999999999999</v>
      </c>
      <c r="D8" s="140">
        <v>5.12</v>
      </c>
      <c r="E8" s="140">
        <v>50.46</v>
      </c>
      <c r="F8" s="140">
        <v>0</v>
      </c>
      <c r="G8" s="142">
        <v>0.29079683984722438</v>
      </c>
      <c r="H8" s="140">
        <v>22.94</v>
      </c>
      <c r="I8" s="140">
        <v>1.41</v>
      </c>
      <c r="J8" s="140">
        <v>0</v>
      </c>
      <c r="K8" s="140">
        <v>15.2904</v>
      </c>
      <c r="L8" s="140">
        <v>15.2904</v>
      </c>
      <c r="M8" s="140">
        <v>0</v>
      </c>
      <c r="N8" s="140">
        <v>95.909599999999983</v>
      </c>
      <c r="O8" s="142">
        <v>0.50180296133521685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191.13</v>
      </c>
      <c r="C2" s="29">
        <f>SUM(C6:C5000)</f>
        <v>95.909599999999983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1</v>
      </c>
      <c r="C5" s="10">
        <v>0.8</v>
      </c>
    </row>
    <row r="6" spans="1:4" x14ac:dyDescent="0.3">
      <c r="A6" s="139" t="s">
        <v>626</v>
      </c>
      <c r="B6" s="140">
        <v>191.13</v>
      </c>
      <c r="C6" s="140">
        <v>95.909599999999983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631</v>
      </c>
      <c r="D395" s="87">
        <v>2500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2026-10-14T13:18:03Z</dcterms:modified>
  <cp:category/>
  <cp:contentStatus/>
</cp:coreProperties>
</file>