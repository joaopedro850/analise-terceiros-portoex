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301E103-C7B5-4A59-A76E-01E3E93F096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<sst xmlns="http://schemas.openxmlformats.org/spreadsheetml/2006/main" count="903" uniqueCount="622">
  <si>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</si>
  <si>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</si>
  <si>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</si>
  <si>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</si>
  <si>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</si>
  <si>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</si>
  <si>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</si>
  <si>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</si>
  <si>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</si>
  <si>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</si>
  <si>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</si>
  <si>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</si>
  <si>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</si>
  <si>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</si>
  <si>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</si>
  <si>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</si>
  <si>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</si>
  <si>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</si>
  <si>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</si>
  <si>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</si>
  <si>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</si>
  <si>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</si>
  <si>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</si>
  <si>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</si>
  <si>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</si>
  <si>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</si>
  <si>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</si>
  <si>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</si>
  <si>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</si>
  <si>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</si>
  <si>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</si>
  <si>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</si>
  <si>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</si>
  <si>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</si>
  <si>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</si>
  <si>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</si>
  <si>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</si>
  <si>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</si>
  <si>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</si>
  <si>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</si>
  <si>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</si>
  <si>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</si>
  <si>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</si>
  <si>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</si>
  <si>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</si>
  <si>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</si>
  <si>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</si>
  <si>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</si>
  <si>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</si>
  <si>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</si>
  <si>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</si>
  <si>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</si>
  <si>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</si>
  <si>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</si>
  <si>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</si>
  <si>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</si>
  <si>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</si>
  <si>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</si>
  <si>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</si>
  <si>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</si>
  <si>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</si>
  <si>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</si>
  <si>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</si>
  <si>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</si>
  <si>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</si>
  <si>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</si>
  <si>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</si>
  <si>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</si>
  <si>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</si>
  <si>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</si>
  <si>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</si>
  <si>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</si>
  <si>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</si>
  <si>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</si>
  <si>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</si>
  <si>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</si>
  <si>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</si>
  <si>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</si>
  <si>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</si>
  <si>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</si>
  <si>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</si>
  <si>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</si>
  <si>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</si>
  <si>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</si>
  <si>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</si>
  <si>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</si>
  <si>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</si>
  <si>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</si>
  <si>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</si>
  <si>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</si>
  <si>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</si>
  <si>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</si>
  <si>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</si>
  <si>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</si>
  <si>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</si>
  <si>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</si>
  <si>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</si>
  <si>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</si>
  <si>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</si>
  <si>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</si>
  <si>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</si>
  <si>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</si>
  <si>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</si>
  <si>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</si>
  <si>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</si>
  <si>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</si>
  <si>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</si>
  <si>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</si>
  <si>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</si>
  <si>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</si>
  <si>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</si>
  <si>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</si>
  <si>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</si>
  <si>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</si>
  <si>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</si>
  <si>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</si>
  <si>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</si>
  <si>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</si>
  <si>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</si>
  <si>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</si>
  <si>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</si>
  <si>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</si>
  <si>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</si>
  <si>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</si>
  <si>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</si>
  <si>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</si>
  <si>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</si>
  <si>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</si>
  <si>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</si>
  <si>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</si>
  <si>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</si>
  <si>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</si>
  <si>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</si>
  <si>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</si>
  <si>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</si>
  <si>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</si>
  <si>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</si>
  <si>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</si>
  <si>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</si>
  <si>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</si>
  <si>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</si>
  <si>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</si>
  <si>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</si>
  <si>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</si>
  <si>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</si>
  <si>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</si>
  <si>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</si>
  <si>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</si>
  <si>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</si>
  <si>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</si>
  <si>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</si>
  <si>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</si>
  <si>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</si>
  <si>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</si>
  <si>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</si>
  <si>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</si>
  <si>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</si>
  <si>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</si>
  <si>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</si>
  <si>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</si>
  <si>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</si>
  <si>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</si>
  <si>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</si>
  <si>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</si>
  <si>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</si>
  <si>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</si>
  <si>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</si>
  <si>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</si>
  <si>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</si>
  <si>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</si>
  <si>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</si>
  <si>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</si>
  <si>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</si>
  <si>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</si>
  <si>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</si>
  <si>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</si>
  <si>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</si>
  <si>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</si>
  <si>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</si>
  <si>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</si>
  <si>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</si>
  <si>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</si>
  <si>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</si>
  <si>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</si>
  <si>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</si>
  <si>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</si>
  <si>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</si>
  <si>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</si>
  <si>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</si>
  <si>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</si>
  <si>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</si>
  <si>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</si>
  <si>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</si>
  <si>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</si>
  <si>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</si>
  <si>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</si>
  <si>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</si>
  <si>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</si>
  <si>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</si>
  <si>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</si>
  <si>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</si>
  <si>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</si>
  <si>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</si>
  <si>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</si>
  <si>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</si>
  <si>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</si>
  <si>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</si>
  <si>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</si>
  <si>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</si>
  <si>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</si>
  <si>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</si>
  <si>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</si>
  <si>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</si>
  <si>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</si>
  <si>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</si>
  <si>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</si>
  <si>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</si>
  <si>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</si>
  <si>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</si>
  <si>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</si>
  <si>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</si>
  <si>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</si>
  <si>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</si>
  <si>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</si>
  <si>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</si>
  <si>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</si>
  <si>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</si>
  <si>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</si>
  <si>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</si>
  <si>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</si>
  <si>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</si>
  <si>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</si>
  <si>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</si>
  <si>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</si>
  <si>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</si>
  <si>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</si>
  <si>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</si>
  <si>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</si>
  <si>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</si>
  <si>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</si>
  <si>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</si>
  <si>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</si>
  <si>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</si>
  <si>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</si>
  <si>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</si>
  <si>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</si>
  <si>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</si>
  <si>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</si>
  <si>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</si>
  <si>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</si>
  <si>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</si>
  <si>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</si>
  <si>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</si>
  <si>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</si>
  <si>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</si>
  <si>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</si>
  <si>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</si>
  <si>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</si>
  <si>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</si>
  <si>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</si>
  <si>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</si>
  <si>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</si>
  <si>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</si>
  <si>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</si>
  <si>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</si>
  <si>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</si>
  <si>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</si>
  <si>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</si>
  <si>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</si>
  <si>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</si>
  <si>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</si>
  <si>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</si>
  <si>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</si>
  <si>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</si>
  <si>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</si>
  <si>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</si>
  <si>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</si>
  <si>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</si>
  <si>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</si>
  <si>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</si>
  <si>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</si>
  <si>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</si>
  <si>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</si>
  <si>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</si>
  <si>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</si>
  <si>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</si>
  <si>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</si>
  <si>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</si>
  <si>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</si>
  <si>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</si>
  <si>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</si>
  <si>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</si>
  <si>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</si>
  <si>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</si>
  <si>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</si>
  <si>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</si>
  <si>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</si>
  <si>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</si>
  <si>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</si>
  <si>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</si>
  <si>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</si>
  <si>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</si>
  <si>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</si>
  <si>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</si>
  <si>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</si>
  <si>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</si>
  <si>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</si>
  <si>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</si>
  <si>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</si>
  <si>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</si>
  <si>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</si>
  <si>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</si>
  <si>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</si>
  <si>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</si>
  <si>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</si>
  <si>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</si>
  <si>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</si>
  <si>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</si>
  <si>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</si>
  <si>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</si>
  <si>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</si>
  <si>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</si>
  <si>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</si>
  <si>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</si>
  <si>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</si>
  <si>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</si>
  <si>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</si>
  <si>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</si>
  <si>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</si>
  <si>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</si>
  <si>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</si>
  <si>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</si>
  <si>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</si>
  <si>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</si>
  <si>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</si>
  <si>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</si>
  <si>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</si>
  <si>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</si>
  <si>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</si>
  <si>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</si>
  <si>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</si>
  <si>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</si>
  <si>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</si>
  <si>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</si>
  <si>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</si>
  <si>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</si>
  <si>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</si>
  <si>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</si>
  <si>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</si>
  <si>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</si>
  <si>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</si>
  <si>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</si>
  <si>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</si>
  <si>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</si>
  <si>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</si>
  <si>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</si>
  <si>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</si>
  <si>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</si>
  <si>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</si>
  <si>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</si>
  <si>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</si>
  <si>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</si>
  <si>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</si>
  <si>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</si>
  <si>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</si>
  <si>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</si>
  <si>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</si>
  <si>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</si>
  <si>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</si>
  <si>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</si>
  <si>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</si>
  <si>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</si>
  <si>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</si>
  <si>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</si>
  <si>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</si>
  <si>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</si>
  <si>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</si>
  <si>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</si>
  <si>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</si>
  <si>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</si>
  <si>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</si>
  <si>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</si>
  <si>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</si>
  <si>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</si>
  <si>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</si>
  <si>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</si>
  <si>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</si>
  <si>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</si>
  <si>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</si>
  <si>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</si>
  <si>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</si>
  <si>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</si>
  <si>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</si>
  <si>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</si>
  <si>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</si>
  <si>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</si>
  <si>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</si>
  <si>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</si>
  <si>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</si>
  <si>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</si>
  <si>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</si>
  <si>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</si>
  <si>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</si>
  <si>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</si>
  <si>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</si>
  <si>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</si>
  <si>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</si>
  <si>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</si>
  <si>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</si>
  <si>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</si>
  <si>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</si>
  <si>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</si>
  <si>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</si>
  <si>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</si>
  <si>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</si>
  <si>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</si>
  <si>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</si>
  <si>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</si>
  <si>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</si>
  <si>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</si>
  <si>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</si>
  <si>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</si>
  <si>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</si>
  <si>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</si>
  <si>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</si>
  <si>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</si>
  <si>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</si>
  <si>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</si>
  <si>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</si>
  <si>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</si>
  <si>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</si>
  <si>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</si>
  <si>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</si>
  <si>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</si>
  <si>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</si>
  <si>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</si>
  <si>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</si>
  <si>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</si>
  <si>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</si>
  <si>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</si>
  <si>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</si>
  <si>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</si>
  <si>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</si>
  <si>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</si>
  <si>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</si>
  <si>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</si>
  <si>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</si>
  <si>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</si>
  <si>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</si>
  <si>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</si>
  <si>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</si>
  <si>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</si>
  <si>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</si>
  <si>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</si>
  <si>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</si>
  <si>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</si>
  <si>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</si>
  <si>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</si>
  <si>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</si>
  <si>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</si>
  <si>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</si>
  <si>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</si>
  <si>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</si>
  <si>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</si>
  <si>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</si>
  <si>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</si>
  <si>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</si>
  <si>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</si>
  <si>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</si>
  <si>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</si>
  <si>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</si>
  <si>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</si>
  <si>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</si>
  <si>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</si>
  <si>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</si>
  <si>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</si>
  <si>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</si>
  <si>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</si>
  <si>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</si>
  <si>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</si>
  <si>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</si>
  <si>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</si>
  <si>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</si>
  <si>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</si>
  <si>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</si>
  <si>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</si>
  <si>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</si>
  <si>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</si>
  <si>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</si>
  <si>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</si>
  <si>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</si>
  <si>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</si>
  <si>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</si>
  <si>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</si>
  <si>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</si>
  <si>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</si>
  <si>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</si>
  <si>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</si>
  <si>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</si>
  <si>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</si>
  <si>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</si>
  <si>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</si>
  <si>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</si>
  <si>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</si>
  <si>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</si>
  <si>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</si>
  <si>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</si>
  <si>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</si>
  <si>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</si>
  <si>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</si>
  <si>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</si>
  <si>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</si>
  <si>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</si>
  <si>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</si>
  <si>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</si>
  <si>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</si>
  <si>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</si>
  <si>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</si>
  <si>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</si>
  <si>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</si>
  <si>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</si>
  <si>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</si>
  <si>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</si>
  <si>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</si>
  <si>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</si>
  <si>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</si>
  <si>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</si>
  <si>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</si>
  <si>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</si>
  <si>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</si>
  <si>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</si>
  <si>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</si>
  <si>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</si>
  <si>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</si>
  <si>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</si>
  <si>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</si>
  <si>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</si>
  <si>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</si>
  <si>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</si>
  <si>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</si>
  <si>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</si>
  <si>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</si>
  <si>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</si>
  <si>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</si>
  <si>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</si>
  <si>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</si>
  <si>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</si>
  <si>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</si>
  <si>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</si>
  <si>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</si>
  <si>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</si>
  <si>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</si>
  <si>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</si>
  <si>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</si>
  <si>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</si>
  <si>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</si>
  <si>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</si>
  <si>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</si>
  <si>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</si>
  <si>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</si>
  <si>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</si>
  <si>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</si>
  <si>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</si>
  <si>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</si>
  <si>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</si>
  <si>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</si>
  <si>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</si>
  <si>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</si>
  <si>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</si>
  <si>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</si>
  <si>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</si>
  <si>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</si>
  <si>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</si>
  <si>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</si>
  <si>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</si>
  <si>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</si>
  <si>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</si>
  <si>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</si>
  <si>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</si>
  <si>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</si>
  <si>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</si>
  <si>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</si>
  <si>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</si>
  <si>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</si>
  <si>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</si>
  <si>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</si>
  <si>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</si>
  <si>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</si>
  <si>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</si>
  <si>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</si>
  <si>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</si>
  <si>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</si>
  <si>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</si>
  <si>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</si>
  <si>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</si>
  <si>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</si>
  <si>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</si>
  <si>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</si>
  <si>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</si>
  <si>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</si>
  <si>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</si>
  <si>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FILIAL SP</t>
  </si>
  <si>
    <t>37557-1</t>
  </si>
  <si>
    <t>LEADPAK SOLUCOE</t>
  </si>
  <si>
    <t>CAIO LUCIANO MATIAS</t>
  </si>
  <si>
    <t>PERSONALIZADO_L</t>
  </si>
  <si>
    <t>CTE NORMAL</t>
  </si>
  <si>
    <t>GUARATINGUETA - SP</t>
  </si>
  <si>
    <t>N/D</t>
  </si>
  <si>
    <t>F DA SILVA OLIVEIRA SERVI</t>
  </si>
  <si>
    <t>MATRIZ</t>
  </si>
  <si>
    <t>203604-1</t>
  </si>
  <si>
    <t>BATIKI COM IMPO</t>
  </si>
  <si>
    <t>TIAGO SANTANA</t>
  </si>
  <si>
    <t>ECONOMICO_250</t>
  </si>
  <si>
    <t>GUARULHOS - SP</t>
  </si>
  <si>
    <t>HELTON JOHN DA SILVA</t>
  </si>
  <si>
    <t>DENIS MACEDO DE SOUZA</t>
  </si>
  <si>
    <t>37556-1</t>
  </si>
  <si>
    <t>PASSA QUATRO - MG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</si>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</sst>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[Analise_JACKSON_22092026.xlsx]Resumo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LEADPAK SOLUCOE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129.9</c:v>
                </c:pt>
                <c:pt idx="1">
                  <c:v>3204.86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LEADPAK SOLUCOE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60.218000000000011</c:v>
                </c:pt>
                <c:pt idx="1">
                  <c:v>2338.6812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[Analise_JACKSON_22092026.xlsx]Resumo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LEADPAK SOLUCOE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129.9</c:v>
                </c:pt>
                <c:pt idx="1">
                  <c:v>3204.86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LEADPAK SOLUCOE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60.218000000000011</c:v>
                </c:pt>
                <c:pt idx="1">
                  <c:v>2338.6812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0.47502604166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2044" count="8000">
        <n v="302026"/>
        <n v="302044"/>
        <n v="30202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1T00:00:00" maxDate="2026-09-23T00:00:00"/>
    </cacheField>
    <cacheField name="DATA" numFmtId="14">
      <sharedItems containsNonDate="0" containsDate="1" containsString="0" containsBlank="1" minDate="2026-09-22T00:00:00" maxDate="2026-09-23T00:00:00"/>
    </cacheField>
    <cacheField name="FAT" numFmtId="0">
      <sharedItems containsString="0" containsBlank="1" containsNumber="1" containsInteger="1" minValue="65799" maxValue="65799"/>
    </cacheField>
    <cacheField name="CT-E" numFmtId="0">
      <sharedItems containsBlank="1"/>
    </cacheField>
    <cacheField name="CLIENTE TOMADOR" numFmtId="0">
      <sharedItems containsBlank="1" count="856">
        <s v="LEADPAK SOLUCOE"/>
        <s v="BATIKI COM IMP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757.28" maxValue="162544.95999999999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9.9" maxValue="2650"/>
    </cacheField>
    <cacheField name="VOLUMES" numFmtId="0">
      <sharedItems containsString="0" containsBlank="1" containsNumber="1" containsInteger="1" minValue="4" maxValue="10"/>
    </cacheField>
    <cacheField name="PESO" numFmtId="0">
      <sharedItems containsString="0" containsBlank="1" containsNumber="1" minValue="50" maxValue="1110.8"/>
    </cacheField>
    <cacheField name="RESP. COLETA" numFmtId="0">
      <sharedItems containsBlank="1"/>
    </cacheField>
    <cacheField name="CUSTO COLETA" numFmtId="0">
      <sharedItems containsString="0" containsBlank="1" containsNumber="1" minValue="0" maxValue="2.3199999999999998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5.59" maxValue="31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38" maxValue="81.2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28.21" maxValue="1671.64"/>
    </cacheField>
    <cacheField name="RECEITA" numFmtId="0">
      <sharedItems containsString="0" containsBlank="1" containsNumber="1" minValue="-1116.78" maxValue="2250.73"/>
    </cacheField>
    <cacheField name="IMPOSTO" numFmtId="0">
      <sharedItems containsString="0" containsBlank="1" containsNumber="1" minValue="33.770000000000003" maxValue="689"/>
    </cacheField>
    <cacheField name="RESULTADO" numFmtId="0">
      <sharedItems containsString="0" containsBlank="1" containsNumber="1" minValue="-1261.04" maxValue="1561.73"/>
    </cacheField>
    <cacheField name="COMIS" numFmtId="0">
      <sharedItems containsString="0" containsBlank="1" containsNumber="1" minValue="0" maxValue="69.959999999999994"/>
    </cacheField>
    <cacheField name="LUCRO LIQ" numFmtId="0">
      <sharedItems containsString="0" containsBlank="1" containsNumber="1" minValue="-1261.04" maxValue="1491.77"/>
    </cacheField>
    <cacheField name="MARGEM" numFmtId="10">
      <sharedItems containsString="0" containsBlank="1" containsNumber="1" minValue="-2.2726999999999999" maxValue="0.562899999999999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m/>
    <d v="2026-09-22T00:00:00"/>
    <n v="65799"/>
    <s v="37557-1"/>
    <x v="0"/>
    <s v="CAIO LUCIANO MATIAS"/>
    <n v="147964.44"/>
    <x v="0"/>
    <s v="CTE NORMAL"/>
    <s v="GUARATINGUETA - SP"/>
    <n v="554.86"/>
    <n v="4"/>
    <n v="1110.8"/>
    <s v="N/D"/>
    <n v="0"/>
    <s v="N/D"/>
    <n v="0"/>
    <s v="F DA SILVA OLIVEIRA SERVI"/>
    <n v="0"/>
    <n v="66.58"/>
    <n v="0"/>
    <n v="0"/>
    <n v="73.98"/>
    <n v="0"/>
    <n v="1671.64"/>
    <n v="-1116.78"/>
    <n v="144.26"/>
    <n v="-1261.04"/>
    <n v="0"/>
    <n v="-1261.04"/>
    <n v="-2.2726999999999999"/>
    <m/>
  </r>
  <r>
    <x v="1"/>
    <s v="MATRIZ"/>
    <d v="2026-09-22T00:00:00"/>
    <d v="2026-09-22T00:00:00"/>
    <m/>
    <s v="203604-1"/>
    <x v="1"/>
    <s v="TIAGO SANTANA"/>
    <n v="2757.28"/>
    <x v="1"/>
    <s v="CTE NORMAL"/>
    <s v="GUARULHOS - SP"/>
    <n v="129.9"/>
    <n v="10"/>
    <n v="50"/>
    <s v="HELTON JOHN DA SILVA"/>
    <n v="2.3199999999999998"/>
    <s v="DENIS MACEDO DE SOUZA"/>
    <n v="40"/>
    <s v="F DA SILVA OLIVEIRA SERVI"/>
    <n v="0"/>
    <n v="15.59"/>
    <n v="0"/>
    <n v="0"/>
    <n v="1.38"/>
    <n v="0"/>
    <n v="128.21"/>
    <n v="1.69"/>
    <n v="33.770000000000003"/>
    <n v="-35.51"/>
    <n v="0"/>
    <n v="-35.51"/>
    <n v="-0.27339999999999998"/>
    <m/>
  </r>
  <r>
    <x v="2"/>
    <s v="FILIAL SP"/>
    <d v="2026-09-21T00:00:00"/>
    <d v="2026-09-22T00:00:00"/>
    <n v="65799"/>
    <s v="37556-1"/>
    <x v="0"/>
    <s v="CAIO LUCIANO MATIAS"/>
    <n v="162544.95999999999"/>
    <x v="0"/>
    <s v="CTE NORMAL"/>
    <s v="PASSA QUATRO - MG"/>
    <n v="2650"/>
    <n v="4"/>
    <n v="1110.8"/>
    <s v="N/D"/>
    <n v="0"/>
    <s v="N/D"/>
    <n v="0"/>
    <s v="INDEFINIDO"/>
    <n v="0"/>
    <n v="318"/>
    <n v="0"/>
    <n v="0"/>
    <n v="81.27"/>
    <n v="0"/>
    <n v="399.27"/>
    <n v="2250.73"/>
    <n v="689"/>
    <n v="1561.73"/>
    <n v="69.959999999999994"/>
    <n v="1491.77"/>
    <n v="0.56289999999999996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7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1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6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6"/>
        <item m="1" x="459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x="0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3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6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4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92"/>
    </i>
    <i r="1">
      <x v="7998"/>
    </i>
    <i>
      <x v="430"/>
    </i>
    <i r="1">
      <x v="7997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2"/>
        <item m="1" x="507"/>
        <item sd="0" m="1" x="554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0"/>
        <item m="1" x="846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1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1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6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6"/>
        <item m="1" x="459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x="0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3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6"/>
        <item m="1" x="396"/>
        <item m="1" x="671"/>
        <item m="1" x="186"/>
        <item sd="0" m="1" x="410"/>
        <item m="1" x="475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4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9"/>
        <item m="1" x="817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92"/>
    </i>
    <i>
      <x v="430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3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80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70" s="1" nd="1"/>
        <i x="45" s="1" nd="1"/>
        <i x="731" s="1" nd="1"/>
        <i x="690" s="1" nd="1"/>
        <i x="217" s="1" nd="1"/>
        <i x="477" s="1" nd="1"/>
        <i x="634" s="1" nd="1"/>
        <i x="447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2" s="1" nd="1"/>
        <i x="507" s="1" nd="1"/>
        <i x="554" s="1" nd="1"/>
        <i x="478" s="1" nd="1"/>
        <i x="245" s="1" nd="1"/>
        <i x="849" s="1" nd="1"/>
        <i x="833" s="1" nd="1"/>
        <i x="743" s="1" nd="1"/>
        <i x="241" s="1" nd="1"/>
        <i x="240" s="1" nd="1"/>
        <i x="463" s="1" nd="1"/>
        <i x="287" s="1" nd="1"/>
        <i x="550" s="1" nd="1"/>
        <i x="846" s="1" nd="1"/>
        <i x="446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4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1" s="1" nd="1"/>
        <i x="458" s="1" nd="1"/>
        <i x="479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6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1" s="1" nd="1"/>
        <i x="118" s="1" nd="1"/>
        <i x="537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10" s="1" nd="1"/>
        <i x="822" s="1" nd="1"/>
        <i x="342" s="1" nd="1"/>
        <i x="224" s="1" nd="1"/>
        <i x="65" s="1" nd="1"/>
        <i x="636" s="1" nd="1"/>
        <i x="459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39" s="1" nd="1"/>
        <i x="209" s="1" nd="1"/>
        <i x="672" s="1" nd="1"/>
        <i x="487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1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9" s="1" nd="1"/>
        <i x="468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3" s="1" nd="1"/>
        <i x="775" s="1" nd="1"/>
        <i x="486" s="1" nd="1"/>
        <i x="741" s="1" nd="1"/>
        <i x="455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3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9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3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500" s="1" nd="1"/>
        <i x="62" s="1" nd="1"/>
        <i x="457" s="1" nd="1"/>
        <i x="83" s="1" nd="1"/>
        <i x="326" s="1" nd="1"/>
        <i x="169" s="1" nd="1"/>
        <i x="333" s="1" nd="1"/>
        <i x="565" s="1" nd="1"/>
        <i x="505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6" s="1" nd="1"/>
        <i x="813" s="1" nd="1"/>
        <i x="465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3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6" s="1" nd="1"/>
        <i x="599" s="1" nd="1"/>
        <i x="318" s="1" nd="1"/>
        <i x="782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4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1" s="1" nd="1"/>
        <i x="512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7" s="1" nd="1"/>
        <i x="707" s="1" nd="1"/>
        <i x="620" s="1" nd="1"/>
        <i x="732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6" s="1" nd="1"/>
        <i x="396" s="1" nd="1"/>
        <i x="671" s="1" nd="1"/>
        <i x="186" s="1" nd="1"/>
        <i x="410" s="1" nd="1"/>
        <i x="475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4" s="1" nd="1"/>
        <i x="414" s="1" nd="1"/>
        <i x="703" s="1" nd="1"/>
        <i x="205" s="1" nd="1"/>
        <i x="644" s="1" nd="1"/>
        <i x="780" s="1" nd="1"/>
        <i x="469" s="1" nd="1"/>
        <i x="41" s="1" nd="1"/>
        <i x="694" s="1" nd="1"/>
        <i x="664" s="1" nd="1"/>
        <i x="809" s="1" nd="1"/>
        <i x="817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2" s="1" nd="1"/>
        <i x="515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0" s="1" nd="1"/>
        <i x="82" s="1" nd="1"/>
        <i x="635" s="1" nd="1"/>
        <i x="67" s="1" nd="1"/>
        <i x="651" s="1" nd="1"/>
        <i x="490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82" totalsRowShown="0" headerRowDxfId="92" dataDxfId="90" headerRowBorderDxfId="91" tableBorderDxfId="89" totalsRowBorderDxfId="88">
  <autoFilter ref="A1:D382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302026</v>
      </c>
      <c r="B2" s="12" t="s">
        <v>601</v>
      </c>
      <c r="C2" s="14"/>
      <c r="D2" s="14">
        <v>46287</v>
      </c>
      <c r="E2" s="12">
        <v>65799</v>
      </c>
      <c r="F2" s="15" t="s">
        <v>602</v>
      </c>
      <c r="G2" s="15" t="s">
        <v>603</v>
      </c>
      <c r="H2" s="15" t="s">
        <v>604</v>
      </c>
      <c r="I2" s="16">
        <v>147964.44</v>
      </c>
      <c r="J2" s="15" t="s">
        <v>605</v>
      </c>
      <c r="K2" s="15" t="s">
        <v>606</v>
      </c>
      <c r="L2" s="15" t="s">
        <v>607</v>
      </c>
      <c r="M2" s="15">
        <v>554.86</v>
      </c>
      <c r="N2" s="15">
        <v>4</v>
      </c>
      <c r="O2" s="16">
        <v>1110.8</v>
      </c>
      <c r="P2" s="15" t="s">
        <v>608</v>
      </c>
      <c r="Q2" s="15">
        <v>0</v>
      </c>
      <c r="R2" s="15" t="s">
        <v>608</v>
      </c>
      <c r="S2" s="15">
        <v>0</v>
      </c>
      <c r="T2" s="15" t="s">
        <v>609</v>
      </c>
      <c r="U2" s="15">
        <v>0</v>
      </c>
      <c r="V2" s="15">
        <v>66.58</v>
      </c>
      <c r="W2" s="15">
        <v>0</v>
      </c>
      <c r="X2" s="15">
        <v>0</v>
      </c>
      <c r="Y2" s="15">
        <v>73.98</v>
      </c>
      <c r="Z2" s="15">
        <v>0</v>
      </c>
      <c r="AA2" s="15">
        <v>1671.64</v>
      </c>
      <c r="AB2" s="15">
        <v>-1116.78</v>
      </c>
      <c r="AC2" s="15">
        <v>144.26</v>
      </c>
      <c r="AD2" s="15">
        <v>-1261.04</v>
      </c>
      <c r="AE2" s="15">
        <v>0</v>
      </c>
      <c r="AF2" s="15">
        <v>-1261.04</v>
      </c>
      <c r="AG2" s="17">
        <v>-2.2726999999999999</v>
      </c>
      <c r="AH2" s="15"/>
    </row>
    <row r="3" spans="1:34" s="1" customFormat="1" ht="12" customHeight="1" x14ac:dyDescent="0.3">
      <c r="A3" s="13">
        <v>302044</v>
      </c>
      <c r="B3" s="12" t="s">
        <v>610</v>
      </c>
      <c r="C3" s="14">
        <v>46287</v>
      </c>
      <c r="D3" s="14">
        <v>46287</v>
      </c>
      <c r="E3" s="12"/>
      <c r="F3" s="15" t="s">
        <v>611</v>
      </c>
      <c r="G3" s="15" t="s">
        <v>612</v>
      </c>
      <c r="H3" s="15" t="s">
        <v>613</v>
      </c>
      <c r="I3" s="16">
        <v>2757.28</v>
      </c>
      <c r="J3" s="15" t="s">
        <v>614</v>
      </c>
      <c r="K3" s="15" t="s">
        <v>606</v>
      </c>
      <c r="L3" s="15" t="s">
        <v>615</v>
      </c>
      <c r="M3" s="16">
        <v>129.9</v>
      </c>
      <c r="N3" s="15">
        <v>10</v>
      </c>
      <c r="O3" s="16">
        <v>50</v>
      </c>
      <c r="P3" s="15" t="s">
        <v>616</v>
      </c>
      <c r="Q3" s="15">
        <v>2.3199999999999998</v>
      </c>
      <c r="R3" s="15" t="s">
        <v>617</v>
      </c>
      <c r="S3" s="15">
        <v>40</v>
      </c>
      <c r="T3" s="15" t="s">
        <v>609</v>
      </c>
      <c r="U3" s="15">
        <v>0</v>
      </c>
      <c r="V3" s="15">
        <v>15.59</v>
      </c>
      <c r="W3" s="15">
        <v>0</v>
      </c>
      <c r="X3" s="15">
        <v>0</v>
      </c>
      <c r="Y3" s="15">
        <v>1.38</v>
      </c>
      <c r="Z3" s="15">
        <v>0</v>
      </c>
      <c r="AA3" s="16">
        <v>128.21</v>
      </c>
      <c r="AB3" s="16">
        <v>1.69</v>
      </c>
      <c r="AC3" s="15">
        <v>33.770000000000003</v>
      </c>
      <c r="AD3" s="15">
        <v>-35.51</v>
      </c>
      <c r="AE3" s="15">
        <v>0</v>
      </c>
      <c r="AF3" s="15">
        <v>-35.51</v>
      </c>
      <c r="AG3" s="17">
        <v>-0.27339999999999998</v>
      </c>
      <c r="AH3" s="15"/>
    </row>
    <row r="4" spans="1:34" s="1" customFormat="1" ht="12" customHeight="1" x14ac:dyDescent="0.3">
      <c r="A4" s="13">
        <v>302027</v>
      </c>
      <c r="B4" s="12" t="s">
        <v>601</v>
      </c>
      <c r="C4" s="14">
        <v>46286</v>
      </c>
      <c r="D4" s="14">
        <v>46287</v>
      </c>
      <c r="E4" s="12">
        <v>65799</v>
      </c>
      <c r="F4" s="15" t="s">
        <v>618</v>
      </c>
      <c r="G4" s="15" t="s">
        <v>603</v>
      </c>
      <c r="H4" s="15" t="s">
        <v>604</v>
      </c>
      <c r="I4" s="15">
        <v>162544.95999999999</v>
      </c>
      <c r="J4" s="15" t="s">
        <v>605</v>
      </c>
      <c r="K4" s="15" t="s">
        <v>606</v>
      </c>
      <c r="L4" s="15" t="s">
        <v>619</v>
      </c>
      <c r="M4" s="16">
        <v>2650</v>
      </c>
      <c r="N4" s="15">
        <v>4</v>
      </c>
      <c r="O4" s="15">
        <v>1110.8</v>
      </c>
      <c r="P4" s="15" t="s">
        <v>608</v>
      </c>
      <c r="Q4" s="15">
        <v>0</v>
      </c>
      <c r="R4" s="15" t="s">
        <v>608</v>
      </c>
      <c r="S4" s="15">
        <v>0</v>
      </c>
      <c r="T4" s="15" t="s">
        <v>620</v>
      </c>
      <c r="U4" s="15">
        <v>0</v>
      </c>
      <c r="V4" s="15">
        <v>318</v>
      </c>
      <c r="W4" s="15">
        <v>0</v>
      </c>
      <c r="X4" s="15">
        <v>0</v>
      </c>
      <c r="Y4" s="15">
        <v>81.27</v>
      </c>
      <c r="Z4" s="15">
        <v>0</v>
      </c>
      <c r="AA4" s="15">
        <v>399.27</v>
      </c>
      <c r="AB4" s="16">
        <v>2250.73</v>
      </c>
      <c r="AC4" s="15">
        <v>689</v>
      </c>
      <c r="AD4" s="16">
        <v>1561.73</v>
      </c>
      <c r="AE4" s="15">
        <v>69.959999999999994</v>
      </c>
      <c r="AF4" s="16">
        <v>1491.77</v>
      </c>
      <c r="AG4" s="17">
        <v>0.56289999999999996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3334.76</v>
      </c>
      <c r="F3" s="89"/>
      <c r="G3" s="90"/>
      <c r="H3" s="133">
        <f>'Resumo Detalhado'!C2</f>
        <v>2271.6</v>
      </c>
      <c r="I3" s="134"/>
      <c r="J3" s="135">
        <f>E3/H3</f>
        <v>1.4680225391794333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0.6490285714285714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1602.32</v>
      </c>
      <c r="F7" s="112"/>
      <c r="G7" s="112"/>
      <c r="H7" s="112"/>
      <c r="I7" s="112"/>
      <c r="J7" s="112">
        <f>E7/H3</f>
        <v>0.70537066384926927</v>
      </c>
      <c r="K7" s="112"/>
      <c r="L7" s="112"/>
      <c r="M7" s="130">
        <f>E7/E3</f>
        <v>0.48049035013014424</v>
      </c>
      <c r="N7" s="130"/>
      <c r="O7" s="130"/>
      <c r="P7" s="112">
        <f>E11+K11+Q11+E15+K15+Q15+E19+H19+K19</f>
        <v>2959.4623999999999</v>
      </c>
      <c r="Q7" s="112"/>
      <c r="R7" s="112"/>
      <c r="S7" s="112">
        <f>P7/H3</f>
        <v>1.3028096495861947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1600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1600</v>
      </c>
      <c r="L11" s="90"/>
      <c r="M11" s="38"/>
      <c r="N11" s="88">
        <f>K11/H3</f>
        <v>0.70434935728121151</v>
      </c>
      <c r="O11" s="90"/>
      <c r="P11" s="38"/>
      <c r="Q11" s="88">
        <f>'Resumo Detalhado'!D2</f>
        <v>2.3199999999999998</v>
      </c>
      <c r="R11" s="90"/>
      <c r="S11" s="38"/>
      <c r="T11" s="88">
        <f>Q11/H3</f>
        <v>1.0213065680577567E-3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400.17</v>
      </c>
      <c r="F15" s="119"/>
      <c r="G15" s="119"/>
      <c r="H15" s="119"/>
      <c r="I15" s="132"/>
      <c r="J15" s="38"/>
      <c r="K15" s="113">
        <f>'Resumo Detalhado'!K2+'Resumo Detalhado'!L2</f>
        <v>533.5616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156.63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266.7808</v>
      </c>
      <c r="L19" s="123"/>
      <c r="M19" s="38"/>
      <c r="N19" s="121" t="s">
        <v>600</v>
      </c>
      <c r="O19" s="119"/>
      <c r="P19" s="119"/>
      <c r="Q19" s="119"/>
      <c r="R19" s="120"/>
      <c r="S19" s="121">
        <f>_xlfn.XLOOKUP(N19,Target!C:C,Target!D:D)</f>
        <v>1600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2398.8991999999998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0.71936187311830524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621</v>
      </c>
      <c r="F1" s="29"/>
    </row>
    <row r="2" spans="1:18" x14ac:dyDescent="0.3">
      <c r="B2" s="29">
        <f>SUM(B6:B5000)</f>
        <v>3334.76</v>
      </c>
      <c r="C2" s="29">
        <f>SUM(C6:C5000)</f>
        <v>2271.6</v>
      </c>
      <c r="D2" s="29">
        <f>SUM(D6:D5000)</f>
        <v>2.3199999999999998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400.17</v>
      </c>
      <c r="I2" s="29">
        <f t="shared" si="0"/>
        <v>156.63</v>
      </c>
      <c r="J2" s="29">
        <f t="shared" si="0"/>
        <v>0</v>
      </c>
      <c r="K2" s="29">
        <f t="shared" si="0"/>
        <v>266.7808</v>
      </c>
      <c r="L2" s="29">
        <f t="shared" si="0"/>
        <v>266.7808</v>
      </c>
      <c r="M2" s="29">
        <f t="shared" si="0"/>
        <v>69.959999999999994</v>
      </c>
      <c r="N2" s="29">
        <f t="shared" si="0"/>
        <v>2398.8991999999998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612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302044</v>
      </c>
      <c r="B6" s="140">
        <v>129.9</v>
      </c>
      <c r="C6" s="141">
        <v>50</v>
      </c>
      <c r="D6" s="140">
        <v>2.3199999999999998</v>
      </c>
      <c r="E6" s="140">
        <v>40</v>
      </c>
      <c r="F6" s="140">
        <v>0</v>
      </c>
      <c r="G6" s="142">
        <v>0.32578906851424172</v>
      </c>
      <c r="H6" s="140">
        <v>15.59</v>
      </c>
      <c r="I6" s="140">
        <v>1.38</v>
      </c>
      <c r="J6" s="140">
        <v>0</v>
      </c>
      <c r="K6" s="140">
        <v>10.392000000000001</v>
      </c>
      <c r="L6" s="140">
        <v>10.392000000000001</v>
      </c>
      <c r="M6" s="140">
        <v>0</v>
      </c>
      <c r="N6" s="140">
        <v>60.218000000000011</v>
      </c>
      <c r="O6" s="142">
        <v>0.46357197844495773</v>
      </c>
      <c r="Q6"/>
    </row>
    <row r="7" spans="1:18" s="31" customFormat="1" x14ac:dyDescent="0.3">
      <c r="A7" s="9" t="s">
        <v>603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302026</v>
      </c>
      <c r="B8" s="140">
        <v>554.86</v>
      </c>
      <c r="C8" s="141">
        <v>1110.8</v>
      </c>
      <c r="D8" s="140">
        <v>0</v>
      </c>
      <c r="E8" s="140">
        <v>0</v>
      </c>
      <c r="F8" s="140">
        <v>0</v>
      </c>
      <c r="G8" s="142">
        <v>0</v>
      </c>
      <c r="H8" s="140">
        <v>66.58</v>
      </c>
      <c r="I8" s="140">
        <v>73.98</v>
      </c>
      <c r="J8" s="140">
        <v>0</v>
      </c>
      <c r="K8" s="140">
        <v>44.388800000000003</v>
      </c>
      <c r="L8" s="140">
        <v>44.388800000000003</v>
      </c>
      <c r="M8" s="140">
        <v>0</v>
      </c>
      <c r="N8" s="140">
        <v>369.91120000000001</v>
      </c>
      <c r="O8" s="142">
        <v>0.66667483689579354</v>
      </c>
      <c r="P8"/>
    </row>
    <row r="9" spans="1:18" s="31" customFormat="1" x14ac:dyDescent="0.3">
      <c r="A9" s="62">
        <v>302027</v>
      </c>
      <c r="B9" s="140">
        <v>2650</v>
      </c>
      <c r="C9" s="141">
        <v>1110.8</v>
      </c>
      <c r="D9" s="140">
        <v>0</v>
      </c>
      <c r="E9" s="140">
        <v>0</v>
      </c>
      <c r="F9" s="140">
        <v>0</v>
      </c>
      <c r="G9" s="142">
        <v>0</v>
      </c>
      <c r="H9" s="140">
        <v>318</v>
      </c>
      <c r="I9" s="140">
        <v>81.27</v>
      </c>
      <c r="J9" s="140">
        <v>0</v>
      </c>
      <c r="K9" s="140">
        <v>212</v>
      </c>
      <c r="L9" s="140">
        <v>212</v>
      </c>
      <c r="M9" s="140">
        <v>69.959999999999994</v>
      </c>
      <c r="N9" s="140">
        <v>1968.77</v>
      </c>
      <c r="O9" s="142">
        <v>0.74293207547169815</v>
      </c>
      <c r="P9"/>
    </row>
    <row r="10" spans="1:18" s="31" customFormat="1" x14ac:dyDescent="0.3">
      <c r="A10" s="9" t="s">
        <v>86</v>
      </c>
      <c r="B10" s="140"/>
      <c r="C10" s="141"/>
      <c r="D10" s="140"/>
      <c r="E10" s="140"/>
      <c r="F10" s="140"/>
      <c r="G10" s="142"/>
      <c r="H10" s="140"/>
      <c r="I10" s="140"/>
      <c r="J10" s="140"/>
      <c r="K10" s="140"/>
      <c r="L10" s="140"/>
      <c r="M10" s="140"/>
      <c r="N10" s="140"/>
      <c r="O10" s="142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621</v>
      </c>
    </row>
    <row r="2" spans="1:4" x14ac:dyDescent="0.3">
      <c r="B2" s="29">
        <f>SUM(B6:B5000)</f>
        <v>3204.86</v>
      </c>
      <c r="C2" s="29">
        <f>SUM(C6:C5000)</f>
        <v>2338.6812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612</v>
      </c>
      <c r="B5" s="10">
        <v>129.9</v>
      </c>
      <c r="C5" s="10">
        <v>60.218000000000011</v>
      </c>
    </row>
    <row r="6" spans="1:4" x14ac:dyDescent="0.3">
      <c r="A6" s="9" t="s">
        <v>603</v>
      </c>
      <c r="B6" s="140">
        <v>3204.86</v>
      </c>
      <c r="C6" s="140">
        <v>2338.6812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82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2026-09-25T14:24:09Z</dcterms:modified>
  <cp:category/>
  <cp:contentStatus/>
</cp:coreProperties>
</file>