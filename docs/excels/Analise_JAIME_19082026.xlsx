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3339C9-3578-4F54-AF43-EB97DBE889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<sst xmlns="http://schemas.openxmlformats.org/spreadsheetml/2006/main" count="857" uniqueCount="589">
  <si>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</si>
  <si>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</si>
  <si>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</si>
  <si>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</si>
  <si>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</si>
  <si>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</si>
  <si>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</si>
  <si>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</si>
  <si>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</si>
  <si>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</si>
  <si>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</si>
  <si>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</si>
  <si>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</si>
  <si>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</si>
  <si>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</si>
  <si>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</si>
  <si>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</si>
  <si>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</si>
  <si>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</si>
  <si>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</si>
  <si>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</si>
  <si>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</si>
  <si>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</si>
  <si>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</si>
  <si>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</si>
  <si>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</si>
  <si>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</si>
  <si>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</si>
  <si>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</si>
  <si>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</si>
  <si>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</si>
  <si>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</si>
  <si>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</si>
  <si>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</si>
  <si>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</si>
  <si>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</si>
  <si>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</si>
  <si>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</si>
  <si>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</si>
  <si>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</si>
  <si>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</si>
  <si>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</si>
  <si>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</si>
  <si>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</si>
  <si>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</si>
  <si>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</si>
  <si>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</si>
  <si>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</si>
  <si>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</si>
  <si>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</si>
  <si>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</si>
  <si>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</si>
  <si>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</si>
  <si>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</si>
  <si>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</si>
  <si>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</si>
  <si>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</si>
  <si>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</si>
  <si>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</si>
  <si>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</si>
  <si>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</si>
  <si>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</si>
  <si>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</si>
  <si>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</si>
  <si>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</si>
  <si>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</si>
  <si>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</si>
  <si>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</si>
  <si>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</si>
  <si>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</si>
  <si>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</si>
  <si>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</si>
  <si>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</si>
  <si>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</si>
  <si>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</si>
  <si>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</si>
  <si>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</si>
  <si>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</si>
  <si>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</si>
  <si>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</si>
  <si>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</si>
  <si>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</si>
  <si>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</si>
  <si>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</si>
  <si>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</si>
  <si>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</si>
  <si>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</si>
  <si>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</si>
  <si>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</si>
  <si>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</si>
  <si>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</si>
  <si>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</si>
  <si>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</si>
  <si>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</si>
  <si>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</si>
  <si>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</si>
  <si>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</si>
  <si>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</si>
  <si>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</si>
  <si>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</si>
  <si>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</si>
  <si>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</si>
  <si>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</si>
  <si>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</si>
  <si>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</si>
  <si>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</si>
  <si>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</si>
  <si>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</si>
  <si>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</si>
  <si>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</si>
  <si>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</si>
  <si>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</si>
  <si>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</si>
  <si>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</si>
  <si>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</si>
  <si>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</si>
  <si>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</si>
  <si>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</si>
  <si>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</si>
  <si>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</si>
  <si>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</si>
  <si>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</si>
  <si>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</si>
  <si>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</si>
  <si>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</si>
  <si>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</si>
  <si>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</si>
  <si>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</si>
  <si>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</si>
  <si>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</si>
  <si>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</si>
  <si>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</si>
  <si>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</si>
  <si>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</si>
  <si>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</si>
  <si>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</si>
  <si>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</si>
  <si>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</si>
  <si>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</si>
  <si>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</si>
  <si>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</si>
  <si>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</si>
  <si>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</si>
  <si>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</si>
  <si>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</si>
  <si>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</si>
  <si>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</si>
  <si>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</si>
  <si>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</si>
  <si>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</si>
  <si>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</si>
  <si>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</si>
  <si>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</si>
  <si>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</si>
  <si>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</si>
  <si>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</si>
  <si>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</si>
  <si>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</si>
  <si>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</si>
  <si>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</si>
  <si>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</si>
  <si>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</si>
  <si>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</si>
  <si>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</si>
  <si>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</si>
  <si>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</si>
  <si>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</si>
  <si>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</si>
  <si>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</si>
  <si>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</si>
  <si>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</si>
  <si>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</si>
  <si>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</si>
  <si>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</si>
  <si>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</si>
  <si>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</si>
  <si>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</si>
  <si>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</si>
  <si>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</si>
  <si>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</si>
  <si>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</si>
  <si>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</si>
  <si>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</si>
  <si>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</si>
  <si>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</si>
  <si>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</si>
  <si>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</si>
  <si>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</si>
  <si>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</si>
  <si>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</si>
  <si>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</si>
  <si>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</si>
  <si>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</si>
  <si>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</si>
  <si>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</si>
  <si>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</si>
  <si>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</si>
  <si>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</si>
  <si>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</si>
  <si>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</si>
  <si>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</si>
  <si>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</si>
  <si>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</si>
  <si>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</si>
  <si>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</si>
  <si>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</si>
  <si>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</si>
  <si>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</si>
  <si>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</si>
  <si>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</si>
  <si>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</si>
  <si>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</si>
  <si>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</si>
  <si>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</si>
  <si>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</si>
  <si>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</si>
  <si>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</si>
  <si>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</si>
  <si>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</si>
  <si>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</si>
  <si>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</si>
  <si>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</si>
  <si>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</si>
  <si>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</si>
  <si>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</si>
  <si>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</si>
  <si>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</si>
  <si>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</si>
  <si>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</si>
  <si>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</si>
  <si>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</si>
  <si>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</si>
  <si>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</si>
  <si>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</si>
  <si>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</si>
  <si>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</si>
  <si>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</si>
  <si>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</si>
  <si>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</si>
  <si>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</si>
  <si>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</si>
  <si>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</si>
  <si>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</si>
  <si>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</si>
  <si>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</si>
  <si>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</si>
  <si>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</si>
  <si>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</si>
  <si>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</si>
  <si>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</si>
  <si>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</si>
  <si>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</si>
  <si>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</si>
  <si>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</si>
  <si>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</si>
  <si>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</si>
  <si>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</si>
  <si>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</si>
  <si>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</si>
  <si>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</si>
  <si>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</si>
  <si>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</si>
  <si>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</si>
  <si>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</si>
  <si>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</si>
  <si>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</si>
  <si>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</si>
  <si>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</si>
  <si>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</si>
  <si>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</si>
  <si>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</si>
  <si>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</si>
  <si>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</si>
  <si>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</si>
  <si>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</si>
  <si>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</si>
  <si>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</si>
  <si>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</si>
  <si>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</si>
  <si>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</si>
  <si>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</si>
  <si>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</si>
  <si>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</si>
  <si>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</si>
  <si>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</si>
  <si>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</si>
  <si>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</si>
  <si>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</si>
  <si>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</si>
  <si>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</si>
  <si>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</si>
  <si>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</si>
  <si>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</si>
  <si>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</si>
  <si>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</si>
  <si>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</si>
  <si>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</si>
  <si>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</si>
  <si>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</si>
  <si>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</si>
  <si>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</si>
  <si>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</si>
  <si>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</si>
  <si>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</si>
  <si>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</si>
  <si>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</si>
  <si>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</si>
  <si>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</si>
  <si>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</si>
  <si>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</si>
  <si>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</si>
  <si>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</si>
  <si>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</si>
  <si>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</si>
  <si>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</si>
  <si>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</si>
  <si>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</si>
  <si>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</si>
  <si>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</si>
  <si>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</si>
  <si>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</si>
  <si>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</si>
  <si>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</si>
  <si>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</si>
  <si>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</si>
  <si>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</si>
  <si>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</si>
  <si>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</si>
  <si>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</si>
  <si>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</si>
  <si>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</si>
  <si>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</si>
  <si>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</si>
  <si>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</si>
  <si>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</si>
  <si>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</si>
  <si>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</si>
  <si>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</si>
  <si>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</si>
  <si>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</si>
  <si>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</si>
  <si>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</si>
  <si>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</si>
  <si>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</si>
  <si>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</si>
  <si>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</si>
  <si>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</si>
  <si>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</si>
  <si>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</si>
  <si>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</si>
  <si>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</si>
  <si>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</si>
  <si>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</si>
  <si>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</si>
  <si>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</si>
  <si>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</si>
  <si>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</si>
  <si>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</si>
  <si>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</si>
  <si>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</si>
  <si>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</si>
  <si>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</si>
  <si>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</si>
  <si>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</si>
  <si>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</si>
  <si>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</si>
  <si>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</si>
  <si>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</si>
  <si>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</si>
  <si>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</si>
  <si>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</si>
  <si>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</si>
  <si>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</si>
  <si>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</si>
  <si>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</si>
  <si>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</si>
  <si>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</si>
  <si>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</si>
  <si>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</si>
  <si>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</si>
  <si>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</si>
  <si>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</si>
  <si>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</si>
  <si>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</si>
  <si>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</si>
  <si>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</si>
  <si>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</si>
  <si>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</si>
  <si>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</si>
  <si>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</si>
  <si>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</si>
  <si>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</si>
  <si>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</si>
  <si>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</si>
  <si>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</si>
  <si>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</si>
  <si>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</si>
  <si>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</si>
  <si>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</si>
  <si>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</si>
  <si>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</si>
  <si>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</si>
  <si>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</si>
  <si>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</si>
  <si>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</si>
  <si>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</si>
  <si>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</si>
  <si>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</si>
  <si>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</si>
  <si>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</si>
  <si>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</si>
  <si>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</si>
  <si>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</si>
  <si>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</si>
  <si>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</si>
  <si>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</si>
  <si>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</si>
  <si>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</si>
  <si>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</si>
  <si>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</si>
  <si>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</si>
  <si>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</si>
  <si>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</si>
  <si>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</si>
  <si>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</si>
  <si>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</si>
  <si>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</si>
  <si>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</si>
  <si>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</si>
  <si>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</si>
  <si>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</si>
  <si>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</si>
  <si>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</si>
  <si>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</si>
  <si>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</si>
  <si>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</si>
  <si>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</si>
  <si>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</si>
  <si>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</si>
  <si>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</si>
  <si>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</si>
  <si>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</si>
  <si>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</si>
  <si>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</si>
  <si>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</si>
  <si>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</si>
  <si>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</si>
  <si>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</si>
  <si>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</si>
  <si>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</si>
  <si>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</si>
  <si>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</si>
  <si>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</si>
  <si>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</si>
  <si>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</si>
  <si>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</si>
  <si>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</si>
  <si>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</si>
  <si>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</si>
  <si>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</si>
  <si>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</si>
  <si>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</si>
  <si>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</si>
  <si>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</si>
  <si>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</si>
  <si>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</si>
  <si>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</si>
  <si>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</si>
  <si>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</si>
  <si>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</si>
  <si>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</si>
  <si>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</si>
  <si>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</si>
  <si>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</si>
  <si>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</si>
  <si>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</si>
  <si>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</si>
  <si>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</si>
  <si>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</si>
  <si>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</si>
  <si>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</si>
  <si>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</si>
  <si>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</si>
  <si>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</si>
  <si>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</si>
  <si>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</si>
  <si>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</si>
  <si>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</si>
  <si>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</si>
  <si>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</si>
  <si>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</si>
  <si>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</si>
  <si>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</si>
  <si>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</si>
  <si>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</si>
  <si>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</si>
  <si>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</si>
  <si>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</si>
  <si>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</si>
  <si>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</si>
  <si>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</si>
  <si>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</si>
  <si>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</si>
  <si>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</si>
  <si>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</si>
  <si>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</si>
  <si>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</si>
  <si>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</si>
  <si>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</si>
  <si>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</si>
  <si>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</si>
  <si>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</si>
  <si>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</si>
  <si>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</si>
  <si>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</si>
  <si>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</si>
  <si>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</si>
  <si>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</si>
  <si>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</si>
  <si>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</si>
  <si>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</si>
  <si>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</si>
  <si>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</si>
  <si>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</si>
  <si>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</si>
  <si>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</si>
  <si>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</si>
  <si>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</si>
  <si>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</si>
  <si>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</si>
  <si>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</si>
  <si>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</si>
  <si>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</si>
  <si>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</si>
  <si>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</si>
  <si>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</si>
  <si>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</si>
  <si>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</si>
  <si>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</si>
  <si>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</si>
  <si>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</si>
  <si>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</si>
  <si>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</si>
  <si>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</si>
  <si>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</si>
  <si>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</si>
  <si>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</si>
  <si>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</si>
  <si>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</si>
  <si>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</si>
  <si>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</si>
  <si>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</si>
  <si>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</si>
  <si>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</si>
  <si>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</si>
  <si>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</si>
  <si>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</si>
  <si>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</si>
  <si>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</si>
  <si>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</si>
  <si>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</si>
  <si>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</si>
  <si>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</si>
  <si>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</si>
  <si>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</si>
  <si>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</si>
  <si>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</si>
  <si>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</si>
  <si>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</si>
  <si>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</si>
  <si>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</si>
  <si>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</si>
  <si>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</si>
  <si>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</si>
  <si>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</si>
  <si>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</si>
  <si>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</si>
  <si>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</si>
  <si>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MATRIZ</t>
  </si>
  <si>
    <t>201559-1</t>
  </si>
  <si>
    <t>SOCINTER SUL CO</t>
  </si>
  <si>
    <t>MICHELL MARQUES</t>
  </si>
  <si>
    <t>PERSONALIZADO_L</t>
  </si>
  <si>
    <t>CTE NORMAL</t>
  </si>
  <si>
    <t>ITAJAI - SC</t>
  </si>
  <si>
    <t>JAIME RAPHAEL FRANCEZ</t>
  </si>
  <si>
    <t>N/D</t>
  </si>
  <si>
    <t>Navegantes-Sc X Itajai-ScCTNR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</si>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</sst>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[Analise_JAIME_19082026.xlsx]Resumo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3375.84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1855.8456000000006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[Analise_JAIME_19082026.xlsx]Resumo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3375.84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1855.8456000000006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46956018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7205" count="8000">
        <n v="29720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9T00:00:00" maxDate="2026-08-20T00:00:00"/>
    </cacheField>
    <cacheField name="DATA" numFmtId="14">
      <sharedItems containsNonDate="0" containsDate="1" containsString="0" containsBlank="1" minDate="2026-08-19T00:00:00" maxDate="2026-08-2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OCINTER SUL C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11947.42" maxValue="811947.42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375.84" maxValue="3375.84"/>
    </cacheField>
    <cacheField name="VOLUMES" numFmtId="0">
      <sharedItems containsString="0" containsBlank="1" containsNumber="1" containsInteger="1" minValue="25" maxValue="25"/>
    </cacheField>
    <cacheField name="PESO" numFmtId="0">
      <sharedItems containsString="0" containsBlank="1" containsNumber="1" containsInteger="1" minValue="11400" maxValue="1140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573.89" maxValue="573.8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405.97" maxValue="405.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879.86" maxValue="1879.86"/>
    </cacheField>
    <cacheField name="RECEITA" numFmtId="0">
      <sharedItems containsString="0" containsBlank="1" containsNumber="1" minValue="1495.98" maxValue="1495.98"/>
    </cacheField>
    <cacheField name="IMPOSTO" numFmtId="0">
      <sharedItems containsString="0" containsBlank="1" containsNumber="1" minValue="877.72" maxValue="877.72"/>
    </cacheField>
    <cacheField name="RESULTADO" numFmtId="0">
      <sharedItems containsString="0" containsBlank="1" containsNumber="1" minValue="618.26" maxValue="618.2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618.26" maxValue="618.26"/>
    </cacheField>
    <cacheField name="MARGEM" numFmtId="10">
      <sharedItems containsString="0" containsBlank="1" containsNumber="1" minValue="0.18309999999999998" maxValue="0.1830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9T00:00:00"/>
    <d v="2026-08-19T00:00:00"/>
    <m/>
    <s v="201559-1"/>
    <x v="0"/>
    <s v="MICHELL MARQUES"/>
    <n v="811947.42"/>
    <x v="0"/>
    <s v="CTE NORMAL"/>
    <s v="ITAJAI - SC"/>
    <n v="3375.84"/>
    <n v="25"/>
    <n v="11400"/>
    <s v="JAIME RAPHAEL FRANCEZ"/>
    <n v="0"/>
    <s v="N/D"/>
    <n v="0"/>
    <s v="JAIME RAPHAEL FRANCEZ"/>
    <n v="0"/>
    <n v="573.89"/>
    <n v="0"/>
    <n v="0"/>
    <n v="405.97"/>
    <n v="0"/>
    <n v="1879.86"/>
    <n v="1495.98"/>
    <n v="877.72"/>
    <n v="618.26"/>
    <n v="0"/>
    <n v="618.26"/>
    <n v="0.18309999999999998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7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x="0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5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71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sd="0"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7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x="0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5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71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4" s="1" nd="1"/>
        <i x="149" s="1" nd="1"/>
        <i x="187" s="1" nd="1"/>
        <i x="273" s="1" nd="1"/>
        <i x="11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7" s="1" nd="1"/>
        <i x="800" s="1" nd="1"/>
        <i x="76" s="1" nd="1"/>
        <i x="47" s="1" nd="1"/>
        <i x="669" s="1" nd="1"/>
        <i x="661" s="1" nd="1"/>
        <i x="469" s="1" nd="1"/>
        <i x="44" s="1" nd="1"/>
        <i x="730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2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6" s="1" nd="1"/>
        <i x="421" s="1" nd="1"/>
        <i x="80" s="1" nd="1"/>
        <i x="697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4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5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3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8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6" s="1" nd="1"/>
        <i x="458" s="1" nd="1"/>
        <i x="790" s="1" nd="1"/>
        <i x="703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7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7" s="1" nd="1"/>
        <i x="839" s="1" nd="1"/>
        <i x="38" s="1" nd="1"/>
        <i x="383" s="1" nd="1"/>
        <i x="590" s="1" nd="1"/>
        <i x="747" s="1" nd="1"/>
        <i x="269" s="1" nd="1"/>
        <i x="17" s="1" nd="1"/>
        <i x="638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59" s="1" nd="1"/>
        <i x="691" s="1" nd="1"/>
        <i x="21" s="1" nd="1"/>
        <i x="727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3" s="1" nd="1"/>
        <i x="302" s="1" nd="1"/>
        <i x="549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8" s="1" nd="1"/>
        <i x="804" s="1" nd="1"/>
        <i x="91" s="1" nd="1"/>
        <i x="573" s="1" nd="1"/>
        <i x="157" s="1" nd="1"/>
        <i x="561" s="1" nd="1"/>
        <i x="45" s="1" nd="1"/>
        <i x="723" s="1" nd="1"/>
        <i x="748" s="1" nd="1"/>
        <i x="743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5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1" s="1" nd="1"/>
        <i x="642" s="1" nd="1"/>
        <i x="231" s="1" nd="1"/>
        <i x="373" s="1" nd="1"/>
        <i x="735" s="1" nd="1"/>
        <i x="132" s="1" nd="1"/>
        <i x="86" s="1" nd="1"/>
        <i x="209" s="1" nd="1"/>
        <i x="682" s="1" nd="1"/>
        <i x="275" s="1" nd="1"/>
        <i x="472" s="1" nd="1"/>
        <i x="799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5" s="1" nd="1"/>
        <i x="610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1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19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1" s="1" nd="1"/>
        <i x="584" s="1" nd="1"/>
        <i x="749" s="1" nd="1"/>
        <i x="722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20" s="1" nd="1"/>
        <i x="731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5" s="1" nd="1"/>
        <i x="405" s="1" nd="1"/>
        <i x="744" s="1" nd="1"/>
        <i x="79" s="1" nd="1"/>
        <i x="51" s="1" nd="1"/>
        <i x="851" s="1" nd="1"/>
        <i x="29" s="1" nd="1"/>
        <i x="571" s="1" nd="1"/>
        <i x="513" s="1" nd="1"/>
        <i x="413" s="1" nd="1"/>
        <i x="204" s="1" nd="1"/>
        <i x="644" s="1" nd="1"/>
        <i x="779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5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3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8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297205</v>
      </c>
      <c r="B2" s="12" t="s">
        <v>578</v>
      </c>
      <c r="C2" s="14">
        <v>46253</v>
      </c>
      <c r="D2" s="14">
        <v>46253</v>
      </c>
      <c r="E2" s="12"/>
      <c r="F2" s="15" t="s">
        <v>579</v>
      </c>
      <c r="G2" s="15" t="s">
        <v>580</v>
      </c>
      <c r="H2" s="15" t="s">
        <v>581</v>
      </c>
      <c r="I2" s="16">
        <v>811947.42</v>
      </c>
      <c r="J2" s="15" t="s">
        <v>582</v>
      </c>
      <c r="K2" s="15" t="s">
        <v>583</v>
      </c>
      <c r="L2" s="15" t="s">
        <v>584</v>
      </c>
      <c r="M2" s="15">
        <v>3375.84</v>
      </c>
      <c r="N2" s="15">
        <v>25</v>
      </c>
      <c r="O2" s="16">
        <v>11400</v>
      </c>
      <c r="P2" s="15" t="s">
        <v>585</v>
      </c>
      <c r="Q2" s="15">
        <v>0</v>
      </c>
      <c r="R2" s="15" t="s">
        <v>586</v>
      </c>
      <c r="S2" s="15">
        <v>0</v>
      </c>
      <c r="T2" s="15" t="s">
        <v>585</v>
      </c>
      <c r="U2" s="15">
        <v>0</v>
      </c>
      <c r="V2" s="15">
        <v>573.89</v>
      </c>
      <c r="W2" s="15">
        <v>0</v>
      </c>
      <c r="X2" s="15">
        <v>0</v>
      </c>
      <c r="Y2" s="15">
        <v>405.97</v>
      </c>
      <c r="Z2" s="15">
        <v>0</v>
      </c>
      <c r="AA2" s="15">
        <v>1879.86</v>
      </c>
      <c r="AB2" s="15">
        <v>1495.98</v>
      </c>
      <c r="AC2" s="15">
        <v>877.72</v>
      </c>
      <c r="AD2" s="15">
        <v>618.26</v>
      </c>
      <c r="AE2" s="15">
        <v>0</v>
      </c>
      <c r="AF2" s="15">
        <v>618.26</v>
      </c>
      <c r="AG2" s="17">
        <v>0.18309999999999998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3375.84</v>
      </c>
      <c r="F3" s="93"/>
      <c r="G3" s="94"/>
      <c r="H3" s="95">
        <f>'Resumo Detalhado'!C2</f>
        <v>11400</v>
      </c>
      <c r="I3" s="96"/>
      <c r="J3" s="97">
        <f>E3/H3</f>
        <v>0.29612631578947368</v>
      </c>
      <c r="K3" s="98"/>
      <c r="L3" s="99"/>
      <c r="M3" s="138" t="s">
        <v>266</v>
      </c>
      <c r="N3" s="93"/>
      <c r="O3" s="94"/>
      <c r="P3" s="135">
        <v>22000</v>
      </c>
      <c r="Q3" s="136"/>
      <c r="R3" s="137"/>
      <c r="S3" s="103">
        <f>MIN(H3/P3,1)</f>
        <v>0.51818181818181819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900</v>
      </c>
      <c r="F7" s="109"/>
      <c r="G7" s="109"/>
      <c r="H7" s="109"/>
      <c r="I7" s="109"/>
      <c r="J7" s="109">
        <f>E7/H3</f>
        <v>7.8947368421052627E-2</v>
      </c>
      <c r="K7" s="109"/>
      <c r="L7" s="109"/>
      <c r="M7" s="110">
        <f>E7/E3</f>
        <v>0.26660031281103369</v>
      </c>
      <c r="N7" s="110"/>
      <c r="O7" s="110"/>
      <c r="P7" s="109">
        <f>E11+K11+Q11+E15+K15+Q15+E19+H19+K19</f>
        <v>2690.0615999999995</v>
      </c>
      <c r="Q7" s="109"/>
      <c r="R7" s="109"/>
      <c r="S7" s="109">
        <f>P7/H3</f>
        <v>0.23597031578947364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900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900</v>
      </c>
      <c r="L11" s="94"/>
      <c r="M11" s="38"/>
      <c r="N11" s="92">
        <f>K11/H3</f>
        <v>7.8947368421052627E-2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573.89</v>
      </c>
      <c r="F15" s="113"/>
      <c r="G15" s="113"/>
      <c r="H15" s="113"/>
      <c r="I15" s="114"/>
      <c r="J15" s="38"/>
      <c r="K15" s="116">
        <f>'Resumo Detalhado'!K2+'Resumo Detalhado'!L2</f>
        <v>540.13440000000003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405.97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270.06720000000001</v>
      </c>
      <c r="L19" s="108"/>
      <c r="M19" s="38"/>
      <c r="N19" s="112" t="s">
        <v>587</v>
      </c>
      <c r="O19" s="113"/>
      <c r="P19" s="113"/>
      <c r="Q19" s="113"/>
      <c r="R19" s="119"/>
      <c r="S19" s="112">
        <v>900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1855.8456000000006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0.5497433527655341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3375.84</v>
      </c>
      <c r="C2" s="29">
        <f>SUM(C6:C5000)</f>
        <v>11400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573.89</v>
      </c>
      <c r="I2" s="29">
        <f t="shared" si="0"/>
        <v>405.97</v>
      </c>
      <c r="J2" s="29">
        <f t="shared" si="0"/>
        <v>0</v>
      </c>
      <c r="K2" s="29">
        <f t="shared" si="0"/>
        <v>270.06720000000001</v>
      </c>
      <c r="L2" s="29">
        <f t="shared" si="0"/>
        <v>270.06720000000001</v>
      </c>
      <c r="M2" s="29">
        <f t="shared" si="0"/>
        <v>0</v>
      </c>
      <c r="N2" s="29">
        <f t="shared" si="0"/>
        <v>1855.8456000000006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297205</v>
      </c>
      <c r="B6" s="140">
        <v>3375.84</v>
      </c>
      <c r="C6" s="141">
        <v>11400</v>
      </c>
      <c r="D6" s="140">
        <v>0</v>
      </c>
      <c r="E6" s="140">
        <v>0</v>
      </c>
      <c r="F6" s="140">
        <v>0</v>
      </c>
      <c r="G6" s="142">
        <v>0</v>
      </c>
      <c r="H6" s="140">
        <v>573.89</v>
      </c>
      <c r="I6" s="140">
        <v>405.97</v>
      </c>
      <c r="J6" s="140">
        <v>0</v>
      </c>
      <c r="K6" s="140">
        <v>270.06720000000001</v>
      </c>
      <c r="L6" s="140">
        <v>270.06720000000001</v>
      </c>
      <c r="M6" s="140">
        <v>0</v>
      </c>
      <c r="N6" s="140">
        <v>1855.8456000000006</v>
      </c>
      <c r="O6" s="142">
        <v>0.5497433527655341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580</v>
      </c>
      <c r="B5" s="10">
        <v>3375.84</v>
      </c>
      <c r="C5" s="10">
        <v>1855.8456000000006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143" t="s">
        <v>587</v>
      </c>
      <c r="D367" s="87">
        <v>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2026-08-24T12:42:35Z</dcterms:modified>
  <cp:category/>
  <cp:contentStatus/>
</cp:coreProperties>
</file>