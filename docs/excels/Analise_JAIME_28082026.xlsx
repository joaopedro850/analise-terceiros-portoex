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BB7A3A6-9537-407B-8594-560AEBC5564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<sst xmlns="http://schemas.openxmlformats.org/spreadsheetml/2006/main" count="858" uniqueCount="590">
  <si>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</si>
  <si>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</si>
  <si>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</si>
  <si>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</si>
  <si>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</si>
  <si>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</si>
  <si>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</si>
  <si>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</si>
  <si>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</si>
  <si>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</si>
  <si>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</si>
  <si>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</si>
  <si>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</si>
  <si>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</si>
  <si>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</si>
  <si>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</si>
  <si>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</si>
  <si>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</si>
  <si>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</si>
  <si>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</si>
  <si>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</si>
  <si>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</si>
  <si>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</si>
  <si>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</si>
  <si>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</si>
  <si>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</si>
  <si>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</si>
  <si>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</si>
  <si>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</si>
  <si>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</si>
  <si>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</si>
  <si>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</si>
  <si>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</si>
  <si>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</si>
  <si>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</si>
  <si>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</si>
  <si>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</si>
  <si>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</si>
  <si>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</si>
  <si>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</si>
  <si>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</si>
  <si>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</si>
  <si>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</si>
  <si>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</si>
  <si>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</si>
  <si>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</si>
  <si>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</si>
  <si>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</si>
  <si>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</si>
  <si>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</si>
  <si>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</si>
  <si>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</si>
  <si>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</si>
  <si>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</si>
  <si>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</si>
  <si>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</si>
  <si>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</si>
  <si>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</si>
  <si>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</si>
  <si>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</si>
  <si>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</si>
  <si>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</si>
  <si>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</si>
  <si>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</si>
  <si>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</si>
  <si>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</si>
  <si>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</si>
  <si>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</si>
  <si>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</si>
  <si>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</si>
  <si>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</si>
  <si>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</si>
  <si>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</si>
  <si>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</si>
  <si>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</si>
  <si>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</si>
  <si>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</si>
  <si>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</si>
  <si>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</si>
  <si>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</si>
  <si>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</si>
  <si>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</si>
  <si>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</si>
  <si>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</si>
  <si>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</si>
  <si>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</si>
  <si>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</si>
  <si>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</si>
  <si>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</si>
  <si>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</si>
  <si>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</si>
  <si>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</si>
  <si>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</si>
  <si>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</si>
  <si>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</si>
  <si>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</si>
  <si>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</si>
  <si>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</si>
  <si>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</si>
  <si>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</si>
  <si>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</si>
  <si>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</si>
  <si>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</si>
  <si>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</si>
  <si>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</si>
  <si>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</si>
  <si>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</si>
  <si>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</si>
  <si>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</si>
  <si>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</si>
  <si>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</si>
  <si>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</si>
  <si>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</si>
  <si>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</si>
  <si>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</si>
  <si>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</si>
  <si>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</si>
  <si>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</si>
  <si>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</si>
  <si>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</si>
  <si>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</si>
  <si>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</si>
  <si>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</si>
  <si>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</si>
  <si>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</si>
  <si>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</si>
  <si>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</si>
  <si>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</si>
  <si>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</si>
  <si>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</si>
  <si>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</si>
  <si>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</si>
  <si>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</si>
  <si>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</si>
  <si>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</si>
  <si>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</si>
  <si>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</si>
  <si>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</si>
  <si>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</si>
  <si>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</si>
  <si>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</si>
  <si>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</si>
  <si>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</si>
  <si>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</si>
  <si>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</si>
  <si>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</si>
  <si>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</si>
  <si>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</si>
  <si>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</si>
  <si>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</si>
  <si>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</si>
  <si>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</si>
  <si>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</si>
  <si>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</si>
  <si>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</si>
  <si>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</si>
  <si>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</si>
  <si>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</si>
  <si>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</si>
  <si>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</si>
  <si>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</si>
  <si>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</si>
  <si>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</si>
  <si>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</si>
  <si>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</si>
  <si>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</si>
  <si>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</si>
  <si>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</si>
  <si>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</si>
  <si>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</si>
  <si>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</si>
  <si>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</si>
  <si>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</si>
  <si>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</si>
  <si>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</si>
  <si>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</si>
  <si>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</si>
  <si>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</si>
  <si>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</si>
  <si>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</si>
  <si>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</si>
  <si>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</si>
  <si>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</si>
  <si>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</si>
  <si>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</si>
  <si>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</si>
  <si>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</si>
  <si>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</si>
  <si>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</si>
  <si>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</si>
  <si>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</si>
  <si>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</si>
  <si>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</si>
  <si>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</si>
  <si>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</si>
  <si>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</si>
  <si>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</si>
  <si>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</si>
  <si>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</si>
  <si>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</si>
  <si>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</si>
  <si>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</si>
  <si>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</si>
  <si>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</si>
  <si>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</si>
  <si>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</si>
  <si>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</si>
  <si>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</si>
  <si>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</si>
  <si>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</si>
  <si>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</si>
  <si>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</si>
  <si>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</si>
  <si>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</si>
  <si>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</si>
  <si>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</si>
  <si>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</si>
  <si>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</si>
  <si>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</si>
  <si>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</si>
  <si>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</si>
  <si>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</si>
  <si>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</si>
  <si>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</si>
  <si>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</si>
  <si>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</si>
  <si>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</si>
  <si>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</si>
  <si>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</si>
  <si>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</si>
  <si>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</si>
  <si>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</si>
  <si>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</si>
  <si>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</si>
  <si>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</si>
  <si>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</si>
  <si>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</si>
  <si>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</si>
  <si>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</si>
  <si>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</si>
  <si>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</si>
  <si>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</si>
  <si>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</si>
  <si>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</si>
  <si>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</si>
  <si>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</si>
  <si>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</si>
  <si>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</si>
  <si>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</si>
  <si>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</si>
  <si>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</si>
  <si>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</si>
  <si>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</si>
  <si>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</si>
  <si>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</si>
  <si>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</si>
  <si>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</si>
  <si>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</si>
  <si>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</si>
  <si>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</si>
  <si>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</si>
  <si>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</si>
  <si>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</si>
  <si>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</si>
  <si>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</si>
  <si>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</si>
  <si>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</si>
  <si>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</si>
  <si>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</si>
  <si>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</si>
  <si>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</si>
  <si>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</si>
  <si>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</si>
  <si>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</si>
  <si>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</si>
  <si>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</si>
  <si>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</si>
  <si>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</si>
  <si>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</si>
  <si>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</si>
  <si>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</si>
  <si>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</si>
  <si>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</si>
  <si>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</si>
  <si>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</si>
  <si>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</si>
  <si>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</si>
  <si>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</si>
  <si>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</si>
  <si>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</si>
  <si>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</si>
  <si>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</si>
  <si>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</si>
  <si>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</si>
  <si>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</si>
  <si>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</si>
  <si>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</si>
  <si>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</si>
  <si>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</si>
  <si>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</si>
  <si>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</si>
  <si>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</si>
  <si>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</si>
  <si>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</si>
  <si>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</si>
  <si>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</si>
  <si>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</si>
  <si>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</si>
  <si>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</si>
  <si>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</si>
  <si>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</si>
  <si>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</si>
  <si>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</si>
  <si>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</si>
  <si>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</si>
  <si>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</si>
  <si>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</si>
  <si>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</si>
  <si>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</si>
  <si>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</si>
  <si>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</si>
  <si>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</si>
  <si>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</si>
  <si>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</si>
  <si>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</si>
  <si>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</si>
  <si>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</si>
  <si>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</si>
  <si>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</si>
  <si>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</si>
  <si>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</si>
  <si>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</si>
  <si>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</si>
  <si>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</si>
  <si>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</si>
  <si>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</si>
  <si>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</si>
  <si>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</si>
  <si>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</si>
  <si>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</si>
  <si>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</si>
  <si>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</si>
  <si>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</si>
  <si>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</si>
  <si>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</si>
  <si>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</si>
  <si>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</si>
  <si>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</si>
  <si>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</si>
  <si>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</si>
  <si>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</si>
  <si>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</si>
  <si>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</si>
  <si>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</si>
  <si>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</si>
  <si>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</si>
  <si>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</si>
  <si>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</si>
  <si>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</si>
  <si>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</si>
  <si>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</si>
  <si>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</si>
  <si>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</si>
  <si>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</si>
  <si>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</si>
  <si>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</si>
  <si>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</si>
  <si>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</si>
  <si>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</si>
  <si>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</si>
  <si>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</si>
  <si>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</si>
  <si>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</si>
  <si>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</si>
  <si>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</si>
  <si>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</si>
  <si>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</si>
  <si>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</si>
  <si>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</si>
  <si>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</si>
  <si>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</si>
  <si>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</si>
  <si>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</si>
  <si>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</si>
  <si>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</si>
  <si>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</si>
  <si>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</si>
  <si>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</si>
  <si>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</si>
  <si>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</si>
  <si>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</si>
  <si>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</si>
  <si>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</si>
  <si>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</si>
  <si>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</si>
  <si>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</si>
  <si>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</si>
  <si>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</si>
  <si>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</si>
  <si>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</si>
  <si>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</si>
  <si>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</si>
  <si>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</si>
  <si>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</si>
  <si>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</si>
  <si>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</si>
  <si>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</si>
  <si>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</si>
  <si>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</si>
  <si>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</si>
  <si>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</si>
  <si>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</si>
  <si>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</si>
  <si>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</si>
  <si>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</si>
  <si>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</si>
  <si>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</si>
  <si>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</si>
  <si>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</si>
  <si>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</si>
  <si>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</si>
  <si>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</si>
  <si>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</si>
  <si>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</si>
  <si>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</si>
  <si>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</si>
  <si>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</si>
  <si>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</si>
  <si>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</si>
  <si>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</si>
  <si>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</si>
  <si>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</si>
  <si>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</si>
  <si>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</si>
  <si>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</si>
  <si>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</si>
  <si>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</si>
  <si>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</si>
  <si>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</si>
  <si>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</si>
  <si>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</si>
  <si>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</si>
  <si>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</si>
  <si>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</si>
  <si>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</si>
  <si>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</si>
  <si>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</si>
  <si>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</si>
  <si>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</si>
  <si>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</si>
  <si>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</si>
  <si>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</si>
  <si>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</si>
  <si>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</si>
  <si>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</si>
  <si>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</si>
  <si>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</si>
  <si>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</si>
  <si>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</si>
  <si>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</si>
  <si>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</si>
  <si>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</si>
  <si>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</si>
  <si>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</si>
  <si>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</si>
  <si>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</si>
  <si>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</si>
  <si>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</si>
  <si>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</si>
  <si>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</si>
  <si>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</si>
  <si>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</si>
  <si>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</si>
  <si>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</si>
  <si>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</si>
  <si>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</si>
  <si>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</si>
  <si>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</si>
  <si>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</si>
  <si>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</si>
  <si>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</si>
  <si>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</si>
  <si>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</si>
  <si>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</si>
  <si>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</si>
  <si>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</si>
  <si>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</si>
  <si>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</si>
  <si>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</si>
  <si>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</si>
  <si>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</si>
  <si>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</si>
  <si>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</si>
  <si>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</si>
  <si>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</si>
  <si>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</si>
  <si>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</si>
  <si>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</si>
  <si>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</si>
  <si>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</si>
  <si>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</si>
  <si>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</si>
  <si>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</si>
  <si>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</si>
  <si>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</si>
  <si>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</si>
  <si>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</si>
  <si>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</si>
  <si>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</si>
  <si>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</si>
  <si>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</si>
  <si>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</si>
  <si>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</si>
  <si>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</si>
  <si>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</si>
  <si>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</si>
  <si>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</si>
  <si>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</si>
  <si>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</si>
  <si>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</si>
  <si>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</si>
  <si>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</si>
  <si>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</si>
  <si>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</si>
  <si>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</si>
  <si>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</si>
  <si>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</si>
  <si>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</si>
  <si>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</si>
  <si>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</si>
  <si>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</si>
  <si>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</si>
  <si>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</si>
  <si>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</si>
  <si>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</si>
  <si>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</si>
  <si>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</si>
  <si>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</si>
  <si>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</si>
  <si>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</si>
  <si>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</si>
  <si>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</si>
  <si>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</si>
  <si>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</si>
  <si>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</si>
  <si>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</si>
  <si>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</si>
  <si>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</si>
  <si>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</si>
  <si>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</si>
  <si>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</si>
  <si>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</si>
  <si>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</si>
  <si>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</si>
  <si>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</si>
  <si>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</si>
  <si>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</si>
  <si>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</si>
  <si>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</si>
  <si>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</si>
  <si>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</si>
  <si>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</si>
  <si>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</si>
  <si>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</si>
  <si>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</si>
  <si>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</si>
  <si>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</si>
  <si>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</si>
  <si>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</si>
  <si>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</si>
  <si>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</si>
  <si>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</si>
  <si>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</si>
  <si>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</si>
  <si>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</si>
  <si>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</si>
  <si>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</si>
  <si>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</si>
  <si>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</si>
  <si>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MATRIZ</t>
  </si>
  <si>
    <t>202261-1</t>
  </si>
  <si>
    <t>WINWIN TEXTILCO</t>
  </si>
  <si>
    <t>MURILO PEREIRA</t>
  </si>
  <si>
    <t>PERSONALIZADO_L</t>
  </si>
  <si>
    <t>CTE NORMAL</t>
  </si>
  <si>
    <t>ITAJAI - SC</t>
  </si>
  <si>
    <t>JAIME RAPHAEL FRANCEZ</t>
  </si>
  <si>
    <t>BASE PORTOEX</t>
  </si>
  <si>
    <t>Navegantes-Sc X Itajai-ScCTNR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</si>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</sst>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[Analise_JAIME_28082026.xlsx]Resumo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WINWIN TEXTILCO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WINWIN TEXTILCO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661.78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[Analise_JAIME_28082026.xlsx]Resumo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WINWIN TEXTILCO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WINWIN TEXTILCO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661.78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7.39584363425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8918" count="8000">
        <n v="29891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7T00:00:00" maxDate="2026-08-28T00:00:00"/>
    </cacheField>
    <cacheField name="DATA" numFmtId="14">
      <sharedItems containsNonDate="0" containsDate="1" containsString="0" containsBlank="1" minDate="2026-08-27T00:00:00" maxDate="2026-08-28T00:00:00"/>
    </cacheField>
    <cacheField name="FAT" numFmtId="0">
      <sharedItems containsString="0" containsBlank="1" containsNumber="1" containsInteger="1" minValue="65025" maxValue="65025"/>
    </cacheField>
    <cacheField name="CT-E" numFmtId="0">
      <sharedItems containsBlank="1"/>
    </cacheField>
    <cacheField name="CLIENTE TOMADOR" numFmtId="0">
      <sharedItems containsBlank="1" count="855">
        <s v="WINWIN TEXTILC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39047.48" maxValue="239047.48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1500" maxValue="1500"/>
    </cacheField>
    <cacheField name="VOLUMES" numFmtId="0">
      <sharedItems containsString="0" containsBlank="1" containsNumber="1" containsInteger="1" minValue="1" maxValue="1"/>
    </cacheField>
    <cacheField name="PESO" numFmtId="0">
      <sharedItems containsString="0" containsBlank="1" containsNumber="1" minValue="9971.7999999999993" maxValue="9971.7999999999993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containsInteger="1" minValue="255" maxValue="25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19.52" maxValue="119.52"/>
    </cacheField>
    <cacheField name="OUTROS" numFmtId="0">
      <sharedItems containsString="0" containsBlank="1" containsNumber="1" minValue="223.7" maxValue="223.7"/>
    </cacheField>
    <cacheField name="C.TOTAL" numFmtId="0">
      <sharedItems containsString="0" containsBlank="1" containsNumber="1" minValue="1498.22" maxValue="1498.22"/>
    </cacheField>
    <cacheField name="RECEITA" numFmtId="0">
      <sharedItems containsString="0" containsBlank="1" containsNumber="1" minValue="1.78" maxValue="1.78"/>
    </cacheField>
    <cacheField name="IMPOSTO" numFmtId="0">
      <sharedItems containsString="0" containsBlank="1" containsNumber="1" containsInteger="1" minValue="390" maxValue="390"/>
    </cacheField>
    <cacheField name="RESULTADO" numFmtId="0">
      <sharedItems containsString="0" containsBlank="1" containsNumber="1" minValue="-388.22" maxValue="-388.22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88.22" maxValue="-388.22"/>
    </cacheField>
    <cacheField name="MARGEM" numFmtId="10">
      <sharedItems containsString="0" containsBlank="1" containsNumber="1" minValue="-0.25879999999999997" maxValue="-0.2587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27T00:00:00"/>
    <d v="2026-08-27T00:00:00"/>
    <n v="65025"/>
    <s v="202261-1"/>
    <x v="0"/>
    <s v="MURILO PEREIRA"/>
    <n v="239047.48"/>
    <x v="0"/>
    <s v="CTE NORMAL"/>
    <s v="ITAJAI - SC"/>
    <n v="1500"/>
    <n v="1"/>
    <n v="9971.7999999999993"/>
    <s v="JAIME RAPHAEL FRANCEZ"/>
    <n v="0"/>
    <s v="BASE PORTOEX"/>
    <n v="0"/>
    <s v="JAIME RAPHAEL FRANCEZ"/>
    <n v="0"/>
    <n v="255"/>
    <n v="0"/>
    <n v="0"/>
    <n v="119.52"/>
    <n v="223.7"/>
    <n v="1498.22"/>
    <n v="1.78"/>
    <n v="390"/>
    <n v="-388.22"/>
    <n v="0"/>
    <n v="-388.22"/>
    <n v="-0.25879999999999997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2"/>
        <item m="1" x="11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5"/>
        <item m="1" x="686"/>
        <item m="1" x="311"/>
        <item m="1" x="136"/>
        <item m="1" x="293"/>
        <item m="1" x="601"/>
        <item m="1" x="206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6"/>
        <item sd="0" m="1" x="306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3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4"/>
        <item m="1" x="303"/>
        <item m="1" x="174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1"/>
        <item m="1" x="314"/>
        <item sd="0" m="1" x="698"/>
        <item m="1" x="330"/>
        <item m="1" x="625"/>
        <item m="1" x="541"/>
        <item sd="0" m="1" x="368"/>
        <item sd="0" m="1" x="334"/>
        <item sd="0" m="1" x="175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9"/>
        <item m="1" x="681"/>
        <item m="1" x="274"/>
        <item m="1" x="471"/>
        <item m="1" x="799"/>
        <item m="1" x="216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8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6"/>
        <item m="1" x="133"/>
        <item m="1" x="251"/>
        <item m="1" x="299"/>
        <item m="1" x="819"/>
        <item m="1" x="169"/>
        <item m="1" x="709"/>
        <item m="1" x="171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8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4"/>
        <item m="1" x="823"/>
        <item m="1" x="335"/>
        <item m="1" x="523"/>
        <item m="1" x="246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5"/>
        <item m="1" x="502"/>
        <item m="1" x="786"/>
        <item m="1" x="258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80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3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9"/>
        <item m="1" x="680"/>
        <item sd="0" m="1" x="282"/>
        <item m="1" x="218"/>
        <item m="1" x="318"/>
        <item m="1" x="254"/>
        <item sd="0" m="1" x="192"/>
        <item m="1" x="729"/>
        <item m="1" x="384"/>
        <item m="1" x="576"/>
        <item m="1" x="359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5"/>
        <item m="1" x="119"/>
        <item m="1" x="289"/>
        <item sd="0" m="1" x="199"/>
        <item m="1" x="205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8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5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6"/>
        <item m="1" x="365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8"/>
        <item m="1" x="213"/>
        <item m="1" x="181"/>
        <item m="1" x="73"/>
        <item x="0"/>
        <item m="1" x="599"/>
        <item m="1" x="190"/>
        <item m="1" x="225"/>
        <item m="1" x="842"/>
        <item m="1" x="836"/>
        <item m="1" x="491"/>
        <item m="1" x="684"/>
        <item m="1" x="242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838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2"/>
        <item m="1" x="11"/>
        <item m="1" x="761"/>
        <item m="1" x="391"/>
        <item sd="0" m="1" x="712"/>
        <item m="1" x="295"/>
        <item sd="0" m="1" x="113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2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1"/>
        <item m="1" x="221"/>
        <item m="1" x="158"/>
        <item m="1" x="229"/>
        <item m="1" x="109"/>
        <item m="1" x="621"/>
        <item m="1" x="141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5"/>
        <item m="1" x="686"/>
        <item m="1" x="311"/>
        <item m="1" x="136"/>
        <item m="1" x="293"/>
        <item m="1" x="601"/>
        <item m="1" x="206"/>
        <item m="1" x="674"/>
        <item m="1" x="139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7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6"/>
        <item sd="0" m="1" x="306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6"/>
        <item sd="0" m="1" x="203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4"/>
        <item m="1" x="303"/>
        <item m="1" x="174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5"/>
        <item m="1" x="332"/>
        <item m="1" x="219"/>
        <item m="1" x="509"/>
        <item m="1" x="117"/>
        <item sd="0" m="1" x="536"/>
        <item m="1" x="83"/>
        <item m="1" x="602"/>
        <item sd="0" m="1" x="449"/>
        <item m="1" x="348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3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1"/>
        <item m="1" x="314"/>
        <item sd="0" m="1" x="698"/>
        <item m="1" x="330"/>
        <item m="1" x="625"/>
        <item m="1" x="541"/>
        <item sd="0" m="1" x="368"/>
        <item sd="0" m="1" x="334"/>
        <item sd="0" m="1" x="175"/>
        <item m="1" x="419"/>
        <item m="1" x="701"/>
        <item m="1" x="697"/>
        <item m="1" x="378"/>
        <item m="1" x="347"/>
        <item m="1" x="150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3"/>
        <item m="1" x="720"/>
        <item m="1" x="555"/>
        <item m="1" x="116"/>
        <item m="1" x="375"/>
        <item m="1" x="718"/>
        <item m="1" x="127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5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30"/>
        <item m="1" x="654"/>
        <item sd="0" m="1" x="721"/>
        <item m="1" x="641"/>
        <item m="1" x="230"/>
        <item m="1" x="372"/>
        <item m="1" x="735"/>
        <item sd="0" m="1" x="132"/>
        <item m="1" x="86"/>
        <item m="1" x="209"/>
        <item m="1" x="681"/>
        <item m="1" x="274"/>
        <item m="1" x="471"/>
        <item m="1" x="799"/>
        <item m="1" x="216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8"/>
        <item m="1" x="659"/>
        <item m="1" x="220"/>
        <item m="1" x="448"/>
        <item m="1" x="147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6"/>
        <item m="1" x="133"/>
        <item m="1" x="251"/>
        <item m="1" x="299"/>
        <item m="1" x="819"/>
        <item m="1" x="169"/>
        <item m="1" x="709"/>
        <item m="1" x="171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8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4"/>
        <item m="1" x="823"/>
        <item m="1" x="335"/>
        <item m="1" x="523"/>
        <item m="1" x="246"/>
        <item sd="0" m="1" x="10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5"/>
        <item m="1" x="502"/>
        <item m="1" x="786"/>
        <item m="1" x="258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80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5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3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0"/>
        <item sd="0" m="1" x="705"/>
        <item m="1" x="302"/>
        <item m="1" x="189"/>
        <item m="1" x="680"/>
        <item sd="0" m="1" x="282"/>
        <item m="1" x="218"/>
        <item m="1" x="318"/>
        <item m="1" x="254"/>
        <item sd="0" m="1" x="192"/>
        <item m="1" x="729"/>
        <item m="1" x="384"/>
        <item m="1" x="576"/>
        <item m="1" x="359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5"/>
        <item m="1" x="119"/>
        <item m="1" x="289"/>
        <item sd="0" m="1" x="199"/>
        <item m="1" x="205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8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5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6"/>
        <item m="1" x="365"/>
        <item m="1" x="758"/>
        <item m="1" x="600"/>
        <item m="1" x="12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7"/>
        <item m="1" x="811"/>
        <item m="1" x="278"/>
        <item m="1" x="107"/>
        <item m="1" x="198"/>
        <item m="1" x="213"/>
        <item m="1" x="181"/>
        <item m="1" x="73"/>
        <item x="0"/>
        <item m="1" x="599"/>
        <item m="1" x="190"/>
        <item m="1" x="225"/>
        <item m="1" x="842"/>
        <item m="1" x="836"/>
        <item m="1" x="491"/>
        <item m="1" x="684"/>
        <item m="1" x="242"/>
        <item m="1" x="56"/>
        <item m="1" x="129"/>
        <item m="1" x="3"/>
        <item m="1" x="49"/>
        <item m="1" x="90"/>
        <item sd="0" m="1" x="202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83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9" s="1" nd="1"/>
        <i x="187" s="1" nd="1"/>
        <i x="272" s="1" nd="1"/>
        <i x="11" s="1" nd="1"/>
        <i x="761" s="1" nd="1"/>
        <i x="391" s="1" nd="1"/>
        <i x="712" s="1" nd="1"/>
        <i x="295" s="1" nd="1"/>
        <i x="113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1" s="1" nd="1"/>
        <i x="221" s="1" nd="1"/>
        <i x="158" s="1" nd="1"/>
        <i x="229" s="1" nd="1"/>
        <i x="109" s="1" nd="1"/>
        <i x="621" s="1" nd="1"/>
        <i x="141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5" s="1" nd="1"/>
        <i x="686" s="1" nd="1"/>
        <i x="311" s="1" nd="1"/>
        <i x="136" s="1" nd="1"/>
        <i x="293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7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5" s="1" nd="1"/>
        <i x="186" s="1" nd="1"/>
        <i x="306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6" s="1" nd="1"/>
        <i x="203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4" s="1" nd="1"/>
        <i x="101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5" s="1" nd="1"/>
        <i x="332" s="1" nd="1"/>
        <i x="219" s="1" nd="1"/>
        <i x="509" s="1" nd="1"/>
        <i x="117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3" s="1" nd="1"/>
        <i x="266" s="1" nd="1"/>
        <i x="291" s="1" nd="1"/>
        <i x="353" s="1" nd="1"/>
        <i x="98" s="1" nd="1"/>
        <i x="459" s="1" nd="1"/>
        <i x="580" s="1" nd="1"/>
        <i x="352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5" s="1" nd="1"/>
        <i x="231" s="1" nd="1"/>
        <i x="240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1" s="1" nd="1"/>
        <i x="314" s="1" nd="1"/>
        <i x="698" s="1" nd="1"/>
        <i x="330" s="1" nd="1"/>
        <i x="625" s="1" nd="1"/>
        <i x="541" s="1" nd="1"/>
        <i x="368" s="1" nd="1"/>
        <i x="334" s="1" nd="1"/>
        <i x="175" s="1" nd="1"/>
        <i x="419" s="1" nd="1"/>
        <i x="701" s="1" nd="1"/>
        <i x="697" s="1" nd="1"/>
        <i x="378" s="1" nd="1"/>
        <i x="347" s="1" nd="1"/>
        <i x="150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3" s="1" nd="1"/>
        <i x="720" s="1" nd="1"/>
        <i x="555" s="1" nd="1"/>
        <i x="116" s="1" nd="1"/>
        <i x="375" s="1" nd="1"/>
        <i x="718" s="1" nd="1"/>
        <i x="127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4" s="1" nd="1"/>
        <i x="297" s="1" nd="1"/>
        <i x="682" s="1" nd="1"/>
        <i x="135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5" s="1" nd="1"/>
        <i x="130" s="1" nd="1"/>
        <i x="654" s="1" nd="1"/>
        <i x="721" s="1" nd="1"/>
        <i x="641" s="1" nd="1"/>
        <i x="230" s="1" nd="1"/>
        <i x="372" s="1" nd="1"/>
        <i x="735" s="1" nd="1"/>
        <i x="132" s="1" nd="1"/>
        <i x="86" s="1" nd="1"/>
        <i x="209" s="1" nd="1"/>
        <i x="681" s="1" nd="1"/>
        <i x="274" s="1" nd="1"/>
        <i x="471" s="1" nd="1"/>
        <i x="799" s="1" nd="1"/>
        <i x="216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8" s="1" nd="1"/>
        <i x="659" s="1" nd="1"/>
        <i x="220" s="1" nd="1"/>
        <i x="448" s="1" nd="1"/>
        <i x="147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4" s="1" nd="1"/>
        <i x="325" s="1" nd="1"/>
        <i x="34" s="1" nd="1"/>
        <i x="495" s="1" nd="1"/>
        <i x="506" s="1" nd="1"/>
        <i x="446" s="1" nd="1"/>
        <i x="166" s="1" nd="1"/>
        <i x="133" s="1" nd="1"/>
        <i x="251" s="1" nd="1"/>
        <i x="299" s="1" nd="1"/>
        <i x="819" s="1" nd="1"/>
        <i x="169" s="1" nd="1"/>
        <i x="709" s="1" nd="1"/>
        <i x="171" s="1" nd="1"/>
        <i x="586" s="1" nd="1"/>
        <i x="226" s="1" nd="1"/>
        <i x="390" s="1" nd="1"/>
        <i x="657" s="1" nd="1"/>
        <i x="309" s="1" nd="1"/>
        <i x="74" s="1" nd="1"/>
        <i x="669" s="1" nd="1"/>
        <i x="94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8" s="1" nd="1"/>
        <i x="331" s="1" nd="1"/>
        <i x="564" s="1" nd="1"/>
        <i x="503" s="1" nd="1"/>
        <i x="227" s="1" nd="1"/>
        <i x="280" s="1" nd="1"/>
        <i x="93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3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7" s="1" nd="1"/>
        <i x="574" s="1" nd="1"/>
        <i x="364" s="1" nd="1"/>
        <i x="823" s="1" nd="1"/>
        <i x="335" s="1" nd="1"/>
        <i x="523" s="1" nd="1"/>
        <i x="246" s="1" nd="1"/>
        <i x="10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4" s="1" nd="1"/>
        <i x="358" s="1" nd="1"/>
        <i x="259" s="1" nd="1"/>
        <i x="363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5" s="1" nd="1"/>
        <i x="502" s="1" nd="1"/>
        <i x="786" s="1" nd="1"/>
        <i x="258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80" s="1" nd="1"/>
        <i x="333" s="1" nd="1"/>
        <i x="817" s="1" nd="1"/>
        <i x="610" s="1" nd="1"/>
        <i x="587" s="1" nd="1"/>
        <i x="255" s="1" nd="1"/>
        <i x="550" s="1" nd="1"/>
        <i x="104" s="1" nd="1"/>
        <i x="87" s="1" nd="1"/>
        <i x="754" s="1" nd="1"/>
        <i x="155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3" s="1" nd="1"/>
        <i x="305" s="1" nd="1"/>
        <i x="339" s="1" nd="1"/>
        <i x="96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0" s="1" nd="1"/>
        <i x="705" s="1" nd="1"/>
        <i x="302" s="1" nd="1"/>
        <i x="189" s="1" nd="1"/>
        <i x="680" s="1" nd="1"/>
        <i x="282" s="1" nd="1"/>
        <i x="218" s="1" nd="1"/>
        <i x="318" s="1" nd="1"/>
        <i x="254" s="1" nd="1"/>
        <i x="192" s="1" nd="1"/>
        <i x="729" s="1" nd="1"/>
        <i x="384" s="1" nd="1"/>
        <i x="576" s="1" nd="1"/>
        <i x="359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5" s="1" nd="1"/>
        <i x="119" s="1" nd="1"/>
        <i x="289" s="1" nd="1"/>
        <i x="199" s="1" nd="1"/>
        <i x="205" s="1" nd="1"/>
        <i x="89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8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2" s="1" nd="1"/>
        <i x="195" s="1" nd="1"/>
        <i x="496" s="1" nd="1"/>
        <i x="261" s="1" nd="1"/>
        <i x="30" s="1" nd="1"/>
        <i x="105" s="1" nd="1"/>
        <i x="533" s="1" nd="1"/>
        <i x="296" s="1" nd="1"/>
        <i x="396" s="1" nd="1"/>
        <i x="228" s="1" nd="1"/>
        <i x="7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6" s="1" nd="1"/>
        <i x="365" s="1" nd="1"/>
        <i x="758" s="1" nd="1"/>
        <i x="600" s="1" nd="1"/>
        <i x="12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7" s="1" nd="1"/>
        <i x="811" s="1" nd="1"/>
        <i x="278" s="1" nd="1"/>
        <i x="107" s="1" nd="1"/>
        <i x="198" s="1" nd="1"/>
        <i x="213" s="1" nd="1"/>
        <i x="181" s="1" nd="1"/>
        <i x="73" s="1" nd="1"/>
        <i x="599" s="1" nd="1"/>
        <i x="190" s="1" nd="1"/>
        <i x="225" s="1" nd="1"/>
        <i x="842" s="1" nd="1"/>
        <i x="836" s="1" nd="1"/>
        <i x="491" s="1" nd="1"/>
        <i x="684" s="1" nd="1"/>
        <i x="242" s="1" nd="1"/>
        <i x="56" s="1" nd="1"/>
        <i x="129" s="1" nd="1"/>
        <i x="3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298918</v>
      </c>
      <c r="B2" s="12" t="s">
        <v>579</v>
      </c>
      <c r="C2" s="14">
        <v>46261</v>
      </c>
      <c r="D2" s="14">
        <v>46261</v>
      </c>
      <c r="E2" s="12">
        <v>65025</v>
      </c>
      <c r="F2" s="15" t="s">
        <v>580</v>
      </c>
      <c r="G2" s="15" t="s">
        <v>581</v>
      </c>
      <c r="H2" s="15" t="s">
        <v>582</v>
      </c>
      <c r="I2" s="16">
        <v>239047.48</v>
      </c>
      <c r="J2" s="15" t="s">
        <v>583</v>
      </c>
      <c r="K2" s="15" t="s">
        <v>584</v>
      </c>
      <c r="L2" s="15" t="s">
        <v>585</v>
      </c>
      <c r="M2" s="15">
        <v>1500</v>
      </c>
      <c r="N2" s="15">
        <v>1</v>
      </c>
      <c r="O2" s="16">
        <v>9971.7999999999993</v>
      </c>
      <c r="P2" s="15" t="s">
        <v>586</v>
      </c>
      <c r="Q2" s="15">
        <v>0</v>
      </c>
      <c r="R2" s="15" t="s">
        <v>587</v>
      </c>
      <c r="S2" s="15">
        <v>0</v>
      </c>
      <c r="T2" s="15" t="s">
        <v>586</v>
      </c>
      <c r="U2" s="15">
        <v>0</v>
      </c>
      <c r="V2" s="15">
        <v>255</v>
      </c>
      <c r="W2" s="15">
        <v>0</v>
      </c>
      <c r="X2" s="15">
        <v>0</v>
      </c>
      <c r="Y2" s="15">
        <v>119.52</v>
      </c>
      <c r="Z2" s="15">
        <v>223.7</v>
      </c>
      <c r="AA2" s="15">
        <v>1498.22</v>
      </c>
      <c r="AB2" s="15">
        <v>1.78</v>
      </c>
      <c r="AC2" s="15">
        <v>390</v>
      </c>
      <c r="AD2" s="15">
        <v>-388.22</v>
      </c>
      <c r="AE2" s="15">
        <v>0</v>
      </c>
      <c r="AF2" s="15">
        <v>-388.22</v>
      </c>
      <c r="AG2" s="17">
        <v>-0.25879999999999997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1500</v>
      </c>
      <c r="F3" s="89"/>
      <c r="G3" s="90"/>
      <c r="H3" s="133">
        <f>'Resumo Detalhado'!C2</f>
        <v>9971.7999999999993</v>
      </c>
      <c r="I3" s="134"/>
      <c r="J3" s="135">
        <f>E3/H3</f>
        <v>0.15042419623337813</v>
      </c>
      <c r="K3" s="136"/>
      <c r="L3" s="137"/>
      <c r="M3" s="138" t="s">
        <v>266</v>
      </c>
      <c r="N3" s="89"/>
      <c r="O3" s="90"/>
      <c r="P3" s="106">
        <v>22000</v>
      </c>
      <c r="Q3" s="107"/>
      <c r="R3" s="108"/>
      <c r="S3" s="103">
        <f>MIN(H3/P3,1)</f>
        <v>0.45326363636363631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900</v>
      </c>
      <c r="F7" s="112"/>
      <c r="G7" s="112"/>
      <c r="H7" s="112"/>
      <c r="I7" s="112"/>
      <c r="J7" s="112">
        <f>E7/H3</f>
        <v>9.0254517740026879E-2</v>
      </c>
      <c r="K7" s="112"/>
      <c r="L7" s="112"/>
      <c r="M7" s="130">
        <f>E7/E3</f>
        <v>0.6</v>
      </c>
      <c r="N7" s="130"/>
      <c r="O7" s="130"/>
      <c r="P7" s="112">
        <f>E11+K11+Q11+E15+K15+Q15+E19+H19+K19</f>
        <v>1858.22</v>
      </c>
      <c r="Q7" s="112"/>
      <c r="R7" s="112"/>
      <c r="S7" s="112">
        <f>P7/H3</f>
        <v>0.18634749994985861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900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900</v>
      </c>
      <c r="L11" s="90"/>
      <c r="M11" s="38"/>
      <c r="N11" s="88">
        <f>K11/H3</f>
        <v>9.0254517740026879E-2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255</v>
      </c>
      <c r="F15" s="119"/>
      <c r="G15" s="119"/>
      <c r="H15" s="119"/>
      <c r="I15" s="132"/>
      <c r="J15" s="38"/>
      <c r="K15" s="113">
        <f>'Resumo Detalhado'!K2+'Resumo Detalhado'!L2</f>
        <v>240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119.52</v>
      </c>
      <c r="F19" s="120"/>
      <c r="G19" s="38"/>
      <c r="H19" s="122">
        <f>'Resumo Detalhado'!J2</f>
        <v>223.7</v>
      </c>
      <c r="I19" s="123"/>
      <c r="J19" s="38"/>
      <c r="K19" s="122">
        <f>'Resumo Detalhado'!L2</f>
        <v>120</v>
      </c>
      <c r="L19" s="123"/>
      <c r="M19" s="38"/>
      <c r="N19" s="121" t="s">
        <v>588</v>
      </c>
      <c r="O19" s="119"/>
      <c r="P19" s="119"/>
      <c r="Q19" s="119"/>
      <c r="R19" s="120"/>
      <c r="S19" s="121">
        <v>900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661.78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0.44118666666666667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88671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1500</v>
      </c>
      <c r="C2" s="29">
        <f>SUM(C6:C5000)</f>
        <v>9971.7999999999993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255</v>
      </c>
      <c r="I2" s="29">
        <f t="shared" si="0"/>
        <v>119.52</v>
      </c>
      <c r="J2" s="29">
        <f t="shared" si="0"/>
        <v>223.7</v>
      </c>
      <c r="K2" s="29">
        <f t="shared" si="0"/>
        <v>120</v>
      </c>
      <c r="L2" s="29">
        <f t="shared" si="0"/>
        <v>120</v>
      </c>
      <c r="M2" s="29">
        <f t="shared" si="0"/>
        <v>0</v>
      </c>
      <c r="N2" s="29">
        <f t="shared" si="0"/>
        <v>661.78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298918</v>
      </c>
      <c r="B6" s="139">
        <v>1500</v>
      </c>
      <c r="C6" s="140">
        <v>9971.7999999999993</v>
      </c>
      <c r="D6" s="139">
        <v>0</v>
      </c>
      <c r="E6" s="139">
        <v>0</v>
      </c>
      <c r="F6" s="139">
        <v>0</v>
      </c>
      <c r="G6" s="141">
        <v>0</v>
      </c>
      <c r="H6" s="139">
        <v>255</v>
      </c>
      <c r="I6" s="139">
        <v>119.52</v>
      </c>
      <c r="J6" s="139">
        <v>223.7</v>
      </c>
      <c r="K6" s="139">
        <v>120</v>
      </c>
      <c r="L6" s="139">
        <v>120</v>
      </c>
      <c r="M6" s="139">
        <v>0</v>
      </c>
      <c r="N6" s="139">
        <v>661.78</v>
      </c>
      <c r="O6" s="141">
        <v>0.44118666666666667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1500</v>
      </c>
      <c r="C5" s="10">
        <v>661.78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2" t="s">
        <v>588</v>
      </c>
      <c r="D368" s="87">
        <v>900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2026-09-02T12:30:11Z</dcterms:modified>
  <cp:category/>
  <cp:contentStatus/>
</cp:coreProperties>
</file>