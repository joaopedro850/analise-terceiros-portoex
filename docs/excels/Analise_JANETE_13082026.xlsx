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DC38D36-41B7-4503-AF04-87566CA3D77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<sst xmlns="http://schemas.openxmlformats.org/spreadsheetml/2006/main" count="853" uniqueCount="585">
  <si>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</si>
  <si>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</si>
  <si>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</si>
  <si>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</si>
  <si>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</si>
  <si>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</si>
  <si>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</si>
  <si>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</si>
  <si>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</si>
  <si>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</si>
  <si>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</si>
  <si>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</si>
  <si>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</si>
  <si>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</si>
  <si>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</si>
  <si>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</si>
  <si>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</si>
  <si>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</si>
  <si>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</si>
  <si>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</si>
  <si>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</si>
  <si>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</si>
  <si>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</si>
  <si>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</si>
  <si>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</si>
  <si>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</si>
  <si>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</si>
  <si>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</si>
  <si>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</si>
  <si>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</si>
  <si>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</si>
  <si>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</si>
  <si>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</si>
  <si>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</si>
  <si>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</si>
  <si>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</si>
  <si>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</si>
  <si>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</si>
  <si>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</si>
  <si>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</si>
  <si>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</si>
  <si>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</si>
  <si>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</si>
  <si>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</si>
  <si>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</si>
  <si>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</si>
  <si>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</si>
  <si>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</si>
  <si>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</si>
  <si>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</si>
  <si>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</si>
  <si>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</si>
  <si>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</si>
  <si>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</si>
  <si>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</si>
  <si>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</si>
  <si>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</si>
  <si>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</si>
  <si>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</si>
  <si>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</si>
  <si>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</si>
  <si>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</si>
  <si>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</si>
  <si>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</si>
  <si>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</si>
  <si>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</si>
  <si>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</si>
  <si>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</si>
  <si>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</si>
  <si>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</si>
  <si>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</si>
  <si>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</si>
  <si>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</si>
  <si>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</si>
  <si>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</si>
  <si>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</si>
  <si>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</si>
  <si>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</si>
  <si>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</si>
  <si>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</si>
  <si>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</si>
  <si>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</si>
  <si>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</si>
  <si>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</si>
  <si>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</si>
  <si>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</si>
  <si>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</si>
  <si>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</si>
  <si>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</si>
  <si>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</si>
  <si>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</si>
  <si>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</si>
  <si>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</si>
  <si>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</si>
  <si>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</si>
  <si>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</si>
  <si>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</si>
  <si>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</si>
  <si>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</si>
  <si>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</si>
  <si>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</si>
  <si>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</si>
  <si>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</si>
  <si>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</si>
  <si>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</si>
  <si>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</si>
  <si>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</si>
  <si>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</si>
  <si>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</si>
  <si>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</si>
  <si>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</si>
  <si>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</si>
  <si>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</si>
  <si>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</si>
  <si>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</si>
  <si>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</si>
  <si>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</si>
  <si>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</si>
  <si>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</si>
  <si>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</si>
  <si>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</si>
  <si>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</si>
  <si>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</si>
  <si>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</si>
  <si>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</si>
  <si>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</si>
  <si>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</si>
  <si>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</si>
  <si>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</si>
  <si>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</si>
  <si>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</si>
  <si>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</si>
  <si>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</si>
  <si>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</si>
  <si>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</si>
  <si>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</si>
  <si>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</si>
  <si>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</si>
  <si>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</si>
  <si>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</si>
  <si>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</si>
  <si>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</si>
  <si>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</si>
  <si>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</si>
  <si>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</si>
  <si>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</si>
  <si>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</si>
  <si>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</si>
  <si>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</si>
  <si>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</si>
  <si>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</si>
  <si>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</si>
  <si>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</si>
  <si>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</si>
  <si>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</si>
  <si>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</si>
  <si>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</si>
  <si>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</si>
  <si>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</si>
  <si>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</si>
  <si>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</si>
  <si>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</si>
  <si>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</si>
  <si>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</si>
  <si>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</si>
  <si>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</si>
  <si>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</si>
  <si>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</si>
  <si>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</si>
  <si>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</si>
  <si>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</si>
  <si>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</si>
  <si>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</si>
  <si>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</si>
  <si>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</si>
  <si>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</si>
  <si>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</si>
  <si>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</si>
  <si>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</si>
  <si>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</si>
  <si>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</si>
  <si>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</si>
  <si>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</si>
  <si>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</si>
  <si>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</si>
  <si>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</si>
  <si>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</si>
  <si>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</si>
  <si>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</si>
  <si>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</si>
  <si>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</si>
  <si>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</si>
  <si>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</si>
  <si>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</si>
  <si>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</si>
  <si>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</si>
  <si>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</si>
  <si>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</si>
  <si>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</si>
  <si>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</si>
  <si>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</si>
  <si>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</si>
  <si>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</si>
  <si>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</si>
  <si>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</si>
  <si>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</si>
  <si>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</si>
  <si>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</si>
  <si>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</si>
  <si>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</si>
  <si>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</si>
  <si>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</si>
  <si>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</si>
  <si>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</si>
  <si>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</si>
  <si>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</si>
  <si>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</si>
  <si>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</si>
  <si>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</si>
  <si>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</si>
  <si>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</si>
  <si>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</si>
  <si>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</si>
  <si>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</si>
  <si>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</si>
  <si>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</si>
  <si>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</si>
  <si>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</si>
  <si>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</si>
  <si>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</si>
  <si>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</si>
  <si>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</si>
  <si>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</si>
  <si>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</si>
  <si>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</si>
  <si>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</si>
  <si>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</si>
  <si>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</si>
  <si>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</si>
  <si>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</si>
  <si>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</si>
  <si>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</si>
  <si>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</si>
  <si>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</si>
  <si>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</si>
  <si>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</si>
  <si>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</si>
  <si>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</si>
  <si>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</si>
  <si>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</si>
  <si>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</si>
  <si>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</si>
  <si>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</si>
  <si>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</si>
  <si>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</si>
  <si>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</si>
  <si>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</si>
  <si>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</si>
  <si>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</si>
  <si>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</si>
  <si>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</si>
  <si>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</si>
  <si>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</si>
  <si>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</si>
  <si>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</si>
  <si>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</si>
  <si>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</si>
  <si>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</si>
  <si>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</si>
  <si>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</si>
  <si>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</si>
  <si>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</si>
  <si>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</si>
  <si>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</si>
  <si>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</si>
  <si>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</si>
  <si>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</si>
  <si>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</si>
  <si>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</si>
  <si>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</si>
  <si>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</si>
  <si>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</si>
  <si>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</si>
  <si>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</si>
  <si>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</si>
  <si>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</si>
  <si>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</si>
  <si>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</si>
  <si>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</si>
  <si>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</si>
  <si>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</si>
  <si>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</si>
  <si>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</si>
  <si>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</si>
  <si>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</si>
  <si>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</si>
  <si>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</si>
  <si>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</si>
  <si>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</si>
  <si>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</si>
  <si>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</si>
  <si>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</si>
  <si>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</si>
  <si>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</si>
  <si>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</si>
  <si>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</si>
  <si>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</si>
  <si>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</si>
  <si>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</si>
  <si>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</si>
  <si>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</si>
  <si>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</si>
  <si>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</si>
  <si>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</si>
  <si>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</si>
  <si>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</si>
  <si>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</si>
  <si>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</si>
  <si>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</si>
  <si>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</si>
  <si>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</si>
  <si>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</si>
  <si>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</si>
  <si>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</si>
  <si>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</si>
  <si>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</si>
  <si>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</si>
  <si>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</si>
  <si>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</si>
  <si>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</si>
  <si>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</si>
  <si>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</si>
  <si>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</si>
  <si>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</si>
  <si>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</si>
  <si>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</si>
  <si>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</si>
  <si>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</si>
  <si>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</si>
  <si>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</si>
  <si>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</si>
  <si>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</si>
  <si>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</si>
  <si>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</si>
  <si>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</si>
  <si>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</si>
  <si>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</si>
  <si>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</si>
  <si>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</si>
  <si>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</si>
  <si>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</si>
  <si>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</si>
  <si>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</si>
  <si>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</si>
  <si>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</si>
  <si>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</si>
  <si>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</si>
  <si>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</si>
  <si>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</si>
  <si>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</si>
  <si>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</si>
  <si>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</si>
  <si>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</si>
  <si>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</si>
  <si>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</si>
  <si>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</si>
  <si>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</si>
  <si>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</si>
  <si>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</si>
  <si>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</si>
  <si>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</si>
  <si>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</si>
  <si>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</si>
  <si>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</si>
  <si>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</si>
  <si>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</si>
  <si>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</si>
  <si>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</si>
  <si>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</si>
  <si>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</si>
  <si>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</si>
  <si>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</si>
  <si>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</si>
  <si>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</si>
  <si>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</si>
  <si>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</si>
  <si>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</si>
  <si>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</si>
  <si>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</si>
  <si>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</si>
  <si>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</si>
  <si>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</si>
  <si>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</si>
  <si>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</si>
  <si>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</si>
  <si>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</si>
  <si>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</si>
  <si>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</si>
  <si>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</si>
  <si>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</si>
  <si>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</si>
  <si>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</si>
  <si>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</si>
  <si>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</si>
  <si>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</si>
  <si>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</si>
  <si>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</si>
  <si>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</si>
  <si>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</si>
  <si>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</si>
  <si>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</si>
  <si>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</si>
  <si>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</si>
  <si>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</si>
  <si>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</si>
  <si>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</si>
  <si>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</si>
  <si>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</si>
  <si>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</si>
  <si>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</si>
  <si>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</si>
  <si>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</si>
  <si>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</si>
  <si>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</si>
  <si>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</si>
  <si>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</si>
  <si>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</si>
  <si>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</si>
  <si>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</si>
  <si>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</si>
  <si>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</si>
  <si>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</si>
  <si>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</si>
  <si>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</si>
  <si>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</si>
  <si>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</si>
  <si>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</si>
  <si>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</si>
  <si>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</si>
  <si>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</si>
  <si>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</si>
  <si>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</si>
  <si>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</si>
  <si>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</si>
  <si>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</si>
  <si>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</si>
  <si>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</si>
  <si>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</si>
  <si>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</si>
  <si>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</si>
  <si>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</si>
  <si>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</si>
  <si>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</si>
  <si>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</si>
  <si>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</si>
  <si>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</si>
  <si>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</si>
  <si>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</si>
  <si>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</si>
  <si>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</si>
  <si>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</si>
  <si>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</si>
  <si>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</si>
  <si>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</si>
  <si>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</si>
  <si>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</si>
  <si>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</si>
  <si>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</si>
  <si>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</si>
  <si>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</si>
  <si>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</si>
  <si>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</si>
  <si>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</si>
  <si>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</si>
  <si>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</si>
  <si>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</si>
  <si>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</si>
  <si>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</si>
  <si>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</si>
  <si>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</si>
  <si>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</si>
  <si>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</si>
  <si>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</si>
  <si>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</si>
  <si>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</si>
  <si>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</si>
  <si>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</si>
  <si>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</si>
  <si>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</si>
  <si>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</si>
  <si>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</si>
  <si>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</si>
  <si>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</si>
  <si>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</si>
  <si>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</si>
  <si>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</si>
  <si>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</si>
  <si>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</si>
  <si>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</si>
  <si>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</si>
  <si>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</si>
  <si>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</si>
  <si>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</si>
  <si>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</si>
  <si>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</si>
  <si>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</si>
  <si>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</si>
  <si>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</si>
  <si>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</si>
  <si>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</si>
  <si>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</si>
  <si>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</si>
  <si>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</si>
  <si>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</si>
  <si>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</si>
  <si>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</si>
  <si>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</si>
  <si>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</si>
  <si>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</si>
  <si>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</si>
  <si>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</si>
  <si>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</si>
  <si>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</si>
  <si>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</si>
  <si>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</si>
  <si>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</si>
  <si>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</si>
  <si>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</si>
  <si>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</si>
  <si>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</si>
  <si>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</si>
  <si>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</si>
  <si>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</si>
  <si>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</si>
  <si>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</si>
  <si>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</si>
  <si>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</si>
  <si>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</si>
  <si>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</si>
  <si>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</si>
  <si>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</si>
  <si>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</si>
  <si>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</si>
  <si>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</si>
  <si>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</si>
  <si>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</si>
  <si>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</si>
  <si>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</si>
  <si>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</si>
  <si>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</si>
  <si>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</si>
  <si>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</si>
  <si>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</si>
  <si>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</si>
  <si>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</si>
  <si>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</si>
  <si>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</si>
  <si>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</si>
  <si>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</si>
  <si>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</si>
  <si>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</si>
  <si>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</si>
  <si>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</si>
  <si>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</si>
  <si>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</si>
  <si>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</si>
  <si>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</si>
  <si>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</si>
  <si>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</si>
  <si>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</si>
  <si>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</si>
  <si>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</si>
  <si>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</si>
  <si>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</si>
  <si>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</si>
  <si>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</si>
  <si>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</si>
  <si>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HOME COLLECTION</t>
  </si>
  <si>
    <t>CAIO LUCIANO MATIAS</t>
  </si>
  <si>
    <t>PERSONALIZADO_L</t>
  </si>
  <si>
    <t>CTE NORMAL</t>
  </si>
  <si>
    <t>ITAJAI - SC</t>
  </si>
  <si>
    <t>SUELEN DE FATIMA SANTOS L</t>
  </si>
  <si>
    <t>INDEFINIDO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</si>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</sst>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[Analise_JANETE_13082026.xlsx]Resumo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HOME COLLECTION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HOME COLLECTION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863.54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[Analise_JANETE_13082026.xlsx]Resumo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HOME COLLECTION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HOME COLLECTION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863.54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8.454489467593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6433" count="8000">
        <n v="296433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3T00:00:00" maxDate="2026-08-14T00:00:00"/>
    </cacheField>
    <cacheField name="DATA" numFmtId="14">
      <sharedItems containsNonDate="0" containsDate="1" containsString="0" containsBlank="1" minDate="2026-08-13T00:00:00" maxDate="2026-08-14T00:00:00"/>
    </cacheField>
    <cacheField name="FAT" numFmtId="0">
      <sharedItems containsNonDate="0" containsString="0" containsBlank="1"/>
    </cacheField>
    <cacheField name="CT-E" numFmtId="0">
      <sharedItems containsNonDate="0" containsString="0" containsBlank="1"/>
    </cacheField>
    <cacheField name="CLIENTE TOMADOR" numFmtId="0">
      <sharedItems containsBlank="1" count="856">
        <s v="HOME COLLECTION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12923.59999999998" maxValue="312923.59999999998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containsInteger="1" minValue="2000" maxValue="2000"/>
    </cacheField>
    <cacheField name="VOLUMES" numFmtId="0">
      <sharedItems containsString="0" containsBlank="1" containsNumber="1" containsInteger="1" minValue="782" maxValue="782"/>
    </cacheField>
    <cacheField name="PESO" numFmtId="0">
      <sharedItems containsString="0" containsBlank="1" containsNumber="1" minValue="4365.09" maxValue="4365.09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600" maxValue="6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containsInteger="1" minValue="0" maxValue="0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56.46" maxValue="156.46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756.46" maxValue="756.46"/>
    </cacheField>
    <cacheField name="RECEITA" numFmtId="0">
      <sharedItems containsString="0" containsBlank="1" containsNumber="1" minValue="1243.54" maxValue="1243.54"/>
    </cacheField>
    <cacheField name="IMPOSTO" numFmtId="0">
      <sharedItems containsString="0" containsBlank="1" containsNumber="1" containsInteger="1" minValue="520" maxValue="520"/>
    </cacheField>
    <cacheField name="RESULTADO" numFmtId="0">
      <sharedItems containsString="0" containsBlank="1" containsNumber="1" minValue="723.54" maxValue="723.54"/>
    </cacheField>
    <cacheField name="COMIS" numFmtId="0">
      <sharedItems containsString="0" containsBlank="1" containsNumber="1" containsInteger="1" minValue="60" maxValue="60"/>
    </cacheField>
    <cacheField name="LUCRO LIQ" numFmtId="0">
      <sharedItems containsString="0" containsBlank="1" containsNumber="1" minValue="663.54" maxValue="663.54"/>
    </cacheField>
    <cacheField name="MARGEM" numFmtId="10">
      <sharedItems containsString="0" containsBlank="1" containsNumber="1" minValue="0.33179999999999998" maxValue="0.3317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13T00:00:00"/>
    <d v="2026-08-13T00:00:00"/>
    <m/>
    <m/>
    <x v="0"/>
    <s v="CAIO LUCIANO MATIAS"/>
    <n v="312923.59999999998"/>
    <x v="0"/>
    <s v="CTE NORMAL"/>
    <s v="ITAJAI - SC"/>
    <n v="2000"/>
    <n v="782"/>
    <n v="4365.09"/>
    <s v="SUELEN DE FATIMA SANTOS L"/>
    <n v="0"/>
    <s v="SUELEN DE FATIMA SANTOS L"/>
    <n v="600"/>
    <s v="INDEFINIDO"/>
    <n v="0"/>
    <n v="0"/>
    <n v="0"/>
    <n v="0"/>
    <n v="156.46"/>
    <n v="0"/>
    <n v="756.46"/>
    <n v="1243.54"/>
    <n v="520"/>
    <n v="723.54"/>
    <n v="60"/>
    <n v="663.54"/>
    <n v="0.33179999999999998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49"/>
        <item sd="0" m="1" x="187"/>
        <item sd="0" m="1" x="273"/>
        <item m="1" x="11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3"/>
        <item m="1" x="20"/>
        <item m="1" x="758"/>
        <item m="1" x="112"/>
        <item m="1" x="545"/>
        <item m="1" x="829"/>
        <item m="1" x="270"/>
        <item m="1" x="479"/>
        <item m="1" x="773"/>
        <item m="1" x="266"/>
        <item m="1" x="343"/>
        <item m="1" x="677"/>
        <item sd="0" m="1" x="801"/>
        <item m="1" x="76"/>
        <item m="1" x="47"/>
        <item sd="0" m="1" x="669"/>
        <item m="1" x="661"/>
        <item m="1" x="469"/>
        <item m="1" x="44"/>
        <item sd="0" m="1" x="731"/>
        <item m="1" x="690"/>
        <item m="1" x="216"/>
        <item sd="0" m="1" x="476"/>
        <item m="1" x="634"/>
        <item m="1" x="446"/>
        <item sd="0" m="1" x="810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4"/>
        <item m="1" x="849"/>
        <item m="1" x="833"/>
        <item m="1" x="743"/>
        <item m="1" x="240"/>
        <item m="1" x="239"/>
        <item m="1" x="462"/>
        <item m="1" x="286"/>
        <item m="1" x="550"/>
        <item m="1" x="846"/>
        <item m="1" x="445"/>
        <item m="1" x="530"/>
        <item m="1" x="666"/>
        <item m="1" x="519"/>
        <item m="1" x="793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6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7"/>
        <item m="1" x="248"/>
        <item sd="0" m="1" x="764"/>
        <item m="1" x="425"/>
        <item m="1" x="436"/>
        <item m="1" x="167"/>
        <item m="1" x="543"/>
        <item m="1" x="807"/>
        <item sd="0" m="1" x="621"/>
        <item m="1" x="4"/>
        <item m="1" x="771"/>
        <item m="1" x="14"/>
        <item m="1" x="740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5"/>
        <item m="1" x="396"/>
        <item m="1" x="258"/>
        <item m="1" x="377"/>
        <item m="1" x="850"/>
        <item sd="0" m="1" x="648"/>
        <item m="1" x="854"/>
        <item sd="0" m="1" x="830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1"/>
        <item m="1" x="457"/>
        <item sd="0" m="1" x="478"/>
        <item m="1" x="751"/>
        <item sd="0" m="1" x="639"/>
        <item m="1" x="53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3"/>
        <item m="1" x="628"/>
        <item m="1" x="375"/>
        <item m="1" x="808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9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4"/>
        <item m="1" x="580"/>
        <item m="1" x="518"/>
        <item m="1" x="798"/>
        <item m="1" x="165"/>
        <item sd="0" m="1" x="827"/>
        <item m="1" x="110"/>
        <item m="1" x="422"/>
        <item m="1" x="427"/>
        <item sd="0" m="1" x="9"/>
        <item m="1" x="42"/>
        <item m="1" x="16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2"/>
        <item m="1" x="765"/>
        <item m="1" x="509"/>
        <item m="1" x="822"/>
        <item m="1" x="341"/>
        <item m="1" x="223"/>
        <item m="1" x="64"/>
        <item m="1" x="636"/>
        <item m="1" x="458"/>
        <item m="1" x="791"/>
        <item m="1" x="704"/>
        <item m="1" x="234"/>
        <item m="1" x="598"/>
        <item m="1" x="43"/>
        <item sd="0" m="1" x="844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1"/>
        <item m="1" x="806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5"/>
        <item m="1" x="388"/>
        <item m="1" x="370"/>
        <item m="1" x="616"/>
        <item m="1" x="57"/>
        <item m="1" x="708"/>
        <item m="1" x="23"/>
        <item m="1" x="36"/>
        <item m="1" x="8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40"/>
        <item sd="0" m="1" x="38"/>
        <item m="1" x="383"/>
        <item m="1" x="590"/>
        <item m="1" x="748"/>
        <item sd="0" m="1" x="269"/>
        <item m="1" x="17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3"/>
        <item m="1" x="6"/>
        <item m="1" x="350"/>
        <item m="1" x="578"/>
        <item m="1" x="161"/>
        <item m="1" x="315"/>
        <item sd="0" m="1" x="699"/>
        <item m="1" x="331"/>
        <item m="1" x="626"/>
        <item x="0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1"/>
        <item m="1" x="728"/>
        <item m="1" x="781"/>
        <item m="1" x="640"/>
        <item m="1" x="329"/>
        <item m="1" x="368"/>
        <item m="1" x="816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3"/>
        <item m="1" x="302"/>
        <item m="1" x="549"/>
        <item m="1" x="60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5"/>
        <item m="1" x="724"/>
        <item m="1" x="749"/>
        <item m="1" x="744"/>
        <item m="1" x="848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1"/>
        <item m="1" x="2"/>
        <item m="1" x="272"/>
        <item sd="0" m="1" x="75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8"/>
        <item m="1" x="69"/>
        <item m="1" x="118"/>
        <item m="1" x="646"/>
        <item m="1" x="411"/>
        <item m="1" x="855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1"/>
        <item m="1" x="604"/>
        <item m="1" x="31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9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20"/>
        <item m="1" x="169"/>
        <item m="1" x="710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5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5"/>
        <item m="1" x="788"/>
        <item m="1" x="28"/>
        <item m="1" x="783"/>
        <item m="1" x="253"/>
        <item m="1" x="475"/>
        <item m="1" x="813"/>
        <item m="1" x="464"/>
        <item m="1" x="746"/>
        <item m="1" x="649"/>
        <item m="1" x="776"/>
        <item sd="0" m="1" x="71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19"/>
        <item m="1" x="538"/>
        <item m="1" x="637"/>
        <item m="1" x="576"/>
        <item sd="0" m="1" x="197"/>
        <item m="1" x="575"/>
        <item m="1" x="365"/>
        <item m="1" x="824"/>
        <item m="1" x="336"/>
        <item m="1" x="524"/>
        <item m="1" x="247"/>
        <item sd="0" m="1" x="10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5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2"/>
        <item m="1" x="584"/>
        <item m="1" x="750"/>
        <item m="1" x="723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4"/>
        <item m="1" x="586"/>
        <item m="1" x="797"/>
        <item m="1" x="727"/>
        <item m="1" x="412"/>
        <item m="1" x="25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8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3"/>
        <item m="1" x="225"/>
        <item m="1" x="784"/>
        <item m="1" x="725"/>
        <item m="1" x="842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5"/>
        <item sd="0" m="1" x="409"/>
        <item m="1" x="474"/>
        <item m="1" x="838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79"/>
        <item m="1" x="51"/>
        <item m="1" x="852"/>
        <item m="1" x="29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0"/>
        <item m="1" x="694"/>
        <item m="1" x="664"/>
        <item sd="0" m="1" x="809"/>
        <item m="1" x="817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7"/>
        <item m="1" x="473"/>
        <item sd="0" m="1" x="825"/>
        <item m="1" x="35"/>
        <item m="1" x="311"/>
        <item m="1" x="826"/>
        <item m="1" x="563"/>
        <item m="1" x="62"/>
        <item m="1" x="569"/>
        <item m="1" x="431"/>
        <item m="1" x="426"/>
        <item m="1" x="176"/>
        <item m="1" x="366"/>
        <item m="1" x="759"/>
        <item m="1" x="601"/>
        <item m="1" x="12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7"/>
        <item m="1" x="126"/>
        <item m="1" x="218"/>
        <item m="1" x="812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3"/>
        <item m="1" x="837"/>
        <item m="1" x="492"/>
        <item m="1" x="685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346"/>
    </i>
    <i r="1">
      <x v="7999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1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8"/>
            <x v="370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49"/>
        <item sd="0" m="1" x="187"/>
        <item sd="0" m="1" x="273"/>
        <item m="1" x="11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3"/>
        <item m="1" x="20"/>
        <item m="1" x="758"/>
        <item m="1" x="112"/>
        <item m="1" x="545"/>
        <item m="1" x="829"/>
        <item m="1" x="270"/>
        <item m="1" x="479"/>
        <item m="1" x="773"/>
        <item m="1" x="266"/>
        <item m="1" x="343"/>
        <item m="1" x="677"/>
        <item sd="0" m="1" x="801"/>
        <item m="1" x="76"/>
        <item m="1" x="47"/>
        <item sd="0" m="1" x="669"/>
        <item m="1" x="661"/>
        <item m="1" x="469"/>
        <item m="1" x="44"/>
        <item sd="0" m="1" x="731"/>
        <item m="1" x="690"/>
        <item m="1" x="216"/>
        <item sd="0" m="1" x="476"/>
        <item m="1" x="634"/>
        <item m="1" x="446"/>
        <item sd="0" m="1" x="810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4"/>
        <item m="1" x="849"/>
        <item m="1" x="833"/>
        <item m="1" x="743"/>
        <item m="1" x="240"/>
        <item m="1" x="239"/>
        <item m="1" x="462"/>
        <item m="1" x="286"/>
        <item m="1" x="550"/>
        <item m="1" x="846"/>
        <item m="1" x="445"/>
        <item m="1" x="530"/>
        <item m="1" x="666"/>
        <item m="1" x="519"/>
        <item m="1" x="793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6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7"/>
        <item m="1" x="248"/>
        <item sd="0" m="1" x="764"/>
        <item m="1" x="425"/>
        <item m="1" x="436"/>
        <item m="1" x="167"/>
        <item m="1" x="543"/>
        <item m="1" x="807"/>
        <item sd="0" m="1" x="621"/>
        <item m="1" x="4"/>
        <item m="1" x="771"/>
        <item m="1" x="14"/>
        <item m="1" x="740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5"/>
        <item m="1" x="396"/>
        <item m="1" x="258"/>
        <item m="1" x="377"/>
        <item m="1" x="850"/>
        <item sd="0" m="1" x="648"/>
        <item m="1" x="854"/>
        <item sd="0" m="1" x="830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1"/>
        <item m="1" x="457"/>
        <item sd="0" m="1" x="478"/>
        <item m="1" x="751"/>
        <item sd="0" m="1" x="639"/>
        <item m="1" x="53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3"/>
        <item m="1" x="628"/>
        <item m="1" x="375"/>
        <item m="1" x="808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9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4"/>
        <item m="1" x="580"/>
        <item m="1" x="518"/>
        <item m="1" x="798"/>
        <item m="1" x="165"/>
        <item sd="0" m="1" x="827"/>
        <item m="1" x="110"/>
        <item m="1" x="422"/>
        <item m="1" x="427"/>
        <item sd="0" m="1" x="9"/>
        <item m="1" x="42"/>
        <item m="1" x="16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2"/>
        <item m="1" x="765"/>
        <item m="1" x="509"/>
        <item m="1" x="822"/>
        <item m="1" x="341"/>
        <item m="1" x="223"/>
        <item m="1" x="64"/>
        <item m="1" x="636"/>
        <item m="1" x="458"/>
        <item m="1" x="791"/>
        <item sd="0" m="1" x="704"/>
        <item m="1" x="234"/>
        <item m="1" x="598"/>
        <item m="1" x="43"/>
        <item sd="0" m="1" x="844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1"/>
        <item m="1" x="806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5"/>
        <item m="1" x="388"/>
        <item m="1" x="370"/>
        <item m="1" x="616"/>
        <item m="1" x="57"/>
        <item m="1" x="708"/>
        <item m="1" x="23"/>
        <item m="1" x="36"/>
        <item m="1" x="8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40"/>
        <item sd="0" m="1" x="38"/>
        <item m="1" x="383"/>
        <item m="1" x="590"/>
        <item m="1" x="748"/>
        <item sd="0" m="1" x="269"/>
        <item m="1" x="17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3"/>
        <item m="1" x="6"/>
        <item m="1" x="350"/>
        <item m="1" x="578"/>
        <item m="1" x="161"/>
        <item m="1" x="315"/>
        <item sd="0" m="1" x="699"/>
        <item m="1" x="331"/>
        <item m="1" x="626"/>
        <item x="0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1"/>
        <item m="1" x="728"/>
        <item m="1" x="781"/>
        <item m="1" x="640"/>
        <item m="1" x="329"/>
        <item m="1" x="368"/>
        <item m="1" x="816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3"/>
        <item m="1" x="302"/>
        <item m="1" x="549"/>
        <item m="1" x="60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5"/>
        <item m="1" x="724"/>
        <item m="1" x="749"/>
        <item m="1" x="744"/>
        <item m="1" x="848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1"/>
        <item m="1" x="2"/>
        <item m="1" x="272"/>
        <item sd="0" m="1" x="75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8"/>
        <item m="1" x="69"/>
        <item m="1" x="118"/>
        <item m="1" x="646"/>
        <item m="1" x="411"/>
        <item m="1" x="855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1"/>
        <item m="1" x="604"/>
        <item m="1" x="31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9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20"/>
        <item m="1" x="169"/>
        <item m="1" x="710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5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5"/>
        <item m="1" x="788"/>
        <item m="1" x="28"/>
        <item m="1" x="783"/>
        <item m="1" x="253"/>
        <item m="1" x="475"/>
        <item m="1" x="813"/>
        <item m="1" x="464"/>
        <item m="1" x="746"/>
        <item m="1" x="649"/>
        <item m="1" x="776"/>
        <item sd="0" m="1" x="71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19"/>
        <item m="1" x="538"/>
        <item m="1" x="637"/>
        <item m="1" x="576"/>
        <item sd="0" m="1" x="197"/>
        <item m="1" x="575"/>
        <item m="1" x="365"/>
        <item m="1" x="824"/>
        <item m="1" x="336"/>
        <item m="1" x="524"/>
        <item m="1" x="247"/>
        <item sd="0" m="1" x="10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5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2"/>
        <item m="1" x="584"/>
        <item m="1" x="750"/>
        <item m="1" x="723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4"/>
        <item m="1" x="586"/>
        <item m="1" x="797"/>
        <item m="1" x="727"/>
        <item m="1" x="412"/>
        <item m="1" x="25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8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3"/>
        <item m="1" x="225"/>
        <item m="1" x="784"/>
        <item m="1" x="725"/>
        <item m="1" x="842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5"/>
        <item sd="0" m="1" x="409"/>
        <item m="1" x="474"/>
        <item m="1" x="838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79"/>
        <item m="1" x="51"/>
        <item m="1" x="852"/>
        <item m="1" x="29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0"/>
        <item m="1" x="694"/>
        <item m="1" x="664"/>
        <item sd="0" m="1" x="809"/>
        <item m="1" x="817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7"/>
        <item m="1" x="473"/>
        <item sd="0" m="1" x="825"/>
        <item m="1" x="35"/>
        <item m="1" x="311"/>
        <item m="1" x="826"/>
        <item m="1" x="563"/>
        <item m="1" x="62"/>
        <item m="1" x="569"/>
        <item m="1" x="431"/>
        <item m="1" x="426"/>
        <item m="1" x="176"/>
        <item m="1" x="366"/>
        <item m="1" x="759"/>
        <item m="1" x="601"/>
        <item m="1" x="12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7"/>
        <item m="1" x="126"/>
        <item m="1" x="218"/>
        <item m="1" x="812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3"/>
        <item m="1" x="837"/>
        <item m="1" x="492"/>
        <item m="1" x="685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346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1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8"/>
            <x v="370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0" s="1"/>
        <i x="1" s="1"/>
        <i x="819" s="1" nd="1"/>
        <i x="763" s="1" nd="1"/>
        <i x="795" s="1" nd="1"/>
        <i x="544" s="1" nd="1"/>
        <i x="149" s="1" nd="1"/>
        <i x="187" s="1" nd="1"/>
        <i x="273" s="1" nd="1"/>
        <i x="11" s="1" nd="1"/>
        <i x="762" s="1" nd="1"/>
        <i x="392" s="1" nd="1"/>
        <i x="713" s="1" nd="1"/>
        <i x="296" s="1" nd="1"/>
        <i x="113" s="1" nd="1"/>
        <i x="271" s="1" nd="1"/>
        <i x="591" s="1" nd="1"/>
        <i x="324" s="1" nd="1"/>
        <i x="676" s="1" nd="1"/>
        <i x="502" s="1" nd="1"/>
        <i x="24" s="1" nd="1"/>
        <i x="582" s="1" nd="1"/>
        <i x="853" s="1" nd="1"/>
        <i x="20" s="1" nd="1"/>
        <i x="758" s="1" nd="1"/>
        <i x="112" s="1" nd="1"/>
        <i x="545" s="1" nd="1"/>
        <i x="829" s="1" nd="1"/>
        <i x="270" s="1" nd="1"/>
        <i x="479" s="1" nd="1"/>
        <i x="773" s="1" nd="1"/>
        <i x="266" s="1" nd="1"/>
        <i x="343" s="1" nd="1"/>
        <i x="677" s="1" nd="1"/>
        <i x="801" s="1" nd="1"/>
        <i x="76" s="1" nd="1"/>
        <i x="47" s="1" nd="1"/>
        <i x="669" s="1" nd="1"/>
        <i x="661" s="1" nd="1"/>
        <i x="469" s="1" nd="1"/>
        <i x="44" s="1" nd="1"/>
        <i x="731" s="1" nd="1"/>
        <i x="690" s="1" nd="1"/>
        <i x="216" s="1" nd="1"/>
        <i x="476" s="1" nd="1"/>
        <i x="634" s="1" nd="1"/>
        <i x="446" s="1" nd="1"/>
        <i x="810" s="1" nd="1"/>
        <i x="668" s="1" nd="1"/>
        <i x="215" s="1" nd="1"/>
        <i x="131" s="1" nd="1"/>
        <i x="222" s="1" nd="1"/>
        <i x="158" s="1" nd="1"/>
        <i x="230" s="1" nd="1"/>
        <i x="109" s="1" nd="1"/>
        <i x="622" s="1" nd="1"/>
        <i x="141" s="1" nd="1"/>
        <i x="617" s="1" nd="1"/>
        <i x="321" s="1" nd="1"/>
        <i x="821" s="1" nd="1"/>
        <i x="322" s="1" nd="1"/>
        <i x="461" s="1" nd="1"/>
        <i x="506" s="1" nd="1"/>
        <i x="554" s="1" nd="1"/>
        <i x="477" s="1" nd="1"/>
        <i x="244" s="1" nd="1"/>
        <i x="849" s="1" nd="1"/>
        <i x="833" s="1" nd="1"/>
        <i x="743" s="1" nd="1"/>
        <i x="240" s="1" nd="1"/>
        <i x="239" s="1" nd="1"/>
        <i x="462" s="1" nd="1"/>
        <i x="286" s="1" nd="1"/>
        <i x="550" s="1" nd="1"/>
        <i x="846" s="1" nd="1"/>
        <i x="445" s="1" nd="1"/>
        <i x="530" s="1" nd="1"/>
        <i x="666" s="1" nd="1"/>
        <i x="519" s="1" nd="1"/>
        <i x="793" s="1" nd="1"/>
        <i x="178" s="1" nd="1"/>
        <i x="58" s="1" nd="1"/>
        <i x="356" s="1" nd="1"/>
        <i x="687" s="1" nd="1"/>
        <i x="312" s="1" nd="1"/>
        <i x="136" s="1" nd="1"/>
        <i x="294" s="1" nd="1"/>
        <i x="602" s="1" nd="1"/>
        <i x="206" s="1" nd="1"/>
        <i x="675" s="1" nd="1"/>
        <i x="139" s="1" nd="1"/>
        <i x="689" s="1" nd="1"/>
        <i x="453" s="1" nd="1"/>
        <i x="408" s="1" nd="1"/>
        <i x="516" s="1" nd="1"/>
        <i x="318" s="1" nd="1"/>
        <i x="592" s="1" nd="1"/>
        <i x="596" s="1" nd="1"/>
        <i x="733" s="1" nd="1"/>
        <i x="786" s="1" nd="1"/>
        <i x="183" s="1" nd="1"/>
        <i x="836" s="1" nd="1"/>
        <i x="712" s="1" nd="1"/>
        <i x="378" s="1" nd="1"/>
        <i x="207" s="1" nd="1"/>
        <i x="522" s="1" nd="1"/>
        <i x="463" s="1" nd="1"/>
        <i x="138" s="1" nd="1"/>
        <i x="662" s="1" nd="1"/>
        <i x="372" s="1" nd="1"/>
        <i x="154" s="1" nd="1"/>
        <i x="251" s="1" nd="1"/>
        <i x="629" s="1" nd="1"/>
        <i x="737" s="1" nd="1"/>
        <i x="421" s="1" nd="1"/>
        <i x="80" s="1" nd="1"/>
        <i x="697" s="1" nd="1"/>
        <i x="284" s="1" nd="1"/>
        <i x="847" s="1" nd="1"/>
        <i x="248" s="1" nd="1"/>
        <i x="764" s="1" nd="1"/>
        <i x="425" s="1" nd="1"/>
        <i x="436" s="1" nd="1"/>
        <i x="167" s="1" nd="1"/>
        <i x="543" s="1" nd="1"/>
        <i x="807" s="1" nd="1"/>
        <i x="621" s="1" nd="1"/>
        <i x="4" s="1" nd="1"/>
        <i x="771" s="1" nd="1"/>
        <i x="14" s="1" nd="1"/>
        <i x="740" s="1" nd="1"/>
        <i x="393" s="1" nd="1"/>
        <i x="276" s="1" nd="1"/>
        <i x="65" s="1" nd="1"/>
        <i x="186" s="1" nd="1"/>
        <i x="307" s="1" nd="1"/>
        <i x="177" s="1" nd="1"/>
        <i x="597" s="1" nd="1"/>
        <i x="172" s="1" nd="1"/>
        <i x="615" s="1" nd="1"/>
        <i x="768" s="1" nd="1"/>
        <i x="483" s="1" nd="1"/>
        <i x="52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4" s="1" nd="1"/>
        <i x="756" s="1" nd="1"/>
        <i x="120" s="1" nd="1"/>
        <i x="390" s="1" nd="1"/>
        <i x="88" s="1" nd="1"/>
        <i x="382" s="1" nd="1"/>
        <i x="815" s="1" nd="1"/>
        <i x="396" s="1" nd="1"/>
        <i x="258" s="1" nd="1"/>
        <i x="377" s="1" nd="1"/>
        <i x="850" s="1" nd="1"/>
        <i x="648" s="1" nd="1"/>
        <i x="854" s="1" nd="1"/>
        <i x="830" s="1" nd="1"/>
        <i x="106" s="1" nd="1"/>
        <i x="401" s="1" nd="1"/>
        <i x="114" s="1" nd="1"/>
        <i x="653" s="1" nd="1"/>
        <i x="657" s="1" nd="1"/>
        <i x="796" s="1" nd="1"/>
        <i x="696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1" s="1" nd="1"/>
        <i x="457" s="1" nd="1"/>
        <i x="478" s="1" nd="1"/>
        <i x="751" s="1" nd="1"/>
        <i x="639" s="1" nd="1"/>
        <i x="53" s="1" nd="1"/>
        <i x="794" s="1" nd="1"/>
        <i x="717" s="1" nd="1"/>
        <i x="417" s="1" nd="1"/>
        <i x="735" s="1" nd="1"/>
        <i x="814" s="1" nd="1"/>
        <i x="562" s="1" nd="1"/>
        <i x="559" s="1" nd="1"/>
        <i x="429" s="1" nd="1"/>
        <i x="715" s="1" nd="1"/>
        <i x="505" s="1" nd="1"/>
        <i x="173" s="1" nd="1"/>
        <i x="628" s="1" nd="1"/>
        <i x="375" s="1" nd="1"/>
        <i x="808" s="1" nd="1"/>
        <i x="59" s="1" nd="1"/>
        <i x="632" s="1" nd="1"/>
        <i x="531" s="1" nd="1"/>
        <i x="295" s="1" nd="1"/>
        <i x="304" s="1" nd="1"/>
        <i x="174" s="1" nd="1"/>
        <i x="101" s="1" nd="1"/>
        <i x="70" s="1" nd="1"/>
        <i x="579" s="1" nd="1"/>
        <i x="799" s="1" nd="1"/>
        <i x="32" s="1" nd="1"/>
        <i x="674" s="1" nd="1"/>
        <i x="287" s="1" nd="1"/>
        <i x="630" s="1" nd="1"/>
        <i x="265" s="1" nd="1"/>
        <i x="115" s="1" nd="1"/>
        <i x="333" s="1" nd="1"/>
        <i x="220" s="1" nd="1"/>
        <i x="510" s="1" nd="1"/>
        <i x="117" s="1" nd="1"/>
        <i x="537" s="1" nd="1"/>
        <i x="83" s="1" nd="1"/>
        <i x="603" s="1" nd="1"/>
        <i x="450" s="1" nd="1"/>
        <i x="349" s="1" nd="1"/>
        <i x="78" s="1" nd="1"/>
        <i x="583" s="1" nd="1"/>
        <i x="18" s="1" nd="1"/>
        <i x="160" s="1" nd="1"/>
        <i x="774" s="1" nd="1"/>
        <i x="580" s="1" nd="1"/>
        <i x="518" s="1" nd="1"/>
        <i x="798" s="1" nd="1"/>
        <i x="165" s="1" nd="1"/>
        <i x="827" s="1" nd="1"/>
        <i x="110" s="1" nd="1"/>
        <i x="422" s="1" nd="1"/>
        <i x="427" s="1" nd="1"/>
        <i x="9" s="1" nd="1"/>
        <i x="42" s="1" nd="1"/>
        <i x="16" s="1" nd="1"/>
        <i x="623" s="1" nd="1"/>
        <i x="557" s="1" nd="1"/>
        <i x="627" s="1" nd="1"/>
        <i x="345" s="1" nd="1"/>
        <i x="433" s="1" nd="1"/>
        <i x="709" s="1" nd="1"/>
        <i x="210" s="1" nd="1"/>
        <i x="439" s="1" nd="1"/>
        <i x="102" s="1" nd="1"/>
        <i x="196" s="1" nd="1"/>
        <i x="832" s="1" nd="1"/>
        <i x="765" s="1" nd="1"/>
        <i x="509" s="1" nd="1"/>
        <i x="822" s="1" nd="1"/>
        <i x="341" s="1" nd="1"/>
        <i x="223" s="1" nd="1"/>
        <i x="64" s="1" nd="1"/>
        <i x="636" s="1" nd="1"/>
        <i x="458" s="1" nd="1"/>
        <i x="791" s="1" nd="1"/>
        <i x="704" s="1" nd="1"/>
        <i x="234" s="1" nd="1"/>
        <i x="598" s="1" nd="1"/>
        <i x="43" s="1" nd="1"/>
        <i x="844" s="1" nd="1"/>
        <i x="123" s="1" nd="1"/>
        <i x="267" s="1" nd="1"/>
        <i x="292" s="1" nd="1"/>
        <i x="354" s="1" nd="1"/>
        <i x="98" s="1" nd="1"/>
        <i x="460" s="1" nd="1"/>
        <i x="581" s="1" nd="1"/>
        <i x="353" s="1" nd="1"/>
        <i x="103" s="1" nd="1"/>
        <i x="539" s="1" nd="1"/>
        <i x="208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3" s="1" nd="1"/>
        <i x="415" s="1" nd="1"/>
        <i x="419" s="1" nd="1"/>
        <i x="803" s="1" nd="1"/>
        <i x="41" s="1" nd="1"/>
        <i x="806" s="1" nd="1"/>
        <i x="487" s="1" nd="1"/>
        <i x="443" s="1" nd="1"/>
        <i x="399" s="1" nd="1"/>
        <i x="609" s="1" nd="1"/>
        <i x="153" s="1" nd="1"/>
        <i x="15" s="1" nd="1"/>
        <i x="232" s="1" nd="1"/>
        <i x="241" s="1" nd="1"/>
        <i x="5" s="1" nd="1"/>
        <i x="388" s="1" nd="1"/>
        <i x="370" s="1" nd="1"/>
        <i x="616" s="1" nd="1"/>
        <i x="57" s="1" nd="1"/>
        <i x="708" s="1" nd="1"/>
        <i x="23" s="1" nd="1"/>
        <i x="36" s="1" nd="1"/>
        <i x="8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2" s="1" nd="1"/>
        <i x="143" s="1" nd="1"/>
        <i x="667" s="1" nd="1"/>
        <i x="840" s="1" nd="1"/>
        <i x="38" s="1" nd="1"/>
        <i x="383" s="1" nd="1"/>
        <i x="590" s="1" nd="1"/>
        <i x="748" s="1" nd="1"/>
        <i x="269" s="1" nd="1"/>
        <i x="17" s="1" nd="1"/>
        <i x="638" s="1" nd="1"/>
        <i x="389" s="1" nd="1"/>
        <i x="480" s="1" nd="1"/>
        <i x="344" s="1" nd="1"/>
        <i x="738" s="1" nd="1"/>
        <i x="245" s="1" nd="1"/>
        <i x="261" s="1" nd="1"/>
        <i x="274" s="1" nd="1"/>
        <i x="823" s="1" nd="1"/>
        <i x="6" s="1" nd="1"/>
        <i x="350" s="1" nd="1"/>
        <i x="578" s="1" nd="1"/>
        <i x="161" s="1" nd="1"/>
        <i x="315" s="1" nd="1"/>
        <i x="699" s="1" nd="1"/>
        <i x="331" s="1" nd="1"/>
        <i x="626" s="1" nd="1"/>
        <i x="542" s="1" nd="1"/>
        <i x="369" s="1" nd="1"/>
        <i x="335" s="1" nd="1"/>
        <i x="175" s="1" nd="1"/>
        <i x="420" s="1" nd="1"/>
        <i x="702" s="1" nd="1"/>
        <i x="698" s="1" nd="1"/>
        <i x="379" s="1" nd="1"/>
        <i x="348" s="1" nd="1"/>
        <i x="150" s="1" nd="1"/>
        <i x="760" s="1" nd="1"/>
        <i x="691" s="1" nd="1"/>
        <i x="21" s="1" nd="1"/>
        <i x="728" s="1" nd="1"/>
        <i x="781" s="1" nd="1"/>
        <i x="640" s="1" nd="1"/>
        <i x="329" s="1" nd="1"/>
        <i x="368" s="1" nd="1"/>
        <i x="816" s="1" nd="1"/>
        <i x="777" s="1" nd="1"/>
        <i x="144" s="1" nd="1"/>
        <i x="498" s="1" nd="1"/>
        <i x="467" s="1" nd="1"/>
        <i x="140" s="1" nd="1"/>
        <i x="757" s="1" nd="1"/>
        <i x="148" s="1" nd="1"/>
        <i x="224" s="1" nd="1"/>
        <i x="721" s="1" nd="1"/>
        <i x="556" s="1" nd="1"/>
        <i x="116" s="1" nd="1"/>
        <i x="376" s="1" nd="1"/>
        <i x="719" s="1" nd="1"/>
        <i x="127" s="1" nd="1"/>
        <i x="33" s="1" nd="1"/>
        <i x="302" s="1" nd="1"/>
        <i x="549" s="1" nd="1"/>
        <i x="60" s="1" nd="1"/>
        <i x="452" s="1" nd="1"/>
        <i x="775" s="1" nd="1"/>
        <i x="485" s="1" nd="1"/>
        <i x="741" s="1" nd="1"/>
        <i x="454" s="1" nd="1"/>
        <i x="521" s="1" nd="1"/>
        <i x="162" s="1" nd="1"/>
        <i x="404" s="1" nd="1"/>
        <i x="742" s="1" nd="1"/>
        <i x="194" s="1" nd="1"/>
        <i x="747" s="1" nd="1"/>
        <i x="384" s="1" nd="1"/>
        <i x="137" s="1" nd="1"/>
        <i x="659" s="1" nd="1"/>
        <i x="430" s="1" nd="1"/>
        <i x="665" s="1" nd="1"/>
        <i x="493" s="1" nd="1"/>
        <i x="686" s="1" nd="1"/>
        <i x="327" s="1" nd="1"/>
        <i x="769" s="1" nd="1"/>
        <i x="805" s="1" nd="1"/>
        <i x="91" s="1" nd="1"/>
        <i x="573" s="1" nd="1"/>
        <i x="157" s="1" nd="1"/>
        <i x="561" s="1" nd="1"/>
        <i x="45" s="1" nd="1"/>
        <i x="724" s="1" nd="1"/>
        <i x="749" s="1" nd="1"/>
        <i x="744" s="1" nd="1"/>
        <i x="848" s="1" nd="1"/>
        <i x="124" s="1" nd="1"/>
        <i x="465" s="1" nd="1"/>
        <i x="701" s="1" nd="1"/>
        <i x="428" s="1" nd="1"/>
        <i x="363" s="1" nd="1"/>
        <i x="100" s="1" nd="1"/>
        <i x="481" s="1" nd="1"/>
        <i x="608" s="1" nd="1"/>
        <i x="716" s="1" nd="1"/>
        <i x="54" s="1" nd="1"/>
        <i x="298" s="1" nd="1"/>
        <i x="683" s="1" nd="1"/>
        <i x="135" s="1" nd="1"/>
        <i x="330" s="1" nd="1"/>
        <i x="536" s="1" nd="1"/>
        <i x="237" s="1" nd="1"/>
        <i x="558" s="1" nd="1"/>
        <i x="547" s="1" nd="1"/>
        <i x="851" s="1" nd="1"/>
        <i x="2" s="1" nd="1"/>
        <i x="272" s="1" nd="1"/>
        <i x="75" s="1" nd="1"/>
        <i x="130" s="1" nd="1"/>
        <i x="655" s="1" nd="1"/>
        <i x="722" s="1" nd="1"/>
        <i x="642" s="1" nd="1"/>
        <i x="231" s="1" nd="1"/>
        <i x="373" s="1" nd="1"/>
        <i x="736" s="1" nd="1"/>
        <i x="132" s="1" nd="1"/>
        <i x="86" s="1" nd="1"/>
        <i x="209" s="1" nd="1"/>
        <i x="682" s="1" nd="1"/>
        <i x="275" s="1" nd="1"/>
        <i x="472" s="1" nd="1"/>
        <i x="800" s="1" nd="1"/>
        <i x="217" s="1" nd="1"/>
        <i x="828" s="1" nd="1"/>
        <i x="69" s="1" nd="1"/>
        <i x="118" s="1" nd="1"/>
        <i x="646" s="1" nd="1"/>
        <i x="411" s="1" nd="1"/>
        <i x="855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9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7" s="1" nd="1"/>
        <i x="362" s="1" nd="1"/>
        <i x="263" s="1" nd="1"/>
        <i x="291" s="1" nd="1"/>
        <i x="541" s="1" nd="1"/>
        <i x="811" s="1" nd="1"/>
        <i x="604" s="1" nd="1"/>
        <i x="31" s="1" nd="1"/>
        <i x="268" s="1" nd="1"/>
        <i x="752" s="1" nd="1"/>
        <i x="371" s="1" nd="1"/>
        <i x="246" s="1" nd="1"/>
        <i x="398" s="1" nd="1"/>
        <i x="482" s="1" nd="1"/>
        <i x="338" s="1" nd="1"/>
        <i x="613" s="1" nd="1"/>
        <i x="673" s="1" nd="1"/>
        <i x="839" s="1" nd="1"/>
        <i x="50" s="1" nd="1"/>
        <i x="606" s="1" nd="1"/>
        <i x="84" s="1" nd="1"/>
        <i x="326" s="1" nd="1"/>
        <i x="34" s="1" nd="1"/>
        <i x="496" s="1" nd="1"/>
        <i x="507" s="1" nd="1"/>
        <i x="447" s="1" nd="1"/>
        <i x="166" s="1" nd="1"/>
        <i x="133" s="1" nd="1"/>
        <i x="252" s="1" nd="1"/>
        <i x="300" s="1" nd="1"/>
        <i x="820" s="1" nd="1"/>
        <i x="169" s="1" nd="1"/>
        <i x="710" s="1" nd="1"/>
        <i x="171" s="1" nd="1"/>
        <i x="587" s="1" nd="1"/>
        <i x="227" s="1" nd="1"/>
        <i x="391" s="1" nd="1"/>
        <i x="658" s="1" nd="1"/>
        <i x="310" s="1" nd="1"/>
        <i x="74" s="1" nd="1"/>
        <i x="670" s="1" nd="1"/>
        <i x="94" s="1" nd="1"/>
        <i x="440" s="1" nd="1"/>
        <i x="351" s="1" nd="1"/>
        <i x="785" s="1" nd="1"/>
        <i x="499" s="1" nd="1"/>
        <i x="61" s="1" nd="1"/>
        <i x="456" s="1" nd="1"/>
        <i x="82" s="1" nd="1"/>
        <i x="325" s="1" nd="1"/>
        <i x="168" s="1" nd="1"/>
        <i x="332" s="1" nd="1"/>
        <i x="565" s="1" nd="1"/>
        <i x="504" s="1" nd="1"/>
        <i x="228" s="1" nd="1"/>
        <i x="281" s="1" nd="1"/>
        <i x="93" s="1" nd="1"/>
        <i x="407" s="1" nd="1"/>
        <i x="320" s="1" nd="1"/>
        <i x="711" s="1" nd="1"/>
        <i x="535" s="1" nd="1"/>
        <i x="645" s="1" nd="1"/>
        <i x="610" s="1" nd="1"/>
        <i x="835" s="1" nd="1"/>
        <i x="788" s="1" nd="1"/>
        <i x="28" s="1" nd="1"/>
        <i x="783" s="1" nd="1"/>
        <i x="253" s="1" nd="1"/>
        <i x="475" s="1" nd="1"/>
        <i x="813" s="1" nd="1"/>
        <i x="464" s="1" nd="1"/>
        <i x="746" s="1" nd="1"/>
        <i x="649" s="1" nd="1"/>
        <i x="776" s="1" nd="1"/>
        <i x="71" s="1" nd="1"/>
        <i x="714" s="1" nd="1"/>
        <i x="574" s="1" nd="1"/>
        <i x="184" s="1" nd="1"/>
        <i x="718" s="1" nd="1"/>
        <i x="111" s="1" nd="1"/>
        <i x="254" s="1" nd="1"/>
        <i x="512" s="1" nd="1"/>
        <i x="95" s="1" nd="1"/>
        <i x="523" s="1" nd="1"/>
        <i x="790" s="1" nd="1"/>
        <i x="19" s="1" nd="1"/>
        <i x="538" s="1" nd="1"/>
        <i x="637" s="1" nd="1"/>
        <i x="576" s="1" nd="1"/>
        <i x="197" s="1" nd="1"/>
        <i x="575" s="1" nd="1"/>
        <i x="365" s="1" nd="1"/>
        <i x="824" s="1" nd="1"/>
        <i x="336" s="1" nd="1"/>
        <i x="524" s="1" nd="1"/>
        <i x="247" s="1" nd="1"/>
        <i x="10" s="1" nd="1"/>
        <i x="142" s="1" nd="1"/>
        <i x="652" s="1" nd="1"/>
        <i x="605" s="1" nd="1"/>
        <i x="441" s="1" nd="1"/>
        <i x="22" s="1" nd="1"/>
        <i x="595" s="1" nd="1"/>
        <i x="435" s="1" nd="1"/>
        <i x="67" s="1" nd="1"/>
        <i x="656" s="1" nd="1"/>
        <i x="678" s="1" nd="1"/>
        <i x="566" s="1" nd="1"/>
        <i x="515" s="1" nd="1"/>
        <i x="599" s="1" nd="1"/>
        <i x="317" s="1" nd="1"/>
        <i x="782" s="1" nd="1"/>
        <i x="484" s="1" nd="1"/>
        <i x="313" s="1" nd="1"/>
        <i x="347" s="1" nd="1"/>
        <i x="282" s="1" nd="1"/>
        <i x="323" s="1" nd="1"/>
        <i x="845" s="1" nd="1"/>
        <i x="358" s="1" nd="1"/>
        <i x="387" s="1" nd="1"/>
        <i x="72" s="1" nd="1"/>
        <i x="77" s="1" nd="1"/>
        <i x="529" s="1" nd="1"/>
        <i x="567" s="1" nd="1"/>
        <i x="688" s="1" nd="1"/>
        <i x="280" s="1" nd="1"/>
        <i x="525" s="1" nd="1"/>
        <i x="526" s="1" nd="1"/>
        <i x="37" s="1" nd="1"/>
        <i x="593" s="1" nd="1"/>
        <i x="802" s="1" nd="1"/>
        <i x="584" s="1" nd="1"/>
        <i x="750" s="1" nd="1"/>
        <i x="723" s="1" nd="1"/>
        <i x="533" s="1" nd="1"/>
        <i x="46" s="1" nd="1"/>
        <i x="555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4" s="1" nd="1"/>
        <i x="792" s="1" nd="1"/>
        <i x="200" s="1" nd="1"/>
        <i x="151" s="1" nd="1"/>
        <i x="236" s="1" nd="1"/>
        <i x="503" s="1" nd="1"/>
        <i x="787" s="1" nd="1"/>
        <i x="259" s="1" nd="1"/>
        <i x="753" s="1" nd="1"/>
        <i x="128" s="1" nd="1"/>
        <i x="211" s="1" nd="1"/>
        <i x="834" s="1" nd="1"/>
        <i x="586" s="1" nd="1"/>
        <i x="797" s="1" nd="1"/>
        <i x="727" s="1" nd="1"/>
        <i x="412" s="1" nd="1"/>
        <i x="25" s="1" nd="1"/>
        <i x="342" s="1" nd="1"/>
        <i x="490" s="1" nd="1"/>
        <i x="511" s="1" nd="1"/>
        <i x="770" s="1" nd="1"/>
        <i x="720" s="1" nd="1"/>
        <i x="761" s="1" nd="1"/>
        <i x="520" s="1" nd="1"/>
        <i x="643" s="1" nd="1"/>
        <i x="288" s="1" nd="1"/>
        <i x="180" s="1" nd="1"/>
        <i x="334" s="1" nd="1"/>
        <i x="818" s="1" nd="1"/>
        <i x="611" s="1" nd="1"/>
        <i x="588" s="1" nd="1"/>
        <i x="256" s="1" nd="1"/>
        <i x="551" s="1" nd="1"/>
        <i x="104" s="1" nd="1"/>
        <i x="87" s="1" nd="1"/>
        <i x="755" s="1" nd="1"/>
        <i x="155" s="1" nd="1"/>
        <i x="233" s="1" nd="1"/>
        <i x="238" s="1" nd="1"/>
        <i x="466" s="1" nd="1"/>
        <i x="707" s="1" nd="1"/>
        <i x="620" s="1" nd="1"/>
        <i x="732" s="1" nd="1"/>
        <i x="471" s="1" nd="1"/>
        <i x="552" s="1" nd="1"/>
        <i x="264" s="1" nd="1"/>
        <i x="250" s="1" nd="1"/>
        <i x="633" s="1" nd="1"/>
        <i x="700" s="1" nd="1"/>
        <i x="357" s="1" nd="1"/>
        <i x="13" s="1" nd="1"/>
        <i x="225" s="1" nd="1"/>
        <i x="784" s="1" nd="1"/>
        <i x="725" s="1" nd="1"/>
        <i x="842" s="1" nd="1"/>
        <i x="444" s="1" nd="1"/>
        <i x="193" s="1" nd="1"/>
        <i x="306" s="1" nd="1"/>
        <i x="340" s="1" nd="1"/>
        <i x="96" s="1" nd="1"/>
        <i x="695" s="1" nd="1"/>
        <i x="305" s="1" nd="1"/>
        <i x="355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1" s="1" nd="1"/>
        <i x="495" s="1" nd="1"/>
        <i x="395" s="1" nd="1"/>
        <i x="671" s="1" nd="1"/>
        <i x="185" s="1" nd="1"/>
        <i x="409" s="1" nd="1"/>
        <i x="474" s="1" nd="1"/>
        <i x="838" s="1" nd="1"/>
        <i x="125" s="1" nd="1"/>
        <i x="152" s="1" nd="1"/>
        <i x="594" s="1" nd="1"/>
        <i x="779" s="1" nd="1"/>
        <i x="612" s="1" nd="1"/>
        <i x="560" s="1" nd="1"/>
        <i x="308" s="1" nd="1"/>
        <i x="654" s="1" nd="1"/>
        <i x="726" s="1" nd="1"/>
        <i x="405" s="1" nd="1"/>
        <i x="745" s="1" nd="1"/>
        <i x="79" s="1" nd="1"/>
        <i x="51" s="1" nd="1"/>
        <i x="852" s="1" nd="1"/>
        <i x="29" s="1" nd="1"/>
        <i x="571" s="1" nd="1"/>
        <i x="513" s="1" nd="1"/>
        <i x="413" s="1" nd="1"/>
        <i x="703" s="1" nd="1"/>
        <i x="204" s="1" nd="1"/>
        <i x="644" s="1" nd="1"/>
        <i x="780" s="1" nd="1"/>
        <i x="468" s="1" nd="1"/>
        <i x="40" s="1" nd="1"/>
        <i x="694" s="1" nd="1"/>
        <i x="664" s="1" nd="1"/>
        <i x="809" s="1" nd="1"/>
        <i x="817" s="1" nd="1"/>
        <i x="625" s="1" nd="1"/>
        <i x="459" s="1" nd="1"/>
        <i x="692" s="1" nd="1"/>
        <i x="134" s="1" nd="1"/>
        <i x="410" s="1" nd="1"/>
        <i x="693" s="1" nd="1"/>
        <i x="442" s="1" nd="1"/>
        <i x="361" s="1" nd="1"/>
        <i x="706" s="1" nd="1"/>
        <i x="303" s="1" nd="1"/>
        <i x="189" s="1" nd="1"/>
        <i x="681" s="1" nd="1"/>
        <i x="283" s="1" nd="1"/>
        <i x="219" s="1" nd="1"/>
        <i x="319" s="1" nd="1"/>
        <i x="255" s="1" nd="1"/>
        <i x="192" s="1" nd="1"/>
        <i x="730" s="1" nd="1"/>
        <i x="385" s="1" nd="1"/>
        <i x="577" s="1" nd="1"/>
        <i x="360" s="1" nd="1"/>
        <i x="451" s="1" nd="1"/>
        <i x="514" s="1" nd="1"/>
        <i x="122" s="1" nd="1"/>
        <i x="647" s="1" nd="1"/>
        <i x="48" s="1" nd="1"/>
        <i x="416" s="1" nd="1"/>
        <i x="145" s="1" nd="1"/>
        <i x="729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8" s="1" nd="1"/>
        <i x="500" s="1" nd="1"/>
        <i x="68" s="1" nd="1"/>
        <i x="680" s="1" nd="1"/>
        <i x="81" s="1" nd="1"/>
        <i x="635" s="1" nd="1"/>
        <i x="66" s="1" nd="1"/>
        <i x="651" s="1" nd="1"/>
        <i x="489" s="1" nd="1"/>
        <i x="754" s="1" nd="1"/>
        <i x="163" s="1" nd="1"/>
        <i x="191" s="1" nd="1"/>
        <i x="679" s="1" nd="1"/>
        <i x="299" s="1" nd="1"/>
        <i x="589" s="1" nd="1"/>
        <i x="179" s="1" nd="1"/>
        <i x="624" s="1" nd="1"/>
        <i x="63" s="1" nd="1"/>
        <i x="424" s="1" nd="1"/>
        <i x="26" s="1" nd="1"/>
        <i x="766" s="1" nd="1"/>
        <i x="414" s="1" nd="1"/>
        <i x="553" s="1" nd="1"/>
        <i x="97" s="1" nd="1"/>
        <i x="85" s="1" nd="1"/>
        <i x="293" s="1" nd="1"/>
        <i x="195" s="1" nd="1"/>
        <i x="497" s="1" nd="1"/>
        <i x="262" s="1" nd="1"/>
        <i x="30" s="1" nd="1"/>
        <i x="105" s="1" nd="1"/>
        <i x="534" s="1" nd="1"/>
        <i x="297" s="1" nd="1"/>
        <i x="397" s="1" nd="1"/>
        <i x="229" s="1" nd="1"/>
        <i x="7" s="1" nd="1"/>
        <i x="473" s="1" nd="1"/>
        <i x="825" s="1" nd="1"/>
        <i x="35" s="1" nd="1"/>
        <i x="311" s="1" nd="1"/>
        <i x="826" s="1" nd="1"/>
        <i x="563" s="1" nd="1"/>
        <i x="62" s="1" nd="1"/>
        <i x="569" s="1" nd="1"/>
        <i x="431" s="1" nd="1"/>
        <i x="426" s="1" nd="1"/>
        <i x="176" s="1" nd="1"/>
        <i x="366" s="1" nd="1"/>
        <i x="759" s="1" nd="1"/>
        <i x="601" s="1" nd="1"/>
        <i x="12" s="1" nd="1"/>
        <i x="92" s="1" nd="1"/>
        <i x="438" s="1" nd="1"/>
        <i x="434" s="1" nd="1"/>
        <i x="121" s="1" nd="1"/>
        <i x="631" s="1" nd="1"/>
        <i x="201" s="1" nd="1"/>
        <i x="156" s="1" nd="1"/>
        <i x="55" s="1" nd="1"/>
        <i x="548" s="1" nd="1"/>
        <i x="619" s="1" nd="1"/>
        <i x="99" s="1" nd="1"/>
        <i x="767" s="1" nd="1"/>
        <i x="126" s="1" nd="1"/>
        <i x="218" s="1" nd="1"/>
        <i x="812" s="1" nd="1"/>
        <i x="279" s="1" nd="1"/>
        <i x="107" s="1" nd="1"/>
        <i x="198" s="1" nd="1"/>
        <i x="214" s="1" nd="1"/>
        <i x="181" s="1" nd="1"/>
        <i x="73" s="1" nd="1"/>
        <i x="212" s="1" nd="1"/>
        <i x="600" s="1" nd="1"/>
        <i x="190" s="1" nd="1"/>
        <i x="226" s="1" nd="1"/>
        <i x="843" s="1" nd="1"/>
        <i x="837" s="1" nd="1"/>
        <i x="492" s="1" nd="1"/>
        <i x="685" s="1" nd="1"/>
        <i x="243" s="1" nd="1"/>
        <i x="56" s="1" nd="1"/>
        <i x="129" s="1" nd="1"/>
        <i x="3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4" totalsRowShown="0" headerRowDxfId="92" dataDxfId="90" headerRowBorderDxfId="91" tableBorderDxfId="89" totalsRowBorderDxfId="88">
  <autoFilter ref="A1:D36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296433</v>
      </c>
      <c r="B2" s="12" t="s">
        <v>576</v>
      </c>
      <c r="C2" s="14">
        <v>46247</v>
      </c>
      <c r="D2" s="14">
        <v>46247</v>
      </c>
      <c r="E2" s="12"/>
      <c r="F2" s="15"/>
      <c r="G2" s="15" t="s">
        <v>577</v>
      </c>
      <c r="H2" s="15" t="s">
        <v>578</v>
      </c>
      <c r="I2" s="16">
        <v>312923.59999999998</v>
      </c>
      <c r="J2" s="15" t="s">
        <v>579</v>
      </c>
      <c r="K2" s="15" t="s">
        <v>580</v>
      </c>
      <c r="L2" s="15" t="s">
        <v>581</v>
      </c>
      <c r="M2" s="15">
        <v>2000</v>
      </c>
      <c r="N2" s="15">
        <v>782</v>
      </c>
      <c r="O2" s="16">
        <v>4365.09</v>
      </c>
      <c r="P2" s="15" t="s">
        <v>582</v>
      </c>
      <c r="Q2" s="15">
        <v>0</v>
      </c>
      <c r="R2" s="15" t="s">
        <v>582</v>
      </c>
      <c r="S2" s="15">
        <v>600</v>
      </c>
      <c r="T2" s="15" t="s">
        <v>583</v>
      </c>
      <c r="U2" s="15">
        <v>0</v>
      </c>
      <c r="V2" s="15">
        <v>0</v>
      </c>
      <c r="W2" s="15">
        <v>0</v>
      </c>
      <c r="X2" s="15">
        <v>0</v>
      </c>
      <c r="Y2" s="15">
        <v>156.46</v>
      </c>
      <c r="Z2" s="15">
        <v>0</v>
      </c>
      <c r="AA2" s="15">
        <v>756.46</v>
      </c>
      <c r="AB2" s="15">
        <v>1243.54</v>
      </c>
      <c r="AC2" s="15">
        <v>520</v>
      </c>
      <c r="AD2" s="15">
        <v>723.54</v>
      </c>
      <c r="AE2" s="15">
        <v>60</v>
      </c>
      <c r="AF2" s="15">
        <v>663.54</v>
      </c>
      <c r="AG2" s="17">
        <v>0.33179999999999998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2000</v>
      </c>
      <c r="F3" s="89"/>
      <c r="G3" s="90"/>
      <c r="H3" s="133">
        <f>'Resumo Detalhado'!C2</f>
        <v>4365.09</v>
      </c>
      <c r="I3" s="134"/>
      <c r="J3" s="135">
        <f>E3/H3</f>
        <v>0.45818070188701721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0.39682636363636364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600</v>
      </c>
      <c r="F7" s="112"/>
      <c r="G7" s="112"/>
      <c r="H7" s="112"/>
      <c r="I7" s="112"/>
      <c r="J7" s="112">
        <f>E7/H3</f>
        <v>0.13745421056610516</v>
      </c>
      <c r="K7" s="112"/>
      <c r="L7" s="112"/>
      <c r="M7" s="130">
        <f>E7/E3</f>
        <v>0.3</v>
      </c>
      <c r="N7" s="130"/>
      <c r="O7" s="130"/>
      <c r="P7" s="112">
        <f>E11+K11+Q11+E15+K15+Q15+E19+H19+K19</f>
        <v>1236.46</v>
      </c>
      <c r="Q7" s="112"/>
      <c r="R7" s="112"/>
      <c r="S7" s="112">
        <f>P7/H3</f>
        <v>0.28326105532761064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600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600</v>
      </c>
      <c r="L11" s="90"/>
      <c r="M11" s="38"/>
      <c r="N11" s="88">
        <f>K11/H3</f>
        <v>0.13745421056610516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0</v>
      </c>
      <c r="F15" s="119"/>
      <c r="G15" s="119"/>
      <c r="H15" s="119"/>
      <c r="I15" s="132"/>
      <c r="J15" s="38"/>
      <c r="K15" s="113">
        <f>'Resumo Detalhado'!K2+'Resumo Detalhado'!L2</f>
        <v>320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156.46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160</v>
      </c>
      <c r="L19" s="123"/>
      <c r="M19" s="38"/>
      <c r="N19" s="121" t="s">
        <v>209</v>
      </c>
      <c r="O19" s="119"/>
      <c r="P19" s="119"/>
      <c r="Q19" s="119"/>
      <c r="R19" s="120"/>
      <c r="S19" s="121">
        <f>_xlfn.XLOOKUP(N19,Target!C:C,Target!D:D)</f>
        <v>500</v>
      </c>
      <c r="T19" s="119"/>
      <c r="U19" s="120"/>
      <c r="V19" s="36"/>
      <c r="W19" s="94" t="str">
        <f>IF(D11=S19,"NO TARGET",IF(D11&lt;S19,"ABAIXO DO TARGET",IF(D11&gt;S19,"FORA DO TARGET")))</f>
        <v>FORA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863.54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0.43176999999999999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55468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7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9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584</v>
      </c>
      <c r="F1" s="29"/>
    </row>
    <row r="2" spans="1:18" x14ac:dyDescent="0.3">
      <c r="B2" s="29">
        <f>SUM(B6:B5000)</f>
        <v>2000</v>
      </c>
      <c r="C2" s="29">
        <f>SUM(C6:C5000)</f>
        <v>4365.09</v>
      </c>
      <c r="D2" s="29">
        <f>SUM(D6:D5000)</f>
        <v>0</v>
      </c>
      <c r="E2" s="29">
        <f>SUM(E6:E5000)</f>
        <v>600</v>
      </c>
      <c r="F2" s="29">
        <f>SUM(F6:F5000)</f>
        <v>0</v>
      </c>
      <c r="G2" s="29"/>
      <c r="H2" s="29">
        <f t="shared" ref="H2:P2" si="0">SUM(H6:H5000)</f>
        <v>0</v>
      </c>
      <c r="I2" s="29">
        <f t="shared" si="0"/>
        <v>156.46</v>
      </c>
      <c r="J2" s="29">
        <f t="shared" si="0"/>
        <v>0</v>
      </c>
      <c r="K2" s="29">
        <f t="shared" si="0"/>
        <v>160</v>
      </c>
      <c r="L2" s="29">
        <f t="shared" si="0"/>
        <v>160</v>
      </c>
      <c r="M2" s="29">
        <f t="shared" si="0"/>
        <v>60</v>
      </c>
      <c r="N2" s="29">
        <f t="shared" si="0"/>
        <v>863.54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577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296433</v>
      </c>
      <c r="B6" s="139">
        <v>2000</v>
      </c>
      <c r="C6" s="140">
        <v>4365.09</v>
      </c>
      <c r="D6" s="139">
        <v>0</v>
      </c>
      <c r="E6" s="139">
        <v>600</v>
      </c>
      <c r="F6" s="139">
        <v>0</v>
      </c>
      <c r="G6" s="141">
        <v>0.3</v>
      </c>
      <c r="H6" s="139">
        <v>0</v>
      </c>
      <c r="I6" s="139">
        <v>156.46</v>
      </c>
      <c r="J6" s="139">
        <v>0</v>
      </c>
      <c r="K6" s="139">
        <v>160</v>
      </c>
      <c r="L6" s="139">
        <v>160</v>
      </c>
      <c r="M6" s="139">
        <v>60</v>
      </c>
      <c r="N6" s="139">
        <v>863.54</v>
      </c>
      <c r="O6" s="141">
        <v>0.43176999999999999</v>
      </c>
      <c r="Q6"/>
    </row>
    <row r="7" spans="1:18" s="31" customFormat="1" x14ac:dyDescent="0.3">
      <c r="A7" s="9" t="s">
        <v>86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7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584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577</v>
      </c>
      <c r="B5" s="10">
        <v>2000</v>
      </c>
      <c r="C5" s="10">
        <v>863.54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2026-08-14T13:54:35Z</dcterms:modified>
  <cp:category/>
  <cp:contentStatus/>
</cp:coreProperties>
</file>