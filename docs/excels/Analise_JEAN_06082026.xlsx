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581A824-C4D8-4047-BB7F-D9DD84B327A0}" xr6:coauthVersionLast="47" xr6:coauthVersionMax="47" xr10:uidLastSave="{00000000-0000-0000-0000-000000000000}"/>
  <bookViews>
    <workbookView xWindow="400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<sst xmlns="http://schemas.openxmlformats.org/spreadsheetml/2006/main" count="854" uniqueCount="587">
  <si>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</si>
  <si>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</si>
  <si>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</si>
  <si>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</si>
  <si>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</si>
  <si>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</si>
  <si>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</si>
  <si>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</si>
  <si>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</si>
  <si>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</si>
  <si>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</si>
  <si>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</si>
  <si>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</si>
  <si>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</si>
  <si>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</si>
  <si>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</si>
  <si>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</si>
  <si>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</si>
  <si>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</si>
  <si>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</si>
  <si>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</si>
  <si>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</si>
  <si>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</si>
  <si>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</si>
  <si>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</si>
  <si>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</si>
  <si>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</si>
  <si>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</si>
  <si>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</si>
  <si>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</si>
  <si>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</si>
  <si>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</si>
  <si>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</si>
  <si>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</si>
  <si>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</si>
  <si>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</si>
  <si>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</si>
  <si>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</si>
  <si>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</si>
  <si>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</si>
  <si>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</si>
  <si>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</si>
  <si>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</si>
  <si>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</si>
  <si>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</si>
  <si>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</si>
  <si>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</si>
  <si>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</si>
  <si>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</si>
  <si>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</si>
  <si>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</si>
  <si>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</si>
  <si>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</si>
  <si>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</si>
  <si>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</si>
  <si>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</si>
  <si>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</si>
  <si>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</si>
  <si>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</si>
  <si>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</si>
  <si>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</si>
  <si>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</si>
  <si>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</si>
  <si>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</si>
  <si>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</si>
  <si>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</si>
  <si>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</si>
  <si>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</si>
  <si>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</si>
  <si>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</si>
  <si>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</si>
  <si>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</si>
  <si>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</si>
  <si>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</si>
  <si>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</si>
  <si>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</si>
  <si>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</si>
  <si>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</si>
  <si>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</si>
  <si>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</si>
  <si>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</si>
  <si>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</si>
  <si>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</si>
  <si>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</si>
  <si>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</si>
  <si>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</si>
  <si>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</si>
  <si>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</si>
  <si>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</si>
  <si>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</si>
  <si>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</si>
  <si>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</si>
  <si>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</si>
  <si>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</si>
  <si>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</si>
  <si>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</si>
  <si>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</si>
  <si>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</si>
  <si>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</si>
  <si>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</si>
  <si>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</si>
  <si>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</si>
  <si>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</si>
  <si>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</si>
  <si>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</si>
  <si>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</si>
  <si>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</si>
  <si>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</si>
  <si>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</si>
  <si>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</si>
  <si>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</si>
  <si>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</si>
  <si>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</si>
  <si>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</si>
  <si>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</si>
  <si>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</si>
  <si>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</si>
  <si>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</si>
  <si>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</si>
  <si>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</si>
  <si>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</si>
  <si>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</si>
  <si>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</si>
  <si>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</si>
  <si>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</si>
  <si>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</si>
  <si>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</si>
  <si>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</si>
  <si>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</si>
  <si>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</si>
  <si>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</si>
  <si>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</si>
  <si>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</si>
  <si>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</si>
  <si>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</si>
  <si>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</si>
  <si>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</si>
  <si>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</si>
  <si>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</si>
  <si>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</si>
  <si>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</si>
  <si>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</si>
  <si>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</si>
  <si>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</si>
  <si>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</si>
  <si>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</si>
  <si>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</si>
  <si>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</si>
  <si>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</si>
  <si>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</si>
  <si>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</si>
  <si>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</si>
  <si>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</si>
  <si>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</si>
  <si>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</si>
  <si>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</si>
  <si>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</si>
  <si>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</si>
  <si>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</si>
  <si>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</si>
  <si>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</si>
  <si>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</si>
  <si>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</si>
  <si>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</si>
  <si>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</si>
  <si>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</si>
  <si>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</si>
  <si>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</si>
  <si>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</si>
  <si>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</si>
  <si>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</si>
  <si>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</si>
  <si>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</si>
  <si>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</si>
  <si>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</si>
  <si>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</si>
  <si>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</si>
  <si>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</si>
  <si>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</si>
  <si>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</si>
  <si>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</si>
  <si>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</si>
  <si>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</si>
  <si>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</si>
  <si>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</si>
  <si>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</si>
  <si>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</si>
  <si>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</si>
  <si>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</si>
  <si>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</si>
  <si>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</si>
  <si>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</si>
  <si>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</si>
  <si>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</si>
  <si>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</si>
  <si>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</si>
  <si>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</si>
  <si>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</si>
  <si>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</si>
  <si>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</si>
  <si>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</si>
  <si>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</si>
  <si>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</si>
  <si>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</si>
  <si>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</si>
  <si>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</si>
  <si>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</si>
  <si>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</si>
  <si>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</si>
  <si>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</si>
  <si>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</si>
  <si>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</si>
  <si>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</si>
  <si>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</si>
  <si>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</si>
  <si>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</si>
  <si>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</si>
  <si>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</si>
  <si>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</si>
  <si>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</si>
  <si>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</si>
  <si>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</si>
  <si>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</si>
  <si>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</si>
  <si>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</si>
  <si>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</si>
  <si>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</si>
  <si>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</si>
  <si>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</si>
  <si>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</si>
  <si>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</si>
  <si>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</si>
  <si>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</si>
  <si>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</si>
  <si>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</si>
  <si>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</si>
  <si>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</si>
  <si>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</si>
  <si>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</si>
  <si>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</si>
  <si>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</si>
  <si>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</si>
  <si>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</si>
  <si>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</si>
  <si>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</si>
  <si>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</si>
  <si>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</si>
  <si>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</si>
  <si>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</si>
  <si>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</si>
  <si>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</si>
  <si>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</si>
  <si>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</si>
  <si>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</si>
  <si>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</si>
  <si>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</si>
  <si>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</si>
  <si>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</si>
  <si>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</si>
  <si>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</si>
  <si>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</si>
  <si>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</si>
  <si>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</si>
  <si>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</si>
  <si>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</si>
  <si>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</si>
  <si>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</si>
  <si>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</si>
  <si>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</si>
  <si>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</si>
  <si>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</si>
  <si>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</si>
  <si>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</si>
  <si>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</si>
  <si>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</si>
  <si>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</si>
  <si>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</si>
  <si>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</si>
  <si>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</si>
  <si>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</si>
  <si>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</si>
  <si>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</si>
  <si>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</si>
  <si>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</si>
  <si>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</si>
  <si>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</si>
  <si>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</si>
  <si>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</si>
  <si>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</si>
  <si>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</si>
  <si>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</si>
  <si>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</si>
  <si>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</si>
  <si>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</si>
  <si>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</si>
  <si>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</si>
  <si>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</si>
  <si>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</si>
  <si>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</si>
  <si>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</si>
  <si>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</si>
  <si>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</si>
  <si>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</si>
  <si>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</si>
  <si>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</si>
  <si>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</si>
  <si>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</si>
  <si>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</si>
  <si>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</si>
  <si>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</si>
  <si>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</si>
  <si>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</si>
  <si>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</si>
  <si>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</si>
  <si>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</si>
  <si>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</si>
  <si>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</si>
  <si>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</si>
  <si>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</si>
  <si>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</si>
  <si>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</si>
  <si>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</si>
  <si>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</si>
  <si>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</si>
  <si>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</si>
  <si>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</si>
  <si>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</si>
  <si>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</si>
  <si>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</si>
  <si>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</si>
  <si>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</si>
  <si>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</si>
  <si>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</si>
  <si>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</si>
  <si>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</si>
  <si>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</si>
  <si>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</si>
  <si>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</si>
  <si>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</si>
  <si>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</si>
  <si>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</si>
  <si>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</si>
  <si>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</si>
  <si>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</si>
  <si>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</si>
  <si>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</si>
  <si>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</si>
  <si>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</si>
  <si>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</si>
  <si>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</si>
  <si>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</si>
  <si>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</si>
  <si>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</si>
  <si>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</si>
  <si>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</si>
  <si>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</si>
  <si>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</si>
  <si>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</si>
  <si>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</si>
  <si>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</si>
  <si>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</si>
  <si>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</si>
  <si>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</si>
  <si>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</si>
  <si>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</si>
  <si>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</si>
  <si>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</si>
  <si>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</si>
  <si>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</si>
  <si>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</si>
  <si>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</si>
  <si>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</si>
  <si>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</si>
  <si>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</si>
  <si>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</si>
  <si>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</si>
  <si>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</si>
  <si>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</si>
  <si>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</si>
  <si>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</si>
  <si>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</si>
  <si>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</si>
  <si>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</si>
  <si>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</si>
  <si>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</si>
  <si>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</si>
  <si>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</si>
  <si>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</si>
  <si>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</si>
  <si>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</si>
  <si>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</si>
  <si>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</si>
  <si>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</si>
  <si>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</si>
  <si>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</si>
  <si>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</si>
  <si>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</si>
  <si>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</si>
  <si>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</si>
  <si>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</si>
  <si>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</si>
  <si>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</si>
  <si>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</si>
  <si>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</si>
  <si>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</si>
  <si>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</si>
  <si>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</si>
  <si>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</si>
  <si>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</si>
  <si>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</si>
  <si>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</si>
  <si>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</si>
  <si>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</si>
  <si>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</si>
  <si>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</si>
  <si>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</si>
  <si>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</si>
  <si>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</si>
  <si>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</si>
  <si>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</si>
  <si>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</si>
  <si>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</si>
  <si>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</si>
  <si>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</si>
  <si>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</si>
  <si>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</si>
  <si>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</si>
  <si>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</si>
  <si>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</si>
  <si>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</si>
  <si>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</si>
  <si>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</si>
  <si>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</si>
  <si>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</si>
  <si>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</si>
  <si>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</si>
  <si>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</si>
  <si>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</si>
  <si>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</si>
  <si>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</si>
  <si>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</si>
  <si>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</si>
  <si>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</si>
  <si>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</si>
  <si>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</si>
  <si>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</si>
  <si>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</si>
  <si>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</si>
  <si>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</si>
  <si>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</si>
  <si>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</si>
  <si>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</si>
  <si>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</si>
  <si>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</si>
  <si>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</si>
  <si>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</si>
  <si>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</si>
  <si>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</si>
  <si>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</si>
  <si>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</si>
  <si>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</si>
  <si>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</si>
  <si>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</si>
  <si>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</si>
  <si>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</si>
  <si>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</si>
  <si>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</si>
  <si>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</si>
  <si>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</si>
  <si>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</si>
  <si>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</si>
  <si>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</si>
  <si>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</si>
  <si>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</si>
  <si>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</si>
  <si>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</si>
  <si>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</si>
  <si>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</si>
  <si>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</si>
  <si>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</si>
  <si>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</si>
  <si>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</si>
  <si>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</si>
  <si>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</si>
  <si>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</si>
  <si>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</si>
  <si>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</si>
  <si>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</si>
  <si>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</si>
  <si>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</si>
  <si>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</si>
  <si>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</si>
  <si>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</si>
  <si>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</si>
  <si>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</si>
  <si>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</si>
  <si>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</si>
  <si>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</si>
  <si>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</si>
  <si>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</si>
  <si>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</si>
  <si>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</si>
  <si>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</si>
  <si>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</si>
  <si>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</si>
  <si>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</si>
  <si>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</si>
  <si>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</si>
  <si>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</si>
  <si>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</si>
  <si>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</si>
  <si>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</si>
  <si>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</si>
  <si>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</si>
  <si>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</si>
  <si>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</si>
  <si>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</si>
  <si>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</si>
  <si>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</si>
  <si>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</si>
  <si>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</si>
  <si>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</si>
  <si>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</si>
  <si>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</si>
  <si>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</si>
  <si>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</si>
  <si>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</si>
  <si>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</si>
  <si>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</si>
  <si>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</si>
  <si>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</si>
  <si>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</si>
  <si>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</si>
  <si>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</si>
  <si>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</si>
  <si>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</si>
  <si>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</si>
  <si>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</si>
  <si>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</si>
  <si>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</si>
  <si>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</si>
  <si>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</si>
  <si>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</si>
  <si>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</si>
  <si>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</si>
  <si>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</si>
  <si>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</si>
  <si>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</si>
  <si>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</si>
  <si>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</si>
  <si>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</si>
  <si>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</si>
  <si>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</si>
  <si>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</si>
  <si>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</si>
  <si>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</si>
  <si>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</si>
  <si>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</si>
  <si>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</si>
  <si>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</si>
  <si>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</si>
  <si>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</si>
  <si>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</si>
  <si>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</si>
  <si>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</si>
  <si>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</si>
  <si>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</si>
  <si>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</si>
  <si>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</si>
  <si>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</si>
  <si>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</si>
  <si>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</si>
  <si>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</si>
  <si>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</si>
  <si>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</si>
  <si>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</si>
  <si>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</si>
  <si>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200771-1</t>
  </si>
  <si>
    <t>MASTERPIECE INT</t>
  </si>
  <si>
    <t>MAURO MARQUES</t>
  </si>
  <si>
    <t>PERSONALIZADO</t>
  </si>
  <si>
    <t>CTE NORMAL</t>
  </si>
  <si>
    <t>ITAJAI - SC</t>
  </si>
  <si>
    <t>N/D</t>
  </si>
  <si>
    <t>JEAN PAULO DE MELO</t>
  </si>
  <si>
    <t>Navegantes-Sc X Itajai-ScCTNR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</si>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</sst>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0" fillId="0" borderId="40" xfId="0" applyBorder="1" applyAlignment="1">
      <alignment horizontal="left"/>
    </xf>
    <xf numFmtId="44" fontId="0" fillId="0" borderId="0" xfId="0" applyNumberFormat="1" applyAlignment="1">
      <alignment horizont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[Analise_JEAN_06082026.xlsx]Resumo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MASTERPIECE INT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2905.78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MASTERPIECE INT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1646.1251999999999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[Analise_JEAN_06082026.xlsx]Resumo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MASTERPIECE INT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2905.78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MASTERPIECE INT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1646.1251999999999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1.446864467594" createdVersion="4" refreshedVersion="7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5269" count="8000">
        <n v="29526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6T00:00:00" maxDate="2026-08-07T00:00:00"/>
    </cacheField>
    <cacheField name="DATA" numFmtId="14">
      <sharedItems containsNonDate="0" containsDate="1" containsString="0" containsBlank="1" minDate="2026-08-06T00:00:00" maxDate="2026-08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STERPIECE INT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01498.4" maxValue="601498.4"/>
    </cacheField>
    <cacheField name="SERVICO" numFmtId="0">
      <sharedItems containsBlank="1" count="27"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905.78" maxValue="2905.78"/>
    </cacheField>
    <cacheField name="VOLUMES" numFmtId="0">
      <sharedItems containsString="0" containsBlank="1" containsNumber="1" containsInteger="1" minValue="6" maxValue="6"/>
    </cacheField>
    <cacheField name="PESO" numFmtId="0">
      <sharedItems containsString="0" containsBlank="1" containsNumber="1" minValue="2110.9499999999998" maxValue="2110.9499999999998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493.98" maxValue="493.9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300.75" maxValue="300.7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94.73" maxValue="1694.73"/>
    </cacheField>
    <cacheField name="RECEITA" numFmtId="0">
      <sharedItems containsString="0" containsBlank="1" containsNumber="1" minValue="1211.05" maxValue="1211.05"/>
    </cacheField>
    <cacheField name="IMPOSTO" numFmtId="0">
      <sharedItems containsString="0" containsBlank="1" containsNumber="1" minValue="755.5" maxValue="755.5"/>
    </cacheField>
    <cacheField name="RESULTADO" numFmtId="0">
      <sharedItems containsString="0" containsBlank="1" containsNumber="1" minValue="455.55" maxValue="455.5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455.55" maxValue="455.55"/>
    </cacheField>
    <cacheField name="MARGEM" numFmtId="10">
      <sharedItems containsString="0" containsBlank="1" containsNumber="1" minValue="0.15679999999999999" maxValue="0.156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06T00:00:00"/>
    <d v="2026-08-06T00:00:00"/>
    <m/>
    <s v="200771-1"/>
    <x v="0"/>
    <s v="MAURO MARQUES"/>
    <n v="601498.4"/>
    <x v="0"/>
    <s v="CTE NORMAL"/>
    <s v="ITAJAI - SC"/>
    <n v="2905.78"/>
    <n v="6"/>
    <n v="2110.9499999999998"/>
    <s v="MATRIZ"/>
    <n v="0"/>
    <s v="N/D"/>
    <n v="0"/>
    <s v="JEAN PAULO DE MELO"/>
    <n v="0"/>
    <n v="493.98"/>
    <n v="0"/>
    <n v="0"/>
    <n v="300.75"/>
    <n v="0"/>
    <n v="1694.73"/>
    <n v="1211.05"/>
    <n v="755.5"/>
    <n v="455.55"/>
    <n v="0"/>
    <n v="455.55"/>
    <n v="0.15679999999999999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2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8"/>
        <item m="1" x="833"/>
        <item m="1" x="743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6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49"/>
        <item sd="0" m="1" x="648"/>
        <item m="1" x="853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m="1" x="704"/>
        <item m="1" x="234"/>
        <item m="1" x="598"/>
        <item m="1" x="43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39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7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x="0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1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1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2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3"/>
        <item m="1" x="25"/>
        <item m="1" x="18"/>
        <item x="1"/>
        <item m="1" x="7"/>
        <item m="1" x="2"/>
        <item m="1" x="10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x="0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492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2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8"/>
        <item m="1" x="833"/>
        <item m="1" x="743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6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49"/>
        <item sd="0" m="1" x="648"/>
        <item m="1" x="853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sd="0" m="1" x="704"/>
        <item m="1" x="234"/>
        <item m="1" x="598"/>
        <item m="1" x="43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39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7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x="0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1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1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2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3"/>
        <item m="1" x="25"/>
        <item m="1" x="18"/>
        <item x="1"/>
        <item m="1" x="7"/>
        <item m="1" x="2"/>
        <item m="1" x="10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x="0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92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9" s="1" nd="1"/>
        <i x="763" s="1" nd="1"/>
        <i x="795" s="1" nd="1"/>
        <i x="544" s="1" nd="1"/>
        <i x="149" s="1" nd="1"/>
        <i x="187" s="1" nd="1"/>
        <i x="273" s="1" nd="1"/>
        <i x="11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4" s="1" nd="1"/>
        <i x="582" s="1" nd="1"/>
        <i x="852" s="1" nd="1"/>
        <i x="20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6" s="1" nd="1"/>
        <i x="47" s="1" nd="1"/>
        <i x="669" s="1" nd="1"/>
        <i x="661" s="1" nd="1"/>
        <i x="469" s="1" nd="1"/>
        <i x="44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8" s="1" nd="1"/>
        <i x="833" s="1" nd="1"/>
        <i x="743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3" s="1" nd="1"/>
        <i x="178" s="1" nd="1"/>
        <i x="58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6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4" s="1" nd="1"/>
        <i x="771" s="1" nd="1"/>
        <i x="14" s="1" nd="1"/>
        <i x="740" s="1" nd="1"/>
        <i x="393" s="1" nd="1"/>
        <i x="276" s="1" nd="1"/>
        <i x="65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2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49" s="1" nd="1"/>
        <i x="648" s="1" nd="1"/>
        <i x="853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1" s="1" nd="1"/>
        <i x="639" s="1" nd="1"/>
        <i x="53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59" s="1" nd="1"/>
        <i x="632" s="1" nd="1"/>
        <i x="531" s="1" nd="1"/>
        <i x="295" s="1" nd="1"/>
        <i x="304" s="1" nd="1"/>
        <i x="174" s="1" nd="1"/>
        <i x="101" s="1" nd="1"/>
        <i x="70" s="1" nd="1"/>
        <i x="579" s="1" nd="1"/>
        <i x="799" s="1" nd="1"/>
        <i x="32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8" s="1" nd="1"/>
        <i x="583" s="1" nd="1"/>
        <i x="18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9" s="1" nd="1"/>
        <i x="42" s="1" nd="1"/>
        <i x="16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4" s="1" nd="1"/>
        <i x="636" s="1" nd="1"/>
        <i x="458" s="1" nd="1"/>
        <i x="791" s="1" nd="1"/>
        <i x="704" s="1" nd="1"/>
        <i x="234" s="1" nd="1"/>
        <i x="598" s="1" nd="1"/>
        <i x="43" s="1" nd="1"/>
        <i x="843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1" s="1" nd="1"/>
        <i x="806" s="1" nd="1"/>
        <i x="487" s="1" nd="1"/>
        <i x="443" s="1" nd="1"/>
        <i x="399" s="1" nd="1"/>
        <i x="609" s="1" nd="1"/>
        <i x="153" s="1" nd="1"/>
        <i x="15" s="1" nd="1"/>
        <i x="232" s="1" nd="1"/>
        <i x="241" s="1" nd="1"/>
        <i x="5" s="1" nd="1"/>
        <i x="388" s="1" nd="1"/>
        <i x="370" s="1" nd="1"/>
        <i x="616" s="1" nd="1"/>
        <i x="57" s="1" nd="1"/>
        <i x="708" s="1" nd="1"/>
        <i x="23" s="1" nd="1"/>
        <i x="36" s="1" nd="1"/>
        <i x="8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39" s="1" nd="1"/>
        <i x="38" s="1" nd="1"/>
        <i x="383" s="1" nd="1"/>
        <i x="590" s="1" nd="1"/>
        <i x="748" s="1" nd="1"/>
        <i x="269" s="1" nd="1"/>
        <i x="17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6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1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3" s="1" nd="1"/>
        <i x="302" s="1" nd="1"/>
        <i x="549" s="1" nd="1"/>
        <i x="60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5" s="1" nd="1"/>
        <i x="724" s="1" nd="1"/>
        <i x="749" s="1" nd="1"/>
        <i x="744" s="1" nd="1"/>
        <i x="847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4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0" s="1" nd="1"/>
        <i x="2" s="1" nd="1"/>
        <i x="272" s="1" nd="1"/>
        <i x="75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69" s="1" nd="1"/>
        <i x="118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1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50" s="1" nd="1"/>
        <i x="606" s="1" nd="1"/>
        <i x="84" s="1" nd="1"/>
        <i x="326" s="1" nd="1"/>
        <i x="34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4" s="1" nd="1"/>
        <i x="670" s="1" nd="1"/>
        <i x="94" s="1" nd="1"/>
        <i x="440" s="1" nd="1"/>
        <i x="351" s="1" nd="1"/>
        <i x="785" s="1" nd="1"/>
        <i x="499" s="1" nd="1"/>
        <i x="61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8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1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19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0" s="1" nd="1"/>
        <i x="142" s="1" nd="1"/>
        <i x="652" s="1" nd="1"/>
        <i x="605" s="1" nd="1"/>
        <i x="441" s="1" nd="1"/>
        <i x="22" s="1" nd="1"/>
        <i x="595" s="1" nd="1"/>
        <i x="435" s="1" nd="1"/>
        <i x="67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9" s="1" nd="1"/>
        <i x="567" s="1" nd="1"/>
        <i x="688" s="1" nd="1"/>
        <i x="280" s="1" nd="1"/>
        <i x="525" s="1" nd="1"/>
        <i x="526" s="1" nd="1"/>
        <i x="37" s="1" nd="1"/>
        <i x="593" s="1" nd="1"/>
        <i x="802" s="1" nd="1"/>
        <i x="584" s="1" nd="1"/>
        <i x="750" s="1" nd="1"/>
        <i x="723" s="1" nd="1"/>
        <i x="533" s="1" nd="1"/>
        <i x="46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5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3" s="1" nd="1"/>
        <i x="225" s="1" nd="1"/>
        <i x="784" s="1" nd="1"/>
        <i x="725" s="1" nd="1"/>
        <i x="841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79" s="1" nd="1"/>
        <i x="51" s="1" nd="1"/>
        <i x="851" s="1" nd="1"/>
        <i x="29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0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8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8" s="1" nd="1"/>
        <i x="500" s="1" nd="1"/>
        <i x="68" s="1" nd="1"/>
        <i x="680" s="1" nd="1"/>
        <i x="81" s="1" nd="1"/>
        <i x="635" s="1" nd="1"/>
        <i x="66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3" s="1" nd="1"/>
        <i x="424" s="1" nd="1"/>
        <i x="26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0" s="1" nd="1"/>
        <i x="105" s="1" nd="1"/>
        <i x="534" s="1" nd="1"/>
        <i x="297" s="1" nd="1"/>
        <i x="397" s="1" nd="1"/>
        <i x="229" s="1" nd="1"/>
        <i x="7" s="1" nd="1"/>
        <i x="473" s="1" nd="1"/>
        <i x="825" s="1" nd="1"/>
        <i x="35" s="1" nd="1"/>
        <i x="311" s="1" nd="1"/>
        <i x="826" s="1" nd="1"/>
        <i x="563" s="1" nd="1"/>
        <i x="62" s="1" nd="1"/>
        <i x="569" s="1" nd="1"/>
        <i x="431" s="1" nd="1"/>
        <i x="426" s="1" nd="1"/>
        <i x="176" s="1" nd="1"/>
        <i x="366" s="1" nd="1"/>
        <i x="759" s="1" nd="1"/>
        <i x="601" s="1" nd="1"/>
        <i x="12" s="1" nd="1"/>
        <i x="92" s="1" nd="1"/>
        <i x="438" s="1" nd="1"/>
        <i x="434" s="1" nd="1"/>
        <i x="121" s="1" nd="1"/>
        <i x="631" s="1" nd="1"/>
        <i x="201" s="1" nd="1"/>
        <i x="156" s="1" nd="1"/>
        <i x="55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3" s="1" nd="1"/>
        <i x="212" s="1" nd="1"/>
        <i x="600" s="1" nd="1"/>
        <i x="190" s="1" nd="1"/>
        <i x="226" s="1" nd="1"/>
        <i x="842" s="1" nd="1"/>
        <i x="837" s="1" nd="1"/>
        <i x="492" s="1" nd="1"/>
        <i x="685" s="1" nd="1"/>
        <i x="243" s="1" nd="1"/>
        <i x="56" s="1" nd="1"/>
        <i x="129" s="1" nd="1"/>
        <i x="3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4" s="1" nd="1"/>
        <i x="15" s="1" nd="1"/>
        <i x="24" s="1" nd="1"/>
        <i x="4" s="1" nd="1"/>
        <i x="7" s="1" nd="1"/>
        <i x="9" s="1" nd="1"/>
        <i x="12" s="1" nd="1"/>
        <i x="18" s="1" nd="1"/>
        <i x="19" s="1" nd="1"/>
        <i x="3" s="1" nd="1"/>
        <i x="23" s="1" nd="1"/>
        <i x="6" s="1" nd="1"/>
        <i x="22" s="1" nd="1"/>
        <i x="21" s="1" nd="1"/>
        <i x="17" s="1" nd="1"/>
        <i x="20" s="1" nd="1"/>
        <i x="2" s="1" nd="1"/>
        <i x="25" s="1" nd="1"/>
        <i x="11" s="1" nd="1"/>
        <i x="13" s="1" nd="1"/>
        <i x="10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92" dataDxfId="90" headerRowBorderDxfId="91" tableBorderDxfId="89">
  <autoFilter ref="A1:AH95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4" totalsRowShown="0" headerRowDxfId="8" dataDxfId="6" headerRowBorderDxfId="7" tableBorderDxfId="5" totalsRowBorderDxfId="4">
  <autoFilter ref="A1:D36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3"/>
    <tableColumn id="2" xr3:uid="{AAA88DB3-D1F7-47B3-9D90-8B90F797E4CC}" name="TIPO VEÍCULO" dataDxfId="2"/>
    <tableColumn id="3" xr3:uid="{B311F3EE-5953-428C-8BC5-A618FCB30C40}" name="CONCATENADO" dataDxfId="1"/>
    <tableColumn id="4" xr3:uid="{C6AA6B7E-6BA2-42D2-8775-75C2F076115E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295269</v>
      </c>
      <c r="B2" s="12" t="s">
        <v>576</v>
      </c>
      <c r="C2" s="14">
        <v>46240</v>
      </c>
      <c r="D2" s="14">
        <v>46240</v>
      </c>
      <c r="E2" s="12"/>
      <c r="F2" s="15" t="s">
        <v>577</v>
      </c>
      <c r="G2" s="15" t="s">
        <v>578</v>
      </c>
      <c r="H2" s="15" t="s">
        <v>579</v>
      </c>
      <c r="I2" s="16">
        <v>601498.4</v>
      </c>
      <c r="J2" s="15" t="s">
        <v>580</v>
      </c>
      <c r="K2" s="15" t="s">
        <v>581</v>
      </c>
      <c r="L2" s="15" t="s">
        <v>582</v>
      </c>
      <c r="M2" s="15">
        <v>2905.78</v>
      </c>
      <c r="N2" s="15">
        <v>6</v>
      </c>
      <c r="O2" s="16">
        <v>2110.9499999999998</v>
      </c>
      <c r="P2" s="15" t="s">
        <v>576</v>
      </c>
      <c r="Q2" s="15">
        <v>0</v>
      </c>
      <c r="R2" s="15" t="s">
        <v>583</v>
      </c>
      <c r="S2" s="15">
        <v>0</v>
      </c>
      <c r="T2" s="15" t="s">
        <v>584</v>
      </c>
      <c r="U2" s="15">
        <v>0</v>
      </c>
      <c r="V2" s="15">
        <v>493.98</v>
      </c>
      <c r="W2" s="15">
        <v>0</v>
      </c>
      <c r="X2" s="15">
        <v>0</v>
      </c>
      <c r="Y2" s="15">
        <v>300.75</v>
      </c>
      <c r="Z2" s="15">
        <v>0</v>
      </c>
      <c r="AA2" s="15">
        <v>1694.73</v>
      </c>
      <c r="AB2" s="15">
        <v>1211.05</v>
      </c>
      <c r="AC2" s="15">
        <v>755.5</v>
      </c>
      <c r="AD2" s="15">
        <v>455.55</v>
      </c>
      <c r="AE2" s="15">
        <v>0</v>
      </c>
      <c r="AF2" s="15">
        <v>455.55</v>
      </c>
      <c r="AG2" s="17">
        <v>0.15679999999999999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34"/>
    </row>
    <row r="2" spans="4:25" ht="15" thickBot="1" x14ac:dyDescent="0.35">
      <c r="D2" s="55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36"/>
    </row>
    <row r="3" spans="4:25" ht="15" thickBot="1" x14ac:dyDescent="0.35">
      <c r="D3" s="55"/>
      <c r="E3" s="90">
        <f>'Resumo Detalhado'!B2</f>
        <v>2905.78</v>
      </c>
      <c r="F3" s="91"/>
      <c r="G3" s="92"/>
      <c r="H3" s="136">
        <f>'Resumo Detalhado'!C2</f>
        <v>2110.9499999999998</v>
      </c>
      <c r="I3" s="137"/>
      <c r="J3" s="138">
        <f>E3/H3</f>
        <v>1.3765271560198018</v>
      </c>
      <c r="K3" s="139"/>
      <c r="L3" s="140"/>
      <c r="M3" s="108" t="s">
        <v>266</v>
      </c>
      <c r="N3" s="91"/>
      <c r="O3" s="92"/>
      <c r="P3" s="109">
        <v>11000</v>
      </c>
      <c r="Q3" s="110"/>
      <c r="R3" s="111"/>
      <c r="S3" s="105">
        <f>MIN(H3/P3,1)</f>
        <v>0.19190454545454544</v>
      </c>
      <c r="T3" s="106"/>
      <c r="U3" s="107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36"/>
    </row>
    <row r="6" spans="4:25" ht="15" thickBot="1" x14ac:dyDescent="0.35">
      <c r="D6" s="55"/>
      <c r="E6" s="132" t="s">
        <v>43</v>
      </c>
      <c r="F6" s="132"/>
      <c r="G6" s="132"/>
      <c r="H6" s="132"/>
      <c r="I6" s="132"/>
      <c r="J6" s="132" t="s">
        <v>44</v>
      </c>
      <c r="K6" s="132"/>
      <c r="L6" s="132"/>
      <c r="M6" s="132" t="s">
        <v>45</v>
      </c>
      <c r="N6" s="132"/>
      <c r="O6" s="132"/>
      <c r="P6" s="132" t="s">
        <v>46</v>
      </c>
      <c r="Q6" s="132"/>
      <c r="R6" s="132"/>
      <c r="S6" s="132" t="s">
        <v>47</v>
      </c>
      <c r="T6" s="132"/>
      <c r="U6" s="132"/>
      <c r="V6" s="36"/>
    </row>
    <row r="7" spans="4:25" ht="15" thickBot="1" x14ac:dyDescent="0.35">
      <c r="D7" s="55"/>
      <c r="E7" s="115">
        <f>E11+K11+Q11</f>
        <v>1694.73</v>
      </c>
      <c r="F7" s="115"/>
      <c r="G7" s="115"/>
      <c r="H7" s="115"/>
      <c r="I7" s="115"/>
      <c r="J7" s="115">
        <f>E7/H3</f>
        <v>0.80282811056633274</v>
      </c>
      <c r="K7" s="115"/>
      <c r="L7" s="115"/>
      <c r="M7" s="133">
        <f>E7/E3</f>
        <v>0.58322722298315766</v>
      </c>
      <c r="N7" s="133"/>
      <c r="O7" s="133"/>
      <c r="P7" s="115">
        <f>E11+K11+Q11+E15+K15+Q15+E19+H19+K19</f>
        <v>3186.8472000000002</v>
      </c>
      <c r="Q7" s="115"/>
      <c r="R7" s="115"/>
      <c r="S7" s="115">
        <f>P7/H3</f>
        <v>1.5096744119945997</v>
      </c>
      <c r="T7" s="115"/>
      <c r="U7" s="115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36"/>
    </row>
    <row r="10" spans="4:25" ht="15" thickBot="1" x14ac:dyDescent="0.35">
      <c r="D10" s="55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36"/>
    </row>
    <row r="11" spans="4:25" ht="15" thickBot="1" x14ac:dyDescent="0.35">
      <c r="D11" s="55">
        <f>IF(E11=0,K11,E11)</f>
        <v>1694.73</v>
      </c>
      <c r="E11" s="114">
        <f>ROUNDUP('Resumo Detalhado'!F2,0)</f>
        <v>0</v>
      </c>
      <c r="F11" s="92"/>
      <c r="G11" s="38"/>
      <c r="H11" s="90">
        <f>E11/H3</f>
        <v>0</v>
      </c>
      <c r="I11" s="92"/>
      <c r="J11" s="38"/>
      <c r="K11" s="90">
        <v>1694.73</v>
      </c>
      <c r="L11" s="92"/>
      <c r="M11" s="38"/>
      <c r="N11" s="90">
        <f>K11/H3</f>
        <v>0.80282811056633274</v>
      </c>
      <c r="O11" s="92"/>
      <c r="P11" s="38"/>
      <c r="Q11" s="90">
        <f>'Resumo Detalhado'!D2</f>
        <v>0</v>
      </c>
      <c r="R11" s="92"/>
      <c r="S11" s="38"/>
      <c r="T11" s="90">
        <f>Q11/H3</f>
        <v>0</v>
      </c>
      <c r="U11" s="92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36"/>
      <c r="W13" s="35" t="s">
        <v>58</v>
      </c>
      <c r="Y13" s="46">
        <v>11000</v>
      </c>
    </row>
    <row r="14" spans="4:25" ht="15" thickBot="1" x14ac:dyDescent="0.35">
      <c r="D14" s="55"/>
      <c r="E14" s="112" t="s">
        <v>59</v>
      </c>
      <c r="F14" s="120"/>
      <c r="G14" s="120"/>
      <c r="H14" s="120"/>
      <c r="I14" s="134"/>
      <c r="K14" s="119" t="s">
        <v>128</v>
      </c>
      <c r="L14" s="120"/>
      <c r="M14" s="120"/>
      <c r="N14" s="120"/>
      <c r="O14" s="134"/>
      <c r="Q14" s="119"/>
      <c r="R14" s="120"/>
      <c r="S14" s="120"/>
      <c r="T14" s="120"/>
      <c r="U14" s="113"/>
      <c r="V14" s="36"/>
      <c r="W14" s="35" t="s">
        <v>60</v>
      </c>
      <c r="Y14" s="46">
        <v>6000</v>
      </c>
    </row>
    <row r="15" spans="4:25" ht="15" thickBot="1" x14ac:dyDescent="0.35">
      <c r="D15" s="55"/>
      <c r="E15" s="124">
        <f>'Resumo Detalhado'!H2</f>
        <v>493.98</v>
      </c>
      <c r="F15" s="122"/>
      <c r="G15" s="122"/>
      <c r="H15" s="122"/>
      <c r="I15" s="135"/>
      <c r="J15" s="38"/>
      <c r="K15" s="116">
        <f>'Resumo Detalhado'!K2+'Resumo Detalhado'!L2</f>
        <v>464.92480000000006</v>
      </c>
      <c r="L15" s="117"/>
      <c r="M15" s="117"/>
      <c r="N15" s="117"/>
      <c r="O15" s="118"/>
      <c r="P15" s="38"/>
      <c r="Q15" s="121"/>
      <c r="R15" s="122"/>
      <c r="S15" s="122"/>
      <c r="T15" s="122"/>
      <c r="U15" s="123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3" t="s">
        <v>63</v>
      </c>
      <c r="F17" s="94"/>
      <c r="G17" s="94"/>
      <c r="H17" s="94"/>
      <c r="I17" s="94"/>
      <c r="J17" s="94"/>
      <c r="K17" s="94"/>
      <c r="L17" s="94"/>
      <c r="M17" s="50"/>
      <c r="N17" s="50"/>
      <c r="O17" s="94" t="s">
        <v>64</v>
      </c>
      <c r="P17" s="94"/>
      <c r="Q17" s="94"/>
      <c r="R17" s="94"/>
      <c r="S17" s="94"/>
      <c r="T17" s="94"/>
      <c r="U17" s="95"/>
      <c r="V17" s="36"/>
    </row>
    <row r="18" spans="4:25" ht="15" thickBot="1" x14ac:dyDescent="0.35">
      <c r="D18" s="55"/>
      <c r="E18" s="127" t="s">
        <v>65</v>
      </c>
      <c r="F18" s="128"/>
      <c r="H18" s="127" t="s">
        <v>66</v>
      </c>
      <c r="I18" s="128"/>
      <c r="K18" s="127" t="s">
        <v>67</v>
      </c>
      <c r="L18" s="128"/>
      <c r="N18" s="129" t="s">
        <v>68</v>
      </c>
      <c r="O18" s="130"/>
      <c r="P18" s="130"/>
      <c r="Q18" s="130"/>
      <c r="R18" s="131"/>
      <c r="S18" s="129" t="s">
        <v>69</v>
      </c>
      <c r="T18" s="130"/>
      <c r="U18" s="131"/>
      <c r="V18" s="36"/>
      <c r="W18" s="90" t="s">
        <v>70</v>
      </c>
      <c r="X18" s="91"/>
      <c r="Y18" s="92"/>
    </row>
    <row r="19" spans="4:25" ht="15" thickBot="1" x14ac:dyDescent="0.35">
      <c r="D19" s="55"/>
      <c r="E19" s="124">
        <f>'Resumo Detalhado'!I2</f>
        <v>300.75</v>
      </c>
      <c r="F19" s="123"/>
      <c r="G19" s="38"/>
      <c r="H19" s="125">
        <f>'Resumo Detalhado'!J2</f>
        <v>0</v>
      </c>
      <c r="I19" s="126"/>
      <c r="J19" s="38"/>
      <c r="K19" s="125">
        <f>'Resumo Detalhado'!L2</f>
        <v>232.46240000000003</v>
      </c>
      <c r="L19" s="126"/>
      <c r="M19" s="38"/>
      <c r="N19" s="124" t="s">
        <v>585</v>
      </c>
      <c r="O19" s="122"/>
      <c r="P19" s="122"/>
      <c r="Q19" s="122"/>
      <c r="R19" s="123"/>
      <c r="S19" s="124">
        <v>900</v>
      </c>
      <c r="T19" s="122"/>
      <c r="U19" s="123"/>
      <c r="V19" s="36"/>
      <c r="W19" s="96" t="str">
        <f>IF(D11=S19,"NO TARGET",IF(D11&lt;S19,"ABAIXO DO TARGET",IF(D11&gt;S19,"FORA DO TARGET")))</f>
        <v>FORA DO TARGET</v>
      </c>
      <c r="X19" s="97"/>
      <c r="Y19" s="98"/>
    </row>
    <row r="20" spans="4:25" ht="15" thickBot="1" x14ac:dyDescent="0.35">
      <c r="D20" s="55"/>
      <c r="V20" s="36"/>
      <c r="W20" s="99"/>
      <c r="X20" s="100"/>
      <c r="Y20" s="101"/>
    </row>
    <row r="21" spans="4:25" ht="15" thickBot="1" x14ac:dyDescent="0.35">
      <c r="D21" s="55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36"/>
      <c r="W21" s="99"/>
      <c r="X21" s="100"/>
      <c r="Y21" s="101"/>
    </row>
    <row r="22" spans="4:25" ht="15" thickBot="1" x14ac:dyDescent="0.35">
      <c r="D22" s="55"/>
      <c r="E22" s="112" t="s">
        <v>71</v>
      </c>
      <c r="F22" s="120"/>
      <c r="G22" s="120"/>
      <c r="H22" s="120"/>
      <c r="I22" s="120"/>
      <c r="J22" s="120"/>
      <c r="K22" s="120"/>
      <c r="L22" s="113"/>
      <c r="N22" s="112" t="s">
        <v>72</v>
      </c>
      <c r="O22" s="120"/>
      <c r="P22" s="120"/>
      <c r="Q22" s="120"/>
      <c r="R22" s="120"/>
      <c r="S22" s="120"/>
      <c r="T22" s="120"/>
      <c r="U22" s="113"/>
      <c r="V22" s="36"/>
      <c r="W22" s="99"/>
      <c r="X22" s="100"/>
      <c r="Y22" s="101"/>
    </row>
    <row r="23" spans="4:25" ht="15" thickBot="1" x14ac:dyDescent="0.35">
      <c r="D23" s="55"/>
      <c r="E23" s="125">
        <f>'Resumo Detalhado'!N2</f>
        <v>1646.1251999999999</v>
      </c>
      <c r="F23" s="117"/>
      <c r="G23" s="117"/>
      <c r="H23" s="117"/>
      <c r="I23" s="117"/>
      <c r="J23" s="117"/>
      <c r="K23" s="117"/>
      <c r="L23" s="126"/>
      <c r="M23" s="38"/>
      <c r="N23" s="105">
        <f>E23/E3</f>
        <v>0.56650028563759125</v>
      </c>
      <c r="O23" s="106"/>
      <c r="P23" s="106"/>
      <c r="Q23" s="106"/>
      <c r="R23" s="106"/>
      <c r="S23" s="106"/>
      <c r="T23" s="106"/>
      <c r="U23" s="107"/>
      <c r="V23" s="36"/>
      <c r="W23" s="102"/>
      <c r="X23" s="103"/>
      <c r="Y23" s="10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586</v>
      </c>
      <c r="F1" s="29"/>
    </row>
    <row r="2" spans="1:18" x14ac:dyDescent="0.3">
      <c r="B2" s="29">
        <f>SUM(B6:B5000)</f>
        <v>2905.78</v>
      </c>
      <c r="C2" s="29">
        <f>SUM(C6:C5000)</f>
        <v>2110.9499999999998</v>
      </c>
      <c r="D2" s="29">
        <f>SUM(D6:D5000)</f>
        <v>0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493.98</v>
      </c>
      <c r="I2" s="29">
        <f t="shared" si="0"/>
        <v>300.75</v>
      </c>
      <c r="J2" s="29">
        <f t="shared" si="0"/>
        <v>0</v>
      </c>
      <c r="K2" s="29">
        <f t="shared" si="0"/>
        <v>232.46240000000003</v>
      </c>
      <c r="L2" s="29">
        <f t="shared" si="0"/>
        <v>232.46240000000003</v>
      </c>
      <c r="M2" s="29">
        <f t="shared" si="0"/>
        <v>0</v>
      </c>
      <c r="N2" s="29">
        <f t="shared" si="0"/>
        <v>1646.1251999999999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88" t="s">
        <v>578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295269</v>
      </c>
      <c r="B6" s="89">
        <v>2905.78</v>
      </c>
      <c r="C6" s="51">
        <v>2110.9499999999998</v>
      </c>
      <c r="D6" s="89">
        <v>0</v>
      </c>
      <c r="E6" s="89">
        <v>0</v>
      </c>
      <c r="F6" s="89">
        <v>0</v>
      </c>
      <c r="G6" s="52">
        <v>0</v>
      </c>
      <c r="H6" s="89">
        <v>493.98</v>
      </c>
      <c r="I6" s="89">
        <v>300.75</v>
      </c>
      <c r="J6" s="89">
        <v>0</v>
      </c>
      <c r="K6" s="89">
        <v>232.46240000000003</v>
      </c>
      <c r="L6" s="89">
        <v>232.46240000000003</v>
      </c>
      <c r="M6" s="89">
        <v>0</v>
      </c>
      <c r="N6" s="89">
        <v>1646.1251999999999</v>
      </c>
      <c r="O6" s="52">
        <v>0.56650028563759125</v>
      </c>
      <c r="Q6"/>
    </row>
    <row r="7" spans="1:18" s="31" customFormat="1" x14ac:dyDescent="0.3">
      <c r="A7" s="9" t="s">
        <v>86</v>
      </c>
      <c r="B7" s="89"/>
      <c r="C7" s="51"/>
      <c r="D7" s="89"/>
      <c r="E7" s="89"/>
      <c r="F7" s="89"/>
      <c r="G7" s="52"/>
      <c r="H7" s="89"/>
      <c r="I7" s="89"/>
      <c r="J7" s="89"/>
      <c r="K7" s="89"/>
      <c r="L7" s="89"/>
      <c r="M7" s="89"/>
      <c r="N7" s="89"/>
      <c r="O7" s="5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586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88" t="s">
        <v>578</v>
      </c>
      <c r="B5" s="10">
        <v>2905.78</v>
      </c>
      <c r="C5" s="10">
        <v>1646.1251999999999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800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2026-08-07T13:51:19Z</dcterms:modified>
  <cp:category/>
  <cp:contentStatus/>
</cp:coreProperties>
</file>