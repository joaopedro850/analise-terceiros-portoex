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25840D7-EC06-4811-A51C-DB75D7B7597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<sst xmlns="http://schemas.openxmlformats.org/spreadsheetml/2006/main" count="858" uniqueCount="590">
  <si>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</si>
  <si>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</si>
  <si>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</si>
  <si>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</si>
  <si>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</si>
  <si>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</si>
  <si>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</si>
  <si>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</si>
  <si>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</si>
  <si>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</si>
  <si>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</si>
  <si>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</si>
  <si>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</si>
  <si>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</si>
  <si>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</si>
  <si>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</si>
  <si>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</si>
  <si>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</si>
  <si>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</si>
  <si>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</si>
  <si>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</si>
  <si>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</si>
  <si>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</si>
  <si>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</si>
  <si>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</si>
  <si>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</si>
  <si>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</si>
  <si>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</si>
  <si>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</si>
  <si>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</si>
  <si>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</si>
  <si>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</si>
  <si>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</si>
  <si>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</si>
  <si>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</si>
  <si>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</si>
  <si>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</si>
  <si>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</si>
  <si>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</si>
  <si>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</si>
  <si>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</si>
  <si>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</si>
  <si>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</si>
  <si>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</si>
  <si>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</si>
  <si>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</si>
  <si>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</si>
  <si>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</si>
  <si>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</si>
  <si>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</si>
  <si>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</si>
  <si>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</si>
  <si>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</si>
  <si>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</si>
  <si>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</si>
  <si>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</si>
  <si>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</si>
  <si>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</si>
  <si>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</si>
  <si>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</si>
  <si>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</si>
  <si>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</si>
  <si>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</si>
  <si>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</si>
  <si>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</si>
  <si>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</si>
  <si>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</si>
  <si>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</si>
  <si>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</si>
  <si>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</si>
  <si>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</si>
  <si>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</si>
  <si>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</si>
  <si>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</si>
  <si>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</si>
  <si>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</si>
  <si>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</si>
  <si>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</si>
  <si>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</si>
  <si>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</si>
  <si>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</si>
  <si>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</si>
  <si>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</si>
  <si>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</si>
  <si>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</si>
  <si>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</si>
  <si>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</si>
  <si>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</si>
  <si>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</si>
  <si>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</si>
  <si>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</si>
  <si>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</si>
  <si>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</si>
  <si>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</si>
  <si>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</si>
  <si>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</si>
  <si>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</si>
  <si>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</si>
  <si>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</si>
  <si>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</si>
  <si>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</si>
  <si>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</si>
  <si>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</si>
  <si>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</si>
  <si>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</si>
  <si>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</si>
  <si>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</si>
  <si>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</si>
  <si>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</si>
  <si>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</si>
  <si>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</si>
  <si>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</si>
  <si>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</si>
  <si>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</si>
  <si>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</si>
  <si>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</si>
  <si>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</si>
  <si>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</si>
  <si>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</si>
  <si>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</si>
  <si>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</si>
  <si>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</si>
  <si>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</si>
  <si>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</si>
  <si>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</si>
  <si>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</si>
  <si>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</si>
  <si>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</si>
  <si>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</si>
  <si>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</si>
  <si>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</si>
  <si>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</si>
  <si>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</si>
  <si>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</si>
  <si>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</si>
  <si>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</si>
  <si>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</si>
  <si>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</si>
  <si>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</si>
  <si>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</si>
  <si>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</si>
  <si>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</si>
  <si>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</si>
  <si>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</si>
  <si>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</si>
  <si>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</si>
  <si>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</si>
  <si>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</si>
  <si>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</si>
  <si>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</si>
  <si>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</si>
  <si>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</si>
  <si>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</si>
  <si>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</si>
  <si>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</si>
  <si>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</si>
  <si>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</si>
  <si>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</si>
  <si>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</si>
  <si>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</si>
  <si>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</si>
  <si>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</si>
  <si>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</si>
  <si>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</si>
  <si>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</si>
  <si>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</si>
  <si>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</si>
  <si>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</si>
  <si>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</si>
  <si>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</si>
  <si>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</si>
  <si>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</si>
  <si>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</si>
  <si>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</si>
  <si>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</si>
  <si>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</si>
  <si>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</si>
  <si>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</si>
  <si>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</si>
  <si>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</si>
  <si>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</si>
  <si>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</si>
  <si>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</si>
  <si>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</si>
  <si>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</si>
  <si>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</si>
  <si>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</si>
  <si>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</si>
  <si>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</si>
  <si>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</si>
  <si>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</si>
  <si>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</si>
  <si>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</si>
  <si>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</si>
  <si>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</si>
  <si>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</si>
  <si>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</si>
  <si>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</si>
  <si>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</si>
  <si>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</si>
  <si>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</si>
  <si>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</si>
  <si>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</si>
  <si>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</si>
  <si>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</si>
  <si>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</si>
  <si>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</si>
  <si>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</si>
  <si>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</si>
  <si>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</si>
  <si>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</si>
  <si>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</si>
  <si>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</si>
  <si>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</si>
  <si>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</si>
  <si>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</si>
  <si>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</si>
  <si>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</si>
  <si>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</si>
  <si>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</si>
  <si>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</si>
  <si>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</si>
  <si>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</si>
  <si>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</si>
  <si>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</si>
  <si>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</si>
  <si>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</si>
  <si>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</si>
  <si>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</si>
  <si>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</si>
  <si>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</si>
  <si>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</si>
  <si>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</si>
  <si>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</si>
  <si>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</si>
  <si>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</si>
  <si>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</si>
  <si>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</si>
  <si>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</si>
  <si>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</si>
  <si>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</si>
  <si>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</si>
  <si>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</si>
  <si>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</si>
  <si>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</si>
  <si>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</si>
  <si>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</si>
  <si>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</si>
  <si>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</si>
  <si>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</si>
  <si>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</si>
  <si>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</si>
  <si>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</si>
  <si>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</si>
  <si>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</si>
  <si>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</si>
  <si>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</si>
  <si>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</si>
  <si>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</si>
  <si>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</si>
  <si>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</si>
  <si>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</si>
  <si>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</si>
  <si>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</si>
  <si>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</si>
  <si>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</si>
  <si>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</si>
  <si>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</si>
  <si>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</si>
  <si>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</si>
  <si>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</si>
  <si>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</si>
  <si>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</si>
  <si>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</si>
  <si>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</si>
  <si>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</si>
  <si>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</si>
  <si>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</si>
  <si>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</si>
  <si>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</si>
  <si>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</si>
  <si>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</si>
  <si>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</si>
  <si>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</si>
  <si>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</si>
  <si>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</si>
  <si>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</si>
  <si>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</si>
  <si>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</si>
  <si>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</si>
  <si>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</si>
  <si>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</si>
  <si>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</si>
  <si>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</si>
  <si>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</si>
  <si>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</si>
  <si>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</si>
  <si>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</si>
  <si>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</si>
  <si>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</si>
  <si>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</si>
  <si>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</si>
  <si>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</si>
  <si>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</si>
  <si>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</si>
  <si>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</si>
  <si>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</si>
  <si>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</si>
  <si>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</si>
  <si>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</si>
  <si>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</si>
  <si>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</si>
  <si>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</si>
  <si>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</si>
  <si>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</si>
  <si>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</si>
  <si>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</si>
  <si>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</si>
  <si>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</si>
  <si>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</si>
  <si>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</si>
  <si>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</si>
  <si>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</si>
  <si>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</si>
  <si>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</si>
  <si>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</si>
  <si>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</si>
  <si>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</si>
  <si>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</si>
  <si>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</si>
  <si>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</si>
  <si>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</si>
  <si>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</si>
  <si>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</si>
  <si>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</si>
  <si>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</si>
  <si>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</si>
  <si>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</si>
  <si>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</si>
  <si>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</si>
  <si>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</si>
  <si>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</si>
  <si>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</si>
  <si>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</si>
  <si>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</si>
  <si>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</si>
  <si>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</si>
  <si>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</si>
  <si>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</si>
  <si>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</si>
  <si>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</si>
  <si>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</si>
  <si>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</si>
  <si>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</si>
  <si>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</si>
  <si>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</si>
  <si>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</si>
  <si>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</si>
  <si>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</si>
  <si>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</si>
  <si>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</si>
  <si>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</si>
  <si>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</si>
  <si>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</si>
  <si>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</si>
  <si>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</si>
  <si>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</si>
  <si>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</si>
  <si>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</si>
  <si>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</si>
  <si>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</si>
  <si>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</si>
  <si>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</si>
  <si>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</si>
  <si>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</si>
  <si>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</si>
  <si>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</si>
  <si>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</si>
  <si>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</si>
  <si>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</si>
  <si>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</si>
  <si>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</si>
  <si>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</si>
  <si>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</si>
  <si>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</si>
  <si>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</si>
  <si>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</si>
  <si>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</si>
  <si>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</si>
  <si>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</si>
  <si>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</si>
  <si>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</si>
  <si>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</si>
  <si>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</si>
  <si>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</si>
  <si>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</si>
  <si>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</si>
  <si>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</si>
  <si>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</si>
  <si>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</si>
  <si>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</si>
  <si>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</si>
  <si>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</si>
  <si>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</si>
  <si>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</si>
  <si>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</si>
  <si>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</si>
  <si>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</si>
  <si>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</si>
  <si>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</si>
  <si>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</si>
  <si>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</si>
  <si>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</si>
  <si>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</si>
  <si>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</si>
  <si>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</si>
  <si>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</si>
  <si>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</si>
  <si>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</si>
  <si>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</si>
  <si>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</si>
  <si>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</si>
  <si>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</si>
  <si>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</si>
  <si>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</si>
  <si>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</si>
  <si>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</si>
  <si>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</si>
  <si>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</si>
  <si>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</si>
  <si>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</si>
  <si>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</si>
  <si>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</si>
  <si>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</si>
  <si>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</si>
  <si>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</si>
  <si>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</si>
  <si>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</si>
  <si>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</si>
  <si>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</si>
  <si>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</si>
  <si>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</si>
  <si>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</si>
  <si>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</si>
  <si>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</si>
  <si>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</si>
  <si>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</si>
  <si>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</si>
  <si>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</si>
  <si>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</si>
  <si>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</si>
  <si>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</si>
  <si>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</si>
  <si>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</si>
  <si>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</si>
  <si>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</si>
  <si>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</si>
  <si>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</si>
  <si>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</si>
  <si>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</si>
  <si>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</si>
  <si>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</si>
  <si>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</si>
  <si>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</si>
  <si>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</si>
  <si>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</si>
  <si>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</si>
  <si>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</si>
  <si>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</si>
  <si>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</si>
  <si>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</si>
  <si>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</si>
  <si>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</si>
  <si>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</si>
  <si>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</si>
  <si>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</si>
  <si>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</si>
  <si>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</si>
  <si>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</si>
  <si>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</si>
  <si>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</si>
  <si>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</si>
  <si>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</si>
  <si>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</si>
  <si>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</si>
  <si>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</si>
  <si>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</si>
  <si>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</si>
  <si>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</si>
  <si>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</si>
  <si>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</si>
  <si>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</si>
  <si>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</si>
  <si>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</si>
  <si>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</si>
  <si>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</si>
  <si>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</si>
  <si>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</si>
  <si>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</si>
  <si>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</si>
  <si>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</si>
  <si>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</si>
  <si>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</si>
  <si>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</si>
  <si>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</si>
  <si>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</si>
  <si>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</si>
  <si>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</si>
  <si>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</si>
  <si>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</si>
  <si>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</si>
  <si>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</si>
  <si>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</si>
  <si>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</si>
  <si>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</si>
  <si>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</si>
  <si>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</si>
  <si>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</si>
  <si>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</si>
  <si>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</si>
  <si>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</si>
  <si>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</si>
  <si>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</si>
  <si>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</si>
  <si>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</si>
  <si>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</si>
  <si>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</si>
  <si>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</si>
  <si>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</si>
  <si>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</si>
  <si>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</si>
  <si>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</si>
  <si>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</si>
  <si>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</si>
  <si>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</si>
  <si>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</si>
  <si>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</si>
  <si>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</si>
  <si>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</si>
  <si>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</si>
  <si>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</si>
  <si>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</si>
  <si>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</si>
  <si>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</si>
  <si>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</si>
  <si>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</si>
  <si>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</si>
  <si>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</si>
  <si>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</si>
  <si>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</si>
  <si>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</si>
  <si>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</si>
  <si>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</si>
  <si>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</si>
  <si>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</si>
  <si>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</si>
  <si>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</si>
  <si>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</si>
  <si>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</si>
  <si>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</si>
  <si>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</si>
  <si>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</si>
  <si>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</si>
  <si>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</si>
  <si>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</si>
  <si>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</si>
  <si>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</si>
  <si>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</si>
  <si>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</si>
  <si>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</si>
  <si>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</si>
  <si>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</si>
  <si>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</si>
  <si>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</si>
  <si>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</si>
  <si>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</si>
  <si>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</si>
  <si>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</si>
  <si>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</si>
  <si>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</si>
  <si>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202110-1</t>
  </si>
  <si>
    <t>SOCINTER SUL CO</t>
  </si>
  <si>
    <t>MICHELL MARQUES</t>
  </si>
  <si>
    <t>PERSONALIZADO_L</t>
  </si>
  <si>
    <t>CTE NORMAL</t>
  </si>
  <si>
    <t>ITAJAI - SC</t>
  </si>
  <si>
    <t>JEAN PAULO DE MELO</t>
  </si>
  <si>
    <t>N/D</t>
  </si>
  <si>
    <t>Navegantes-Sc X Itajai-Scctnr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</si>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</sst>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[Analise_JEAN_26082026.xlsx]Resumo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2792.53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1626.4952000000003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[Analise_JEAN_26082026.xlsx]Resumo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2792.53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SOCINTER SUL 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1626.4952000000003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5.59517060185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8490" count="8000">
        <n v="29849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6T00:00:00" maxDate="2026-08-27T00:00:00"/>
    </cacheField>
    <cacheField name="DATA" numFmtId="14">
      <sharedItems containsNonDate="0" containsDate="1" containsString="0" containsBlank="1" minDate="2026-08-26T00:00:00" maxDate="2026-08-2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OCINTER SUL C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27798.88" maxValue="327798.88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792.53" maxValue="2792.53"/>
    </cacheField>
    <cacheField name="VOLUMES" numFmtId="0">
      <sharedItems containsString="0" containsBlank="1" containsNumber="1" containsInteger="1" minValue="1" maxValue="1"/>
    </cacheField>
    <cacheField name="PESO" numFmtId="0">
      <sharedItems containsString="0" containsBlank="1" containsNumber="1" containsInteger="1" minValue="3593" maxValue="3593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474.73" maxValue="474.7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63.9" maxValue="163.9"/>
    </cacheField>
    <cacheField name="OUTROS" numFmtId="0">
      <sharedItems containsString="0" containsBlank="1" containsNumber="1" minValue="80.599999999999994" maxValue="80.599999999999994"/>
    </cacheField>
    <cacheField name="C.TOTAL" numFmtId="0">
      <sharedItems containsString="0" containsBlank="1" containsNumber="1" minValue="1619.23" maxValue="1619.23"/>
    </cacheField>
    <cacheField name="RECEITA" numFmtId="0">
      <sharedItems containsString="0" containsBlank="1" containsNumber="1" minValue="1173.3" maxValue="1173.3"/>
    </cacheField>
    <cacheField name="IMPOSTO" numFmtId="0">
      <sharedItems containsString="0" containsBlank="1" containsNumber="1" minValue="726.06" maxValue="726.06"/>
    </cacheField>
    <cacheField name="RESULTADO" numFmtId="0">
      <sharedItems containsString="0" containsBlank="1" containsNumber="1" minValue="447.24" maxValue="447.2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447.24" maxValue="447.24"/>
    </cacheField>
    <cacheField name="MARGEM" numFmtId="10">
      <sharedItems containsString="0" containsBlank="1" containsNumber="1" minValue="0.16020000000000001" maxValue="0.1602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6T00:00:00"/>
    <d v="2026-08-26T00:00:00"/>
    <m/>
    <s v="202110-1"/>
    <x v="0"/>
    <s v="MICHELL MARQUES"/>
    <n v="327798.88"/>
    <x v="0"/>
    <s v="CTE NORMAL"/>
    <s v="ITAJAI - SC"/>
    <n v="2792.53"/>
    <n v="1"/>
    <n v="3593"/>
    <s v="JEAN PAULO DE MELO"/>
    <n v="0"/>
    <s v="N/D"/>
    <n v="0"/>
    <s v="JEAN PAULO DE MELO"/>
    <n v="0"/>
    <n v="474.73"/>
    <n v="0"/>
    <n v="0"/>
    <n v="163.9"/>
    <n v="80.599999999999994"/>
    <n v="1619.23"/>
    <n v="1173.3"/>
    <n v="726.06"/>
    <n v="447.24"/>
    <n v="0"/>
    <n v="447.24"/>
    <n v="0.16020000000000001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6"/>
        <item m="1" x="47"/>
        <item sd="0" m="1" x="669"/>
        <item m="1" x="661"/>
        <item m="1" x="469"/>
        <item m="1" x="44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7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8"/>
        <item m="1" x="383"/>
        <item m="1" x="590"/>
        <item m="1" x="747"/>
        <item sd="0" m="1" x="269"/>
        <item m="1" x="17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2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x="0"/>
        <item m="1" x="204"/>
        <item sd="0" m="1" x="644"/>
        <item m="1" x="779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5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718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1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7"/>
        <item sd="0" m="1" x="800"/>
        <item m="1" x="76"/>
        <item m="1" x="47"/>
        <item sd="0" m="1" x="669"/>
        <item m="1" x="661"/>
        <item m="1" x="469"/>
        <item m="1" x="44"/>
        <item sd="0" m="1" x="730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2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6"/>
        <item m="1" x="421"/>
        <item m="1" x="80"/>
        <item m="1" x="697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4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5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9"/>
        <item m="1" x="53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8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6"/>
        <item m="1" x="458"/>
        <item m="1" x="790"/>
        <item sd="0" m="1" x="703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7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1"/>
        <item m="1" x="143"/>
        <item m="1" x="667"/>
        <item sd="0" m="1" x="839"/>
        <item sd="0" m="1" x="38"/>
        <item m="1" x="383"/>
        <item m="1" x="590"/>
        <item m="1" x="747"/>
        <item sd="0" m="1" x="269"/>
        <item m="1" x="17"/>
        <item m="1" x="638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59"/>
        <item sd="0" m="1" x="691"/>
        <item sd="0" m="1" x="21"/>
        <item m="1" x="727"/>
        <item m="1" x="780"/>
        <item m="1" x="640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3"/>
        <item m="1" x="302"/>
        <item m="1" x="549"/>
        <item m="1" x="60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8"/>
        <item sd="0" m="1" x="804"/>
        <item m="1" x="91"/>
        <item m="1" x="573"/>
        <item m="1" x="157"/>
        <item sd="0" m="1" x="561"/>
        <item m="1" x="45"/>
        <item m="1" x="723"/>
        <item m="1" x="748"/>
        <item m="1" x="743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5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1"/>
        <item m="1" x="642"/>
        <item m="1" x="231"/>
        <item m="1" x="373"/>
        <item m="1" x="735"/>
        <item sd="0" m="1" x="132"/>
        <item m="1" x="86"/>
        <item m="1" x="209"/>
        <item m="1" x="682"/>
        <item m="1" x="275"/>
        <item m="1" x="472"/>
        <item m="1" x="799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1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5"/>
        <item m="1" x="610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9"/>
        <item m="1" x="775"/>
        <item sd="0" m="1" x="71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1"/>
        <item m="1" x="584"/>
        <item m="1" x="749"/>
        <item m="1" x="722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4"/>
        <item m="1" x="725"/>
        <item sd="0" m="1" x="405"/>
        <item m="1" x="744"/>
        <item m="1" x="79"/>
        <item m="1" x="51"/>
        <item m="1" x="851"/>
        <item m="1" x="29"/>
        <item sd="0" m="1" x="571"/>
        <item m="1" x="513"/>
        <item m="1" x="413"/>
        <item x="0"/>
        <item m="1" x="204"/>
        <item sd="0" m="1" x="644"/>
        <item m="1" x="779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5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3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8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71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4" s="1" nd="1"/>
        <i x="149" s="1" nd="1"/>
        <i x="187" s="1" nd="1"/>
        <i x="273" s="1" nd="1"/>
        <i x="11" s="1" nd="1"/>
        <i x="761" s="1" nd="1"/>
        <i x="392" s="1" nd="1"/>
        <i x="712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2" s="1" nd="1"/>
        <i x="20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7" s="1" nd="1"/>
        <i x="800" s="1" nd="1"/>
        <i x="76" s="1" nd="1"/>
        <i x="47" s="1" nd="1"/>
        <i x="669" s="1" nd="1"/>
        <i x="661" s="1" nd="1"/>
        <i x="469" s="1" nd="1"/>
        <i x="44" s="1" nd="1"/>
        <i x="730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2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6" s="1" nd="1"/>
        <i x="421" s="1" nd="1"/>
        <i x="80" s="1" nd="1"/>
        <i x="697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1" s="1" nd="1"/>
        <i x="4" s="1" nd="1"/>
        <i x="770" s="1" nd="1"/>
        <i x="14" s="1" nd="1"/>
        <i x="739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7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5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9" s="1" nd="1"/>
        <i x="53" s="1" nd="1"/>
        <i x="793" s="1" nd="1"/>
        <i x="716" s="1" nd="1"/>
        <i x="417" s="1" nd="1"/>
        <i x="734" s="1" nd="1"/>
        <i x="813" s="1" nd="1"/>
        <i x="562" s="1" nd="1"/>
        <i x="559" s="1" nd="1"/>
        <i x="429" s="1" nd="1"/>
        <i x="714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8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3" s="1" nd="1"/>
        <i x="580" s="1" nd="1"/>
        <i x="518" s="1" nd="1"/>
        <i x="797" s="1" nd="1"/>
        <i x="165" s="1" nd="1"/>
        <i x="826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4" s="1" nd="1"/>
        <i x="636" s="1" nd="1"/>
        <i x="458" s="1" nd="1"/>
        <i x="790" s="1" nd="1"/>
        <i x="703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1" s="1" nd="1"/>
        <i x="805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7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7" s="1" nd="1"/>
        <i x="839" s="1" nd="1"/>
        <i x="38" s="1" nd="1"/>
        <i x="383" s="1" nd="1"/>
        <i x="590" s="1" nd="1"/>
        <i x="747" s="1" nd="1"/>
        <i x="269" s="1" nd="1"/>
        <i x="17" s="1" nd="1"/>
        <i x="638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59" s="1" nd="1"/>
        <i x="691" s="1" nd="1"/>
        <i x="21" s="1" nd="1"/>
        <i x="727" s="1" nd="1"/>
        <i x="780" s="1" nd="1"/>
        <i x="640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6" s="1" nd="1"/>
        <i x="116" s="1" nd="1"/>
        <i x="376" s="1" nd="1"/>
        <i x="718" s="1" nd="1"/>
        <i x="127" s="1" nd="1"/>
        <i x="33" s="1" nd="1"/>
        <i x="302" s="1" nd="1"/>
        <i x="549" s="1" nd="1"/>
        <i x="60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8" s="1" nd="1"/>
        <i x="804" s="1" nd="1"/>
        <i x="91" s="1" nd="1"/>
        <i x="573" s="1" nd="1"/>
        <i x="157" s="1" nd="1"/>
        <i x="561" s="1" nd="1"/>
        <i x="45" s="1" nd="1"/>
        <i x="723" s="1" nd="1"/>
        <i x="748" s="1" nd="1"/>
        <i x="743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5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2" s="1" nd="1"/>
        <i x="272" s="1" nd="1"/>
        <i x="75" s="1" nd="1"/>
        <i x="130" s="1" nd="1"/>
        <i x="655" s="1" nd="1"/>
        <i x="721" s="1" nd="1"/>
        <i x="642" s="1" nd="1"/>
        <i x="231" s="1" nd="1"/>
        <i x="373" s="1" nd="1"/>
        <i x="735" s="1" nd="1"/>
        <i x="132" s="1" nd="1"/>
        <i x="86" s="1" nd="1"/>
        <i x="209" s="1" nd="1"/>
        <i x="682" s="1" nd="1"/>
        <i x="275" s="1" nd="1"/>
        <i x="472" s="1" nd="1"/>
        <i x="799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1" s="1" nd="1"/>
        <i x="268" s="1" nd="1"/>
        <i x="751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0" s="1" nd="1"/>
        <i x="535" s="1" nd="1"/>
        <i x="645" s="1" nd="1"/>
        <i x="610" s="1" nd="1"/>
        <i x="834" s="1" nd="1"/>
        <i x="787" s="1" nd="1"/>
        <i x="28" s="1" nd="1"/>
        <i x="782" s="1" nd="1"/>
        <i x="253" s="1" nd="1"/>
        <i x="475" s="1" nd="1"/>
        <i x="812" s="1" nd="1"/>
        <i x="464" s="1" nd="1"/>
        <i x="745" s="1" nd="1"/>
        <i x="649" s="1" nd="1"/>
        <i x="775" s="1" nd="1"/>
        <i x="71" s="1" nd="1"/>
        <i x="713" s="1" nd="1"/>
        <i x="574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19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1" s="1" nd="1"/>
        <i x="584" s="1" nd="1"/>
        <i x="749" s="1" nd="1"/>
        <i x="722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6" s="1" nd="1"/>
        <i x="796" s="1" nd="1"/>
        <i x="726" s="1" nd="1"/>
        <i x="412" s="1" nd="1"/>
        <i x="25" s="1" nd="1"/>
        <i x="342" s="1" nd="1"/>
        <i x="490" s="1" nd="1"/>
        <i x="511" s="1" nd="1"/>
        <i x="769" s="1" nd="1"/>
        <i x="719" s="1" nd="1"/>
        <i x="760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20" s="1" nd="1"/>
        <i x="731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8" s="1" nd="1"/>
        <i x="612" s="1" nd="1"/>
        <i x="560" s="1" nd="1"/>
        <i x="308" s="1" nd="1"/>
        <i x="654" s="1" nd="1"/>
        <i x="725" s="1" nd="1"/>
        <i x="405" s="1" nd="1"/>
        <i x="744" s="1" nd="1"/>
        <i x="79" s="1" nd="1"/>
        <i x="51" s="1" nd="1"/>
        <i x="851" s="1" nd="1"/>
        <i x="29" s="1" nd="1"/>
        <i x="571" s="1" nd="1"/>
        <i x="513" s="1" nd="1"/>
        <i x="413" s="1" nd="1"/>
        <i x="204" s="1" nd="1"/>
        <i x="644" s="1" nd="1"/>
        <i x="779" s="1" nd="1"/>
        <i x="468" s="1" nd="1"/>
        <i x="40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5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29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3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5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4" s="1" nd="1"/>
        <i x="35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8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298490</v>
      </c>
      <c r="B2" s="12" t="s">
        <v>579</v>
      </c>
      <c r="C2" s="14">
        <v>46260</v>
      </c>
      <c r="D2" s="14">
        <v>46260</v>
      </c>
      <c r="E2" s="12"/>
      <c r="F2" s="15" t="s">
        <v>580</v>
      </c>
      <c r="G2" s="15" t="s">
        <v>581</v>
      </c>
      <c r="H2" s="15" t="s">
        <v>582</v>
      </c>
      <c r="I2" s="16">
        <v>327798.88</v>
      </c>
      <c r="J2" s="15" t="s">
        <v>583</v>
      </c>
      <c r="K2" s="15" t="s">
        <v>584</v>
      </c>
      <c r="L2" s="15" t="s">
        <v>585</v>
      </c>
      <c r="M2" s="15">
        <v>2792.53</v>
      </c>
      <c r="N2" s="15">
        <v>1</v>
      </c>
      <c r="O2" s="16">
        <v>3593</v>
      </c>
      <c r="P2" s="15" t="s">
        <v>586</v>
      </c>
      <c r="Q2" s="15">
        <v>0</v>
      </c>
      <c r="R2" s="15" t="s">
        <v>587</v>
      </c>
      <c r="S2" s="15">
        <v>0</v>
      </c>
      <c r="T2" s="15" t="s">
        <v>586</v>
      </c>
      <c r="U2" s="15">
        <v>0</v>
      </c>
      <c r="V2" s="15">
        <v>474.73</v>
      </c>
      <c r="W2" s="15">
        <v>0</v>
      </c>
      <c r="X2" s="15">
        <v>0</v>
      </c>
      <c r="Y2" s="15">
        <v>163.9</v>
      </c>
      <c r="Z2" s="15">
        <v>80.599999999999994</v>
      </c>
      <c r="AA2" s="15">
        <v>1619.23</v>
      </c>
      <c r="AB2" s="15">
        <v>1173.3</v>
      </c>
      <c r="AC2" s="15">
        <v>726.06</v>
      </c>
      <c r="AD2" s="15">
        <v>447.24</v>
      </c>
      <c r="AE2" s="15">
        <v>0</v>
      </c>
      <c r="AF2" s="15">
        <v>447.24</v>
      </c>
      <c r="AG2" s="17">
        <v>0.16020000000000001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2792.53</v>
      </c>
      <c r="F3" s="89"/>
      <c r="G3" s="90"/>
      <c r="H3" s="133">
        <f>'Resumo Detalhado'!C2</f>
        <v>3593</v>
      </c>
      <c r="I3" s="134"/>
      <c r="J3" s="135">
        <f>E3/H3</f>
        <v>0.77721402727525746</v>
      </c>
      <c r="K3" s="136"/>
      <c r="L3" s="137"/>
      <c r="M3" s="138" t="s">
        <v>266</v>
      </c>
      <c r="N3" s="89"/>
      <c r="O3" s="90"/>
      <c r="P3" s="106">
        <v>22000</v>
      </c>
      <c r="Q3" s="107"/>
      <c r="R3" s="108"/>
      <c r="S3" s="103">
        <f>MIN(H3/P3,1)</f>
        <v>0.16331818181818181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900</v>
      </c>
      <c r="F7" s="112"/>
      <c r="G7" s="112"/>
      <c r="H7" s="112"/>
      <c r="I7" s="112"/>
      <c r="J7" s="112">
        <f>E7/H3</f>
        <v>0.25048705816866129</v>
      </c>
      <c r="K7" s="112"/>
      <c r="L7" s="112"/>
      <c r="M7" s="130">
        <f>E7/E3</f>
        <v>0.32228839081406463</v>
      </c>
      <c r="N7" s="130"/>
      <c r="O7" s="130"/>
      <c r="P7" s="112">
        <f>E11+K11+Q11+E15+K15+Q15+E19+H19+K19</f>
        <v>2289.4372000000003</v>
      </c>
      <c r="Q7" s="112"/>
      <c r="R7" s="112"/>
      <c r="S7" s="112">
        <f>P7/H3</f>
        <v>0.63719376565544117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900</v>
      </c>
      <c r="L11" s="90"/>
      <c r="M11" s="38"/>
      <c r="N11" s="88">
        <f>K11/H3</f>
        <v>0.25048705816866129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474.73</v>
      </c>
      <c r="F15" s="119"/>
      <c r="G15" s="119"/>
      <c r="H15" s="119"/>
      <c r="I15" s="132"/>
      <c r="J15" s="38"/>
      <c r="K15" s="113">
        <f>'Resumo Detalhado'!K2+'Resumo Detalhado'!L2</f>
        <v>446.80480000000006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163.9</v>
      </c>
      <c r="F19" s="120"/>
      <c r="G19" s="38"/>
      <c r="H19" s="122">
        <f>'Resumo Detalhado'!J2</f>
        <v>80.599999999999994</v>
      </c>
      <c r="I19" s="123"/>
      <c r="J19" s="38"/>
      <c r="K19" s="122">
        <f>'Resumo Detalhado'!L2</f>
        <v>223.40240000000003</v>
      </c>
      <c r="L19" s="123"/>
      <c r="M19" s="38"/>
      <c r="N19" s="121" t="s">
        <v>588</v>
      </c>
      <c r="O19" s="119"/>
      <c r="P19" s="119"/>
      <c r="Q19" s="119"/>
      <c r="R19" s="120"/>
      <c r="S19" s="121">
        <v>900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1626.4952000000003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0.5824450229720004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109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2792.53</v>
      </c>
      <c r="C2" s="29">
        <f>SUM(C6:C5000)</f>
        <v>3593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474.73</v>
      </c>
      <c r="I2" s="29">
        <f t="shared" si="0"/>
        <v>163.9</v>
      </c>
      <c r="J2" s="29">
        <f t="shared" si="0"/>
        <v>80.599999999999994</v>
      </c>
      <c r="K2" s="29">
        <f t="shared" si="0"/>
        <v>223.40240000000003</v>
      </c>
      <c r="L2" s="29">
        <f t="shared" si="0"/>
        <v>223.40240000000003</v>
      </c>
      <c r="M2" s="29">
        <f t="shared" si="0"/>
        <v>0</v>
      </c>
      <c r="N2" s="29">
        <f t="shared" si="0"/>
        <v>1626.4952000000003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298490</v>
      </c>
      <c r="B6" s="140">
        <v>2792.53</v>
      </c>
      <c r="C6" s="141">
        <v>3593</v>
      </c>
      <c r="D6" s="140">
        <v>0</v>
      </c>
      <c r="E6" s="140">
        <v>0</v>
      </c>
      <c r="F6" s="140">
        <v>0</v>
      </c>
      <c r="G6" s="142">
        <v>0</v>
      </c>
      <c r="H6" s="140">
        <v>474.73</v>
      </c>
      <c r="I6" s="140">
        <v>163.9</v>
      </c>
      <c r="J6" s="140">
        <v>80.599999999999994</v>
      </c>
      <c r="K6" s="140">
        <v>223.40240000000003</v>
      </c>
      <c r="L6" s="140">
        <v>223.40240000000003</v>
      </c>
      <c r="M6" s="140">
        <v>0</v>
      </c>
      <c r="N6" s="140">
        <v>1626.4952000000003</v>
      </c>
      <c r="O6" s="142">
        <v>0.5824450229720004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2792.53</v>
      </c>
      <c r="C5" s="10">
        <v>1626.4952000000003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3" t="s">
        <v>588</v>
      </c>
      <c r="D368" s="87">
        <v>900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2026-08-31T17:17:14Z</dcterms:modified>
  <cp:category/>
  <cp:contentStatus/>
</cp:coreProperties>
</file>