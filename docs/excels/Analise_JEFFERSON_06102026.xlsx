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9EBA4C6-412C-4607-9D38-3CB65DADC4D9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<sst xmlns="http://schemas.openxmlformats.org/spreadsheetml/2006/main" count="915" uniqueCount="635">
  <si>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</si>
  <si>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</si>
  <si>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</si>
  <si>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</si>
  <si>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</si>
  <si>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</si>
  <si>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</si>
  <si>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</si>
  <si>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</si>
  <si>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</si>
  <si>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</si>
  <si>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</si>
  <si>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</si>
  <si>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</si>
  <si>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</si>
  <si>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</si>
  <si>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</si>
  <si>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</si>
  <si>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</si>
  <si>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</si>
  <si>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</si>
  <si>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</si>
  <si>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</si>
  <si>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</si>
  <si>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</si>
  <si>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</si>
  <si>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</si>
  <si>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</si>
  <si>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</si>
  <si>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</si>
  <si>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</si>
  <si>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</si>
  <si>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</si>
  <si>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</si>
  <si>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</si>
  <si>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</si>
  <si>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</si>
  <si>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</si>
  <si>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</si>
  <si>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</si>
  <si>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</si>
  <si>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</si>
  <si>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</si>
  <si>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</si>
  <si>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</si>
  <si>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</si>
  <si>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</si>
  <si>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</si>
  <si>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</si>
  <si>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</si>
  <si>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</si>
  <si>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</si>
  <si>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</si>
  <si>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</si>
  <si>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</si>
  <si>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</si>
  <si>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</si>
  <si>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</si>
  <si>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</si>
  <si>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</si>
  <si>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</si>
  <si>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</si>
  <si>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</si>
  <si>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</si>
  <si>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</si>
  <si>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</si>
  <si>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</si>
  <si>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</si>
  <si>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</si>
  <si>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</si>
  <si>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</si>
  <si>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</si>
  <si>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</si>
  <si>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</si>
  <si>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</si>
  <si>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</si>
  <si>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</si>
  <si>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</si>
  <si>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</si>
  <si>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</si>
  <si>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</si>
  <si>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</si>
  <si>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</si>
  <si>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</si>
  <si>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</si>
  <si>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</si>
  <si>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</si>
  <si>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</si>
  <si>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</si>
  <si>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</si>
  <si>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</si>
  <si>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</si>
  <si>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</si>
  <si>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</si>
  <si>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</si>
  <si>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</si>
  <si>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</si>
  <si>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</si>
  <si>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</si>
  <si>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</si>
  <si>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</si>
  <si>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</si>
  <si>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</si>
  <si>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</si>
  <si>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</si>
  <si>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</si>
  <si>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</si>
  <si>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</si>
  <si>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</si>
  <si>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</si>
  <si>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</si>
  <si>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</si>
  <si>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</si>
  <si>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</si>
  <si>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</si>
  <si>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</si>
  <si>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</si>
  <si>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</si>
  <si>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</si>
  <si>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</si>
  <si>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</si>
  <si>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</si>
  <si>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</si>
  <si>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</si>
  <si>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</si>
  <si>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</si>
  <si>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</si>
  <si>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</si>
  <si>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</si>
  <si>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</si>
  <si>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</si>
  <si>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</si>
  <si>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</si>
  <si>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</si>
  <si>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</si>
  <si>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</si>
  <si>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</si>
  <si>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</si>
  <si>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</si>
  <si>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</si>
  <si>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</si>
  <si>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</si>
  <si>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</si>
  <si>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</si>
  <si>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</si>
  <si>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</si>
  <si>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</si>
  <si>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</si>
  <si>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</si>
  <si>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</si>
  <si>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</si>
  <si>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</si>
  <si>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</si>
  <si>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</si>
  <si>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</si>
  <si>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</si>
  <si>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</si>
  <si>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</si>
  <si>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</si>
  <si>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</si>
  <si>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</si>
  <si>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</si>
  <si>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</si>
  <si>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</si>
  <si>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</si>
  <si>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</si>
  <si>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</si>
  <si>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</si>
  <si>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</si>
  <si>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</si>
  <si>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</si>
  <si>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</si>
  <si>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</si>
  <si>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</si>
  <si>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</si>
  <si>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</si>
  <si>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</si>
  <si>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</si>
  <si>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</si>
  <si>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</si>
  <si>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</si>
  <si>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</si>
  <si>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</si>
  <si>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</si>
  <si>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</si>
  <si>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</si>
  <si>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</si>
  <si>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</si>
  <si>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</si>
  <si>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</si>
  <si>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</si>
  <si>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</si>
  <si>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</si>
  <si>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</si>
  <si>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</si>
  <si>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</si>
  <si>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</si>
  <si>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</si>
  <si>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</si>
  <si>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</si>
  <si>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</si>
  <si>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</si>
  <si>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</si>
  <si>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</si>
  <si>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</si>
  <si>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</si>
  <si>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</si>
  <si>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</si>
  <si>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</si>
  <si>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</si>
  <si>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</si>
  <si>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</si>
  <si>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</si>
  <si>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</si>
  <si>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</si>
  <si>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</si>
  <si>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</si>
  <si>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</si>
  <si>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</si>
  <si>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</si>
  <si>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</si>
  <si>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</si>
  <si>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</si>
  <si>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</si>
  <si>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</si>
  <si>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</si>
  <si>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</si>
  <si>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</si>
  <si>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</si>
  <si>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</si>
  <si>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</si>
  <si>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</si>
  <si>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</si>
  <si>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</si>
  <si>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</si>
  <si>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</si>
  <si>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</si>
  <si>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</si>
  <si>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</si>
  <si>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</si>
  <si>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</si>
  <si>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</si>
  <si>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</si>
  <si>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</si>
  <si>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</si>
  <si>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</si>
  <si>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</si>
  <si>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</si>
  <si>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</si>
  <si>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</si>
  <si>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</si>
  <si>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</si>
  <si>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</si>
  <si>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</si>
  <si>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</si>
  <si>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</si>
  <si>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</si>
  <si>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</si>
  <si>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</si>
  <si>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</si>
  <si>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</si>
  <si>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</si>
  <si>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</si>
  <si>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</si>
  <si>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</si>
  <si>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</si>
  <si>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</si>
  <si>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</si>
  <si>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</si>
  <si>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</si>
  <si>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</si>
  <si>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</si>
  <si>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</si>
  <si>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</si>
  <si>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</si>
  <si>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</si>
  <si>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</si>
  <si>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</si>
  <si>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</si>
  <si>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</si>
  <si>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</si>
  <si>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</si>
  <si>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</si>
  <si>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</si>
  <si>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</si>
  <si>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</si>
  <si>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</si>
  <si>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</si>
  <si>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</si>
  <si>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</si>
  <si>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</si>
  <si>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</si>
  <si>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</si>
  <si>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</si>
  <si>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</si>
  <si>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</si>
  <si>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</si>
  <si>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</si>
  <si>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</si>
  <si>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</si>
  <si>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</si>
  <si>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</si>
  <si>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</si>
  <si>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</si>
  <si>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</si>
  <si>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</si>
  <si>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</si>
  <si>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</si>
  <si>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</si>
  <si>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</si>
  <si>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</si>
  <si>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</si>
  <si>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</si>
  <si>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</si>
  <si>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</si>
  <si>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</si>
  <si>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</si>
  <si>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</si>
  <si>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</si>
  <si>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</si>
  <si>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</si>
  <si>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</si>
  <si>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</si>
  <si>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</si>
  <si>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</si>
  <si>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</si>
  <si>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</si>
  <si>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</si>
  <si>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</si>
  <si>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</si>
  <si>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</si>
  <si>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</si>
  <si>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</si>
  <si>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</si>
  <si>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</si>
  <si>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</si>
  <si>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</si>
  <si>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</si>
  <si>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</si>
  <si>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</si>
  <si>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</si>
  <si>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</si>
  <si>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</si>
  <si>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</si>
  <si>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</si>
  <si>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</si>
  <si>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</si>
  <si>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</si>
  <si>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</si>
  <si>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</si>
  <si>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</si>
  <si>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</si>
  <si>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</si>
  <si>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</si>
  <si>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</si>
  <si>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</si>
  <si>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</si>
  <si>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</si>
  <si>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</si>
  <si>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</si>
  <si>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</si>
  <si>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</si>
  <si>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</si>
  <si>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</si>
  <si>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</si>
  <si>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</si>
  <si>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</si>
  <si>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</si>
  <si>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</si>
  <si>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</si>
  <si>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</si>
  <si>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</si>
  <si>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</si>
  <si>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</si>
  <si>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</si>
  <si>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</si>
  <si>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</si>
  <si>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</si>
  <si>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</si>
  <si>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</si>
  <si>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</si>
  <si>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</si>
  <si>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</si>
  <si>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</si>
  <si>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</si>
  <si>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</si>
  <si>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</si>
  <si>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</si>
  <si>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</si>
  <si>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</si>
  <si>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</si>
  <si>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</si>
  <si>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</si>
  <si>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</si>
  <si>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</si>
  <si>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</si>
  <si>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</si>
  <si>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</si>
  <si>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</si>
  <si>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</si>
  <si>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</si>
  <si>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</si>
  <si>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</si>
  <si>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</si>
  <si>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</si>
  <si>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</si>
  <si>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</si>
  <si>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</si>
  <si>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</si>
  <si>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</si>
  <si>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</si>
  <si>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</si>
  <si>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</si>
  <si>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</si>
  <si>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</si>
  <si>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</si>
  <si>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</si>
  <si>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</si>
  <si>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</si>
  <si>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</si>
  <si>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</si>
  <si>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</si>
  <si>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</si>
  <si>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</si>
  <si>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</si>
  <si>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</si>
  <si>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</si>
  <si>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</si>
  <si>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</si>
  <si>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</si>
  <si>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</si>
  <si>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</si>
  <si>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</si>
  <si>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</si>
  <si>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</si>
  <si>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</si>
  <si>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</si>
  <si>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</si>
  <si>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</si>
  <si>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</si>
  <si>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</si>
  <si>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</si>
  <si>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</si>
  <si>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</si>
  <si>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</si>
  <si>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</si>
  <si>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</si>
  <si>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</si>
  <si>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</si>
  <si>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</si>
  <si>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</si>
  <si>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</si>
  <si>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</si>
  <si>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</si>
  <si>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</si>
  <si>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</si>
  <si>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</si>
  <si>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</si>
  <si>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</si>
  <si>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</si>
  <si>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</si>
  <si>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</si>
  <si>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</si>
  <si>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</si>
  <si>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</si>
  <si>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</si>
  <si>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</si>
  <si>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</si>
  <si>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</si>
  <si>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</si>
  <si>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</si>
  <si>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</si>
  <si>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</si>
  <si>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</si>
  <si>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</si>
  <si>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</si>
  <si>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</si>
  <si>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</si>
  <si>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</si>
  <si>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</si>
  <si>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</si>
  <si>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</si>
  <si>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</si>
  <si>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</si>
  <si>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</si>
  <si>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</si>
  <si>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</si>
  <si>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</si>
  <si>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</si>
  <si>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</si>
  <si>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</si>
  <si>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</si>
  <si>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</si>
  <si>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</si>
  <si>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</si>
  <si>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</si>
  <si>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</si>
  <si>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</si>
  <si>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</si>
  <si>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</si>
  <si>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</si>
  <si>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</si>
  <si>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</si>
  <si>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</si>
  <si>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</si>
  <si>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</si>
  <si>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</si>
  <si>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</si>
  <si>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</si>
  <si>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</si>
  <si>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</si>
  <si>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</si>
  <si>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</si>
  <si>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</si>
  <si>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</si>
  <si>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</si>
  <si>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</si>
  <si>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</si>
  <si>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</si>
  <si>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</si>
  <si>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</si>
  <si>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</si>
  <si>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</si>
  <si>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</si>
  <si>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</si>
  <si>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</si>
  <si>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</si>
  <si>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</si>
  <si>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</si>
  <si>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</si>
  <si>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</si>
  <si>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</si>
  <si>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</si>
  <si>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</si>
  <si>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</si>
  <si>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</si>
  <si>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</si>
  <si>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</si>
  <si>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</si>
  <si>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</si>
  <si>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</si>
  <si>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</si>
  <si>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</si>
  <si>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</si>
  <si>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</si>
  <si>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</si>
  <si>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</si>
  <si>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</si>
  <si>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</si>
  <si>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</si>
  <si>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</si>
  <si>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</si>
  <si>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</si>
  <si>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</si>
  <si>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</si>
  <si>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</si>
  <si>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</si>
  <si>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</si>
  <si>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</si>
  <si>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</si>
  <si>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</si>
  <si>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</si>
  <si>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</si>
  <si>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</si>
  <si>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</si>
  <si>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</si>
  <si>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</si>
  <si>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</si>
  <si>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</si>
  <si>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</si>
  <si>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</si>
  <si>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</si>
  <si>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</si>
  <si>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</si>
  <si>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</si>
  <si>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</si>
  <si>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</si>
  <si>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</si>
  <si>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</si>
  <si>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</si>
  <si>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</si>
  <si>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</si>
  <si>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</si>
  <si>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</si>
  <si>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</si>
  <si>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</si>
  <si>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</si>
  <si>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</si>
  <si>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</si>
  <si>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</si>
  <si>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</si>
  <si>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</si>
  <si>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</si>
  <si>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</si>
  <si>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</si>
  <si>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</si>
  <si>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</si>
  <si>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</si>
  <si>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</si>
  <si>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</si>
  <si>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</si>
  <si>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</si>
  <si>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</si>
  <si>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</si>
  <si>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</si>
  <si>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</si>
  <si>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</si>
  <si>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</si>
  <si>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</si>
  <si>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</si>
  <si>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</si>
  <si>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</si>
  <si>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</si>
  <si>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</si>
  <si>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</si>
  <si>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</si>
  <si>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</si>
  <si>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3343-1</t>
  </si>
  <si>
    <t>AC COMERCIAL IM</t>
  </si>
  <si>
    <t>TIAGO SANTANA</t>
  </si>
  <si>
    <t>PERSONALIZADO_L</t>
  </si>
  <si>
    <t>CTE NORMAL</t>
  </si>
  <si>
    <t>FORTALEZA - CE</t>
  </si>
  <si>
    <t>ROBSON BARBOSA FERREIRA</t>
  </si>
  <si>
    <t>N/D</t>
  </si>
  <si>
    <t>JEFFERSON GUERRA MATOZO</t>
  </si>
  <si>
    <t>3443-1</t>
  </si>
  <si>
    <t>STRATUS COMERCI</t>
  </si>
  <si>
    <t>MICHELL MARQUES</t>
  </si>
  <si>
    <t>ECONOMICO_250</t>
  </si>
  <si>
    <t>SAO PAULO - SP</t>
  </si>
  <si>
    <t>PORTOEXPRESS LOGISTICA LT</t>
  </si>
  <si>
    <t>JOSE EMILTON DA COSTA - O</t>
  </si>
  <si>
    <t>Recife-Pe X Fortaleza-Cevan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</si>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</sst>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6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[Analise_JEFFERSON_06102026.xlsx]Resumo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11123.9</c:v>
                </c:pt>
                <c:pt idx="1">
                  <c:v>628.49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9298.5179999999982</c:v>
                </c:pt>
                <c:pt idx="1">
                  <c:v>133.76080000000002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[Analise_JEFFERSON_06102026.xlsx]Resumo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11123.9</c:v>
                </c:pt>
                <c:pt idx="1">
                  <c:v>628.49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9298.5179999999982</c:v>
                </c:pt>
                <c:pt idx="1">
                  <c:v>133.76080000000002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4.564221643515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458"/>
        <n v="356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5T00:00:00" maxDate="2026-10-06T00:00:00"/>
    </cacheField>
    <cacheField name="DATA" numFmtId="14">
      <sharedItems containsNonDate="0" containsDate="1" containsString="0" containsBlank="1" minDate="2026-09-29T00:00:00" maxDate="2026-10-06T00:00:00"/>
    </cacheField>
    <cacheField name="FAT" numFmtId="0">
      <sharedItems containsString="0" containsBlank="1" containsNumber="1" containsInteger="1" minValue="718" maxValue="718"/>
    </cacheField>
    <cacheField name="CT-E" numFmtId="0">
      <sharedItems containsBlank="1"/>
    </cacheField>
    <cacheField name="CLIENTE TOMADOR" numFmtId="0">
      <sharedItems containsBlank="1" count="855">
        <s v="AC COMERCIAL IM"/>
        <s v="STRATUS COMERC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0960.58" maxValue="79355.429999999993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628.49" maxValue="11123.9"/>
    </cacheField>
    <cacheField name="VOLUMES" numFmtId="0">
      <sharedItems containsString="0" containsBlank="1" containsNumber="1" containsInteger="1" minValue="3" maxValue="36"/>
    </cacheField>
    <cacheField name="PESO" numFmtId="0">
      <sharedItems containsString="0" containsBlank="1" containsNumber="1" minValue="87.46" maxValue="758.24"/>
    </cacheField>
    <cacheField name="RESP. COLETA" numFmtId="0">
      <sharedItems containsBlank="1"/>
    </cacheField>
    <cacheField name="CUSTO COLETA" numFmtId="0">
      <sharedItems containsString="0" containsBlank="1" containsNumber="1" minValue="20" maxValue="190.73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65.92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75.42" maxValue="778.6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2.38" maxValue="31.74"/>
    </cacheField>
    <cacheField name="OUTROS" numFmtId="0">
      <sharedItems containsString="0" containsBlank="1" containsNumber="1" minValue="0" maxValue="1.61"/>
    </cacheField>
    <cacheField name="C.TOTAL" numFmtId="0">
      <sharedItems containsString="0" containsBlank="1" containsNumber="1" minValue="620.92999999999995" maxValue="3955.54"/>
    </cacheField>
    <cacheField name="RECEITA" numFmtId="0">
      <sharedItems containsString="0" containsBlank="1" containsNumber="1" minValue="7.56" maxValue="7168.36"/>
    </cacheField>
    <cacheField name="IMPOSTO" numFmtId="0">
      <sharedItems containsString="0" containsBlank="1" containsNumber="1" minValue="163.41" maxValue="2892.21"/>
    </cacheField>
    <cacheField name="RESULTADO" numFmtId="0">
      <sharedItems containsString="0" containsBlank="1" containsNumber="1" minValue="-155.85" maxValue="4276.1499999999996"/>
    </cacheField>
    <cacheField name="COMIS" numFmtId="0">
      <sharedItems containsString="0" containsBlank="1" containsNumber="1" minValue="0" maxValue="103.45"/>
    </cacheField>
    <cacheField name="LUCRO LIQ" numFmtId="0">
      <sharedItems containsString="0" containsBlank="1" containsNumber="1" minValue="-155.85" maxValue="4172.7"/>
    </cacheField>
    <cacheField name="MARGEM" numFmtId="10">
      <sharedItems containsString="0" containsBlank="1" containsNumber="1" minValue="-0.248" maxValue="0.3750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m/>
    <d v="2026-09-29T00:00:00"/>
    <n v="718"/>
    <s v="3343-1"/>
    <x v="0"/>
    <s v="TIAGO SANTANA"/>
    <n v="79355.429999999993"/>
    <x v="0"/>
    <s v="CTE NORMAL"/>
    <s v="FORTALEZA - CE"/>
    <n v="11123.9"/>
    <n v="3"/>
    <n v="87.46"/>
    <s v="ROBSON BARBOSA FERREIRA"/>
    <n v="20"/>
    <s v="N/D"/>
    <n v="0"/>
    <s v="JEFFERSON GUERRA MATOZO"/>
    <n v="0"/>
    <n v="778.67"/>
    <n v="0"/>
    <n v="0"/>
    <n v="31.74"/>
    <n v="1.61"/>
    <n v="3955.54"/>
    <n v="7168.36"/>
    <n v="2892.21"/>
    <n v="4276.1499999999996"/>
    <n v="103.45"/>
    <n v="4172.7"/>
    <n v="0.37509999999999999"/>
    <m/>
  </r>
  <r>
    <x v="1"/>
    <s v="MATRIZ"/>
    <d v="2026-10-05T00:00:00"/>
    <d v="2026-10-05T00:00:00"/>
    <m/>
    <s v="3443-1"/>
    <x v="1"/>
    <s v="MICHELL MARQUES"/>
    <n v="30960.58"/>
    <x v="1"/>
    <s v="CTE NORMAL"/>
    <s v="SAO PAULO - SP"/>
    <n v="628.49"/>
    <n v="36"/>
    <n v="758.24"/>
    <s v="PORTOEXPRESS LOGISTICA LT"/>
    <n v="190.73"/>
    <s v="JOSE EMILTON DA COSTA - O"/>
    <n v="165.92"/>
    <s v="JEFFERSON GUERRA MATOZO"/>
    <n v="0"/>
    <n v="75.42"/>
    <n v="0"/>
    <n v="0"/>
    <n v="12.38"/>
    <n v="0"/>
    <n v="620.92999999999995"/>
    <n v="7.56"/>
    <n v="163.41"/>
    <n v="-155.85"/>
    <n v="0"/>
    <n v="-155.85"/>
    <n v="-0.248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1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3"/>
        <item m="1" x="36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2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1"/>
        <item m="1" x="851"/>
        <item m="1" x="29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6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1"/>
    </i>
    <i r="1">
      <x v="7998"/>
    </i>
    <i>
      <x v="734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1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3"/>
        <item m="1" x="36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2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1"/>
        <item m="1" x="851"/>
        <item m="1" x="29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6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1"/>
    </i>
    <i>
      <x v="734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4" s="1" nd="1"/>
        <i x="581" s="1" nd="1"/>
        <i x="852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2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4" s="1" nd="1"/>
        <i x="381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6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4" s="1" nd="1"/>
        <i x="173" s="1" nd="1"/>
        <i x="627" s="1" nd="1"/>
        <i x="375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2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1" s="1" nd="1"/>
        <i x="805" s="1" nd="1"/>
        <i x="486" s="1" nd="1"/>
        <i x="442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7" s="1" nd="1"/>
        <i x="707" s="1" nd="1"/>
        <i x="23" s="1" nd="1"/>
        <i x="36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3" s="1" nd="1"/>
        <i x="589" s="1" nd="1"/>
        <i x="747" s="1" nd="1"/>
        <i x="269" s="1" nd="1"/>
        <i x="18" s="1" nd="1"/>
        <i x="637" s="1" nd="1"/>
        <i x="389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3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8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1" s="1" nd="1"/>
        <i x="854" s="1" nd="1"/>
        <i x="432" s="1" nd="1"/>
        <i x="569" s="1" nd="1"/>
        <i x="487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1" s="1" nd="1"/>
        <i x="246" s="1" nd="1"/>
        <i x="398" s="1" nd="1"/>
        <i x="481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4" s="1" nd="1"/>
        <i x="669" s="1" nd="1"/>
        <i x="94" s="1" nd="1"/>
        <i x="440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2" s="1" nd="1"/>
        <i x="594" s="1" nd="1"/>
        <i x="435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5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4" s="1" nd="1"/>
        <i x="395" s="1" nd="1"/>
        <i x="670" s="1" nd="1"/>
        <i x="185" s="1" nd="1"/>
        <i x="409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79" s="1" nd="1"/>
        <i x="51" s="1" nd="1"/>
        <i x="851" s="1" nd="1"/>
        <i x="29" s="1" nd="1"/>
        <i x="570" s="1" nd="1"/>
        <i x="512" s="1" nd="1"/>
        <i x="413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10" s="1" nd="1"/>
        <i x="69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0" s="1" nd="1"/>
        <i x="513" s="1" nd="1"/>
        <i x="122" s="1" nd="1"/>
        <i x="646" s="1" nd="1"/>
        <i x="48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4" s="1" nd="1"/>
        <i x="26" s="1" nd="1"/>
        <i x="765" s="1" nd="1"/>
        <i x="414" s="1" nd="1"/>
        <i x="552" s="1" nd="1"/>
        <i x="97" s="1" nd="1"/>
        <i x="85" s="1" nd="1"/>
        <i x="293" s="1" nd="1"/>
        <i x="195" s="1" nd="1"/>
        <i x="496" s="1" nd="1"/>
        <i x="262" s="1" nd="1"/>
        <i x="30" s="1" nd="1"/>
        <i x="105" s="1" nd="1"/>
        <i x="533" s="1" nd="1"/>
        <i x="297" s="1" nd="1"/>
        <i x="397" s="1" nd="1"/>
        <i x="229" s="1" nd="1"/>
        <i x="8" s="1" nd="1"/>
        <i x="472" s="1" nd="1"/>
        <i x="824" s="1" nd="1"/>
        <i x="35" s="1" nd="1"/>
        <i x="311" s="1" nd="1"/>
        <i x="825" s="1" nd="1"/>
        <i x="562" s="1" nd="1"/>
        <i x="62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3458</v>
      </c>
      <c r="B2" s="12" t="s">
        <v>616</v>
      </c>
      <c r="C2" s="14"/>
      <c r="D2" s="14">
        <v>46294</v>
      </c>
      <c r="E2" s="12">
        <v>718</v>
      </c>
      <c r="F2" s="15" t="s">
        <v>617</v>
      </c>
      <c r="G2" s="15" t="s">
        <v>618</v>
      </c>
      <c r="H2" s="15" t="s">
        <v>619</v>
      </c>
      <c r="I2" s="16">
        <v>79355.429999999993</v>
      </c>
      <c r="J2" s="15" t="s">
        <v>620</v>
      </c>
      <c r="K2" s="15" t="s">
        <v>621</v>
      </c>
      <c r="L2" s="15" t="s">
        <v>622</v>
      </c>
      <c r="M2" s="15">
        <v>11123.9</v>
      </c>
      <c r="N2" s="15">
        <v>3</v>
      </c>
      <c r="O2" s="16">
        <v>87.46</v>
      </c>
      <c r="P2" s="15" t="s">
        <v>623</v>
      </c>
      <c r="Q2" s="15">
        <v>20</v>
      </c>
      <c r="R2" s="15" t="s">
        <v>624</v>
      </c>
      <c r="S2" s="15">
        <v>0</v>
      </c>
      <c r="T2" s="15" t="s">
        <v>625</v>
      </c>
      <c r="U2" s="15">
        <v>0</v>
      </c>
      <c r="V2" s="15">
        <v>778.67</v>
      </c>
      <c r="W2" s="15">
        <v>0</v>
      </c>
      <c r="X2" s="15">
        <v>0</v>
      </c>
      <c r="Y2" s="15">
        <v>31.74</v>
      </c>
      <c r="Z2" s="15">
        <v>1.61</v>
      </c>
      <c r="AA2" s="15">
        <v>3955.54</v>
      </c>
      <c r="AB2" s="15">
        <v>7168.36</v>
      </c>
      <c r="AC2" s="15">
        <v>2892.21</v>
      </c>
      <c r="AD2" s="15">
        <v>4276.1499999999996</v>
      </c>
      <c r="AE2" s="15">
        <v>103.45</v>
      </c>
      <c r="AF2" s="15">
        <v>4172.7</v>
      </c>
      <c r="AG2" s="17">
        <v>0.37509999999999999</v>
      </c>
      <c r="AH2" s="15"/>
    </row>
    <row r="3" spans="1:34" s="1" customFormat="1" ht="12" customHeight="1" x14ac:dyDescent="0.3">
      <c r="A3" s="13">
        <v>3560</v>
      </c>
      <c r="B3" s="12" t="s">
        <v>616</v>
      </c>
      <c r="C3" s="14">
        <v>46300</v>
      </c>
      <c r="D3" s="14">
        <v>46300</v>
      </c>
      <c r="E3" s="12"/>
      <c r="F3" s="15" t="s">
        <v>626</v>
      </c>
      <c r="G3" s="15" t="s">
        <v>627</v>
      </c>
      <c r="H3" s="15" t="s">
        <v>628</v>
      </c>
      <c r="I3" s="16">
        <v>30960.58</v>
      </c>
      <c r="J3" s="15" t="s">
        <v>629</v>
      </c>
      <c r="K3" s="15" t="s">
        <v>621</v>
      </c>
      <c r="L3" s="15" t="s">
        <v>630</v>
      </c>
      <c r="M3" s="16">
        <v>628.49</v>
      </c>
      <c r="N3" s="15">
        <v>36</v>
      </c>
      <c r="O3" s="16">
        <v>758.24</v>
      </c>
      <c r="P3" s="15" t="s">
        <v>631</v>
      </c>
      <c r="Q3" s="15">
        <v>190.73</v>
      </c>
      <c r="R3" s="15" t="s">
        <v>632</v>
      </c>
      <c r="S3" s="15">
        <v>165.92</v>
      </c>
      <c r="T3" s="15" t="s">
        <v>625</v>
      </c>
      <c r="U3" s="15">
        <v>0</v>
      </c>
      <c r="V3" s="15">
        <v>75.42</v>
      </c>
      <c r="W3" s="15">
        <v>0</v>
      </c>
      <c r="X3" s="15">
        <v>0</v>
      </c>
      <c r="Y3" s="15">
        <v>12.38</v>
      </c>
      <c r="Z3" s="15">
        <v>0</v>
      </c>
      <c r="AA3" s="16">
        <v>620.92999999999995</v>
      </c>
      <c r="AB3" s="16">
        <v>7.56</v>
      </c>
      <c r="AC3" s="15">
        <v>163.41</v>
      </c>
      <c r="AD3" s="15">
        <v>-155.85</v>
      </c>
      <c r="AE3" s="15">
        <v>0</v>
      </c>
      <c r="AF3" s="15">
        <v>-155.85</v>
      </c>
      <c r="AG3" s="17">
        <v>-0.248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11752.39</v>
      </c>
      <c r="F3" s="89"/>
      <c r="G3" s="90"/>
      <c r="H3" s="133">
        <f>'Resumo Detalhado'!C2</f>
        <v>845.7</v>
      </c>
      <c r="I3" s="134"/>
      <c r="J3" s="135">
        <f>E3/H3</f>
        <v>13.896641835166132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0.70474999999999999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3510.73</v>
      </c>
      <c r="F7" s="112"/>
      <c r="G7" s="112"/>
      <c r="H7" s="112"/>
      <c r="I7" s="112"/>
      <c r="J7" s="112">
        <f>E7/H3</f>
        <v>4.1512711363367618</v>
      </c>
      <c r="K7" s="112"/>
      <c r="L7" s="112"/>
      <c r="M7" s="130">
        <f>E7/E3</f>
        <v>0.29872477002550119</v>
      </c>
      <c r="N7" s="130"/>
      <c r="O7" s="130"/>
      <c r="P7" s="112">
        <f>E11+K11+Q11+E15+K15+Q15+E19+H19+K19</f>
        <v>7231.1235999999999</v>
      </c>
      <c r="Q7" s="112"/>
      <c r="R7" s="112"/>
      <c r="S7" s="112">
        <f>P7/H3</f>
        <v>8.5504595010050846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3300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3300</v>
      </c>
      <c r="L11" s="90"/>
      <c r="M11" s="38"/>
      <c r="N11" s="88">
        <f>K11/H3</f>
        <v>3.9020929407591343</v>
      </c>
      <c r="O11" s="90"/>
      <c r="P11" s="38"/>
      <c r="Q11" s="88">
        <f>'Resumo Detalhado'!D2</f>
        <v>210.73</v>
      </c>
      <c r="R11" s="90"/>
      <c r="S11" s="38"/>
      <c r="T11" s="88">
        <f>Q11/H3</f>
        <v>0.24917819557762796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854.08999999999992</v>
      </c>
      <c r="F15" s="119"/>
      <c r="G15" s="119"/>
      <c r="H15" s="119"/>
      <c r="I15" s="132"/>
      <c r="J15" s="38"/>
      <c r="K15" s="113">
        <f>'Resumo Detalhado'!K2+'Resumo Detalhado'!L2</f>
        <v>1880.3824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44.12</v>
      </c>
      <c r="F19" s="120"/>
      <c r="G19" s="38"/>
      <c r="H19" s="122">
        <f>'Resumo Detalhado'!J2</f>
        <v>1.61</v>
      </c>
      <c r="I19" s="123"/>
      <c r="J19" s="38"/>
      <c r="K19" s="122">
        <f>'Resumo Detalhado'!L2</f>
        <v>940.19119999999998</v>
      </c>
      <c r="L19" s="123"/>
      <c r="M19" s="38"/>
      <c r="N19" s="121" t="s">
        <v>633</v>
      </c>
      <c r="O19" s="119"/>
      <c r="P19" s="119"/>
      <c r="Q19" s="119"/>
      <c r="R19" s="120"/>
      <c r="S19" s="121">
        <v>3300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9432.2787999999982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0.80258388293785343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634</v>
      </c>
      <c r="F1" s="29"/>
    </row>
    <row r="2" spans="1:18" x14ac:dyDescent="0.3">
      <c r="B2" s="29">
        <f>SUM(B6:B5000)</f>
        <v>11752.39</v>
      </c>
      <c r="C2" s="29">
        <f>SUM(C6:C5000)</f>
        <v>845.7</v>
      </c>
      <c r="D2" s="29">
        <f>SUM(D6:D5000)</f>
        <v>210.73</v>
      </c>
      <c r="E2" s="29">
        <f>SUM(E6:E5000)</f>
        <v>165.92</v>
      </c>
      <c r="F2" s="29">
        <f>SUM(F6:F5000)</f>
        <v>0</v>
      </c>
      <c r="G2" s="29"/>
      <c r="H2" s="29">
        <f t="shared" ref="H2:P2" si="0">SUM(H6:H5000)</f>
        <v>854.08999999999992</v>
      </c>
      <c r="I2" s="29">
        <f t="shared" si="0"/>
        <v>44.12</v>
      </c>
      <c r="J2" s="29">
        <f t="shared" si="0"/>
        <v>1.61</v>
      </c>
      <c r="K2" s="29">
        <f t="shared" si="0"/>
        <v>940.19119999999998</v>
      </c>
      <c r="L2" s="29">
        <f t="shared" si="0"/>
        <v>940.19119999999998</v>
      </c>
      <c r="M2" s="29">
        <f t="shared" si="0"/>
        <v>103.45</v>
      </c>
      <c r="N2" s="29">
        <f t="shared" si="0"/>
        <v>9432.2787999999982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3458</v>
      </c>
      <c r="B6" s="140">
        <v>11123.9</v>
      </c>
      <c r="C6" s="141">
        <v>87.46</v>
      </c>
      <c r="D6" s="140">
        <v>20</v>
      </c>
      <c r="E6" s="140">
        <v>0</v>
      </c>
      <c r="F6" s="140">
        <v>0</v>
      </c>
      <c r="G6" s="142">
        <v>1.797930581900233E-3</v>
      </c>
      <c r="H6" s="140">
        <v>778.67</v>
      </c>
      <c r="I6" s="140">
        <v>31.74</v>
      </c>
      <c r="J6" s="140">
        <v>1.61</v>
      </c>
      <c r="K6" s="140">
        <v>889.91200000000003</v>
      </c>
      <c r="L6" s="140">
        <v>889.91200000000003</v>
      </c>
      <c r="M6" s="140">
        <v>103.45</v>
      </c>
      <c r="N6" s="140">
        <v>9298.5179999999982</v>
      </c>
      <c r="O6" s="142">
        <v>0.83590449392748933</v>
      </c>
      <c r="Q6"/>
    </row>
    <row r="7" spans="1:18" s="31" customFormat="1" x14ac:dyDescent="0.3">
      <c r="A7" s="139" t="s">
        <v>627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3560</v>
      </c>
      <c r="B8" s="140">
        <v>628.49</v>
      </c>
      <c r="C8" s="141">
        <v>758.24</v>
      </c>
      <c r="D8" s="140">
        <v>190.73</v>
      </c>
      <c r="E8" s="140">
        <v>165.92</v>
      </c>
      <c r="F8" s="140">
        <v>0</v>
      </c>
      <c r="G8" s="142">
        <v>0.56747124059253129</v>
      </c>
      <c r="H8" s="140">
        <v>75.42</v>
      </c>
      <c r="I8" s="140">
        <v>12.38</v>
      </c>
      <c r="J8" s="140">
        <v>0</v>
      </c>
      <c r="K8" s="140">
        <v>50.279200000000003</v>
      </c>
      <c r="L8" s="140">
        <v>50.279200000000003</v>
      </c>
      <c r="M8" s="140">
        <v>0</v>
      </c>
      <c r="N8" s="140">
        <v>133.76080000000002</v>
      </c>
      <c r="O8" s="142">
        <v>0.21282884373657499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634</v>
      </c>
    </row>
    <row r="2" spans="1:4" x14ac:dyDescent="0.3">
      <c r="B2" s="29">
        <f>SUM(B6:B5000)</f>
        <v>628.49</v>
      </c>
      <c r="C2" s="29">
        <f>SUM(C6:C5000)</f>
        <v>133.76080000000002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43" t="s">
        <v>618</v>
      </c>
      <c r="B5" s="10">
        <v>11123.9</v>
      </c>
      <c r="C5" s="10">
        <v>9298.5179999999982</v>
      </c>
    </row>
    <row r="6" spans="1:4" x14ac:dyDescent="0.3">
      <c r="A6" s="144" t="s">
        <v>627</v>
      </c>
      <c r="B6" s="140">
        <v>628.49</v>
      </c>
      <c r="C6" s="140">
        <v>133.76080000000002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5" t="s">
        <v>633</v>
      </c>
      <c r="D395" s="87">
        <v>3300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2026-10-09T16:32:37Z</dcterms:modified>
  <cp:category/>
  <cp:contentStatus/>
</cp:coreProperties>
</file>