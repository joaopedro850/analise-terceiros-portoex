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123619A-7DE2-478C-8A4A-D27C9E1ED7B0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<sst xmlns="http://schemas.openxmlformats.org/spreadsheetml/2006/main" count="914" uniqueCount="633">
  <si>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</si>
  <si>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</si>
  <si>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</si>
  <si>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</si>
  <si>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</si>
  <si>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</si>
  <si>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</si>
  <si>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</si>
  <si>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</si>
  <si>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</si>
  <si>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</si>
  <si>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</si>
  <si>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</si>
  <si>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</si>
  <si>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</si>
  <si>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</si>
  <si>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</si>
  <si>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</si>
  <si>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</si>
  <si>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</si>
  <si>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</si>
  <si>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</si>
  <si>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</si>
  <si>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</si>
  <si>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</si>
  <si>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</si>
  <si>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</si>
  <si>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</si>
  <si>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</si>
  <si>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</si>
  <si>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</si>
  <si>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</si>
  <si>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</si>
  <si>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</si>
  <si>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</si>
  <si>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</si>
  <si>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</si>
  <si>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</si>
  <si>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</si>
  <si>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</si>
  <si>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</si>
  <si>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</si>
  <si>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</si>
  <si>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</si>
  <si>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</si>
  <si>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</si>
  <si>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</si>
  <si>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</si>
  <si>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</si>
  <si>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</si>
  <si>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</si>
  <si>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</si>
  <si>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</si>
  <si>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</si>
  <si>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</si>
  <si>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</si>
  <si>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</si>
  <si>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</si>
  <si>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</si>
  <si>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</si>
  <si>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</si>
  <si>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</si>
  <si>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</si>
  <si>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</si>
  <si>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</si>
  <si>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</si>
  <si>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</si>
  <si>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</si>
  <si>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</si>
  <si>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</si>
  <si>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</si>
  <si>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</si>
  <si>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</si>
  <si>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</si>
  <si>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</si>
  <si>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</si>
  <si>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</si>
  <si>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</si>
  <si>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</si>
  <si>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</si>
  <si>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</si>
  <si>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</si>
  <si>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</si>
  <si>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</si>
  <si>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</si>
  <si>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</si>
  <si>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</si>
  <si>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</si>
  <si>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</si>
  <si>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</si>
  <si>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</si>
  <si>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</si>
  <si>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</si>
  <si>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</si>
  <si>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</si>
  <si>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</si>
  <si>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</si>
  <si>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</si>
  <si>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</si>
  <si>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</si>
  <si>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</si>
  <si>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</si>
  <si>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</si>
  <si>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</si>
  <si>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</si>
  <si>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</si>
  <si>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</si>
  <si>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</si>
  <si>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</si>
  <si>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</si>
  <si>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</si>
  <si>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</si>
  <si>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</si>
  <si>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</si>
  <si>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</si>
  <si>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</si>
  <si>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</si>
  <si>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</si>
  <si>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</si>
  <si>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</si>
  <si>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</si>
  <si>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</si>
  <si>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</si>
  <si>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</si>
  <si>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</si>
  <si>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</si>
  <si>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</si>
  <si>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</si>
  <si>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</si>
  <si>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</si>
  <si>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</si>
  <si>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</si>
  <si>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</si>
  <si>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</si>
  <si>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</si>
  <si>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</si>
  <si>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</si>
  <si>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</si>
  <si>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</si>
  <si>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</si>
  <si>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</si>
  <si>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</si>
  <si>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</si>
  <si>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</si>
  <si>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</si>
  <si>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</si>
  <si>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</si>
  <si>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</si>
  <si>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</si>
  <si>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</si>
  <si>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</si>
  <si>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</si>
  <si>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</si>
  <si>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</si>
  <si>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</si>
  <si>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</si>
  <si>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</si>
  <si>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</si>
  <si>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</si>
  <si>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</si>
  <si>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</si>
  <si>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</si>
  <si>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</si>
  <si>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</si>
  <si>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</si>
  <si>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</si>
  <si>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</si>
  <si>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</si>
  <si>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</si>
  <si>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</si>
  <si>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</si>
  <si>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</si>
  <si>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</si>
  <si>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</si>
  <si>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</si>
  <si>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</si>
  <si>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</si>
  <si>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</si>
  <si>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</si>
  <si>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</si>
  <si>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</si>
  <si>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</si>
  <si>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</si>
  <si>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</si>
  <si>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</si>
  <si>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</si>
  <si>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</si>
  <si>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</si>
  <si>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</si>
  <si>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</si>
  <si>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</si>
  <si>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</si>
  <si>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</si>
  <si>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</si>
  <si>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</si>
  <si>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</si>
  <si>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</si>
  <si>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</si>
  <si>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</si>
  <si>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</si>
  <si>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</si>
  <si>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</si>
  <si>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</si>
  <si>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</si>
  <si>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</si>
  <si>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</si>
  <si>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</si>
  <si>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</si>
  <si>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</si>
  <si>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</si>
  <si>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</si>
  <si>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</si>
  <si>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</si>
  <si>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</si>
  <si>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</si>
  <si>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</si>
  <si>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</si>
  <si>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</si>
  <si>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</si>
  <si>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</si>
  <si>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</si>
  <si>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</si>
  <si>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</si>
  <si>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</si>
  <si>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</si>
  <si>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</si>
  <si>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</si>
  <si>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</si>
  <si>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</si>
  <si>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</si>
  <si>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</si>
  <si>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</si>
  <si>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</si>
  <si>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</si>
  <si>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</si>
  <si>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</si>
  <si>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</si>
  <si>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</si>
  <si>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</si>
  <si>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</si>
  <si>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</si>
  <si>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</si>
  <si>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</si>
  <si>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</si>
  <si>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</si>
  <si>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</si>
  <si>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</si>
  <si>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</si>
  <si>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</si>
  <si>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</si>
  <si>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</si>
  <si>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</si>
  <si>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</si>
  <si>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</si>
  <si>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</si>
  <si>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</si>
  <si>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</si>
  <si>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</si>
  <si>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</si>
  <si>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</si>
  <si>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</si>
  <si>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</si>
  <si>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</si>
  <si>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</si>
  <si>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</si>
  <si>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</si>
  <si>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</si>
  <si>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</si>
  <si>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</si>
  <si>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</si>
  <si>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</si>
  <si>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</si>
  <si>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</si>
  <si>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</si>
  <si>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</si>
  <si>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</si>
  <si>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</si>
  <si>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</si>
  <si>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</si>
  <si>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</si>
  <si>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</si>
  <si>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</si>
  <si>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</si>
  <si>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</si>
  <si>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</si>
  <si>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</si>
  <si>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</si>
  <si>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</si>
  <si>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</si>
  <si>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</si>
  <si>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</si>
  <si>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</si>
  <si>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</si>
  <si>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</si>
  <si>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</si>
  <si>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</si>
  <si>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</si>
  <si>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</si>
  <si>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</si>
  <si>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</si>
  <si>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</si>
  <si>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</si>
  <si>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</si>
  <si>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</si>
  <si>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</si>
  <si>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</si>
  <si>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</si>
  <si>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</si>
  <si>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</si>
  <si>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</si>
  <si>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</si>
  <si>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</si>
  <si>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</si>
  <si>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</si>
  <si>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</si>
  <si>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</si>
  <si>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</si>
  <si>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</si>
  <si>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</si>
  <si>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</si>
  <si>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</si>
  <si>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</si>
  <si>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</si>
  <si>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</si>
  <si>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</si>
  <si>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</si>
  <si>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</si>
  <si>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</si>
  <si>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</si>
  <si>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</si>
  <si>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</si>
  <si>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</si>
  <si>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</si>
  <si>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</si>
  <si>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</si>
  <si>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</si>
  <si>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</si>
  <si>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</si>
  <si>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</si>
  <si>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</si>
  <si>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</si>
  <si>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</si>
  <si>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</si>
  <si>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</si>
  <si>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</si>
  <si>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</si>
  <si>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</si>
  <si>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</si>
  <si>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</si>
  <si>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</si>
  <si>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</si>
  <si>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</si>
  <si>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</si>
  <si>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</si>
  <si>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</si>
  <si>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</si>
  <si>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</si>
  <si>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</si>
  <si>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</si>
  <si>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</si>
  <si>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</si>
  <si>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</si>
  <si>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</si>
  <si>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</si>
  <si>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</si>
  <si>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</si>
  <si>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</si>
  <si>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</si>
  <si>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</si>
  <si>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</si>
  <si>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</si>
  <si>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</si>
  <si>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</si>
  <si>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</si>
  <si>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</si>
  <si>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</si>
  <si>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</si>
  <si>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</si>
  <si>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</si>
  <si>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</si>
  <si>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</si>
  <si>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</si>
  <si>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</si>
  <si>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</si>
  <si>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</si>
  <si>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</si>
  <si>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</si>
  <si>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</si>
  <si>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</si>
  <si>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</si>
  <si>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</si>
  <si>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</si>
  <si>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</si>
  <si>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</si>
  <si>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</si>
  <si>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</si>
  <si>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</si>
  <si>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</si>
  <si>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</si>
  <si>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</si>
  <si>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</si>
  <si>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</si>
  <si>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</si>
  <si>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</si>
  <si>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</si>
  <si>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</si>
  <si>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</si>
  <si>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</si>
  <si>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</si>
  <si>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</si>
  <si>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</si>
  <si>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</si>
  <si>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</si>
  <si>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</si>
  <si>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</si>
  <si>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</si>
  <si>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</si>
  <si>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</si>
  <si>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</si>
  <si>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</si>
  <si>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</si>
  <si>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</si>
  <si>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</si>
  <si>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</si>
  <si>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</si>
  <si>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</si>
  <si>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</si>
  <si>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</si>
  <si>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</si>
  <si>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</si>
  <si>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</si>
  <si>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</si>
  <si>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</si>
  <si>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</si>
  <si>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</si>
  <si>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</si>
  <si>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</si>
  <si>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</si>
  <si>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</si>
  <si>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</si>
  <si>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</si>
  <si>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</si>
  <si>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</si>
  <si>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</si>
  <si>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</si>
  <si>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</si>
  <si>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</si>
  <si>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</si>
  <si>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</si>
  <si>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</si>
  <si>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</si>
  <si>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</si>
  <si>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</si>
  <si>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</si>
  <si>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</si>
  <si>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</si>
  <si>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</si>
  <si>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</si>
  <si>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</si>
  <si>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</si>
  <si>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</si>
  <si>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</si>
  <si>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</si>
  <si>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</si>
  <si>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</si>
  <si>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</si>
  <si>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</si>
  <si>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</si>
  <si>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</si>
  <si>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</si>
  <si>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</si>
  <si>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</si>
  <si>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</si>
  <si>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</si>
  <si>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</si>
  <si>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</si>
  <si>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</si>
  <si>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</si>
  <si>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</si>
  <si>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</si>
  <si>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</si>
  <si>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</si>
  <si>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</si>
  <si>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</si>
  <si>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</si>
  <si>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</si>
  <si>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</si>
  <si>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</si>
  <si>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</si>
  <si>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</si>
  <si>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</si>
  <si>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</si>
  <si>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</si>
  <si>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</si>
  <si>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</si>
  <si>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</si>
  <si>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</si>
  <si>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</si>
  <si>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</si>
  <si>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</si>
  <si>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</si>
  <si>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</si>
  <si>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</si>
  <si>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</si>
  <si>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</si>
  <si>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</si>
  <si>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</si>
  <si>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</si>
  <si>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</si>
  <si>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</si>
  <si>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</si>
  <si>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</si>
  <si>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</si>
  <si>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</si>
  <si>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</si>
  <si>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</si>
  <si>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</si>
  <si>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</si>
  <si>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</si>
  <si>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</si>
  <si>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</si>
  <si>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</si>
  <si>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</si>
  <si>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</si>
  <si>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</si>
  <si>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</si>
  <si>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</si>
  <si>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</si>
  <si>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</si>
  <si>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</si>
  <si>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</si>
  <si>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</si>
  <si>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</si>
  <si>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</si>
  <si>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</si>
  <si>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</si>
  <si>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</si>
  <si>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</si>
  <si>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</si>
  <si>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</si>
  <si>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</si>
  <si>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</si>
  <si>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</si>
  <si>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</si>
  <si>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</si>
  <si>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</si>
  <si>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</si>
  <si>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</si>
  <si>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</si>
  <si>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</si>
  <si>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</si>
  <si>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</si>
  <si>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</si>
  <si>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</si>
  <si>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</si>
  <si>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</si>
  <si>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</si>
  <si>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</si>
  <si>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</si>
  <si>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</si>
  <si>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</si>
  <si>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</si>
  <si>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</si>
  <si>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</si>
  <si>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</si>
  <si>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</si>
  <si>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</si>
  <si>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</si>
  <si>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</si>
  <si>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</si>
  <si>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</si>
  <si>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</si>
  <si>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</si>
  <si>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</si>
  <si>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</si>
  <si>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</si>
  <si>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</si>
  <si>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</si>
  <si>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</si>
  <si>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</si>
  <si>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</si>
  <si>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</si>
  <si>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</si>
  <si>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</si>
  <si>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</si>
  <si>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</si>
  <si>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</si>
  <si>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</si>
  <si>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</si>
  <si>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</si>
  <si>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</si>
  <si>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</si>
  <si>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</si>
  <si>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</si>
  <si>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</si>
  <si>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</si>
  <si>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</si>
  <si>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</si>
  <si>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</si>
  <si>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</si>
  <si>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</si>
  <si>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</si>
  <si>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</si>
  <si>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</si>
  <si>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</si>
  <si>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</si>
  <si>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</si>
  <si>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</si>
  <si>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</si>
  <si>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</si>
  <si>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</si>
  <si>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</si>
  <si>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</si>
  <si>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</si>
  <si>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</si>
  <si>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</si>
  <si>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</si>
  <si>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204731-1</t>
  </si>
  <si>
    <t>BATIKI COM IMPO</t>
  </si>
  <si>
    <t>TIAGO SANTANA</t>
  </si>
  <si>
    <t>ECONOMICO_250</t>
  </si>
  <si>
    <t>CTE NORMAL</t>
  </si>
  <si>
    <t>SAO JOSE DO RIO PRETO - SP</t>
  </si>
  <si>
    <t>LUIZ FELIPE FERNANDES DA</t>
  </si>
  <si>
    <t>MUESTRA LOGISTICA AMBIENT</t>
  </si>
  <si>
    <t>NHC TRANSPORTES LTDA</t>
  </si>
  <si>
    <t>204755-1</t>
  </si>
  <si>
    <t>EWS COMERCIO E</t>
  </si>
  <si>
    <t>SABRINA SANTOS</t>
  </si>
  <si>
    <t>PERSONALIZADO</t>
  </si>
  <si>
    <t>GUARULHOS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</si>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</sst>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[Analise_JEFFERSON_13102026.xlsx]Resumo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EWS COMERCIO 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220.72</c:v>
                </c:pt>
                <c:pt idx="1">
                  <c:v>6894.47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EWS COMERCIO 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-3943.7775999999999</c:v>
                </c:pt>
                <c:pt idx="1">
                  <c:v>5459.8624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[Analise_JEFFERSON_13102026.xlsx]Resumo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EWS COMERCIO 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220.72</c:v>
                </c:pt>
                <c:pt idx="1">
                  <c:v>6894.47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EWS COMERCIO 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-3943.7775999999999</c:v>
                </c:pt>
                <c:pt idx="1">
                  <c:v>5459.8624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1.50268668981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5374" count="8000">
        <n v="305277"/>
        <n v="30537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9T00:00:00" maxDate="2026-10-14T00:00:00"/>
    </cacheField>
    <cacheField name="DATA" numFmtId="14">
      <sharedItems containsNonDate="0" containsDate="1" containsString="0" containsBlank="1" minDate="2026-10-13T00:00:00" maxDate="2026-10-1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BATIKI COM IMPO"/>
        <s v="EWS COMERCIO E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012.92" maxValue="111421.78"/>
    </cacheField>
    <cacheField name="SERVICO" numFmtId="0">
      <sharedItems containsBlank="1" count="27">
        <s v="ECONOMICO_250"/>
        <s v="PERSONALIZADO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20.72" maxValue="6894.47"/>
    </cacheField>
    <cacheField name="VOLUMES" numFmtId="0">
      <sharedItems containsString="0" containsBlank="1" containsNumber="1" containsInteger="1" minValue="7" maxValue="469"/>
    </cacheField>
    <cacheField name="PESO" numFmtId="0">
      <sharedItems containsString="0" containsBlank="1" containsNumber="1" minValue="35" maxValue="10000.200000000001"/>
    </cacheField>
    <cacheField name="RESP. COLETA" numFmtId="0">
      <sharedItems containsBlank="1"/>
    </cacheField>
    <cacheField name="CUSTO COLETA" numFmtId="0">
      <sharedItems containsString="0" containsBlank="1" containsNumber="1" minValue="0" maxValue="12.51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1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6.49" maxValue="827.3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0099999999999998" maxValue="55.7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11.56" maxValue="4968.75"/>
    </cacheField>
    <cacheField name="RECEITA" numFmtId="0">
      <sharedItems containsString="0" containsBlank="1" containsNumber="1" minValue="109.16" maxValue="1925.72"/>
    </cacheField>
    <cacheField name="IMPOSTO" numFmtId="0">
      <sharedItems containsString="0" containsBlank="1" containsNumber="1" minValue="57.39" maxValue="1792.56"/>
    </cacheField>
    <cacheField name="RESULTADO" numFmtId="0">
      <sharedItems containsString="0" containsBlank="1" containsNumber="1" minValue="-48.85" maxValue="51.769999999999996"/>
    </cacheField>
    <cacheField name="COMIS" numFmtId="0">
      <sharedItems containsString="0" containsBlank="1" containsNumber="1" minValue="0" maxValue="5.83"/>
    </cacheField>
    <cacheField name="LUCRO LIQ" numFmtId="0">
      <sharedItems containsString="0" containsBlank="1" containsNumber="1" minValue="-48.85" maxValue="45.94"/>
    </cacheField>
    <cacheField name="MARGEM" numFmtId="10">
      <sharedItems containsString="0" containsBlank="1" containsNumber="1" minValue="-7.0999999999999995E-3" maxValue="0.2080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9T00:00:00"/>
    <d v="2026-10-13T00:00:00"/>
    <m/>
    <s v="204731-1"/>
    <x v="0"/>
    <s v="TIAGO SANTANA"/>
    <n v="4012.92"/>
    <x v="0"/>
    <s v="CTE NORMAL"/>
    <s v="SAO JOSE DO RIO PRETO - SP"/>
    <n v="220.72"/>
    <n v="7"/>
    <n v="35"/>
    <s v="LUIZ FELIPE FERNANDES DA"/>
    <n v="12.51"/>
    <s v="MUESTRA LOGISTICA AMBIENT"/>
    <n v="4100"/>
    <s v="NHC TRANSPORTES LTDA"/>
    <n v="0"/>
    <n v="26.49"/>
    <n v="0"/>
    <n v="0"/>
    <n v="2.0099999999999998"/>
    <n v="0"/>
    <n v="111.56"/>
    <n v="109.16"/>
    <n v="57.39"/>
    <n v="51.769999999999996"/>
    <n v="5.83"/>
    <n v="45.94"/>
    <n v="0.20809999999999998"/>
    <m/>
  </r>
  <r>
    <x v="1"/>
    <s v="MATRIZ"/>
    <d v="2026-10-13T00:00:00"/>
    <d v="2026-10-13T00:00:00"/>
    <m/>
    <s v="204755-1"/>
    <x v="1"/>
    <s v="SABRINA SANTOS"/>
    <n v="111421.78"/>
    <x v="1"/>
    <s v="CTE NORMAL"/>
    <s v="GUARULHOS - SP"/>
    <n v="6894.47"/>
    <n v="469"/>
    <n v="10000.200000000001"/>
    <s v="N/D"/>
    <n v="0"/>
    <s v="N/D"/>
    <n v="0"/>
    <s v="NHC TRANSPORTES LTDA"/>
    <n v="0"/>
    <n v="827.34"/>
    <n v="0"/>
    <n v="0"/>
    <n v="55.71"/>
    <n v="0"/>
    <n v="4968.75"/>
    <n v="1925.72"/>
    <n v="1792.56"/>
    <n v="-48.85"/>
    <n v="0"/>
    <n v="-48.85"/>
    <n v="-7.0999999999999995E-3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80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70"/>
        <item m="1" x="45"/>
        <item sd="0" m="1" x="731"/>
        <item m="1" x="690"/>
        <item m="1" x="217"/>
        <item sd="0" m="1" x="477"/>
        <item m="1" x="634"/>
        <item m="1" x="447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2"/>
        <item m="1" x="507"/>
        <item sd="0" m="1" x="554"/>
        <item m="1" x="478"/>
        <item sd="0" m="1" x="245"/>
        <item m="1" x="849"/>
        <item m="1" x="833"/>
        <item m="1" x="743"/>
        <item m="1" x="241"/>
        <item m="1" x="240"/>
        <item m="1" x="463"/>
        <item m="1" x="287"/>
        <item m="1" x="550"/>
        <item m="1" x="846"/>
        <item m="1" x="446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x="0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1"/>
        <item m="1" x="458"/>
        <item sd="0" m="1" x="479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6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1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x="1"/>
        <item m="1" x="440"/>
        <item sd="0" m="1" x="103"/>
        <item sd="0" m="1" x="197"/>
        <item m="1" x="832"/>
        <item m="1" x="765"/>
        <item m="1" x="510"/>
        <item m="1" x="822"/>
        <item m="1" x="342"/>
        <item m="1" x="224"/>
        <item m="1" x="65"/>
        <item m="1" x="636"/>
        <item m="1" x="459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1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9"/>
        <item m="1" x="468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3"/>
        <item m="1" x="775"/>
        <item m="1" x="486"/>
        <item m="1" x="741"/>
        <item sd="0" m="1" x="455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3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3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6"/>
        <item m="1" x="813"/>
        <item m="1" x="465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3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6"/>
        <item m="1" x="599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4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1"/>
        <item m="1" x="512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7"/>
        <item m="1" x="707"/>
        <item m="1" x="620"/>
        <item m="1" x="732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6"/>
        <item m="1" x="396"/>
        <item m="1" x="671"/>
        <item m="1" x="186"/>
        <item sd="0" m="1" x="410"/>
        <item m="1" x="475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4"/>
        <item m="1" x="414"/>
        <item m="1" x="703"/>
        <item m="1" x="205"/>
        <item sd="0" m="1" x="644"/>
        <item m="1" x="780"/>
        <item sd="0" m="1" x="469"/>
        <item sd="0" m="1" x="41"/>
        <item m="1" x="694"/>
        <item m="1" x="664"/>
        <item sd="0" m="1" x="809"/>
        <item m="1" x="817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2"/>
        <item m="1" x="515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0"/>
        <item m="1" x="82"/>
        <item m="1" x="635"/>
        <item m="1" x="67"/>
        <item m="1" x="651"/>
        <item m="1" x="490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3"/>
        <item m="1" x="25"/>
        <item m="1" x="18"/>
        <item x="2"/>
        <item m="1" x="8"/>
        <item m="1" x="3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92"/>
    </i>
    <i r="1">
      <x v="7998"/>
    </i>
    <i>
      <x v="249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80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70"/>
        <item m="1" x="45"/>
        <item sd="0" m="1" x="731"/>
        <item m="1" x="690"/>
        <item m="1" x="217"/>
        <item sd="0" m="1" x="477"/>
        <item m="1" x="634"/>
        <item m="1" x="447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2"/>
        <item m="1" x="507"/>
        <item sd="0" m="1" x="554"/>
        <item m="1" x="478"/>
        <item sd="0" m="1" x="245"/>
        <item m="1" x="849"/>
        <item m="1" x="833"/>
        <item m="1" x="743"/>
        <item m="1" x="241"/>
        <item m="1" x="240"/>
        <item m="1" x="463"/>
        <item m="1" x="287"/>
        <item m="1" x="550"/>
        <item m="1" x="846"/>
        <item m="1" x="446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x="0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1"/>
        <item m="1" x="458"/>
        <item sd="0" m="1" x="479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6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1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x="1"/>
        <item m="1" x="440"/>
        <item sd="0" m="1" x="103"/>
        <item sd="0" m="1" x="197"/>
        <item m="1" x="832"/>
        <item m="1" x="765"/>
        <item m="1" x="510"/>
        <item m="1" x="822"/>
        <item m="1" x="342"/>
        <item m="1" x="224"/>
        <item m="1" x="65"/>
        <item m="1" x="636"/>
        <item m="1" x="459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1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9"/>
        <item m="1" x="468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3"/>
        <item m="1" x="775"/>
        <item m="1" x="486"/>
        <item m="1" x="741"/>
        <item sd="0" m="1" x="455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3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3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6"/>
        <item m="1" x="813"/>
        <item m="1" x="465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3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6"/>
        <item m="1" x="599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4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1"/>
        <item m="1" x="512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7"/>
        <item m="1" x="707"/>
        <item m="1" x="620"/>
        <item m="1" x="732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6"/>
        <item m="1" x="396"/>
        <item m="1" x="671"/>
        <item m="1" x="186"/>
        <item sd="0" m="1" x="410"/>
        <item m="1" x="475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4"/>
        <item m="1" x="414"/>
        <item m="1" x="703"/>
        <item m="1" x="205"/>
        <item sd="0" m="1" x="644"/>
        <item m="1" x="780"/>
        <item sd="0" m="1" x="469"/>
        <item sd="0" m="1" x="41"/>
        <item m="1" x="694"/>
        <item m="1" x="664"/>
        <item sd="0" m="1" x="809"/>
        <item m="1" x="817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2"/>
        <item m="1" x="515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0"/>
        <item m="1" x="82"/>
        <item m="1" x="635"/>
        <item m="1" x="67"/>
        <item m="1" x="651"/>
        <item m="1" x="490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3"/>
        <item m="1" x="25"/>
        <item m="1" x="18"/>
        <item x="2"/>
        <item m="1" x="8"/>
        <item m="1" x="3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92"/>
    </i>
    <i>
      <x v="249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24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1" s="1" nd="1"/>
        <i x="325" s="1" nd="1"/>
        <i x="676" s="1" nd="1"/>
        <i x="503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80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70" s="1" nd="1"/>
        <i x="45" s="1" nd="1"/>
        <i x="731" s="1" nd="1"/>
        <i x="690" s="1" nd="1"/>
        <i x="217" s="1" nd="1"/>
        <i x="477" s="1" nd="1"/>
        <i x="634" s="1" nd="1"/>
        <i x="447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2" s="1" nd="1"/>
        <i x="507" s="1" nd="1"/>
        <i x="554" s="1" nd="1"/>
        <i x="478" s="1" nd="1"/>
        <i x="245" s="1" nd="1"/>
        <i x="849" s="1" nd="1"/>
        <i x="833" s="1" nd="1"/>
        <i x="743" s="1" nd="1"/>
        <i x="241" s="1" nd="1"/>
        <i x="240" s="1" nd="1"/>
        <i x="463" s="1" nd="1"/>
        <i x="287" s="1" nd="1"/>
        <i x="550" s="1" nd="1"/>
        <i x="846" s="1" nd="1"/>
        <i x="446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4" s="1" nd="1"/>
        <i x="409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9" s="1" nd="1"/>
        <i x="208" s="1" nd="1"/>
        <i x="522" s="1" nd="1"/>
        <i x="464" s="1" nd="1"/>
        <i x="139" s="1" nd="1"/>
        <i x="662" s="1" nd="1"/>
        <i x="373" s="1" nd="1"/>
        <i x="155" s="1" nd="1"/>
        <i x="252" s="1" nd="1"/>
        <i x="629" s="1" nd="1"/>
        <i x="737" s="1" nd="1"/>
        <i x="422" s="1" nd="1"/>
        <i x="81" s="1" nd="1"/>
        <i x="697" s="1" nd="1"/>
        <i x="285" s="1" nd="1"/>
        <i x="847" s="1" nd="1"/>
        <i x="249" s="1" nd="1"/>
        <i x="764" s="1" nd="1"/>
        <i x="426" s="1" nd="1"/>
        <i x="437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4" s="1" nd="1"/>
        <i x="53" s="1" nd="1"/>
        <i x="650" s="1" nd="1"/>
        <i x="471" s="1" nd="1"/>
        <i x="250" s="1" nd="1"/>
        <i x="329" s="1" nd="1"/>
        <i x="438" s="1" nd="1"/>
        <i x="353" s="1" nd="1"/>
        <i x="572" s="1" nd="1"/>
        <i x="568" s="1" nd="1"/>
        <i x="734" s="1" nd="1"/>
        <i x="756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8" s="1" nd="1"/>
        <i x="854" s="1" nd="1"/>
        <i x="830" s="1" nd="1"/>
        <i x="107" s="1" nd="1"/>
        <i x="402" s="1" nd="1"/>
        <i x="115" s="1" nd="1"/>
        <i x="653" s="1" nd="1"/>
        <i x="657" s="1" nd="1"/>
        <i x="796" s="1" nd="1"/>
        <i x="696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7" s="1" nd="1"/>
        <i x="258" s="1" nd="1"/>
        <i x="407" s="1" nd="1"/>
        <i x="841" s="1" nd="1"/>
        <i x="458" s="1" nd="1"/>
        <i x="479" s="1" nd="1"/>
        <i x="751" s="1" nd="1"/>
        <i x="639" s="1" nd="1"/>
        <i x="54" s="1" nd="1"/>
        <i x="794" s="1" nd="1"/>
        <i x="717" s="1" nd="1"/>
        <i x="418" s="1" nd="1"/>
        <i x="735" s="1" nd="1"/>
        <i x="814" s="1" nd="1"/>
        <i x="562" s="1" nd="1"/>
        <i x="559" s="1" nd="1"/>
        <i x="430" s="1" nd="1"/>
        <i x="715" s="1" nd="1"/>
        <i x="506" s="1" nd="1"/>
        <i x="174" s="1" nd="1"/>
        <i x="628" s="1" nd="1"/>
        <i x="376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1" s="1" nd="1"/>
        <i x="118" s="1" nd="1"/>
        <i x="537" s="1" nd="1"/>
        <i x="84" s="1" nd="1"/>
        <i x="603" s="1" nd="1"/>
        <i x="451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709" s="1" nd="1"/>
        <i x="211" s="1" nd="1"/>
        <i x="440" s="1" nd="1"/>
        <i x="103" s="1" nd="1"/>
        <i x="197" s="1" nd="1"/>
        <i x="832" s="1" nd="1"/>
        <i x="765" s="1" nd="1"/>
        <i x="510" s="1" nd="1"/>
        <i x="822" s="1" nd="1"/>
        <i x="342" s="1" nd="1"/>
        <i x="224" s="1" nd="1"/>
        <i x="65" s="1" nd="1"/>
        <i x="636" s="1" nd="1"/>
        <i x="459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1" s="1" nd="1"/>
        <i x="581" s="1" nd="1"/>
        <i x="354" s="1" nd="1"/>
        <i x="104" s="1" nd="1"/>
        <i x="539" s="1" nd="1"/>
        <i x="209" s="1" nd="1"/>
        <i x="672" s="1" nd="1"/>
        <i x="487" s="1" nd="1"/>
        <i x="641" s="1" nd="1"/>
        <i x="607" s="1" nd="1"/>
        <i x="532" s="1" nd="1"/>
        <i x="564" s="1" nd="1"/>
        <i x="739" s="1" nd="1"/>
        <i x="517" s="1" nd="1"/>
        <i x="387" s="1" nd="1"/>
        <i x="546" s="1" nd="1"/>
        <i x="214" s="1" nd="1"/>
        <i x="416" s="1" nd="1"/>
        <i x="420" s="1" nd="1"/>
        <i x="803" s="1" nd="1"/>
        <i x="42" s="1" nd="1"/>
        <i x="806" s="1" nd="1"/>
        <i x="488" s="1" nd="1"/>
        <i x="444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4" s="1" nd="1"/>
        <i x="590" s="1" nd="1"/>
        <i x="748" s="1" nd="1"/>
        <i x="270" s="1" nd="1"/>
        <i x="18" s="1" nd="1"/>
        <i x="638" s="1" nd="1"/>
        <i x="390" s="1" nd="1"/>
        <i x="481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9" s="1" nd="1"/>
        <i x="816" s="1" nd="1"/>
        <i x="777" s="1" nd="1"/>
        <i x="145" s="1" nd="1"/>
        <i x="499" s="1" nd="1"/>
        <i x="468" s="1" nd="1"/>
        <i x="141" s="1" nd="1"/>
        <i x="757" s="1" nd="1"/>
        <i x="149" s="1" nd="1"/>
        <i x="225" s="1" nd="1"/>
        <i x="721" s="1" nd="1"/>
        <i x="556" s="1" nd="1"/>
        <i x="117" s="1" nd="1"/>
        <i x="377" s="1" nd="1"/>
        <i x="719" s="1" nd="1"/>
        <i x="128" s="1" nd="1"/>
        <i x="34" s="1" nd="1"/>
        <i x="303" s="1" nd="1"/>
        <i x="549" s="1" nd="1"/>
        <i x="61" s="1" nd="1"/>
        <i x="453" s="1" nd="1"/>
        <i x="775" s="1" nd="1"/>
        <i x="486" s="1" nd="1"/>
        <i x="741" s="1" nd="1"/>
        <i x="455" s="1" nd="1"/>
        <i x="521" s="1" nd="1"/>
        <i x="163" s="1" nd="1"/>
        <i x="405" s="1" nd="1"/>
        <i x="742" s="1" nd="1"/>
        <i x="195" s="1" nd="1"/>
        <i x="747" s="1" nd="1"/>
        <i x="385" s="1" nd="1"/>
        <i x="138" s="1" nd="1"/>
        <i x="659" s="1" nd="1"/>
        <i x="431" s="1" nd="1"/>
        <i x="665" s="1" nd="1"/>
        <i x="494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6" s="1" nd="1"/>
        <i x="701" s="1" nd="1"/>
        <i x="429" s="1" nd="1"/>
        <i x="364" s="1" nd="1"/>
        <i x="101" s="1" nd="1"/>
        <i x="482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4" s="1" nd="1"/>
        <i x="736" s="1" nd="1"/>
        <i x="133" s="1" nd="1"/>
        <i x="87" s="1" nd="1"/>
        <i x="210" s="1" nd="1"/>
        <i x="682" s="1" nd="1"/>
        <i x="276" s="1" nd="1"/>
        <i x="473" s="1" nd="1"/>
        <i x="800" s="1" nd="1"/>
        <i x="218" s="1" nd="1"/>
        <i x="828" s="1" nd="1"/>
        <i x="70" s="1" nd="1"/>
        <i x="119" s="1" nd="1"/>
        <i x="646" s="1" nd="1"/>
        <i x="412" s="1" nd="1"/>
        <i x="855" s="1" nd="1"/>
        <i x="433" s="1" nd="1"/>
        <i x="570" s="1" nd="1"/>
        <i x="489" s="1" nd="1"/>
        <i x="183" s="1" nd="1"/>
        <i x="375" s="1" nd="1"/>
        <i x="243" s="1" nd="1"/>
        <i x="338" s="1" nd="1"/>
        <i x="528" s="1" nd="1"/>
        <i x="424" s="1" nd="1"/>
        <i x="789" s="1" nd="1"/>
        <i x="302" s="1" nd="1"/>
        <i x="310" s="1" nd="1"/>
        <i x="368" s="1" nd="1"/>
        <i x="492" s="1" nd="1"/>
        <i x="663" s="1" nd="1"/>
        <i x="189" s="1" nd="1"/>
        <i x="660" s="1" nd="1"/>
        <i x="222" s="1" nd="1"/>
        <i x="450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2" s="1" nd="1"/>
        <i x="247" s="1" nd="1"/>
        <i x="399" s="1" nd="1"/>
        <i x="483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5" s="1" nd="1"/>
        <i x="500" s="1" nd="1"/>
        <i x="62" s="1" nd="1"/>
        <i x="457" s="1" nd="1"/>
        <i x="83" s="1" nd="1"/>
        <i x="326" s="1" nd="1"/>
        <i x="169" s="1" nd="1"/>
        <i x="333" s="1" nd="1"/>
        <i x="565" s="1" nd="1"/>
        <i x="505" s="1" nd="1"/>
        <i x="229" s="1" nd="1"/>
        <i x="282" s="1" nd="1"/>
        <i x="94" s="1" nd="1"/>
        <i x="408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6" s="1" nd="1"/>
        <i x="813" s="1" nd="1"/>
        <i x="465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3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6" s="1" nd="1"/>
        <i x="599" s="1" nd="1"/>
        <i x="318" s="1" nd="1"/>
        <i x="782" s="1" nd="1"/>
        <i x="485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4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3" s="1" nd="1"/>
        <i x="26" s="1" nd="1"/>
        <i x="343" s="1" nd="1"/>
        <i x="491" s="1" nd="1"/>
        <i x="512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7" s="1" nd="1"/>
        <i x="707" s="1" nd="1"/>
        <i x="620" s="1" nd="1"/>
        <i x="732" s="1" nd="1"/>
        <i x="472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5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8" s="1" nd="1"/>
        <i x="395" s="1" nd="1"/>
        <i x="401" s="1" nd="1"/>
        <i x="705" s="1" nd="1"/>
        <i x="404" s="1" nd="1"/>
        <i x="831" s="1" nd="1"/>
        <i x="496" s="1" nd="1"/>
        <i x="396" s="1" nd="1"/>
        <i x="671" s="1" nd="1"/>
        <i x="186" s="1" nd="1"/>
        <i x="410" s="1" nd="1"/>
        <i x="475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6" s="1" nd="1"/>
        <i x="745" s="1" nd="1"/>
        <i x="80" s="1" nd="1"/>
        <i x="52" s="1" nd="1"/>
        <i x="852" s="1" nd="1"/>
        <i x="30" s="1" nd="1"/>
        <i x="571" s="1" nd="1"/>
        <i x="514" s="1" nd="1"/>
        <i x="414" s="1" nd="1"/>
        <i x="703" s="1" nd="1"/>
        <i x="205" s="1" nd="1"/>
        <i x="644" s="1" nd="1"/>
        <i x="780" s="1" nd="1"/>
        <i x="469" s="1" nd="1"/>
        <i x="41" s="1" nd="1"/>
        <i x="694" s="1" nd="1"/>
        <i x="664" s="1" nd="1"/>
        <i x="809" s="1" nd="1"/>
        <i x="817" s="1" nd="1"/>
        <i x="625" s="1" nd="1"/>
        <i x="460" s="1" nd="1"/>
        <i x="692" s="1" nd="1"/>
        <i x="135" s="1" nd="1"/>
        <i x="411" s="1" nd="1"/>
        <i x="693" s="1" nd="1"/>
        <i x="44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6" s="1" nd="1"/>
        <i x="577" s="1" nd="1"/>
        <i x="361" s="1" nd="1"/>
        <i x="452" s="1" nd="1"/>
        <i x="515" s="1" nd="1"/>
        <i x="123" s="1" nd="1"/>
        <i x="647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0" s="1" nd="1"/>
        <i x="82" s="1" nd="1"/>
        <i x="635" s="1" nd="1"/>
        <i x="67" s="1" nd="1"/>
        <i x="651" s="1" nd="1"/>
        <i x="490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6" s="1" nd="1"/>
        <i x="415" s="1" nd="1"/>
        <i x="553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4" s="1" nd="1"/>
        <i x="825" s="1" nd="1"/>
        <i x="36" s="1" nd="1"/>
        <i x="312" s="1" nd="1"/>
        <i x="826" s="1" nd="1"/>
        <i x="563" s="1" nd="1"/>
        <i x="63" s="1" nd="1"/>
        <i x="569" s="1" nd="1"/>
        <i x="432" s="1" nd="1"/>
        <i x="427" s="1" nd="1"/>
        <i x="177" s="1" nd="1"/>
        <i x="367" s="1" nd="1"/>
        <i x="759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3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4" s="1" nd="1"/>
        <i x="23" s="1" nd="1"/>
        <i x="7" s="1" nd="1"/>
        <i x="22" s="1" nd="1"/>
        <i x="21" s="1" nd="1"/>
        <i x="17" s="1" nd="1"/>
        <i x="20" s="1" nd="1"/>
        <i x="3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305277</v>
      </c>
      <c r="B2" s="12" t="s">
        <v>616</v>
      </c>
      <c r="C2" s="14">
        <v>46304</v>
      </c>
      <c r="D2" s="14">
        <v>46308</v>
      </c>
      <c r="E2" s="12"/>
      <c r="F2" s="15" t="s">
        <v>617</v>
      </c>
      <c r="G2" s="15" t="s">
        <v>618</v>
      </c>
      <c r="H2" s="15" t="s">
        <v>619</v>
      </c>
      <c r="I2" s="16">
        <v>4012.92</v>
      </c>
      <c r="J2" s="15" t="s">
        <v>620</v>
      </c>
      <c r="K2" s="15" t="s">
        <v>621</v>
      </c>
      <c r="L2" s="15" t="s">
        <v>622</v>
      </c>
      <c r="M2" s="15">
        <v>220.72</v>
      </c>
      <c r="N2" s="15">
        <v>7</v>
      </c>
      <c r="O2" s="16">
        <v>35</v>
      </c>
      <c r="P2" s="15" t="s">
        <v>623</v>
      </c>
      <c r="Q2" s="15">
        <v>12.51</v>
      </c>
      <c r="R2" s="15" t="s">
        <v>624</v>
      </c>
      <c r="S2" s="15">
        <v>4100</v>
      </c>
      <c r="T2" s="15" t="s">
        <v>625</v>
      </c>
      <c r="U2" s="15">
        <v>0</v>
      </c>
      <c r="V2" s="15">
        <v>26.49</v>
      </c>
      <c r="W2" s="15">
        <v>0</v>
      </c>
      <c r="X2" s="15">
        <v>0</v>
      </c>
      <c r="Y2" s="15">
        <v>2.0099999999999998</v>
      </c>
      <c r="Z2" s="15">
        <v>0</v>
      </c>
      <c r="AA2" s="15">
        <v>111.56</v>
      </c>
      <c r="AB2" s="15">
        <v>109.16</v>
      </c>
      <c r="AC2" s="15">
        <v>57.39</v>
      </c>
      <c r="AD2" s="15">
        <v>51.769999999999996</v>
      </c>
      <c r="AE2" s="15">
        <v>5.83</v>
      </c>
      <c r="AF2" s="15">
        <v>45.94</v>
      </c>
      <c r="AG2" s="17">
        <v>0.20809999999999998</v>
      </c>
      <c r="AH2" s="15"/>
    </row>
    <row r="3" spans="1:34" s="1" customFormat="1" ht="12" customHeight="1" x14ac:dyDescent="0.3">
      <c r="A3" s="13">
        <v>305374</v>
      </c>
      <c r="B3" s="12" t="s">
        <v>616</v>
      </c>
      <c r="C3" s="14">
        <v>46308</v>
      </c>
      <c r="D3" s="14">
        <v>46308</v>
      </c>
      <c r="E3" s="12"/>
      <c r="F3" s="15" t="s">
        <v>626</v>
      </c>
      <c r="G3" s="15" t="s">
        <v>627</v>
      </c>
      <c r="H3" s="15" t="s">
        <v>628</v>
      </c>
      <c r="I3" s="16">
        <v>111421.78</v>
      </c>
      <c r="J3" s="15" t="s">
        <v>629</v>
      </c>
      <c r="K3" s="15" t="s">
        <v>621</v>
      </c>
      <c r="L3" s="15" t="s">
        <v>630</v>
      </c>
      <c r="M3" s="16">
        <v>6894.47</v>
      </c>
      <c r="N3" s="15">
        <v>469</v>
      </c>
      <c r="O3" s="16">
        <v>10000.200000000001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827.34</v>
      </c>
      <c r="W3" s="15">
        <v>0</v>
      </c>
      <c r="X3" s="15">
        <v>0</v>
      </c>
      <c r="Y3" s="15">
        <v>55.71</v>
      </c>
      <c r="Z3" s="15">
        <v>0</v>
      </c>
      <c r="AA3" s="16">
        <v>4968.75</v>
      </c>
      <c r="AB3" s="16">
        <v>1925.72</v>
      </c>
      <c r="AC3" s="15">
        <v>1792.56</v>
      </c>
      <c r="AD3" s="15">
        <v>-48.85</v>
      </c>
      <c r="AE3" s="15">
        <v>0</v>
      </c>
      <c r="AF3" s="15">
        <v>-48.85</v>
      </c>
      <c r="AG3" s="17">
        <v>-7.0999999999999995E-3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7115.1900000000005</v>
      </c>
      <c r="F3" s="89"/>
      <c r="G3" s="90"/>
      <c r="H3" s="133">
        <f>'Resumo Detalhado'!C2</f>
        <v>10035.200000000001</v>
      </c>
      <c r="I3" s="134"/>
      <c r="J3" s="135">
        <f>E3/H3</f>
        <v>0.70902323820153057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0.91229090909090915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4112.51</v>
      </c>
      <c r="F7" s="112"/>
      <c r="G7" s="112"/>
      <c r="H7" s="112"/>
      <c r="I7" s="112"/>
      <c r="J7" s="112">
        <f>E7/H3</f>
        <v>0.40980847417091837</v>
      </c>
      <c r="K7" s="112"/>
      <c r="L7" s="112"/>
      <c r="M7" s="130">
        <f>E7/E3</f>
        <v>0.57799018719106587</v>
      </c>
      <c r="N7" s="130"/>
      <c r="O7" s="130"/>
      <c r="P7" s="112">
        <f>E11+K11+Q11+E15+K15+Q15+E19+H19+K19</f>
        <v>6731.7056000000002</v>
      </c>
      <c r="Q7" s="112"/>
      <c r="R7" s="112"/>
      <c r="S7" s="112">
        <f>P7/H3</f>
        <v>0.67080931122448972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4100</v>
      </c>
      <c r="L11" s="90"/>
      <c r="M11" s="38"/>
      <c r="N11" s="88">
        <f>K11/H3</f>
        <v>0.40856186224489793</v>
      </c>
      <c r="O11" s="90"/>
      <c r="P11" s="38"/>
      <c r="Q11" s="88">
        <f>'Resumo Detalhado'!D2</f>
        <v>12.51</v>
      </c>
      <c r="R11" s="90"/>
      <c r="S11" s="38"/>
      <c r="T11" s="88">
        <f>Q11/H3</f>
        <v>1.246611926020408E-3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853.83</v>
      </c>
      <c r="F15" s="119"/>
      <c r="G15" s="119"/>
      <c r="H15" s="119"/>
      <c r="I15" s="132"/>
      <c r="J15" s="38"/>
      <c r="K15" s="113">
        <f>'Resumo Detalhado'!K2+'Resumo Detalhado'!L2</f>
        <v>1138.4304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57.72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569.21519999999998</v>
      </c>
      <c r="L19" s="123"/>
      <c r="M19" s="38"/>
      <c r="N19" s="121" t="s">
        <v>207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1516.0848000000001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0.21307720524680296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5546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7115.1900000000005</v>
      </c>
      <c r="C2" s="29">
        <f>SUM(C6:C5000)</f>
        <v>10035.200000000001</v>
      </c>
      <c r="D2" s="29">
        <f>SUM(D6:D5000)</f>
        <v>12.51</v>
      </c>
      <c r="E2" s="29">
        <f>SUM(E6:E5000)</f>
        <v>4100</v>
      </c>
      <c r="F2" s="29">
        <f>SUM(F6:F5000)</f>
        <v>0</v>
      </c>
      <c r="G2" s="29"/>
      <c r="H2" s="29">
        <f t="shared" ref="H2:P2" si="0">SUM(H6:H5000)</f>
        <v>853.83</v>
      </c>
      <c r="I2" s="29">
        <f t="shared" si="0"/>
        <v>57.72</v>
      </c>
      <c r="J2" s="29">
        <f t="shared" si="0"/>
        <v>0</v>
      </c>
      <c r="K2" s="29">
        <f t="shared" si="0"/>
        <v>569.21519999999998</v>
      </c>
      <c r="L2" s="29">
        <f t="shared" si="0"/>
        <v>569.21519999999998</v>
      </c>
      <c r="M2" s="29">
        <f t="shared" si="0"/>
        <v>5.83</v>
      </c>
      <c r="N2" s="29">
        <f t="shared" si="0"/>
        <v>1516.0848000000001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305277</v>
      </c>
      <c r="B6" s="140">
        <v>220.72</v>
      </c>
      <c r="C6" s="141">
        <v>35</v>
      </c>
      <c r="D6" s="140">
        <v>12.51</v>
      </c>
      <c r="E6" s="140">
        <v>4100</v>
      </c>
      <c r="F6" s="140">
        <v>0</v>
      </c>
      <c r="G6" s="142">
        <v>18.632249003262054</v>
      </c>
      <c r="H6" s="140">
        <v>26.49</v>
      </c>
      <c r="I6" s="140">
        <v>2.0099999999999998</v>
      </c>
      <c r="J6" s="140">
        <v>0</v>
      </c>
      <c r="K6" s="140">
        <v>17.657599999999999</v>
      </c>
      <c r="L6" s="140">
        <v>17.657599999999999</v>
      </c>
      <c r="M6" s="140">
        <v>5.83</v>
      </c>
      <c r="N6" s="140">
        <v>-3943.7775999999999</v>
      </c>
      <c r="O6" s="142">
        <v>-17.867785429503442</v>
      </c>
      <c r="Q6"/>
    </row>
    <row r="7" spans="1:18" s="31" customFormat="1" x14ac:dyDescent="0.3">
      <c r="A7" s="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305374</v>
      </c>
      <c r="B8" s="140">
        <v>6894.47</v>
      </c>
      <c r="C8" s="141">
        <v>10000.200000000001</v>
      </c>
      <c r="D8" s="140">
        <v>0</v>
      </c>
      <c r="E8" s="140">
        <v>0</v>
      </c>
      <c r="F8" s="140">
        <v>0</v>
      </c>
      <c r="G8" s="142">
        <v>0</v>
      </c>
      <c r="H8" s="140">
        <v>827.34</v>
      </c>
      <c r="I8" s="140">
        <v>55.71</v>
      </c>
      <c r="J8" s="140">
        <v>0</v>
      </c>
      <c r="K8" s="140">
        <v>551.55759999999998</v>
      </c>
      <c r="L8" s="140">
        <v>551.55759999999998</v>
      </c>
      <c r="M8" s="140">
        <v>0</v>
      </c>
      <c r="N8" s="140">
        <v>5459.8624</v>
      </c>
      <c r="O8" s="142">
        <v>0.79191908877694728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6894.47</v>
      </c>
      <c r="C2" s="29">
        <f>SUM(C6:C5000)</f>
        <v>5459.8624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618</v>
      </c>
      <c r="B5" s="10">
        <v>220.72</v>
      </c>
      <c r="C5" s="10">
        <v>-3943.7775999999999</v>
      </c>
    </row>
    <row r="6" spans="1:4" x14ac:dyDescent="0.3">
      <c r="A6" s="9" t="s">
        <v>627</v>
      </c>
      <c r="B6" s="140">
        <v>6894.47</v>
      </c>
      <c r="C6" s="140">
        <v>5459.8624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2026-10-16T15:03:59Z</dcterms:modified>
  <cp:category/>
  <cp:contentStatus/>
</cp:coreProperties>
</file>