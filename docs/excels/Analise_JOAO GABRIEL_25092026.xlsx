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2903CE7-D788-4BEE-B2F5-6A5D4345882A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<sst xmlns="http://schemas.openxmlformats.org/spreadsheetml/2006/main" count="903" uniqueCount="626">
  <si>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</si>
  <si>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</si>
  <si>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</si>
  <si>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</si>
  <si>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</si>
  <si>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</si>
  <si>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</si>
  <si>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</si>
  <si>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</si>
  <si>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</si>
  <si>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</si>
  <si>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</si>
  <si>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</si>
  <si>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</si>
  <si>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</si>
  <si>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</si>
  <si>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</si>
  <si>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</si>
  <si>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</si>
  <si>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</si>
  <si>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</si>
  <si>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</si>
  <si>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</si>
  <si>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</si>
  <si>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</si>
  <si>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</si>
  <si>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</si>
  <si>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</si>
  <si>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</si>
  <si>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</si>
  <si>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</si>
  <si>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</si>
  <si>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</si>
  <si>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</si>
  <si>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</si>
  <si>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</si>
  <si>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</si>
  <si>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</si>
  <si>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</si>
  <si>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</si>
  <si>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</si>
  <si>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</si>
  <si>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</si>
  <si>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</si>
  <si>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</si>
  <si>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</si>
  <si>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</si>
  <si>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</si>
  <si>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</si>
  <si>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</si>
  <si>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</si>
  <si>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</si>
  <si>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</si>
  <si>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</si>
  <si>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</si>
  <si>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</si>
  <si>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</si>
  <si>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</si>
  <si>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</si>
  <si>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</si>
  <si>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</si>
  <si>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</si>
  <si>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</si>
  <si>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</si>
  <si>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</si>
  <si>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</si>
  <si>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</si>
  <si>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</si>
  <si>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</si>
  <si>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</si>
  <si>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</si>
  <si>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</si>
  <si>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</si>
  <si>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</si>
  <si>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</si>
  <si>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</si>
  <si>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</si>
  <si>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</si>
  <si>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</si>
  <si>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</si>
  <si>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</si>
  <si>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</si>
  <si>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</si>
  <si>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</si>
  <si>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</si>
  <si>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</si>
  <si>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</si>
  <si>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</si>
  <si>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</si>
  <si>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</si>
  <si>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</si>
  <si>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</si>
  <si>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</si>
  <si>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</si>
  <si>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</si>
  <si>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</si>
  <si>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</si>
  <si>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</si>
  <si>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</si>
  <si>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</si>
  <si>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</si>
  <si>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</si>
  <si>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</si>
  <si>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</si>
  <si>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</si>
  <si>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</si>
  <si>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</si>
  <si>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</si>
  <si>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</si>
  <si>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</si>
  <si>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</si>
  <si>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</si>
  <si>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</si>
  <si>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</si>
  <si>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</si>
  <si>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</si>
  <si>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</si>
  <si>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</si>
  <si>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</si>
  <si>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</si>
  <si>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</si>
  <si>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</si>
  <si>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</si>
  <si>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</si>
  <si>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</si>
  <si>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</si>
  <si>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</si>
  <si>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</si>
  <si>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</si>
  <si>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</si>
  <si>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</si>
  <si>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</si>
  <si>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</si>
  <si>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</si>
  <si>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</si>
  <si>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</si>
  <si>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</si>
  <si>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</si>
  <si>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</si>
  <si>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</si>
  <si>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</si>
  <si>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</si>
  <si>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</si>
  <si>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</si>
  <si>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</si>
  <si>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</si>
  <si>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</si>
  <si>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</si>
  <si>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</si>
  <si>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</si>
  <si>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</si>
  <si>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</si>
  <si>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</si>
  <si>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</si>
  <si>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</si>
  <si>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</si>
  <si>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</si>
  <si>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</si>
  <si>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</si>
  <si>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</si>
  <si>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</si>
  <si>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</si>
  <si>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</si>
  <si>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</si>
  <si>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</si>
  <si>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</si>
  <si>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</si>
  <si>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</si>
  <si>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</si>
  <si>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</si>
  <si>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</si>
  <si>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</si>
  <si>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</si>
  <si>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</si>
  <si>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</si>
  <si>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</si>
  <si>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</si>
  <si>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</si>
  <si>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</si>
  <si>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</si>
  <si>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</si>
  <si>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</si>
  <si>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</si>
  <si>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</si>
  <si>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</si>
  <si>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</si>
  <si>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</si>
  <si>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</si>
  <si>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</si>
  <si>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</si>
  <si>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</si>
  <si>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</si>
  <si>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</si>
  <si>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</si>
  <si>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</si>
  <si>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</si>
  <si>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</si>
  <si>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</si>
  <si>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</si>
  <si>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</si>
  <si>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</si>
  <si>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</si>
  <si>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</si>
  <si>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</si>
  <si>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</si>
  <si>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</si>
  <si>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</si>
  <si>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</si>
  <si>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</si>
  <si>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</si>
  <si>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</si>
  <si>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</si>
  <si>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</si>
  <si>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</si>
  <si>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</si>
  <si>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</si>
  <si>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</si>
  <si>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</si>
  <si>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</si>
  <si>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</si>
  <si>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</si>
  <si>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</si>
  <si>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</si>
  <si>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</si>
  <si>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</si>
  <si>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</si>
  <si>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</si>
  <si>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</si>
  <si>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</si>
  <si>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</si>
  <si>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</si>
  <si>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</si>
  <si>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</si>
  <si>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</si>
  <si>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</si>
  <si>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</si>
  <si>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</si>
  <si>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</si>
  <si>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</si>
  <si>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</si>
  <si>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</si>
  <si>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</si>
  <si>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</si>
  <si>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</si>
  <si>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</si>
  <si>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</si>
  <si>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</si>
  <si>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</si>
  <si>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</si>
  <si>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</si>
  <si>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</si>
  <si>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</si>
  <si>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</si>
  <si>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</si>
  <si>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</si>
  <si>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</si>
  <si>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</si>
  <si>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</si>
  <si>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</si>
  <si>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</si>
  <si>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</si>
  <si>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</si>
  <si>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</si>
  <si>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</si>
  <si>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</si>
  <si>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</si>
  <si>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</si>
  <si>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</si>
  <si>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</si>
  <si>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</si>
  <si>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</si>
  <si>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</si>
  <si>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</si>
  <si>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</si>
  <si>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</si>
  <si>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</si>
  <si>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</si>
  <si>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</si>
  <si>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</si>
  <si>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</si>
  <si>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</si>
  <si>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</si>
  <si>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</si>
  <si>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</si>
  <si>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</si>
  <si>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</si>
  <si>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</si>
  <si>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</si>
  <si>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</si>
  <si>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</si>
  <si>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</si>
  <si>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</si>
  <si>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</si>
  <si>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</si>
  <si>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</si>
  <si>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</si>
  <si>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</si>
  <si>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</si>
  <si>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</si>
  <si>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</si>
  <si>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</si>
  <si>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</si>
  <si>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</si>
  <si>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</si>
  <si>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</si>
  <si>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</si>
  <si>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</si>
  <si>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</si>
  <si>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</si>
  <si>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</si>
  <si>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</si>
  <si>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</si>
  <si>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</si>
  <si>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</si>
  <si>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</si>
  <si>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</si>
  <si>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</si>
  <si>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</si>
  <si>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</si>
  <si>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</si>
  <si>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</si>
  <si>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</si>
  <si>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</si>
  <si>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</si>
  <si>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</si>
  <si>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</si>
  <si>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</si>
  <si>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</si>
  <si>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</si>
  <si>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</si>
  <si>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</si>
  <si>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</si>
  <si>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</si>
  <si>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</si>
  <si>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</si>
  <si>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</si>
  <si>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</si>
  <si>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</si>
  <si>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</si>
  <si>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</si>
  <si>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</si>
  <si>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</si>
  <si>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</si>
  <si>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</si>
  <si>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</si>
  <si>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</si>
  <si>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</si>
  <si>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</si>
  <si>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</si>
  <si>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</si>
  <si>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</si>
  <si>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</si>
  <si>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</si>
  <si>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</si>
  <si>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</si>
  <si>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</si>
  <si>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</si>
  <si>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</si>
  <si>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</si>
  <si>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</si>
  <si>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</si>
  <si>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</si>
  <si>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</si>
  <si>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</si>
  <si>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</si>
  <si>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</si>
  <si>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</si>
  <si>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</si>
  <si>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</si>
  <si>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</si>
  <si>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</si>
  <si>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</si>
  <si>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</si>
  <si>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</si>
  <si>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</si>
  <si>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</si>
  <si>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</si>
  <si>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</si>
  <si>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</si>
  <si>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</si>
  <si>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</si>
  <si>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</si>
  <si>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</si>
  <si>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</si>
  <si>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</si>
  <si>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</si>
  <si>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</si>
  <si>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</si>
  <si>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</si>
  <si>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</si>
  <si>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</si>
  <si>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</si>
  <si>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</si>
  <si>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</si>
  <si>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</si>
  <si>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</si>
  <si>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</si>
  <si>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</si>
  <si>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</si>
  <si>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</si>
  <si>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</si>
  <si>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</si>
  <si>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</si>
  <si>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</si>
  <si>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</si>
  <si>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</si>
  <si>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</si>
  <si>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</si>
  <si>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</si>
  <si>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</si>
  <si>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</si>
  <si>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</si>
  <si>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</si>
  <si>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</si>
  <si>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</si>
  <si>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</si>
  <si>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</si>
  <si>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</si>
  <si>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</si>
  <si>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</si>
  <si>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</si>
  <si>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</si>
  <si>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</si>
  <si>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</si>
  <si>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</si>
  <si>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</si>
  <si>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</si>
  <si>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</si>
  <si>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</si>
  <si>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</si>
  <si>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</si>
  <si>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</si>
  <si>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</si>
  <si>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</si>
  <si>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</si>
  <si>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</si>
  <si>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</si>
  <si>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</si>
  <si>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</si>
  <si>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</si>
  <si>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</si>
  <si>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</si>
  <si>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</si>
  <si>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</si>
  <si>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</si>
  <si>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</si>
  <si>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</si>
  <si>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</si>
  <si>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</si>
  <si>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</si>
  <si>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</si>
  <si>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</si>
  <si>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</si>
  <si>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</si>
  <si>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</si>
  <si>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</si>
  <si>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</si>
  <si>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</si>
  <si>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</si>
  <si>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</si>
  <si>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</si>
  <si>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</si>
  <si>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</si>
  <si>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</si>
  <si>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</si>
  <si>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</si>
  <si>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</si>
  <si>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</si>
  <si>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</si>
  <si>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</si>
  <si>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</si>
  <si>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</si>
  <si>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</si>
  <si>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</si>
  <si>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</si>
  <si>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</si>
  <si>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</si>
  <si>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</si>
  <si>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</si>
  <si>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</si>
  <si>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</si>
  <si>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</si>
  <si>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</si>
  <si>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</si>
  <si>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</si>
  <si>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</si>
  <si>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</si>
  <si>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</si>
  <si>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</si>
  <si>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</si>
  <si>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</si>
  <si>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</si>
  <si>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</si>
  <si>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</si>
  <si>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</si>
  <si>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</si>
  <si>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</si>
  <si>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</si>
  <si>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</si>
  <si>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</si>
  <si>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</si>
  <si>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</si>
  <si>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</si>
  <si>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</si>
  <si>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</si>
  <si>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</si>
  <si>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</si>
  <si>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</si>
  <si>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</si>
  <si>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</si>
  <si>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</si>
  <si>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</si>
  <si>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</si>
  <si>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</si>
  <si>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</si>
  <si>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</si>
  <si>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</si>
  <si>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</si>
  <si>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</si>
  <si>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</si>
  <si>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</si>
  <si>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</si>
  <si>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</si>
  <si>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</si>
  <si>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</si>
  <si>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</si>
  <si>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</si>
  <si>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</si>
  <si>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</si>
  <si>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</si>
  <si>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</si>
  <si>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</si>
  <si>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</si>
  <si>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</si>
  <si>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</si>
  <si>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</si>
  <si>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</si>
  <si>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</si>
  <si>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</si>
  <si>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</si>
  <si>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</si>
  <si>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</si>
  <si>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</si>
  <si>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</si>
  <si>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</si>
  <si>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</si>
  <si>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</si>
  <si>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</si>
  <si>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</si>
  <si>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</si>
  <si>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</si>
  <si>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</si>
  <si>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</si>
  <si>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</si>
  <si>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</si>
  <si>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</si>
  <si>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</si>
  <si>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</si>
  <si>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</si>
  <si>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</si>
  <si>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</si>
  <si>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</si>
  <si>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</si>
  <si>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</si>
  <si>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</si>
  <si>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</si>
  <si>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</si>
  <si>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</si>
  <si>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</si>
  <si>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</si>
  <si>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</si>
  <si>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</si>
  <si>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</si>
  <si>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</si>
  <si>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</si>
  <si>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</si>
  <si>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</si>
  <si>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</si>
  <si>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</si>
  <si>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</si>
  <si>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</si>
  <si>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</si>
  <si>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</si>
  <si>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</si>
  <si>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</si>
  <si>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</si>
  <si>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</si>
  <si>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</si>
  <si>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</si>
  <si>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</si>
  <si>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</si>
  <si>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</si>
  <si>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</si>
  <si>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</si>
  <si>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</si>
  <si>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</si>
  <si>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</si>
  <si>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</si>
  <si>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</si>
  <si>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</si>
  <si>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</si>
  <si>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</si>
  <si>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</si>
  <si>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</si>
  <si>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</si>
  <si>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</si>
  <si>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</si>
  <si>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</si>
  <si>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</si>
  <si>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MATRIZ</t>
  </si>
  <si>
    <t>203841-1</t>
  </si>
  <si>
    <t>BATIKI COM IMPO</t>
  </si>
  <si>
    <t>TIAGO SANTANA</t>
  </si>
  <si>
    <t>ECONOMICO_250</t>
  </si>
  <si>
    <t>CTE NORMAL</t>
  </si>
  <si>
    <t>SAO JOSE DO RIO PRETO - SP</t>
  </si>
  <si>
    <t>JACKSON CHRISTIAN ALVES D</t>
  </si>
  <si>
    <t>MUESTRA LOGISTICA AMBIENT</t>
  </si>
  <si>
    <t>TRANSPORTES RODOVIARIO UP</t>
  </si>
  <si>
    <t>2255-6</t>
  </si>
  <si>
    <t>MATTEL DO BRASI</t>
  </si>
  <si>
    <t>MARLON MARQUES</t>
  </si>
  <si>
    <t>EXPRESSO_250</t>
  </si>
  <si>
    <t>UBERLANDIA - MG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</si>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</sst>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 GABRIEL_25092026.xlsx]Resumo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149.91</c:v>
                </c:pt>
                <c:pt idx="1">
                  <c:v>46590.91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35.577199999999998</c:v>
                </c:pt>
                <c:pt idx="1">
                  <c:v>36319.087200000002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 GABRIEL_25092026.xlsx]Resumo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149.91</c:v>
                </c:pt>
                <c:pt idx="1">
                  <c:v>46590.91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35.577199999999998</c:v>
                </c:pt>
                <c:pt idx="1">
                  <c:v>36319.087200000002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5.41891504629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2830" count="8000">
        <n v="302673"/>
        <n v="30283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5T00:00:00" maxDate="2026-09-26T00:00:00"/>
    </cacheField>
    <cacheField name="DATA" numFmtId="14">
      <sharedItems containsNonDate="0" containsDate="1" containsString="0" containsBlank="1" minDate="2026-09-25T00:00:00" maxDate="2026-09-27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BATIKI COM IMPO"/>
        <s v="MATTEL DO BRAS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325.96" maxValue="1907278.59"/>
    </cacheField>
    <cacheField name="SERVICO" numFmtId="0">
      <sharedItems containsBlank="1" count="27">
        <s v="ECONOMICO_250"/>
        <s v="EXPRESS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9.91" maxValue="46590.91"/>
    </cacheField>
    <cacheField name="VOLUMES" numFmtId="0">
      <sharedItems containsString="0" containsBlank="1" containsNumber="1" containsInteger="1" minValue="13" maxValue="3856"/>
    </cacheField>
    <cacheField name="PESO" numFmtId="0">
      <sharedItems containsString="0" containsBlank="1" containsNumber="1" minValue="65" maxValue="12593.35"/>
    </cacheField>
    <cacheField name="RESP. COLETA" numFmtId="0">
      <sharedItems containsBlank="1"/>
    </cacheField>
    <cacheField name="CUSTO COLETA" numFmtId="0">
      <sharedItems containsString="0" containsBlank="1" containsNumber="1" minValue="0" maxValue="11.9"/>
    </cacheField>
    <cacheField name="RESP. ENTREGA" numFmtId="0">
      <sharedItems containsBlank="1"/>
    </cacheField>
    <cacheField name="CUSTO ENTREGA" numFmtId="0">
      <sharedItems containsString="0" containsBlank="1" containsNumber="1" minValue="0" maxValue="69.75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7.989999999999998" maxValue="5590.9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1599999999999999" maxValue="953.64"/>
    </cacheField>
    <cacheField name="OUTROS" numFmtId="0">
      <sharedItems containsString="0" containsBlank="1" containsNumber="1" minValue="0" maxValue="1.54"/>
    </cacheField>
    <cacheField name="C.TOTAL" numFmtId="0">
      <sharedItems containsString="0" containsBlank="1" containsNumber="1" minValue="157.28" maxValue="17189.61"/>
    </cacheField>
    <cacheField name="RECEITA" numFmtId="0">
      <sharedItems containsString="0" containsBlank="1" containsNumber="1" minValue="-7.37" maxValue="29401.3"/>
    </cacheField>
    <cacheField name="IMPOSTO" numFmtId="0">
      <sharedItems containsString="0" containsBlank="1" containsNumber="1" minValue="38.979999999999997" maxValue="12113.64"/>
    </cacheField>
    <cacheField name="RESULTADO" numFmtId="0">
      <sharedItems containsString="0" containsBlank="1" containsNumber="1" minValue="-46.35" maxValue="17287.6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46.35" maxValue="17287.66"/>
    </cacheField>
    <cacheField name="MARGEM" numFmtId="10">
      <sharedItems containsString="0" containsBlank="1" containsNumber="1" minValue="-0.30920000000000003" maxValue="0.3710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5T00:00:00"/>
    <d v="2026-09-25T00:00:00"/>
    <m/>
    <s v="203841-1"/>
    <x v="0"/>
    <s v="TIAGO SANTANA"/>
    <n v="2325.96"/>
    <x v="0"/>
    <s v="CTE NORMAL"/>
    <s v="SAO JOSE DO RIO PRETO - SP"/>
    <n v="149.91"/>
    <n v="13"/>
    <n v="65"/>
    <s v="JACKSON CHRISTIAN ALVES D"/>
    <n v="11.9"/>
    <s v="MUESTRA LOGISTICA AMBIENT"/>
    <n v="69.75"/>
    <s v="TRANSPORTES RODOVIARIO UP"/>
    <n v="0"/>
    <n v="17.989999999999998"/>
    <n v="0"/>
    <n v="0"/>
    <n v="1.1599999999999999"/>
    <n v="1.54"/>
    <n v="157.28"/>
    <n v="-7.37"/>
    <n v="38.979999999999997"/>
    <n v="-46.35"/>
    <n v="0"/>
    <n v="-46.35"/>
    <n v="-0.30920000000000003"/>
    <m/>
  </r>
  <r>
    <x v="1"/>
    <s v="MATRIZ"/>
    <d v="2026-09-25T00:00:00"/>
    <d v="2026-09-26T00:00:00"/>
    <m/>
    <s v="2255-6"/>
    <x v="1"/>
    <s v="MARLON MARQUES"/>
    <n v="1907278.59"/>
    <x v="1"/>
    <s v="CTE NORMAL"/>
    <s v="UBERLANDIA - MG"/>
    <n v="46590.91"/>
    <n v="3856"/>
    <n v="12593.35"/>
    <s v="N/D"/>
    <n v="0"/>
    <s v="N/D"/>
    <n v="0"/>
    <s v="TRANSPORTES RODOVIARIO UP"/>
    <n v="0"/>
    <n v="5590.91"/>
    <n v="0"/>
    <n v="0"/>
    <n v="953.64"/>
    <n v="0"/>
    <n v="17189.61"/>
    <n v="29401.3"/>
    <n v="12113.64"/>
    <n v="17287.66"/>
    <n v="0"/>
    <n v="17287.66"/>
    <n v="0.37109999999999999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x="0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10"/>
        <item m="1" x="117"/>
        <item sd="0" m="1" x="536"/>
        <item m="1" x="84"/>
        <item m="1" x="602"/>
        <item sd="0" m="1" x="450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1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70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x="1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4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2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92"/>
    </i>
    <i r="1">
      <x v="7998"/>
    </i>
    <i>
      <x v="495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x="0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10"/>
        <item m="1" x="117"/>
        <item sd="0" m="1" x="536"/>
        <item m="1" x="84"/>
        <item m="1" x="602"/>
        <item sd="0" m="1" x="450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1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70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x="1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4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2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92"/>
    </i>
    <i>
      <x v="495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9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2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7" s="1" nd="1"/>
        <i x="48" s="1" nd="1"/>
        <i x="668" s="1" nd="1"/>
        <i x="660" s="1" nd="1"/>
        <i x="469" s="1" nd="1"/>
        <i x="45" s="1" nd="1"/>
        <i x="730" s="1" nd="1"/>
        <i x="689" s="1" nd="1"/>
        <i x="216" s="1" nd="1"/>
        <i x="476" s="1" nd="1"/>
        <i x="633" s="1" nd="1"/>
        <i x="446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1" s="1" nd="1"/>
        <i x="506" s="1" nd="1"/>
        <i x="553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49" s="1" nd="1"/>
        <i x="845" s="1" nd="1"/>
        <i x="445" s="1" nd="1"/>
        <i x="529" s="1" nd="1"/>
        <i x="665" s="1" nd="1"/>
        <i x="518" s="1" nd="1"/>
        <i x="792" s="1" nd="1"/>
        <i x="178" s="1" nd="1"/>
        <i x="59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3" s="1" nd="1"/>
        <i x="408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3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1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6" s="1" nd="1"/>
        <i x="186" s="1" nd="1"/>
        <i x="307" s="1" nd="1"/>
        <i x="177" s="1" nd="1"/>
        <i x="596" s="1" nd="1"/>
        <i x="172" s="1" nd="1"/>
        <i x="614" s="1" nd="1"/>
        <i x="767" s="1" nd="1"/>
        <i x="483" s="1" nd="1"/>
        <i x="53" s="1" nd="1"/>
        <i x="649" s="1" nd="1"/>
        <i x="470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6" s="1" nd="1"/>
        <i x="257" s="1" nd="1"/>
        <i x="406" s="1" nd="1"/>
        <i x="840" s="1" nd="1"/>
        <i x="457" s="1" nd="1"/>
        <i x="478" s="1" nd="1"/>
        <i x="750" s="1" nd="1"/>
        <i x="638" s="1" nd="1"/>
        <i x="54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5" s="1" nd="1"/>
        <i x="173" s="1" nd="1"/>
        <i x="627" s="1" nd="1"/>
        <i x="375" s="1" nd="1"/>
        <i x="807" s="1" nd="1"/>
        <i x="60" s="1" nd="1"/>
        <i x="631" s="1" nd="1"/>
        <i x="530" s="1" nd="1"/>
        <i x="295" s="1" nd="1"/>
        <i x="304" s="1" nd="1"/>
        <i x="174" s="1" nd="1"/>
        <i x="101" s="1" nd="1"/>
        <i x="71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10" s="1" nd="1"/>
        <i x="117" s="1" nd="1"/>
        <i x="536" s="1" nd="1"/>
        <i x="84" s="1" nd="1"/>
        <i x="602" s="1" nd="1"/>
        <i x="450" s="1" nd="1"/>
        <i x="349" s="1" nd="1"/>
        <i x="79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9" s="1" nd="1"/>
        <i x="821" s="1" nd="1"/>
        <i x="341" s="1" nd="1"/>
        <i x="223" s="1" nd="1"/>
        <i x="65" s="1" nd="1"/>
        <i x="635" s="1" nd="1"/>
        <i x="458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60" s="1" nd="1"/>
        <i x="580" s="1" nd="1"/>
        <i x="353" s="1" nd="1"/>
        <i x="103" s="1" nd="1"/>
        <i x="538" s="1" nd="1"/>
        <i x="208" s="1" nd="1"/>
        <i x="671" s="1" nd="1"/>
        <i x="486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2" s="1" nd="1"/>
        <i x="805" s="1" nd="1"/>
        <i x="487" s="1" nd="1"/>
        <i x="443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8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4" s="1" nd="1"/>
        <i x="302" s="1" nd="1"/>
        <i x="548" s="1" nd="1"/>
        <i x="61" s="1" nd="1"/>
        <i x="452" s="1" nd="1"/>
        <i x="774" s="1" nd="1"/>
        <i x="485" s="1" nd="1"/>
        <i x="740" s="1" nd="1"/>
        <i x="454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5" s="1" nd="1"/>
        <i x="700" s="1" nd="1"/>
        <i x="428" s="1" nd="1"/>
        <i x="363" s="1" nd="1"/>
        <i x="100" s="1" nd="1"/>
        <i x="481" s="1" nd="1"/>
        <i x="607" s="1" nd="1"/>
        <i x="715" s="1" nd="1"/>
        <i x="55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6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2" s="1" nd="1"/>
        <i x="799" s="1" nd="1"/>
        <i x="217" s="1" nd="1"/>
        <i x="827" s="1" nd="1"/>
        <i x="70" s="1" nd="1"/>
        <i x="118" s="1" nd="1"/>
        <i x="645" s="1" nd="1"/>
        <i x="411" s="1" nd="1"/>
        <i x="854" s="1" nd="1"/>
        <i x="432" s="1" nd="1"/>
        <i x="569" s="1" nd="1"/>
        <i x="488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1" s="1" nd="1"/>
        <i x="662" s="1" nd="1"/>
        <i x="188" s="1" nd="1"/>
        <i x="659" s="1" nd="1"/>
        <i x="221" s="1" nd="1"/>
        <i x="449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2" s="1" nd="1"/>
        <i x="338" s="1" nd="1"/>
        <i x="612" s="1" nd="1"/>
        <i x="672" s="1" nd="1"/>
        <i x="838" s="1" nd="1"/>
        <i x="51" s="1" nd="1"/>
        <i x="605" s="1" nd="1"/>
        <i x="326" s="1" nd="1"/>
        <i x="35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5" s="1" nd="1"/>
        <i x="669" s="1" nd="1"/>
        <i x="94" s="1" nd="1"/>
        <i x="440" s="1" nd="1"/>
        <i x="351" s="1" nd="1"/>
        <i x="784" s="1" nd="1"/>
        <i x="499" s="1" nd="1"/>
        <i x="62" s="1" nd="1"/>
        <i x="456" s="1" nd="1"/>
        <i x="83" s="1" nd="1"/>
        <i x="325" s="1" nd="1"/>
        <i x="168" s="1" nd="1"/>
        <i x="332" s="1" nd="1"/>
        <i x="564" s="1" nd="1"/>
        <i x="504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5" s="1" nd="1"/>
        <i x="812" s="1" nd="1"/>
        <i x="464" s="1" nd="1"/>
        <i x="745" s="1" nd="1"/>
        <i x="648" s="1" nd="1"/>
        <i x="775" s="1" nd="1"/>
        <i x="72" s="1" nd="1"/>
        <i x="713" s="1" nd="1"/>
        <i x="573" s="1" nd="1"/>
        <i x="184" s="1" nd="1"/>
        <i x="717" s="1" nd="1"/>
        <i x="111" s="1" nd="1"/>
        <i x="254" s="1" nd="1"/>
        <i x="512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3" s="1" nd="1"/>
        <i x="594" s="1" nd="1"/>
        <i x="435" s="1" nd="1"/>
        <i x="68" s="1" nd="1"/>
        <i x="655" s="1" nd="1"/>
        <i x="677" s="1" nd="1"/>
        <i x="565" s="1" nd="1"/>
        <i x="515" s="1" nd="1"/>
        <i x="598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3" s="1" nd="1"/>
        <i x="78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90" s="1" nd="1"/>
        <i x="511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6" s="1" nd="1"/>
        <i x="706" s="1" nd="1"/>
        <i x="619" s="1" nd="1"/>
        <i x="731" s="1" nd="1"/>
        <i x="471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5" s="1" nd="1"/>
        <i x="409" s="1" nd="1"/>
        <i x="474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80" s="1" nd="1"/>
        <i x="52" s="1" nd="1"/>
        <i x="851" s="1" nd="1"/>
        <i x="30" s="1" nd="1"/>
        <i x="570" s="1" nd="1"/>
        <i x="513" s="1" nd="1"/>
        <i x="413" s="1" nd="1"/>
        <i x="702" s="1" nd="1"/>
        <i x="204" s="1" nd="1"/>
        <i x="643" s="1" nd="1"/>
        <i x="779" s="1" nd="1"/>
        <i x="468" s="1" nd="1"/>
        <i x="41" s="1" nd="1"/>
        <i x="693" s="1" nd="1"/>
        <i x="663" s="1" nd="1"/>
        <i x="808" s="1" nd="1"/>
        <i x="816" s="1" nd="1"/>
        <i x="624" s="1" nd="1"/>
        <i x="459" s="1" nd="1"/>
        <i x="691" s="1" nd="1"/>
        <i x="134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1" s="1" nd="1"/>
        <i x="514" s="1" nd="1"/>
        <i x="122" s="1" nd="1"/>
        <i x="646" s="1" nd="1"/>
        <i x="49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8" s="1" nd="1"/>
        <i x="500" s="1" nd="1"/>
        <i x="69" s="1" nd="1"/>
        <i x="679" s="1" nd="1"/>
        <i x="82" s="1" nd="1"/>
        <i x="634" s="1" nd="1"/>
        <i x="67" s="1" nd="1"/>
        <i x="650" s="1" nd="1"/>
        <i x="489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4" s="1" nd="1"/>
        <i x="424" s="1" nd="1"/>
        <i x="27" s="1" nd="1"/>
        <i x="765" s="1" nd="1"/>
        <i x="414" s="1" nd="1"/>
        <i x="552" s="1" nd="1"/>
        <i x="97" s="1" nd="1"/>
        <i x="85" s="1" nd="1"/>
        <i x="293" s="1" nd="1"/>
        <i x="195" s="1" nd="1"/>
        <i x="497" s="1" nd="1"/>
        <i x="262" s="1" nd="1"/>
        <i x="31" s="1" nd="1"/>
        <i x="105" s="1" nd="1"/>
        <i x="533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2" s="1" nd="1"/>
        <i x="63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6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4" s="1" nd="1"/>
        <i x="212" s="1" nd="1"/>
        <i x="599" s="1" nd="1"/>
        <i x="190" s="1" nd="1"/>
        <i x="226" s="1" nd="1"/>
        <i x="842" s="1" nd="1"/>
        <i x="836" s="1" nd="1"/>
        <i x="492" s="1" nd="1"/>
        <i x="684" s="1" nd="1"/>
        <i x="243" s="1" nd="1"/>
        <i x="57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0" totalsRowShown="0" headerRowDxfId="92" dataDxfId="90" headerRowBorderDxfId="91" tableBorderDxfId="89" totalsRowBorderDxfId="88">
  <autoFilter ref="A1:D390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302673</v>
      </c>
      <c r="B2" s="12" t="s">
        <v>609</v>
      </c>
      <c r="C2" s="14">
        <v>46290</v>
      </c>
      <c r="D2" s="14">
        <v>46290</v>
      </c>
      <c r="E2" s="12"/>
      <c r="F2" s="15" t="s">
        <v>610</v>
      </c>
      <c r="G2" s="15" t="s">
        <v>611</v>
      </c>
      <c r="H2" s="15" t="s">
        <v>612</v>
      </c>
      <c r="I2" s="16">
        <v>2325.96</v>
      </c>
      <c r="J2" s="15" t="s">
        <v>613</v>
      </c>
      <c r="K2" s="15" t="s">
        <v>614</v>
      </c>
      <c r="L2" s="15" t="s">
        <v>615</v>
      </c>
      <c r="M2" s="15">
        <v>149.91</v>
      </c>
      <c r="N2" s="15">
        <v>13</v>
      </c>
      <c r="O2" s="16">
        <v>65</v>
      </c>
      <c r="P2" s="15" t="s">
        <v>616</v>
      </c>
      <c r="Q2" s="15">
        <v>11.9</v>
      </c>
      <c r="R2" s="15" t="s">
        <v>617</v>
      </c>
      <c r="S2" s="15">
        <v>69.75</v>
      </c>
      <c r="T2" s="15" t="s">
        <v>618</v>
      </c>
      <c r="U2" s="15">
        <v>0</v>
      </c>
      <c r="V2" s="15">
        <v>17.989999999999998</v>
      </c>
      <c r="W2" s="15">
        <v>0</v>
      </c>
      <c r="X2" s="15">
        <v>0</v>
      </c>
      <c r="Y2" s="15">
        <v>1.1599999999999999</v>
      </c>
      <c r="Z2" s="15">
        <v>1.54</v>
      </c>
      <c r="AA2" s="15">
        <v>157.28</v>
      </c>
      <c r="AB2" s="15">
        <v>-7.37</v>
      </c>
      <c r="AC2" s="15">
        <v>38.979999999999997</v>
      </c>
      <c r="AD2" s="15">
        <v>-46.35</v>
      </c>
      <c r="AE2" s="15">
        <v>0</v>
      </c>
      <c r="AF2" s="15">
        <v>-46.35</v>
      </c>
      <c r="AG2" s="17">
        <v>-0.30920000000000003</v>
      </c>
      <c r="AH2" s="15"/>
    </row>
    <row r="3" spans="1:34" s="1" customFormat="1" ht="12" customHeight="1" x14ac:dyDescent="0.3">
      <c r="A3" s="13">
        <v>302830</v>
      </c>
      <c r="B3" s="12" t="s">
        <v>609</v>
      </c>
      <c r="C3" s="14">
        <v>46290</v>
      </c>
      <c r="D3" s="14">
        <v>46291</v>
      </c>
      <c r="E3" s="12"/>
      <c r="F3" s="15" t="s">
        <v>619</v>
      </c>
      <c r="G3" s="15" t="s">
        <v>620</v>
      </c>
      <c r="H3" s="15" t="s">
        <v>621</v>
      </c>
      <c r="I3" s="16">
        <v>1907278.59</v>
      </c>
      <c r="J3" s="15" t="s">
        <v>622</v>
      </c>
      <c r="K3" s="15" t="s">
        <v>614</v>
      </c>
      <c r="L3" s="15" t="s">
        <v>623</v>
      </c>
      <c r="M3" s="16">
        <v>46590.91</v>
      </c>
      <c r="N3" s="15">
        <v>3856</v>
      </c>
      <c r="O3" s="16">
        <v>12593.35</v>
      </c>
      <c r="P3" s="15" t="s">
        <v>624</v>
      </c>
      <c r="Q3" s="15">
        <v>0</v>
      </c>
      <c r="R3" s="15" t="s">
        <v>624</v>
      </c>
      <c r="S3" s="15">
        <v>0</v>
      </c>
      <c r="T3" s="15" t="s">
        <v>618</v>
      </c>
      <c r="U3" s="15">
        <v>0</v>
      </c>
      <c r="V3" s="15">
        <v>5590.91</v>
      </c>
      <c r="W3" s="15">
        <v>0</v>
      </c>
      <c r="X3" s="15">
        <v>0</v>
      </c>
      <c r="Y3" s="15">
        <v>953.64</v>
      </c>
      <c r="Z3" s="15">
        <v>0</v>
      </c>
      <c r="AA3" s="16">
        <v>17189.61</v>
      </c>
      <c r="AB3" s="16">
        <v>29401.3</v>
      </c>
      <c r="AC3" s="15">
        <v>12113.64</v>
      </c>
      <c r="AD3" s="15">
        <v>17287.66</v>
      </c>
      <c r="AE3" s="15">
        <v>0</v>
      </c>
      <c r="AF3" s="15">
        <v>17287.66</v>
      </c>
      <c r="AG3" s="17">
        <v>0.37109999999999999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46740.820000000007</v>
      </c>
      <c r="F3" s="93"/>
      <c r="G3" s="94"/>
      <c r="H3" s="95">
        <f>'Resumo Detalhado'!C2</f>
        <v>12658.35</v>
      </c>
      <c r="I3" s="96"/>
      <c r="J3" s="97">
        <f>E3/H3</f>
        <v>3.6924891474797272</v>
      </c>
      <c r="K3" s="98"/>
      <c r="L3" s="99"/>
      <c r="M3" s="138" t="s">
        <v>41</v>
      </c>
      <c r="N3" s="93"/>
      <c r="O3" s="94"/>
      <c r="P3" s="135">
        <v>22000</v>
      </c>
      <c r="Q3" s="136"/>
      <c r="R3" s="137"/>
      <c r="S3" s="103">
        <f>MIN(H3/P3,1)</f>
        <v>0.5753795454545455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10711.9</v>
      </c>
      <c r="F7" s="109"/>
      <c r="G7" s="109"/>
      <c r="H7" s="109"/>
      <c r="I7" s="109"/>
      <c r="J7" s="109">
        <f>E7/H3</f>
        <v>0.84623193386183815</v>
      </c>
      <c r="K7" s="109"/>
      <c r="L7" s="109"/>
      <c r="M7" s="110">
        <f>E7/E3</f>
        <v>0.22917655274340498</v>
      </c>
      <c r="N7" s="110"/>
      <c r="O7" s="110"/>
      <c r="P7" s="109">
        <f>E11+K11+Q11+E15+K15+Q15+E19+H19+K19</f>
        <v>28494.936799999999</v>
      </c>
      <c r="Q7" s="109"/>
      <c r="R7" s="109"/>
      <c r="S7" s="109">
        <f>P7/H3</f>
        <v>2.2510782842945565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10700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10700</v>
      </c>
      <c r="L11" s="94"/>
      <c r="M11" s="38"/>
      <c r="N11" s="92">
        <f>K11/H3</f>
        <v>0.84529184293371562</v>
      </c>
      <c r="O11" s="94"/>
      <c r="P11" s="38"/>
      <c r="Q11" s="92">
        <f>'Resumo Detalhado'!D2</f>
        <v>11.9</v>
      </c>
      <c r="R11" s="94"/>
      <c r="S11" s="38"/>
      <c r="T11" s="92">
        <f>Q11/H3</f>
        <v>9.4009092812254364E-4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5608.9</v>
      </c>
      <c r="F15" s="113"/>
      <c r="G15" s="113"/>
      <c r="H15" s="113"/>
      <c r="I15" s="114"/>
      <c r="J15" s="38"/>
      <c r="K15" s="116">
        <f>'Resumo Detalhado'!K2+'Resumo Detalhado'!L2</f>
        <v>7478.5312000000004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954.8</v>
      </c>
      <c r="F19" s="119"/>
      <c r="G19" s="38"/>
      <c r="H19" s="106">
        <f>'Resumo Detalhado'!J2</f>
        <v>1.54</v>
      </c>
      <c r="I19" s="108"/>
      <c r="J19" s="38"/>
      <c r="K19" s="106">
        <f>'Resumo Detalhado'!L2</f>
        <v>3739.2656000000002</v>
      </c>
      <c r="L19" s="108"/>
      <c r="M19" s="38"/>
      <c r="N19" s="112" t="s">
        <v>595</v>
      </c>
      <c r="O19" s="113"/>
      <c r="P19" s="113"/>
      <c r="Q19" s="113"/>
      <c r="R19" s="119"/>
      <c r="S19" s="112">
        <f>_xlfn.XLOOKUP(N19,Target!C:C,Target!D:D)</f>
        <v>10000</v>
      </c>
      <c r="T19" s="113"/>
      <c r="U19" s="119"/>
      <c r="V19" s="36"/>
      <c r="W19" s="126" t="str">
        <f>IF(D11=S19,"NO TARGET",IF(D11&lt;S19,"ABAIXO DO TARGET",IF(D11&gt;S19,"FORA DO TARGET")))</f>
        <v>FORA DO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36354.664400000001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0.77779261039921843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55468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2" width="12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625</v>
      </c>
      <c r="F1" s="29"/>
    </row>
    <row r="2" spans="1:18" x14ac:dyDescent="0.3">
      <c r="B2" s="29">
        <f>SUM(B6:B5000)</f>
        <v>46740.820000000007</v>
      </c>
      <c r="C2" s="29">
        <f>SUM(C6:C5000)</f>
        <v>12658.35</v>
      </c>
      <c r="D2" s="29">
        <f>SUM(D6:D5000)</f>
        <v>11.9</v>
      </c>
      <c r="E2" s="29">
        <f>SUM(E6:E5000)</f>
        <v>69.75</v>
      </c>
      <c r="F2" s="29">
        <f>SUM(F6:F5000)</f>
        <v>0</v>
      </c>
      <c r="G2" s="29"/>
      <c r="H2" s="29">
        <f t="shared" ref="H2:P2" si="0">SUM(H6:H5000)</f>
        <v>5608.9</v>
      </c>
      <c r="I2" s="29">
        <f t="shared" si="0"/>
        <v>954.8</v>
      </c>
      <c r="J2" s="29">
        <f t="shared" si="0"/>
        <v>1.54</v>
      </c>
      <c r="K2" s="29">
        <f t="shared" si="0"/>
        <v>3739.2656000000002</v>
      </c>
      <c r="L2" s="29">
        <f t="shared" si="0"/>
        <v>3739.2656000000002</v>
      </c>
      <c r="M2" s="29">
        <f t="shared" si="0"/>
        <v>0</v>
      </c>
      <c r="N2" s="29">
        <f t="shared" si="0"/>
        <v>36354.664400000001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611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302673</v>
      </c>
      <c r="B6" s="140">
        <v>149.91</v>
      </c>
      <c r="C6" s="141">
        <v>65</v>
      </c>
      <c r="D6" s="140">
        <v>11.9</v>
      </c>
      <c r="E6" s="140">
        <v>69.75</v>
      </c>
      <c r="F6" s="140">
        <v>0</v>
      </c>
      <c r="G6" s="142">
        <v>0.54466012941097997</v>
      </c>
      <c r="H6" s="140">
        <v>17.989999999999998</v>
      </c>
      <c r="I6" s="140">
        <v>1.1599999999999999</v>
      </c>
      <c r="J6" s="140">
        <v>1.54</v>
      </c>
      <c r="K6" s="140">
        <v>11.992800000000001</v>
      </c>
      <c r="L6" s="140">
        <v>11.992800000000001</v>
      </c>
      <c r="M6" s="140">
        <v>0</v>
      </c>
      <c r="N6" s="140">
        <v>35.577199999999998</v>
      </c>
      <c r="O6" s="142">
        <v>0.23732372756987524</v>
      </c>
      <c r="Q6"/>
    </row>
    <row r="7" spans="1:18" s="31" customFormat="1" x14ac:dyDescent="0.3">
      <c r="A7" s="9" t="s">
        <v>620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302830</v>
      </c>
      <c r="B8" s="140">
        <v>46590.91</v>
      </c>
      <c r="C8" s="141">
        <v>12593.35</v>
      </c>
      <c r="D8" s="140">
        <v>0</v>
      </c>
      <c r="E8" s="140">
        <v>0</v>
      </c>
      <c r="F8" s="140">
        <v>0</v>
      </c>
      <c r="G8" s="142">
        <v>0</v>
      </c>
      <c r="H8" s="140">
        <v>5590.91</v>
      </c>
      <c r="I8" s="140">
        <v>953.64</v>
      </c>
      <c r="J8" s="140">
        <v>0</v>
      </c>
      <c r="K8" s="140">
        <v>3727.2728000000002</v>
      </c>
      <c r="L8" s="140">
        <v>3727.2728000000002</v>
      </c>
      <c r="M8" s="140">
        <v>0</v>
      </c>
      <c r="N8" s="140">
        <v>36319.087200000002</v>
      </c>
      <c r="O8" s="142">
        <v>0.77953161249694414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625</v>
      </c>
    </row>
    <row r="2" spans="1:4" x14ac:dyDescent="0.3">
      <c r="B2" s="29">
        <f>SUM(B6:B5000)</f>
        <v>46590.91</v>
      </c>
      <c r="C2" s="29">
        <f>SUM(C6:C5000)</f>
        <v>36319.087200000002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611</v>
      </c>
      <c r="B5" s="10">
        <v>149.91</v>
      </c>
      <c r="C5" s="10">
        <v>35.577199999999998</v>
      </c>
    </row>
    <row r="6" spans="1:4" x14ac:dyDescent="0.3">
      <c r="A6" s="9" t="s">
        <v>620</v>
      </c>
      <c r="B6" s="140">
        <v>46590.91</v>
      </c>
      <c r="C6" s="140">
        <v>36319.087200000002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0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2026-09-30T13:03:21Z</dcterms:modified>
  <cp:category/>
  <cp:contentStatus/>
</cp:coreProperties>
</file>