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77827A4-A66C-46F0-B8B9-D25EC280A01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<sst xmlns="http://schemas.openxmlformats.org/spreadsheetml/2006/main" count="869" uniqueCount="596">
  <si>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</si>
  <si>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</si>
  <si>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</si>
  <si>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</si>
  <si>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</si>
  <si>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</si>
  <si>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</si>
  <si>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</si>
  <si>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</si>
  <si>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</si>
  <si>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</si>
  <si>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</si>
  <si>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</si>
  <si>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</si>
  <si>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</si>
  <si>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</si>
  <si>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</si>
  <si>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</si>
  <si>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</si>
  <si>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</si>
  <si>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</si>
  <si>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</si>
  <si>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</si>
  <si>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</si>
  <si>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</si>
  <si>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</si>
  <si>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</si>
  <si>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</si>
  <si>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</si>
  <si>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</si>
  <si>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</si>
  <si>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</si>
  <si>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</si>
  <si>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</si>
  <si>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</si>
  <si>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</si>
  <si>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</si>
  <si>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</si>
  <si>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</si>
  <si>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</si>
  <si>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</si>
  <si>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</si>
  <si>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</si>
  <si>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</si>
  <si>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</si>
  <si>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</si>
  <si>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</si>
  <si>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</si>
  <si>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</si>
  <si>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</si>
  <si>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</si>
  <si>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</si>
  <si>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</si>
  <si>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</si>
  <si>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</si>
  <si>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</si>
  <si>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</si>
  <si>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</si>
  <si>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</si>
  <si>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</si>
  <si>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</si>
  <si>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</si>
  <si>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</si>
  <si>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</si>
  <si>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</si>
  <si>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</si>
  <si>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</si>
  <si>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</si>
  <si>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</si>
  <si>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</si>
  <si>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</si>
  <si>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</si>
  <si>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</si>
  <si>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</si>
  <si>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</si>
  <si>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</si>
  <si>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</si>
  <si>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</si>
  <si>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</si>
  <si>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</si>
  <si>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</si>
  <si>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</si>
  <si>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</si>
  <si>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</si>
  <si>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</si>
  <si>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</si>
  <si>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</si>
  <si>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</si>
  <si>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</si>
  <si>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</si>
  <si>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</si>
  <si>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</si>
  <si>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</si>
  <si>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</si>
  <si>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</si>
  <si>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</si>
  <si>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</si>
  <si>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</si>
  <si>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</si>
  <si>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</si>
  <si>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</si>
  <si>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</si>
  <si>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</si>
  <si>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</si>
  <si>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</si>
  <si>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</si>
  <si>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</si>
  <si>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</si>
  <si>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</si>
  <si>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</si>
  <si>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</si>
  <si>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</si>
  <si>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</si>
  <si>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</si>
  <si>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</si>
  <si>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</si>
  <si>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</si>
  <si>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</si>
  <si>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</si>
  <si>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</si>
  <si>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</si>
  <si>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</si>
  <si>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</si>
  <si>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</si>
  <si>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</si>
  <si>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</si>
  <si>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</si>
  <si>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</si>
  <si>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</si>
  <si>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</si>
  <si>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</si>
  <si>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</si>
  <si>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</si>
  <si>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</si>
  <si>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</si>
  <si>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</si>
  <si>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</si>
  <si>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</si>
  <si>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</si>
  <si>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</si>
  <si>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</si>
  <si>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</si>
  <si>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</si>
  <si>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</si>
  <si>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</si>
  <si>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</si>
  <si>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</si>
  <si>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</si>
  <si>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</si>
  <si>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</si>
  <si>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</si>
  <si>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</si>
  <si>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</si>
  <si>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</si>
  <si>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</si>
  <si>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</si>
  <si>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</si>
  <si>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</si>
  <si>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</si>
  <si>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</si>
  <si>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</si>
  <si>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</si>
  <si>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</si>
  <si>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</si>
  <si>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</si>
  <si>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</si>
  <si>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</si>
  <si>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</si>
  <si>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</si>
  <si>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</si>
  <si>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</si>
  <si>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</si>
  <si>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</si>
  <si>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</si>
  <si>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</si>
  <si>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</si>
  <si>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</si>
  <si>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</si>
  <si>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</si>
  <si>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</si>
  <si>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</si>
  <si>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</si>
  <si>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</si>
  <si>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</si>
  <si>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</si>
  <si>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</si>
  <si>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</si>
  <si>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</si>
  <si>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</si>
  <si>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</si>
  <si>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</si>
  <si>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</si>
  <si>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</si>
  <si>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</si>
  <si>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</si>
  <si>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</si>
  <si>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</si>
  <si>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</si>
  <si>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</si>
  <si>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</si>
  <si>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</si>
  <si>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</si>
  <si>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</si>
  <si>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</si>
  <si>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</si>
  <si>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</si>
  <si>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</si>
  <si>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</si>
  <si>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</si>
  <si>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</si>
  <si>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</si>
  <si>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</si>
  <si>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</si>
  <si>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</si>
  <si>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</si>
  <si>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</si>
  <si>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</si>
  <si>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</si>
  <si>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</si>
  <si>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</si>
  <si>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</si>
  <si>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</si>
  <si>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</si>
  <si>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</si>
  <si>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</si>
  <si>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</si>
  <si>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</si>
  <si>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</si>
  <si>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</si>
  <si>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</si>
  <si>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</si>
  <si>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</si>
  <si>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</si>
  <si>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</si>
  <si>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</si>
  <si>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</si>
  <si>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</si>
  <si>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</si>
  <si>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</si>
  <si>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</si>
  <si>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</si>
  <si>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</si>
  <si>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</si>
  <si>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</si>
  <si>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</si>
  <si>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</si>
  <si>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</si>
  <si>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</si>
  <si>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</si>
  <si>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</si>
  <si>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</si>
  <si>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</si>
  <si>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</si>
  <si>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</si>
  <si>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</si>
  <si>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</si>
  <si>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</si>
  <si>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</si>
  <si>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</si>
  <si>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</si>
  <si>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</si>
  <si>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</si>
  <si>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</si>
  <si>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</si>
  <si>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</si>
  <si>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</si>
  <si>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</si>
  <si>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</si>
  <si>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</si>
  <si>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</si>
  <si>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</si>
  <si>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</si>
  <si>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</si>
  <si>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</si>
  <si>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</si>
  <si>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</si>
  <si>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</si>
  <si>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</si>
  <si>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</si>
  <si>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</si>
  <si>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</si>
  <si>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</si>
  <si>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</si>
  <si>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</si>
  <si>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</si>
  <si>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</si>
  <si>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</si>
  <si>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</si>
  <si>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</si>
  <si>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</si>
  <si>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</si>
  <si>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</si>
  <si>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</si>
  <si>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</si>
  <si>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</si>
  <si>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</si>
  <si>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</si>
  <si>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</si>
  <si>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</si>
  <si>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</si>
  <si>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</si>
  <si>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</si>
  <si>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</si>
  <si>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</si>
  <si>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</si>
  <si>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</si>
  <si>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</si>
  <si>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</si>
  <si>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</si>
  <si>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</si>
  <si>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</si>
  <si>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</si>
  <si>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</si>
  <si>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</si>
  <si>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</si>
  <si>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</si>
  <si>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</si>
  <si>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</si>
  <si>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</si>
  <si>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</si>
  <si>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</si>
  <si>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</si>
  <si>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</si>
  <si>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</si>
  <si>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</si>
  <si>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</si>
  <si>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</si>
  <si>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</si>
  <si>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</si>
  <si>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</si>
  <si>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</si>
  <si>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</si>
  <si>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</si>
  <si>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</si>
  <si>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</si>
  <si>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</si>
  <si>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</si>
  <si>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</si>
  <si>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</si>
  <si>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</si>
  <si>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</si>
  <si>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</si>
  <si>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</si>
  <si>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</si>
  <si>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</si>
  <si>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</si>
  <si>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</si>
  <si>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</si>
  <si>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</si>
  <si>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</si>
  <si>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</si>
  <si>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</si>
  <si>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</si>
  <si>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</si>
  <si>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</si>
  <si>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</si>
  <si>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</si>
  <si>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</si>
  <si>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</si>
  <si>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</si>
  <si>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</si>
  <si>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</si>
  <si>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</si>
  <si>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</si>
  <si>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</si>
  <si>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</si>
  <si>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</si>
  <si>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</si>
  <si>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</si>
  <si>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</si>
  <si>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</si>
  <si>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</si>
  <si>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</si>
  <si>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</si>
  <si>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</si>
  <si>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</si>
  <si>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</si>
  <si>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</si>
  <si>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</si>
  <si>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</si>
  <si>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</si>
  <si>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</si>
  <si>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</si>
  <si>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</si>
  <si>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</si>
  <si>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</si>
  <si>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</si>
  <si>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</si>
  <si>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</si>
  <si>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</si>
  <si>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</si>
  <si>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</si>
  <si>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</si>
  <si>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</si>
  <si>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</si>
  <si>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</si>
  <si>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</si>
  <si>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</si>
  <si>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</si>
  <si>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</si>
  <si>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</si>
  <si>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</si>
  <si>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</si>
  <si>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</si>
  <si>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</si>
  <si>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</si>
  <si>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</si>
  <si>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</si>
  <si>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</si>
  <si>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</si>
  <si>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</si>
  <si>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</si>
  <si>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</si>
  <si>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</si>
  <si>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</si>
  <si>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</si>
  <si>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</si>
  <si>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</si>
  <si>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</si>
  <si>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</si>
  <si>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</si>
  <si>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</si>
  <si>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</si>
  <si>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</si>
  <si>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</si>
  <si>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</si>
  <si>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</si>
  <si>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</si>
  <si>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</si>
  <si>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</si>
  <si>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</si>
  <si>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</si>
  <si>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</si>
  <si>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</si>
  <si>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</si>
  <si>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</si>
  <si>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</si>
  <si>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</si>
  <si>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</si>
  <si>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</si>
  <si>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</si>
  <si>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</si>
  <si>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</si>
  <si>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</si>
  <si>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</si>
  <si>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</si>
  <si>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</si>
  <si>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</si>
  <si>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</si>
  <si>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</si>
  <si>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</si>
  <si>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</si>
  <si>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</si>
  <si>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</si>
  <si>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</si>
  <si>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</si>
  <si>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</si>
  <si>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</si>
  <si>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</si>
  <si>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</si>
  <si>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</si>
  <si>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</si>
  <si>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</si>
  <si>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</si>
  <si>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</si>
  <si>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</si>
  <si>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</si>
  <si>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</si>
  <si>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</si>
  <si>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</si>
  <si>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</si>
  <si>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</si>
  <si>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</si>
  <si>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</si>
  <si>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</si>
  <si>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</si>
  <si>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</si>
  <si>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</si>
  <si>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</si>
  <si>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</si>
  <si>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</si>
  <si>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</si>
  <si>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</si>
  <si>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</si>
  <si>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</si>
  <si>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</si>
  <si>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</si>
  <si>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</si>
  <si>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</si>
  <si>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</si>
  <si>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</si>
  <si>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</si>
  <si>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</si>
  <si>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</si>
  <si>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</si>
  <si>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</si>
  <si>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</si>
  <si>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</si>
  <si>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</si>
  <si>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</si>
  <si>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</si>
  <si>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</si>
  <si>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</si>
  <si>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</si>
  <si>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</si>
  <si>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</si>
  <si>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</si>
  <si>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</si>
  <si>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</si>
  <si>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</si>
  <si>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</si>
  <si>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</si>
  <si>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</si>
  <si>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</si>
  <si>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</si>
  <si>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</si>
  <si>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</si>
  <si>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</si>
  <si>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</si>
  <si>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</si>
  <si>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</si>
  <si>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</si>
  <si>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</si>
  <si>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</si>
  <si>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</si>
  <si>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</si>
  <si>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</si>
  <si>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</si>
  <si>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</si>
  <si>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</si>
  <si>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</si>
  <si>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</si>
  <si>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</si>
  <si>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</si>
  <si>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</si>
  <si>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</si>
  <si>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</si>
  <si>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</si>
  <si>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</si>
  <si>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</si>
  <si>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</si>
  <si>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</si>
  <si>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</si>
  <si>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</si>
  <si>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</si>
  <si>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</si>
  <si>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</si>
  <si>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</si>
  <si>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</si>
  <si>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</si>
  <si>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</si>
  <si>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</si>
  <si>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</si>
  <si>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</si>
  <si>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</si>
  <si>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</si>
  <si>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</si>
  <si>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</si>
  <si>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</si>
  <si>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</si>
  <si>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</si>
  <si>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</si>
  <si>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</si>
  <si>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</si>
  <si>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</si>
  <si>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</si>
  <si>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</si>
  <si>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</si>
  <si>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</si>
  <si>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</si>
  <si>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</si>
  <si>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</si>
  <si>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</si>
  <si>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</si>
  <si>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</si>
  <si>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</si>
  <si>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</si>
  <si>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</si>
  <si>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</si>
  <si>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</si>
  <si>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202552-1</t>
  </si>
  <si>
    <t>IGP - CLINI COM</t>
  </si>
  <si>
    <t>MICHELL MARQUES</t>
  </si>
  <si>
    <t>ECONOMICO_250</t>
  </si>
  <si>
    <t>CTE NORMAL</t>
  </si>
  <si>
    <t>INDAIATUBA - SP</t>
  </si>
  <si>
    <t>ITAUAN GONZAGA DA SILVA</t>
  </si>
  <si>
    <t>PORTOEX SP</t>
  </si>
  <si>
    <t>PATRICIA FERNANDA BERNARD</t>
  </si>
  <si>
    <t>202637-1</t>
  </si>
  <si>
    <t>COMEXPORT COMPA</t>
  </si>
  <si>
    <t>PERSONALIZADO_V</t>
  </si>
  <si>
    <t>BARUERI - SP</t>
  </si>
  <si>
    <t>N/D</t>
  </si>
  <si>
    <t>Itapoa-Sc X Barueri-Spvan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</si>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</sst>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GUILHERME_03092026.xlsx]Resumo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5452.66</c:v>
                </c:pt>
                <c:pt idx="1">
                  <c:v>83.59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3950.6271999999999</c:v>
                </c:pt>
                <c:pt idx="1">
                  <c:v>16.212800000000001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GUILHERME_03092026.xlsx]Resumo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5452.66</c:v>
                </c:pt>
                <c:pt idx="1">
                  <c:v>83.59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3950.6271999999999</c:v>
                </c:pt>
                <c:pt idx="1">
                  <c:v>16.212800000000001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43077291666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685" count="8000">
        <n v="299526"/>
        <n v="29968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4T00:00:00"/>
    </cacheField>
    <cacheField name="DATA" numFmtId="14">
      <sharedItems containsNonDate="0" containsDate="1" containsString="0" containsBlank="1" minDate="2026-09-02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IGP - CLINI COM"/>
        <s v="COMEXPORT COMP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14.79" maxValue="798346.13"/>
    </cacheField>
    <cacheField name="SERVICO" numFmtId="0">
      <sharedItems containsBlank="1" count="28">
        <s v="ECONOMICO_250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3.59" maxValue="5452.66"/>
    </cacheField>
    <cacheField name="VOLUMES" numFmtId="0">
      <sharedItems containsString="0" containsBlank="1" containsNumber="1" containsInteger="1" minValue="1" maxValue="4"/>
    </cacheField>
    <cacheField name="PESO" numFmtId="0">
      <sharedItems containsString="0" containsBlank="1" containsNumber="1" minValue="2.57" maxValue="702.56"/>
    </cacheField>
    <cacheField name="RESP. COLETA" numFmtId="0">
      <sharedItems containsBlank="1"/>
    </cacheField>
    <cacheField name="CUSTO COLETA" numFmtId="0">
      <sharedItems containsString="0" containsBlank="1" containsNumber="1" minValue="0" maxValue="0.1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029999999999999" maxValue="654.320000000000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6" maxValue="399.17"/>
    </cacheField>
    <cacheField name="OUTROS" numFmtId="0">
      <sharedItems containsString="0" containsBlank="1" containsNumber="1" minValue="0.09" maxValue="12.33"/>
    </cacheField>
    <cacheField name="C.TOTAL" numFmtId="0">
      <sharedItems containsString="0" containsBlank="1" containsNumber="1" minValue="69.06" maxValue="3357.45"/>
    </cacheField>
    <cacheField name="RECEITA" numFmtId="0">
      <sharedItems containsString="0" containsBlank="1" containsNumber="1" minValue="14.53" maxValue="2095.21"/>
    </cacheField>
    <cacheField name="IMPOSTO" numFmtId="0">
      <sharedItems containsString="0" containsBlank="1" containsNumber="1" minValue="21.73" maxValue="1417.69"/>
    </cacheField>
    <cacheField name="RESULTADO" numFmtId="0">
      <sharedItems containsString="0" containsBlank="1" containsNumber="1" minValue="-7.2" maxValue="677.5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7.2" maxValue="677.52"/>
    </cacheField>
    <cacheField name="MARGEM" numFmtId="10">
      <sharedItems containsString="0" containsBlank="1" containsNumber="1" minValue="-8.6099999999999996E-2" maxValue="0.1242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2T00:00:00"/>
    <d v="2026-09-02T00:00:00"/>
    <m/>
    <s v="202552-1"/>
    <x v="0"/>
    <s v="MICHELL MARQUES"/>
    <n v="914.79"/>
    <x v="0"/>
    <s v="CTE NORMAL"/>
    <s v="INDAIATUBA - SP"/>
    <n v="83.59"/>
    <n v="1"/>
    <n v="2.57"/>
    <s v="ITAUAN GONZAGA DA SILVA"/>
    <n v="0.11"/>
    <s v="PORTOEX SP"/>
    <n v="50"/>
    <s v="PATRICIA FERNANDA BERNARD"/>
    <n v="0"/>
    <n v="10.029999999999999"/>
    <n v="0"/>
    <n v="0"/>
    <n v="0.46"/>
    <n v="0.09"/>
    <n v="69.06"/>
    <n v="14.53"/>
    <n v="21.73"/>
    <n v="-7.2"/>
    <n v="0"/>
    <n v="-7.2"/>
    <n v="-8.6099999999999996E-2"/>
    <m/>
  </r>
  <r>
    <x v="1"/>
    <s v="MATRIZ"/>
    <d v="2026-09-03T00:00:00"/>
    <d v="2026-09-03T00:00:00"/>
    <m/>
    <s v="202637-1"/>
    <x v="1"/>
    <s v="MICHELL MARQUES"/>
    <n v="798346.13"/>
    <x v="1"/>
    <s v="CTE NORMAL"/>
    <s v="BARUERI - SP"/>
    <n v="5452.66"/>
    <n v="4"/>
    <n v="702.56"/>
    <s v="PATRICIA FERNANDA BERNARD"/>
    <n v="0"/>
    <s v="N/D"/>
    <n v="0"/>
    <s v="PATRICIA FERNANDA BERNARD"/>
    <n v="0"/>
    <n v="654.32000000000005"/>
    <n v="0"/>
    <n v="0"/>
    <n v="399.17"/>
    <n v="12.33"/>
    <n v="3357.45"/>
    <n v="2095.21"/>
    <n v="1417.69"/>
    <n v="677.52"/>
    <n v="0"/>
    <n v="677.52"/>
    <n v="0.1242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2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4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50"/>
        <item m="1" x="845"/>
        <item m="1" x="445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3"/>
        <item m="1" x="409"/>
        <item m="1" x="516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3"/>
        <item m="1" x="139"/>
        <item m="1" x="661"/>
        <item m="1" x="373"/>
        <item m="1" x="155"/>
        <item m="1" x="252"/>
        <item m="1" x="629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x="1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29"/>
        <item m="1" x="714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6"/>
        <item m="1" x="458"/>
        <item m="1" x="790"/>
        <item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1"/>
        <item m="1" x="486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6"/>
        <item m="1" x="542"/>
        <item sd="0" m="1" x="370"/>
        <item sd="0" m="1" x="336"/>
        <item sd="0" m="1" x="176"/>
        <item x="0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8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6"/>
        <item m="1" x="412"/>
        <item m="1" x="854"/>
        <item m="1" x="432"/>
        <item m="1" x="570"/>
        <item m="1" x="488"/>
        <item m="1" x="183"/>
        <item sd="0" m="1" x="375"/>
        <item m="1" x="243"/>
        <item m="1" x="338"/>
        <item m="1" x="528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2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7"/>
        <item m="1" x="566"/>
        <item m="1" x="515"/>
        <item m="1" x="599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7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0"/>
        <item m="1" x="511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6"/>
        <item m="1" x="706"/>
        <item m="1" x="620"/>
        <item m="1" x="731"/>
        <item m="1" x="471"/>
        <item m="1" x="552"/>
        <item m="1" x="265"/>
        <item m="1" x="251"/>
        <item m="1" x="633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8"/>
        <item m="1" x="614"/>
        <item m="1" x="777"/>
        <item m="1" x="395"/>
        <item m="1" x="401"/>
        <item m="1" x="704"/>
        <item m="1" x="404"/>
        <item m="1" x="830"/>
        <item m="1" x="495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3"/>
        <item m="1" x="414"/>
        <item m="1" x="702"/>
        <item m="1" x="205"/>
        <item sd="0" m="1" x="644"/>
        <item m="1" x="779"/>
        <item sd="0" m="1" x="468"/>
        <item sd="0" m="1" x="41"/>
        <item m="1" x="693"/>
        <item m="1" x="663"/>
        <item sd="0" m="1" x="808"/>
        <item m="1" x="816"/>
        <item m="1" x="625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5"/>
        <item m="1" x="67"/>
        <item m="1" x="651"/>
        <item m="1" x="489"/>
        <item m="1" x="753"/>
        <item m="1" x="164"/>
        <item m="1" x="192"/>
        <item m="1" x="678"/>
        <item m="1" x="300"/>
        <item m="1" x="589"/>
        <item sd="0" m="1" x="180"/>
        <item m="1" x="624"/>
        <item sd="0" m="1" x="64"/>
        <item m="1" x="424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8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67"/>
    </i>
    <i r="1">
      <x v="7999"/>
    </i>
    <i>
      <x v="350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2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4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50"/>
        <item m="1" x="845"/>
        <item m="1" x="445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3"/>
        <item m="1" x="409"/>
        <item m="1" x="516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3"/>
        <item m="1" x="139"/>
        <item m="1" x="661"/>
        <item m="1" x="373"/>
        <item m="1" x="155"/>
        <item m="1" x="252"/>
        <item m="1" x="629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x="1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29"/>
        <item m="1" x="714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6"/>
        <item m="1" x="458"/>
        <item m="1" x="790"/>
        <item sd="0"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1"/>
        <item m="1" x="486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6"/>
        <item m="1" x="542"/>
        <item sd="0" m="1" x="370"/>
        <item sd="0" m="1" x="336"/>
        <item sd="0" m="1" x="176"/>
        <item x="0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8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6"/>
        <item m="1" x="412"/>
        <item m="1" x="854"/>
        <item m="1" x="432"/>
        <item m="1" x="570"/>
        <item m="1" x="488"/>
        <item m="1" x="183"/>
        <item sd="0" m="1" x="375"/>
        <item m="1" x="243"/>
        <item m="1" x="338"/>
        <item m="1" x="528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2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7"/>
        <item m="1" x="566"/>
        <item m="1" x="515"/>
        <item m="1" x="599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7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0"/>
        <item m="1" x="511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6"/>
        <item m="1" x="706"/>
        <item m="1" x="620"/>
        <item m="1" x="731"/>
        <item m="1" x="471"/>
        <item m="1" x="552"/>
        <item m="1" x="265"/>
        <item m="1" x="251"/>
        <item m="1" x="633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8"/>
        <item m="1" x="614"/>
        <item m="1" x="777"/>
        <item m="1" x="395"/>
        <item m="1" x="401"/>
        <item m="1" x="704"/>
        <item m="1" x="404"/>
        <item m="1" x="830"/>
        <item m="1" x="495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3"/>
        <item m="1" x="414"/>
        <item m="1" x="702"/>
        <item m="1" x="205"/>
        <item sd="0" m="1" x="644"/>
        <item m="1" x="779"/>
        <item sd="0" m="1" x="468"/>
        <item sd="0" m="1" x="41"/>
        <item m="1" x="693"/>
        <item m="1" x="663"/>
        <item sd="0" m="1" x="808"/>
        <item m="1" x="816"/>
        <item m="1" x="625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5"/>
        <item m="1" x="67"/>
        <item m="1" x="651"/>
        <item m="1" x="489"/>
        <item m="1" x="753"/>
        <item m="1" x="164"/>
        <item m="1" x="192"/>
        <item m="1" x="678"/>
        <item m="1" x="300"/>
        <item m="1" x="589"/>
        <item sd="0" m="1" x="180"/>
        <item m="1" x="624"/>
        <item sd="0" m="1" x="64"/>
        <item m="1" x="424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8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67"/>
    </i>
    <i>
      <x v="350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5" s="1" nd="1"/>
        <i x="502" s="1" nd="1"/>
        <i x="25" s="1" nd="1"/>
        <i x="582" s="1" nd="1"/>
        <i x="852" s="1" nd="1"/>
        <i x="21" s="1" nd="1"/>
        <i x="757" s="1" nd="1"/>
        <i x="113" s="1" nd="1"/>
        <i x="545" s="1" nd="1"/>
        <i x="828" s="1" nd="1"/>
        <i x="271" s="1" nd="1"/>
        <i x="479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7" s="1" nd="1"/>
        <i x="476" s="1" nd="1"/>
        <i x="634" s="1" nd="1"/>
        <i x="446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2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5" s="1" nd="1"/>
        <i x="519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2" s="1" nd="1"/>
        <i x="207" s="1" nd="1"/>
        <i x="674" s="1" nd="1"/>
        <i x="140" s="1" nd="1"/>
        <i x="688" s="1" nd="1"/>
        <i x="453" s="1" nd="1"/>
        <i x="409" s="1" nd="1"/>
        <i x="516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3" s="1" nd="1"/>
        <i x="139" s="1" nd="1"/>
        <i x="661" s="1" nd="1"/>
        <i x="373" s="1" nd="1"/>
        <i x="155" s="1" nd="1"/>
        <i x="252" s="1" nd="1"/>
        <i x="629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3" s="1" nd="1"/>
        <i x="806" s="1" nd="1"/>
        <i x="621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7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795" s="1" nd="1"/>
        <i x="695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7" s="1" nd="1"/>
        <i x="840" s="1" nd="1"/>
        <i x="457" s="1" nd="1"/>
        <i x="478" s="1" nd="1"/>
        <i x="750" s="1" nd="1"/>
        <i x="639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29" s="1" nd="1"/>
        <i x="714" s="1" nd="1"/>
        <i x="505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3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3" s="1" nd="1"/>
        <i x="580" s="1" nd="1"/>
        <i x="518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9" s="1" nd="1"/>
        <i x="821" s="1" nd="1"/>
        <i x="342" s="1" nd="1"/>
        <i x="224" s="1" nd="1"/>
        <i x="65" s="1" nd="1"/>
        <i x="636" s="1" nd="1"/>
        <i x="458" s="1" nd="1"/>
        <i x="790" s="1" nd="1"/>
        <i x="703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1" s="1" nd="1"/>
        <i x="486" s="1" nd="1"/>
        <i x="641" s="1" nd="1"/>
        <i x="607" s="1" nd="1"/>
        <i x="532" s="1" nd="1"/>
        <i x="564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7" s="1" nd="1"/>
        <i x="443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90" s="1" nd="1"/>
        <i x="747" s="1" nd="1"/>
        <i x="270" s="1" nd="1"/>
        <i x="18" s="1" nd="1"/>
        <i x="638" s="1" nd="1"/>
        <i x="390" s="1" nd="1"/>
        <i x="480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8" s="1" nd="1"/>
        <i x="332" s="1" nd="1"/>
        <i x="626" s="1" nd="1"/>
        <i x="542" s="1" nd="1"/>
        <i x="370" s="1" nd="1"/>
        <i x="336" s="1" nd="1"/>
        <i x="176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40" s="1" nd="1"/>
        <i x="330" s="1" nd="1"/>
        <i x="369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549" s="1" nd="1"/>
        <i x="61" s="1" nd="1"/>
        <i x="452" s="1" nd="1"/>
        <i x="774" s="1" nd="1"/>
        <i x="485" s="1" nd="1"/>
        <i x="740" s="1" nd="1"/>
        <i x="454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0" s="1" nd="1"/>
        <i x="664" s="1" nd="1"/>
        <i x="493" s="1" nd="1"/>
        <i x="685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4" s="1" nd="1"/>
        <i x="101" s="1" nd="1"/>
        <i x="481" s="1" nd="1"/>
        <i x="608" s="1" nd="1"/>
        <i x="715" s="1" nd="1"/>
        <i x="55" s="1" nd="1"/>
        <i x="299" s="1" nd="1"/>
        <i x="682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1" s="1" nd="1"/>
        <i x="642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2" s="1" nd="1"/>
        <i x="799" s="1" nd="1"/>
        <i x="218" s="1" nd="1"/>
        <i x="827" s="1" nd="1"/>
        <i x="70" s="1" nd="1"/>
        <i x="119" s="1" nd="1"/>
        <i x="646" s="1" nd="1"/>
        <i x="412" s="1" nd="1"/>
        <i x="854" s="1" nd="1"/>
        <i x="432" s="1" nd="1"/>
        <i x="570" s="1" nd="1"/>
        <i x="488" s="1" nd="1"/>
        <i x="183" s="1" nd="1"/>
        <i x="375" s="1" nd="1"/>
        <i x="243" s="1" nd="1"/>
        <i x="338" s="1" nd="1"/>
        <i x="528" s="1" nd="1"/>
        <i x="423" s="1" nd="1"/>
        <i x="788" s="1" nd="1"/>
        <i x="302" s="1" nd="1"/>
        <i x="310" s="1" nd="1"/>
        <i x="368" s="1" nd="1"/>
        <i x="491" s="1" nd="1"/>
        <i x="662" s="1" nd="1"/>
        <i x="189" s="1" nd="1"/>
        <i x="659" s="1" nd="1"/>
        <i x="222" s="1" nd="1"/>
        <i x="449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2" s="1" nd="1"/>
        <i x="339" s="1" nd="1"/>
        <i x="613" s="1" nd="1"/>
        <i x="672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7" s="1" nd="1"/>
        <i x="311" s="1" nd="1"/>
        <i x="75" s="1" nd="1"/>
        <i x="669" s="1" nd="1"/>
        <i x="95" s="1" nd="1"/>
        <i x="440" s="1" nd="1"/>
        <i x="352" s="1" nd="1"/>
        <i x="784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0" s="1" nd="1"/>
        <i x="535" s="1" nd="1"/>
        <i x="645" s="1" nd="1"/>
        <i x="610" s="1" nd="1"/>
        <i x="834" s="1" nd="1"/>
        <i x="787" s="1" nd="1"/>
        <i x="29" s="1" nd="1"/>
        <i x="782" s="1" nd="1"/>
        <i x="254" s="1" nd="1"/>
        <i x="475" s="1" nd="1"/>
        <i x="812" s="1" nd="1"/>
        <i x="464" s="1" nd="1"/>
        <i x="745" s="1" nd="1"/>
        <i x="649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2" s="1" nd="1"/>
        <i x="96" s="1" nd="1"/>
        <i x="523" s="1" nd="1"/>
        <i x="789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7" s="1" nd="1"/>
        <i x="566" s="1" nd="1"/>
        <i x="515" s="1" nd="1"/>
        <i x="599" s="1" nd="1"/>
        <i x="318" s="1" nd="1"/>
        <i x="781" s="1" nd="1"/>
        <i x="484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7" s="1" nd="1"/>
        <i x="281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3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0" s="1" nd="1"/>
        <i x="511" s="1" nd="1"/>
        <i x="769" s="1" nd="1"/>
        <i x="719" s="1" nd="1"/>
        <i x="760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6" s="1" nd="1"/>
        <i x="706" s="1" nd="1"/>
        <i x="620" s="1" nd="1"/>
        <i x="731" s="1" nd="1"/>
        <i x="471" s="1" nd="1"/>
        <i x="552" s="1" nd="1"/>
        <i x="265" s="1" nd="1"/>
        <i x="251" s="1" nd="1"/>
        <i x="633" s="1" nd="1"/>
        <i x="699" s="1" nd="1"/>
        <i x="358" s="1" nd="1"/>
        <i x="14" s="1" nd="1"/>
        <i x="226" s="1" nd="1"/>
        <i x="783" s="1" nd="1"/>
        <i x="724" s="1" nd="1"/>
        <i x="841" s="1" nd="1"/>
        <i x="444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8" s="1" nd="1"/>
        <i x="614" s="1" nd="1"/>
        <i x="777" s="1" nd="1"/>
        <i x="395" s="1" nd="1"/>
        <i x="401" s="1" nd="1"/>
        <i x="704" s="1" nd="1"/>
        <i x="404" s="1" nd="1"/>
        <i x="830" s="1" nd="1"/>
        <i x="495" s="1" nd="1"/>
        <i x="396" s="1" nd="1"/>
        <i x="670" s="1" nd="1"/>
        <i x="186" s="1" nd="1"/>
        <i x="410" s="1" nd="1"/>
        <i x="474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4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3" s="1" nd="1"/>
        <i x="414" s="1" nd="1"/>
        <i x="702" s="1" nd="1"/>
        <i x="205" s="1" nd="1"/>
        <i x="644" s="1" nd="1"/>
        <i x="779" s="1" nd="1"/>
        <i x="468" s="1" nd="1"/>
        <i x="41" s="1" nd="1"/>
        <i x="693" s="1" nd="1"/>
        <i x="663" s="1" nd="1"/>
        <i x="808" s="1" nd="1"/>
        <i x="816" s="1" nd="1"/>
        <i x="625" s="1" nd="1"/>
        <i x="459" s="1" nd="1"/>
        <i x="691" s="1" nd="1"/>
        <i x="135" s="1" nd="1"/>
        <i x="411" s="1" nd="1"/>
        <i x="692" s="1" nd="1"/>
        <i x="442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1" s="1" nd="1"/>
        <i x="514" s="1" nd="1"/>
        <i x="123" s="1" nd="1"/>
        <i x="647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79" s="1" nd="1"/>
        <i x="82" s="1" nd="1"/>
        <i x="635" s="1" nd="1"/>
        <i x="67" s="1" nd="1"/>
        <i x="651" s="1" nd="1"/>
        <i x="489" s="1" nd="1"/>
        <i x="753" s="1" nd="1"/>
        <i x="164" s="1" nd="1"/>
        <i x="192" s="1" nd="1"/>
        <i x="678" s="1" nd="1"/>
        <i x="300" s="1" nd="1"/>
        <i x="589" s="1" nd="1"/>
        <i x="180" s="1" nd="1"/>
        <i x="624" s="1" nd="1"/>
        <i x="64" s="1" nd="1"/>
        <i x="424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7" s="1" nd="1"/>
        <i x="758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299526</v>
      </c>
      <c r="B2" s="12" t="s">
        <v>579</v>
      </c>
      <c r="C2" s="14">
        <v>46267</v>
      </c>
      <c r="D2" s="14">
        <v>46267</v>
      </c>
      <c r="E2" s="12"/>
      <c r="F2" s="15" t="s">
        <v>580</v>
      </c>
      <c r="G2" s="15" t="s">
        <v>581</v>
      </c>
      <c r="H2" s="15" t="s">
        <v>582</v>
      </c>
      <c r="I2" s="16">
        <v>914.79</v>
      </c>
      <c r="J2" s="15" t="s">
        <v>583</v>
      </c>
      <c r="K2" s="15" t="s">
        <v>584</v>
      </c>
      <c r="L2" s="15" t="s">
        <v>585</v>
      </c>
      <c r="M2" s="15">
        <v>83.59</v>
      </c>
      <c r="N2" s="15">
        <v>1</v>
      </c>
      <c r="O2" s="16">
        <v>2.57</v>
      </c>
      <c r="P2" s="15" t="s">
        <v>586</v>
      </c>
      <c r="Q2" s="15">
        <v>0.11</v>
      </c>
      <c r="R2" s="15" t="s">
        <v>587</v>
      </c>
      <c r="S2" s="15">
        <v>50</v>
      </c>
      <c r="T2" s="15" t="s">
        <v>588</v>
      </c>
      <c r="U2" s="15">
        <v>0</v>
      </c>
      <c r="V2" s="15">
        <v>10.029999999999999</v>
      </c>
      <c r="W2" s="15">
        <v>0</v>
      </c>
      <c r="X2" s="15">
        <v>0</v>
      </c>
      <c r="Y2" s="15">
        <v>0.46</v>
      </c>
      <c r="Z2" s="15">
        <v>0.09</v>
      </c>
      <c r="AA2" s="15">
        <v>69.06</v>
      </c>
      <c r="AB2" s="15">
        <v>14.53</v>
      </c>
      <c r="AC2" s="15">
        <v>21.73</v>
      </c>
      <c r="AD2" s="15">
        <v>-7.2</v>
      </c>
      <c r="AE2" s="15">
        <v>0</v>
      </c>
      <c r="AF2" s="15">
        <v>-7.2</v>
      </c>
      <c r="AG2" s="17">
        <v>-8.6099999999999996E-2</v>
      </c>
      <c r="AH2" s="15"/>
    </row>
    <row r="3" spans="1:34" s="1" customFormat="1" ht="12" customHeight="1" x14ac:dyDescent="0.3">
      <c r="A3" s="13">
        <v>299685</v>
      </c>
      <c r="B3" s="12" t="s">
        <v>579</v>
      </c>
      <c r="C3" s="14">
        <v>46268</v>
      </c>
      <c r="D3" s="14">
        <v>46268</v>
      </c>
      <c r="E3" s="12"/>
      <c r="F3" s="15" t="s">
        <v>589</v>
      </c>
      <c r="G3" s="15" t="s">
        <v>590</v>
      </c>
      <c r="H3" s="15" t="s">
        <v>582</v>
      </c>
      <c r="I3" s="16">
        <v>798346.13</v>
      </c>
      <c r="J3" s="15" t="s">
        <v>591</v>
      </c>
      <c r="K3" s="15" t="s">
        <v>584</v>
      </c>
      <c r="L3" s="15" t="s">
        <v>592</v>
      </c>
      <c r="M3" s="16">
        <v>5452.66</v>
      </c>
      <c r="N3" s="15">
        <v>4</v>
      </c>
      <c r="O3" s="16">
        <v>702.56</v>
      </c>
      <c r="P3" s="15" t="s">
        <v>588</v>
      </c>
      <c r="Q3" s="15">
        <v>0</v>
      </c>
      <c r="R3" s="15" t="s">
        <v>593</v>
      </c>
      <c r="S3" s="15">
        <v>0</v>
      </c>
      <c r="T3" s="15" t="s">
        <v>588</v>
      </c>
      <c r="U3" s="15">
        <v>0</v>
      </c>
      <c r="V3" s="15">
        <v>654.32000000000005</v>
      </c>
      <c r="W3" s="15">
        <v>0</v>
      </c>
      <c r="X3" s="15">
        <v>0</v>
      </c>
      <c r="Y3" s="15">
        <v>399.17</v>
      </c>
      <c r="Z3" s="15">
        <v>12.33</v>
      </c>
      <c r="AA3" s="16">
        <v>3357.45</v>
      </c>
      <c r="AB3" s="16">
        <v>2095.21</v>
      </c>
      <c r="AC3" s="15">
        <v>1417.69</v>
      </c>
      <c r="AD3" s="15">
        <v>677.52</v>
      </c>
      <c r="AE3" s="15">
        <v>0</v>
      </c>
      <c r="AF3" s="15">
        <v>677.52</v>
      </c>
      <c r="AG3" s="17">
        <v>0.12429999999999999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5536.25</v>
      </c>
      <c r="F3" s="93"/>
      <c r="G3" s="94"/>
      <c r="H3" s="95">
        <f>'Resumo Detalhado'!C2</f>
        <v>705.13</v>
      </c>
      <c r="I3" s="96"/>
      <c r="J3" s="97">
        <f>E3/H3</f>
        <v>7.851389105555004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0.58760833333333329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2300.11</v>
      </c>
      <c r="F7" s="109"/>
      <c r="G7" s="109"/>
      <c r="H7" s="109"/>
      <c r="I7" s="109"/>
      <c r="J7" s="109">
        <f>E7/H3</f>
        <v>3.2619658786323091</v>
      </c>
      <c r="K7" s="109"/>
      <c r="L7" s="109"/>
      <c r="M7" s="110">
        <f>E7/E3</f>
        <v>0.41546353578685935</v>
      </c>
      <c r="N7" s="110"/>
      <c r="O7" s="110"/>
      <c r="P7" s="109">
        <f>E11+K11+Q11+E15+K15+Q15+E19+H19+K19</f>
        <v>4705.21</v>
      </c>
      <c r="Q7" s="109"/>
      <c r="R7" s="109"/>
      <c r="S7" s="109">
        <f>P7/H3</f>
        <v>6.6728262873512687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2300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2300</v>
      </c>
      <c r="L11" s="94"/>
      <c r="M11" s="38"/>
      <c r="N11" s="92">
        <f>K11/H3</f>
        <v>3.261809879029399</v>
      </c>
      <c r="O11" s="94"/>
      <c r="P11" s="38"/>
      <c r="Q11" s="92">
        <f>'Resumo Detalhado'!D2</f>
        <v>0.11</v>
      </c>
      <c r="R11" s="94"/>
      <c r="S11" s="38"/>
      <c r="T11" s="92">
        <f>Q11/H3</f>
        <v>1.5599960291010168E-4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664.35</v>
      </c>
      <c r="F15" s="113"/>
      <c r="G15" s="113"/>
      <c r="H15" s="113"/>
      <c r="I15" s="114"/>
      <c r="J15" s="38"/>
      <c r="K15" s="116">
        <f>'Resumo Detalhado'!K2+'Resumo Detalhado'!L2</f>
        <v>885.80000000000007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399.63</v>
      </c>
      <c r="F19" s="119"/>
      <c r="G19" s="38"/>
      <c r="H19" s="106">
        <f>'Resumo Detalhado'!J2</f>
        <v>12.42</v>
      </c>
      <c r="I19" s="108"/>
      <c r="J19" s="38"/>
      <c r="K19" s="106">
        <f>'Resumo Detalhado'!L2</f>
        <v>442.90000000000003</v>
      </c>
      <c r="L19" s="108"/>
      <c r="M19" s="38"/>
      <c r="N19" s="112" t="s">
        <v>594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3966.8399999999997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0.71652111086023929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5536.25</v>
      </c>
      <c r="C2" s="29">
        <f>SUM(C6:C5000)</f>
        <v>705.13</v>
      </c>
      <c r="D2" s="29">
        <f>SUM(D6:D5000)</f>
        <v>0.11</v>
      </c>
      <c r="E2" s="29">
        <f>SUM(E6:E5000)</f>
        <v>50</v>
      </c>
      <c r="F2" s="29">
        <f>SUM(F6:F5000)</f>
        <v>0</v>
      </c>
      <c r="G2" s="29"/>
      <c r="H2" s="29">
        <f t="shared" ref="H2:P2" si="0">SUM(H6:H5000)</f>
        <v>664.35</v>
      </c>
      <c r="I2" s="29">
        <f t="shared" si="0"/>
        <v>399.63</v>
      </c>
      <c r="J2" s="29">
        <f t="shared" si="0"/>
        <v>12.42</v>
      </c>
      <c r="K2" s="29">
        <f t="shared" si="0"/>
        <v>442.90000000000003</v>
      </c>
      <c r="L2" s="29">
        <f t="shared" si="0"/>
        <v>442.90000000000003</v>
      </c>
      <c r="M2" s="29">
        <f t="shared" si="0"/>
        <v>0</v>
      </c>
      <c r="N2" s="29">
        <f t="shared" si="0"/>
        <v>3966.8399999999997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299685</v>
      </c>
      <c r="B6" s="140">
        <v>5452.66</v>
      </c>
      <c r="C6" s="141">
        <v>702.56</v>
      </c>
      <c r="D6" s="140">
        <v>0</v>
      </c>
      <c r="E6" s="140">
        <v>0</v>
      </c>
      <c r="F6" s="140">
        <v>0</v>
      </c>
      <c r="G6" s="142">
        <v>0</v>
      </c>
      <c r="H6" s="140">
        <v>654.32000000000005</v>
      </c>
      <c r="I6" s="140">
        <v>399.17</v>
      </c>
      <c r="J6" s="140">
        <v>12.33</v>
      </c>
      <c r="K6" s="140">
        <v>436.21280000000002</v>
      </c>
      <c r="L6" s="140">
        <v>436.21280000000002</v>
      </c>
      <c r="M6" s="140">
        <v>0</v>
      </c>
      <c r="N6" s="140">
        <v>3950.6271999999999</v>
      </c>
      <c r="O6" s="142">
        <v>0.72453209992920886</v>
      </c>
      <c r="Q6"/>
    </row>
    <row r="7" spans="1:18" s="31" customFormat="1" x14ac:dyDescent="0.3">
      <c r="A7" s="139" t="s">
        <v>581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299526</v>
      </c>
      <c r="B8" s="140">
        <v>83.59</v>
      </c>
      <c r="C8" s="141">
        <v>2.57</v>
      </c>
      <c r="D8" s="140">
        <v>0.11</v>
      </c>
      <c r="E8" s="140">
        <v>50</v>
      </c>
      <c r="F8" s="140">
        <v>0</v>
      </c>
      <c r="G8" s="142">
        <v>0.59947362124656056</v>
      </c>
      <c r="H8" s="140">
        <v>10.029999999999999</v>
      </c>
      <c r="I8" s="140">
        <v>0.46</v>
      </c>
      <c r="J8" s="140">
        <v>0.09</v>
      </c>
      <c r="K8" s="140">
        <v>6.6872000000000007</v>
      </c>
      <c r="L8" s="140">
        <v>6.6872000000000007</v>
      </c>
      <c r="M8" s="140">
        <v>0</v>
      </c>
      <c r="N8" s="140">
        <v>16.212800000000001</v>
      </c>
      <c r="O8" s="142">
        <v>0.19395621485823664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83.59</v>
      </c>
      <c r="C2" s="29">
        <f>SUM(C6:C5000)</f>
        <v>16.212800000000001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590</v>
      </c>
      <c r="B5" s="10">
        <v>5452.66</v>
      </c>
      <c r="C5" s="10">
        <v>3950.6271999999999</v>
      </c>
    </row>
    <row r="6" spans="1:4" x14ac:dyDescent="0.3">
      <c r="A6" s="144" t="s">
        <v>581</v>
      </c>
      <c r="B6" s="140">
        <v>83.59</v>
      </c>
      <c r="C6" s="140">
        <v>16.212800000000001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2026-09-09T13:20:26Z</dcterms:modified>
  <cp:category/>
  <cp:contentStatus/>
</cp:coreProperties>
</file>