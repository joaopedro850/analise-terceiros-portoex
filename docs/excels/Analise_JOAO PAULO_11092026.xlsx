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CDBCBBD-4AF7-4673-8ADE-908CD8F03BD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<sst xmlns="http://schemas.openxmlformats.org/spreadsheetml/2006/main" count="857" uniqueCount="591">
  <si>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</si>
  <si>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</si>
  <si>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</si>
  <si>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</si>
  <si>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</si>
  <si>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</si>
  <si>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</si>
  <si>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</si>
  <si>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</si>
  <si>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</si>
  <si>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</si>
  <si>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</si>
  <si>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</si>
  <si>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</si>
  <si>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</si>
  <si>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</si>
  <si>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</si>
  <si>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</si>
  <si>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</si>
  <si>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</si>
  <si>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</si>
  <si>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</si>
  <si>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</si>
  <si>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</si>
  <si>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</si>
  <si>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</si>
  <si>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</si>
  <si>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</si>
  <si>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</si>
  <si>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</si>
  <si>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</si>
  <si>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</si>
  <si>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</si>
  <si>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</si>
  <si>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</si>
  <si>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</si>
  <si>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</si>
  <si>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</si>
  <si>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</si>
  <si>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</si>
  <si>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</si>
  <si>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</si>
  <si>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</si>
  <si>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</si>
  <si>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</si>
  <si>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</si>
  <si>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</si>
  <si>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</si>
  <si>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</si>
  <si>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</si>
  <si>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</si>
  <si>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</si>
  <si>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</si>
  <si>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</si>
  <si>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</si>
  <si>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</si>
  <si>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</si>
  <si>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</si>
  <si>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</si>
  <si>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</si>
  <si>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</si>
  <si>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</si>
  <si>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</si>
  <si>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</si>
  <si>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</si>
  <si>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</si>
  <si>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</si>
  <si>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</si>
  <si>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</si>
  <si>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</si>
  <si>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</si>
  <si>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</si>
  <si>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</si>
  <si>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</si>
  <si>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</si>
  <si>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</si>
  <si>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</si>
  <si>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</si>
  <si>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</si>
  <si>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</si>
  <si>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</si>
  <si>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</si>
  <si>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</si>
  <si>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</si>
  <si>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</si>
  <si>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</si>
  <si>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</si>
  <si>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</si>
  <si>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</si>
  <si>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</si>
  <si>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</si>
  <si>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</si>
  <si>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</si>
  <si>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</si>
  <si>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</si>
  <si>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</si>
  <si>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</si>
  <si>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</si>
  <si>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</si>
  <si>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</si>
  <si>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</si>
  <si>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</si>
  <si>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</si>
  <si>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</si>
  <si>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</si>
  <si>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</si>
  <si>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</si>
  <si>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</si>
  <si>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</si>
  <si>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</si>
  <si>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</si>
  <si>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</si>
  <si>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</si>
  <si>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</si>
  <si>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</si>
  <si>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</si>
  <si>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</si>
  <si>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</si>
  <si>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</si>
  <si>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</si>
  <si>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</si>
  <si>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</si>
  <si>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</si>
  <si>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</si>
  <si>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</si>
  <si>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</si>
  <si>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</si>
  <si>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</si>
  <si>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</si>
  <si>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</si>
  <si>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</si>
  <si>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</si>
  <si>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</si>
  <si>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</si>
  <si>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</si>
  <si>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</si>
  <si>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</si>
  <si>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</si>
  <si>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</si>
  <si>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</si>
  <si>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</si>
  <si>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</si>
  <si>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</si>
  <si>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</si>
  <si>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</si>
  <si>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</si>
  <si>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</si>
  <si>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</si>
  <si>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</si>
  <si>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</si>
  <si>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</si>
  <si>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</si>
  <si>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</si>
  <si>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</si>
  <si>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</si>
  <si>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</si>
  <si>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</si>
  <si>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</si>
  <si>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</si>
  <si>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</si>
  <si>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</si>
  <si>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</si>
  <si>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</si>
  <si>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</si>
  <si>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</si>
  <si>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</si>
  <si>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</si>
  <si>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</si>
  <si>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</si>
  <si>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</si>
  <si>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</si>
  <si>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</si>
  <si>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</si>
  <si>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</si>
  <si>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</si>
  <si>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</si>
  <si>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</si>
  <si>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</si>
  <si>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</si>
  <si>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</si>
  <si>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</si>
  <si>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</si>
  <si>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</si>
  <si>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</si>
  <si>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</si>
  <si>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</si>
  <si>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</si>
  <si>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</si>
  <si>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</si>
  <si>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</si>
  <si>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</si>
  <si>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</si>
  <si>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</si>
  <si>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</si>
  <si>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</si>
  <si>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</si>
  <si>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</si>
  <si>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</si>
  <si>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</si>
  <si>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</si>
  <si>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</si>
  <si>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</si>
  <si>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</si>
  <si>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</si>
  <si>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</si>
  <si>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</si>
  <si>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</si>
  <si>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</si>
  <si>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</si>
  <si>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</si>
  <si>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</si>
  <si>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</si>
  <si>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</si>
  <si>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</si>
  <si>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</si>
  <si>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</si>
  <si>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</si>
  <si>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</si>
  <si>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</si>
  <si>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</si>
  <si>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</si>
  <si>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</si>
  <si>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</si>
  <si>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</si>
  <si>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</si>
  <si>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</si>
  <si>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</si>
  <si>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</si>
  <si>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</si>
  <si>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</si>
  <si>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</si>
  <si>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</si>
  <si>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</si>
  <si>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</si>
  <si>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</si>
  <si>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</si>
  <si>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</si>
  <si>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</si>
  <si>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</si>
  <si>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</si>
  <si>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</si>
  <si>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</si>
  <si>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</si>
  <si>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</si>
  <si>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</si>
  <si>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</si>
  <si>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</si>
  <si>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</si>
  <si>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</si>
  <si>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</si>
  <si>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</si>
  <si>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</si>
  <si>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</si>
  <si>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</si>
  <si>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</si>
  <si>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</si>
  <si>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</si>
  <si>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</si>
  <si>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</si>
  <si>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</si>
  <si>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</si>
  <si>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</si>
  <si>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</si>
  <si>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</si>
  <si>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</si>
  <si>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</si>
  <si>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</si>
  <si>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</si>
  <si>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</si>
  <si>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</si>
  <si>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</si>
  <si>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</si>
  <si>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</si>
  <si>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</si>
  <si>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</si>
  <si>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</si>
  <si>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</si>
  <si>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</si>
  <si>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</si>
  <si>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</si>
  <si>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</si>
  <si>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</si>
  <si>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</si>
  <si>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</si>
  <si>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</si>
  <si>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</si>
  <si>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</si>
  <si>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</si>
  <si>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</si>
  <si>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</si>
  <si>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</si>
  <si>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</si>
  <si>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</si>
  <si>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</si>
  <si>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</si>
  <si>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</si>
  <si>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</si>
  <si>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</si>
  <si>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</si>
  <si>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</si>
  <si>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</si>
  <si>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</si>
  <si>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</si>
  <si>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</si>
  <si>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</si>
  <si>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</si>
  <si>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</si>
  <si>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</si>
  <si>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</si>
  <si>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</si>
  <si>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</si>
  <si>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</si>
  <si>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</si>
  <si>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</si>
  <si>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</si>
  <si>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</si>
  <si>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</si>
  <si>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</si>
  <si>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</si>
  <si>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</si>
  <si>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</si>
  <si>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</si>
  <si>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</si>
  <si>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</si>
  <si>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</si>
  <si>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</si>
  <si>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</si>
  <si>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</si>
  <si>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</si>
  <si>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</si>
  <si>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</si>
  <si>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</si>
  <si>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</si>
  <si>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</si>
  <si>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</si>
  <si>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</si>
  <si>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</si>
  <si>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</si>
  <si>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</si>
  <si>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</si>
  <si>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</si>
  <si>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</si>
  <si>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</si>
  <si>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</si>
  <si>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</si>
  <si>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</si>
  <si>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</si>
  <si>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</si>
  <si>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</si>
  <si>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</si>
  <si>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</si>
  <si>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</si>
  <si>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</si>
  <si>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</si>
  <si>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</si>
  <si>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</si>
  <si>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</si>
  <si>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</si>
  <si>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</si>
  <si>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</si>
  <si>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</si>
  <si>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</si>
  <si>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</si>
  <si>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</si>
  <si>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</si>
  <si>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</si>
  <si>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</si>
  <si>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</si>
  <si>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</si>
  <si>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</si>
  <si>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</si>
  <si>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</si>
  <si>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</si>
  <si>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</si>
  <si>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</si>
  <si>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</si>
  <si>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</si>
  <si>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</si>
  <si>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</si>
  <si>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</si>
  <si>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</si>
  <si>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</si>
  <si>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</si>
  <si>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</si>
  <si>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</si>
  <si>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</si>
  <si>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</si>
  <si>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</si>
  <si>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</si>
  <si>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</si>
  <si>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</si>
  <si>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</si>
  <si>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</si>
  <si>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</si>
  <si>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</si>
  <si>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</si>
  <si>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</si>
  <si>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</si>
  <si>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</si>
  <si>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</si>
  <si>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</si>
  <si>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</si>
  <si>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</si>
  <si>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</si>
  <si>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</si>
  <si>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</si>
  <si>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</si>
  <si>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</si>
  <si>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</si>
  <si>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</si>
  <si>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</si>
  <si>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</si>
  <si>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</si>
  <si>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</si>
  <si>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</si>
  <si>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</si>
  <si>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</si>
  <si>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</si>
  <si>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</si>
  <si>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</si>
  <si>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</si>
  <si>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</si>
  <si>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</si>
  <si>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</si>
  <si>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</si>
  <si>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</si>
  <si>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</si>
  <si>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</si>
  <si>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</si>
  <si>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</si>
  <si>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</si>
  <si>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</si>
  <si>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</si>
  <si>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</si>
  <si>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</si>
  <si>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</si>
  <si>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</si>
  <si>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</si>
  <si>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</si>
  <si>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</si>
  <si>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</si>
  <si>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</si>
  <si>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</si>
  <si>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</si>
  <si>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</si>
  <si>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</si>
  <si>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</si>
  <si>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</si>
  <si>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</si>
  <si>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</si>
  <si>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</si>
  <si>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</si>
  <si>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</si>
  <si>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</si>
  <si>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</si>
  <si>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</si>
  <si>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</si>
  <si>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</si>
  <si>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</si>
  <si>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</si>
  <si>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</si>
  <si>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</si>
  <si>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</si>
  <si>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</si>
  <si>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</si>
  <si>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</si>
  <si>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</si>
  <si>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</si>
  <si>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</si>
  <si>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</si>
  <si>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</si>
  <si>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</si>
  <si>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</si>
  <si>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</si>
  <si>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</si>
  <si>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</si>
  <si>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</si>
  <si>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</si>
  <si>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</si>
  <si>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</si>
  <si>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</si>
  <si>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</si>
  <si>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</si>
  <si>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</si>
  <si>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</si>
  <si>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</si>
  <si>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</si>
  <si>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</si>
  <si>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</si>
  <si>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</si>
  <si>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</si>
  <si>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</si>
  <si>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</si>
  <si>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</si>
  <si>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</si>
  <si>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</si>
  <si>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</si>
  <si>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</si>
  <si>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</si>
  <si>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</si>
  <si>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</si>
  <si>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</si>
  <si>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</si>
  <si>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</si>
  <si>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</si>
  <si>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</si>
  <si>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</si>
  <si>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</si>
  <si>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</si>
  <si>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</si>
  <si>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</si>
  <si>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</si>
  <si>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</si>
  <si>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</si>
  <si>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</si>
  <si>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</si>
  <si>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</si>
  <si>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</si>
  <si>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</si>
  <si>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</si>
  <si>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</si>
  <si>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</si>
  <si>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</si>
  <si>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</si>
  <si>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</si>
  <si>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</si>
  <si>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</si>
  <si>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</si>
  <si>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</si>
  <si>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</si>
  <si>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</si>
  <si>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</si>
  <si>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</si>
  <si>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</si>
  <si>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</si>
  <si>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</si>
  <si>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</si>
  <si>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</si>
  <si>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</si>
  <si>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</si>
  <si>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</si>
  <si>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</si>
  <si>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</si>
  <si>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</si>
  <si>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</si>
  <si>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</si>
  <si>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</si>
  <si>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</si>
  <si>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</si>
  <si>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</si>
  <si>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</si>
  <si>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</si>
  <si>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</si>
  <si>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</si>
  <si>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</si>
  <si>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</si>
  <si>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</si>
  <si>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</si>
  <si>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</si>
  <si>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</si>
  <si>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</si>
  <si>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</si>
  <si>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</si>
  <si>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</si>
  <si>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</si>
  <si>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</si>
  <si>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</si>
  <si>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</si>
  <si>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</si>
  <si>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</si>
  <si>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</si>
  <si>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</si>
  <si>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</si>
  <si>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</si>
  <si>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</si>
  <si>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</si>
  <si>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</si>
  <si>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</si>
  <si>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</si>
  <si>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</si>
  <si>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2216-6</t>
  </si>
  <si>
    <t>MATTEL DO BRASI</t>
  </si>
  <si>
    <t>MARLON MARQUES</t>
  </si>
  <si>
    <t>EXPRESSO_250</t>
  </si>
  <si>
    <t>CTE NORMAL</t>
  </si>
  <si>
    <t>OSASCO - SP</t>
  </si>
  <si>
    <t>N/D</t>
  </si>
  <si>
    <t>TRANSPORTES MOOR LTDA ME</t>
  </si>
  <si>
    <t>INDEFINIDO</t>
  </si>
  <si>
    <t>Navegantes-Sc X Osasco-Spcarreta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</si>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</sst>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PAULO_11092026.xlsx]Resumo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10280.49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1674.6607999999999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PAULO_11092026.xlsx]Resumo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10280.49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1674.6607999999999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2997870370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0876" count="8000">
        <n v="30087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2T00:00:00" maxDate="2026-09-13T00:00:00"/>
    </cacheField>
    <cacheField name="DATA" numFmtId="14">
      <sharedItems containsNonDate="0" containsDate="1" containsString="0" containsBlank="1" minDate="2026-09-12T00:00:00" maxDate="2026-09-1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46829.7" maxValue="1046829.7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280.49" maxValue="10280.49"/>
    </cacheField>
    <cacheField name="VOLUMES" numFmtId="0">
      <sharedItems containsString="0" containsBlank="1" containsNumber="1" containsInteger="1" minValue="2004" maxValue="2004"/>
    </cacheField>
    <cacheField name="PESO" numFmtId="0">
      <sharedItems containsString="0" containsBlank="1" containsNumber="1" minValue="5314.2" maxValue="5314.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5500" maxValue="5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33.6600000000001" maxValue="1233.660000000000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23.41" maxValue="523.41"/>
    </cacheField>
    <cacheField name="OUTROS" numFmtId="0">
      <sharedItems containsString="0" containsBlank="1" containsNumber="1" minValue="526.32000000000005" maxValue="526.32000000000005"/>
    </cacheField>
    <cacheField name="C.TOTAL" numFmtId="0">
      <sharedItems containsString="0" containsBlank="1" containsNumber="1" minValue="7783.39" maxValue="7783.39"/>
    </cacheField>
    <cacheField name="RECEITA" numFmtId="0">
      <sharedItems containsString="0" containsBlank="1" containsNumber="1" minValue="2497.1" maxValue="2497.1"/>
    </cacheField>
    <cacheField name="IMPOSTO" numFmtId="0">
      <sharedItems containsString="0" containsBlank="1" containsNumber="1" minValue="2672.93" maxValue="2672.93"/>
    </cacheField>
    <cacheField name="RESULTADO" numFmtId="0">
      <sharedItems containsString="0" containsBlank="1" containsNumber="1" minValue="-175.83" maxValue="-175.8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75.83" maxValue="-175.83"/>
    </cacheField>
    <cacheField name="MARGEM" numFmtId="10">
      <sharedItems containsString="0" containsBlank="1" containsNumber="1" minValue="-1.7100000000000001E-2" maxValue="-1.71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2T00:00:00"/>
    <d v="2026-09-12T00:00:00"/>
    <m/>
    <s v="2216-6"/>
    <x v="0"/>
    <s v="MARLON MARQUES"/>
    <n v="1046829.7"/>
    <x v="0"/>
    <s v="CTE NORMAL"/>
    <s v="OSASCO - SP"/>
    <n v="10280.49"/>
    <n v="2004"/>
    <n v="5314.2"/>
    <s v="N/D"/>
    <n v="0"/>
    <s v="TRANSPORTES MOOR LTDA ME"/>
    <n v="5500"/>
    <s v="INDEFINIDO"/>
    <n v="0"/>
    <n v="1233.6600000000001"/>
    <n v="0"/>
    <n v="0"/>
    <n v="523.41"/>
    <n v="526.32000000000005"/>
    <n v="7783.39"/>
    <n v="2497.1"/>
    <n v="2672.93"/>
    <n v="-175.83"/>
    <n v="0"/>
    <n v="-175.83"/>
    <n v="-1.7100000000000001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300876</v>
      </c>
      <c r="B2" s="12" t="s">
        <v>579</v>
      </c>
      <c r="C2" s="14">
        <v>46277</v>
      </c>
      <c r="D2" s="14">
        <v>46277</v>
      </c>
      <c r="E2" s="12"/>
      <c r="F2" s="15" t="s">
        <v>580</v>
      </c>
      <c r="G2" s="15" t="s">
        <v>581</v>
      </c>
      <c r="H2" s="15" t="s">
        <v>582</v>
      </c>
      <c r="I2" s="16">
        <v>1046829.7</v>
      </c>
      <c r="J2" s="15" t="s">
        <v>583</v>
      </c>
      <c r="K2" s="15" t="s">
        <v>584</v>
      </c>
      <c r="L2" s="15" t="s">
        <v>585</v>
      </c>
      <c r="M2" s="15">
        <v>10280.49</v>
      </c>
      <c r="N2" s="15">
        <v>2004</v>
      </c>
      <c r="O2" s="16">
        <v>5314.2</v>
      </c>
      <c r="P2" s="15" t="s">
        <v>586</v>
      </c>
      <c r="Q2" s="15">
        <v>0</v>
      </c>
      <c r="R2" s="15" t="s">
        <v>587</v>
      </c>
      <c r="S2" s="15">
        <v>5500</v>
      </c>
      <c r="T2" s="15" t="s">
        <v>588</v>
      </c>
      <c r="U2" s="15">
        <v>0</v>
      </c>
      <c r="V2" s="15">
        <v>1233.6600000000001</v>
      </c>
      <c r="W2" s="15">
        <v>0</v>
      </c>
      <c r="X2" s="15">
        <v>0</v>
      </c>
      <c r="Y2" s="15">
        <v>523.41</v>
      </c>
      <c r="Z2" s="15">
        <v>526.32000000000005</v>
      </c>
      <c r="AA2" s="15">
        <v>7783.39</v>
      </c>
      <c r="AB2" s="15">
        <v>2497.1</v>
      </c>
      <c r="AC2" s="15">
        <v>2672.93</v>
      </c>
      <c r="AD2" s="15">
        <v>-175.83</v>
      </c>
      <c r="AE2" s="15">
        <v>0</v>
      </c>
      <c r="AF2" s="15">
        <v>-175.83</v>
      </c>
      <c r="AG2" s="17">
        <v>-1.7100000000000001E-2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10280.49</v>
      </c>
      <c r="F3" s="93"/>
      <c r="G3" s="94"/>
      <c r="H3" s="95">
        <f>'Resumo Detalhado'!C2</f>
        <v>5314.2</v>
      </c>
      <c r="I3" s="96"/>
      <c r="J3" s="97">
        <f>E3/H3</f>
        <v>1.9345320085807836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0.24155454545454544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5500</v>
      </c>
      <c r="F7" s="109"/>
      <c r="G7" s="109"/>
      <c r="H7" s="109"/>
      <c r="I7" s="109"/>
      <c r="J7" s="109">
        <f>E7/H3</f>
        <v>1.0349629295096159</v>
      </c>
      <c r="K7" s="109"/>
      <c r="L7" s="109"/>
      <c r="M7" s="110">
        <f>E7/E3</f>
        <v>0.53499395456831333</v>
      </c>
      <c r="N7" s="110"/>
      <c r="O7" s="110"/>
      <c r="P7" s="109">
        <f>E11+K11+Q11+E15+K15+Q15+E19+H19+K19</f>
        <v>10250.7076</v>
      </c>
      <c r="Q7" s="109"/>
      <c r="R7" s="109"/>
      <c r="S7" s="109">
        <f>P7/H3</f>
        <v>1.9289277031349967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5500</v>
      </c>
      <c r="L11" s="94"/>
      <c r="M11" s="38"/>
      <c r="N11" s="92">
        <f>K11/H3</f>
        <v>1.0349629295096159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1233.6600000000001</v>
      </c>
      <c r="F15" s="113"/>
      <c r="G15" s="113"/>
      <c r="H15" s="113"/>
      <c r="I15" s="114"/>
      <c r="J15" s="38"/>
      <c r="K15" s="116">
        <f>'Resumo Detalhado'!K2+'Resumo Detalhado'!L2</f>
        <v>1644.8784000000001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523.41</v>
      </c>
      <c r="F19" s="119"/>
      <c r="G19" s="38"/>
      <c r="H19" s="106">
        <f>'Resumo Detalhado'!J2</f>
        <v>526.32000000000005</v>
      </c>
      <c r="I19" s="108"/>
      <c r="J19" s="38"/>
      <c r="K19" s="106">
        <f>'Resumo Detalhado'!L2</f>
        <v>822.43920000000003</v>
      </c>
      <c r="L19" s="108"/>
      <c r="M19" s="38"/>
      <c r="N19" s="112" t="s">
        <v>589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1674.6607999999999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0.16289698253682461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590</v>
      </c>
      <c r="F1" s="29"/>
    </row>
    <row r="2" spans="1:18" x14ac:dyDescent="0.3">
      <c r="B2" s="29">
        <f>SUM(B6:B5000)</f>
        <v>10280.49</v>
      </c>
      <c r="C2" s="29">
        <f>SUM(C6:C5000)</f>
        <v>5314.2</v>
      </c>
      <c r="D2" s="29">
        <f>SUM(D6:D5000)</f>
        <v>0</v>
      </c>
      <c r="E2" s="29">
        <f>SUM(E6:E5000)</f>
        <v>5500</v>
      </c>
      <c r="F2" s="29">
        <f>SUM(F6:F5000)</f>
        <v>0</v>
      </c>
      <c r="G2" s="29"/>
      <c r="H2" s="29">
        <f t="shared" ref="H2:P2" si="0">SUM(H6:H5000)</f>
        <v>1233.6600000000001</v>
      </c>
      <c r="I2" s="29">
        <f t="shared" si="0"/>
        <v>523.41</v>
      </c>
      <c r="J2" s="29">
        <f t="shared" si="0"/>
        <v>526.32000000000005</v>
      </c>
      <c r="K2" s="29">
        <f t="shared" si="0"/>
        <v>822.43920000000003</v>
      </c>
      <c r="L2" s="29">
        <f t="shared" si="0"/>
        <v>822.43920000000003</v>
      </c>
      <c r="M2" s="29">
        <f t="shared" si="0"/>
        <v>0</v>
      </c>
      <c r="N2" s="29">
        <f t="shared" si="0"/>
        <v>1674.6607999999999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300876</v>
      </c>
      <c r="B6" s="139">
        <v>10280.49</v>
      </c>
      <c r="C6" s="140">
        <v>5314.2</v>
      </c>
      <c r="D6" s="139">
        <v>0</v>
      </c>
      <c r="E6" s="139">
        <v>5500</v>
      </c>
      <c r="F6" s="139">
        <v>0</v>
      </c>
      <c r="G6" s="141">
        <v>0.53499395456831333</v>
      </c>
      <c r="H6" s="139">
        <v>1233.6600000000001</v>
      </c>
      <c r="I6" s="139">
        <v>523.41</v>
      </c>
      <c r="J6" s="139">
        <v>526.32000000000005</v>
      </c>
      <c r="K6" s="139">
        <v>822.43920000000003</v>
      </c>
      <c r="L6" s="139">
        <v>822.43920000000003</v>
      </c>
      <c r="M6" s="139">
        <v>0</v>
      </c>
      <c r="N6" s="139">
        <v>1674.6607999999999</v>
      </c>
      <c r="O6" s="141">
        <v>0.16289698253682461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590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10280.49</v>
      </c>
      <c r="C5" s="10">
        <v>1674.6607999999999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2026-09-16T13:19:18Z</dcterms:modified>
  <cp:category/>
  <cp:contentStatus/>
</cp:coreProperties>
</file>