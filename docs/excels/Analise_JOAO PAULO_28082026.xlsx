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B75DCAA-8DA4-4FDC-8775-9DD9EC7372E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<sst xmlns="http://schemas.openxmlformats.org/spreadsheetml/2006/main" count="869" uniqueCount="595">
  <si>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</si>
  <si>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</si>
  <si>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</si>
  <si>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</si>
  <si>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</si>
  <si>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</si>
  <si>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</si>
  <si>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</si>
  <si>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</si>
  <si>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</si>
  <si>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</si>
  <si>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</si>
  <si>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</si>
  <si>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</si>
  <si>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</si>
  <si>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</si>
  <si>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</si>
  <si>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</si>
  <si>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</si>
  <si>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</si>
  <si>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</si>
  <si>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</si>
  <si>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</si>
  <si>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</si>
  <si>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</si>
  <si>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</si>
  <si>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</si>
  <si>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</si>
  <si>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</si>
  <si>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</si>
  <si>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</si>
  <si>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</si>
  <si>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</si>
  <si>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</si>
  <si>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</si>
  <si>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</si>
  <si>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</si>
  <si>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</si>
  <si>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</si>
  <si>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</si>
  <si>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</si>
  <si>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</si>
  <si>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</si>
  <si>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</si>
  <si>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</si>
  <si>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</si>
  <si>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</si>
  <si>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</si>
  <si>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</si>
  <si>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</si>
  <si>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</si>
  <si>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</si>
  <si>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</si>
  <si>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</si>
  <si>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</si>
  <si>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</si>
  <si>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</si>
  <si>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</si>
  <si>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</si>
  <si>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</si>
  <si>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</si>
  <si>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</si>
  <si>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</si>
  <si>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</si>
  <si>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</si>
  <si>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</si>
  <si>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</si>
  <si>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</si>
  <si>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</si>
  <si>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</si>
  <si>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</si>
  <si>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</si>
  <si>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</si>
  <si>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</si>
  <si>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</si>
  <si>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</si>
  <si>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</si>
  <si>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</si>
  <si>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</si>
  <si>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</si>
  <si>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</si>
  <si>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</si>
  <si>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</si>
  <si>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</si>
  <si>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</si>
  <si>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</si>
  <si>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</si>
  <si>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</si>
  <si>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</si>
  <si>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</si>
  <si>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</si>
  <si>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</si>
  <si>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</si>
  <si>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</si>
  <si>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</si>
  <si>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</si>
  <si>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</si>
  <si>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</si>
  <si>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</si>
  <si>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</si>
  <si>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</si>
  <si>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</si>
  <si>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</si>
  <si>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</si>
  <si>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</si>
  <si>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</si>
  <si>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</si>
  <si>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</si>
  <si>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</si>
  <si>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</si>
  <si>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</si>
  <si>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</si>
  <si>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</si>
  <si>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</si>
  <si>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</si>
  <si>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</si>
  <si>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</si>
  <si>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</si>
  <si>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</si>
  <si>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</si>
  <si>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</si>
  <si>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</si>
  <si>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</si>
  <si>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</si>
  <si>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</si>
  <si>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</si>
  <si>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</si>
  <si>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</si>
  <si>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</si>
  <si>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</si>
  <si>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</si>
  <si>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</si>
  <si>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</si>
  <si>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</si>
  <si>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</si>
  <si>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</si>
  <si>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</si>
  <si>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</si>
  <si>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</si>
  <si>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</si>
  <si>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</si>
  <si>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</si>
  <si>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</si>
  <si>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</si>
  <si>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</si>
  <si>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</si>
  <si>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</si>
  <si>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</si>
  <si>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</si>
  <si>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</si>
  <si>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</si>
  <si>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</si>
  <si>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</si>
  <si>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</si>
  <si>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</si>
  <si>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</si>
  <si>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</si>
  <si>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</si>
  <si>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</si>
  <si>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</si>
  <si>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</si>
  <si>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</si>
  <si>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</si>
  <si>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</si>
  <si>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</si>
  <si>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</si>
  <si>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</si>
  <si>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</si>
  <si>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</si>
  <si>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</si>
  <si>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</si>
  <si>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</si>
  <si>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</si>
  <si>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</si>
  <si>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</si>
  <si>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</si>
  <si>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</si>
  <si>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</si>
  <si>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</si>
  <si>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</si>
  <si>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</si>
  <si>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</si>
  <si>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</si>
  <si>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</si>
  <si>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</si>
  <si>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</si>
  <si>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</si>
  <si>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</si>
  <si>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</si>
  <si>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</si>
  <si>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</si>
  <si>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</si>
  <si>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</si>
  <si>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</si>
  <si>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</si>
  <si>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</si>
  <si>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</si>
  <si>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</si>
  <si>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</si>
  <si>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</si>
  <si>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</si>
  <si>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</si>
  <si>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</si>
  <si>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</si>
  <si>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</si>
  <si>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</si>
  <si>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</si>
  <si>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</si>
  <si>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</si>
  <si>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</si>
  <si>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</si>
  <si>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</si>
  <si>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</si>
  <si>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</si>
  <si>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</si>
  <si>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</si>
  <si>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</si>
  <si>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</si>
  <si>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</si>
  <si>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</si>
  <si>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</si>
  <si>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</si>
  <si>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</si>
  <si>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</si>
  <si>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</si>
  <si>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</si>
  <si>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</si>
  <si>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</si>
  <si>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</si>
  <si>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</si>
  <si>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</si>
  <si>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</si>
  <si>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</si>
  <si>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</si>
  <si>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</si>
  <si>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</si>
  <si>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</si>
  <si>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</si>
  <si>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</si>
  <si>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</si>
  <si>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</si>
  <si>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</si>
  <si>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</si>
  <si>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</si>
  <si>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</si>
  <si>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</si>
  <si>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</si>
  <si>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</si>
  <si>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</si>
  <si>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</si>
  <si>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</si>
  <si>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</si>
  <si>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</si>
  <si>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</si>
  <si>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</si>
  <si>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</si>
  <si>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</si>
  <si>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</si>
  <si>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</si>
  <si>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</si>
  <si>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</si>
  <si>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</si>
  <si>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</si>
  <si>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</si>
  <si>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</si>
  <si>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</si>
  <si>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</si>
  <si>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</si>
  <si>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</si>
  <si>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</si>
  <si>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</si>
  <si>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</si>
  <si>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</si>
  <si>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</si>
  <si>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</si>
  <si>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</si>
  <si>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</si>
  <si>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</si>
  <si>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</si>
  <si>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</si>
  <si>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</si>
  <si>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</si>
  <si>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</si>
  <si>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</si>
  <si>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</si>
  <si>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</si>
  <si>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</si>
  <si>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</si>
  <si>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</si>
  <si>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</si>
  <si>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</si>
  <si>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</si>
  <si>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</si>
  <si>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</si>
  <si>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</si>
  <si>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</si>
  <si>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</si>
  <si>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</si>
  <si>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</si>
  <si>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</si>
  <si>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</si>
  <si>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</si>
  <si>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</si>
  <si>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</si>
  <si>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</si>
  <si>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</si>
  <si>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</si>
  <si>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</si>
  <si>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</si>
  <si>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</si>
  <si>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</si>
  <si>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</si>
  <si>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</si>
  <si>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</si>
  <si>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</si>
  <si>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</si>
  <si>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</si>
  <si>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</si>
  <si>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</si>
  <si>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</si>
  <si>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</si>
  <si>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</si>
  <si>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</si>
  <si>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</si>
  <si>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</si>
  <si>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</si>
  <si>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</si>
  <si>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</si>
  <si>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</si>
  <si>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</si>
  <si>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</si>
  <si>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</si>
  <si>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</si>
  <si>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</si>
  <si>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</si>
  <si>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</si>
  <si>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</si>
  <si>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</si>
  <si>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</si>
  <si>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</si>
  <si>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</si>
  <si>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</si>
  <si>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</si>
  <si>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</si>
  <si>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</si>
  <si>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</si>
  <si>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</si>
  <si>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</si>
  <si>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</si>
  <si>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</si>
  <si>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</si>
  <si>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</si>
  <si>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</si>
  <si>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</si>
  <si>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</si>
  <si>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</si>
  <si>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</si>
  <si>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</si>
  <si>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</si>
  <si>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</si>
  <si>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</si>
  <si>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</si>
  <si>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</si>
  <si>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</si>
  <si>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</si>
  <si>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</si>
  <si>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</si>
  <si>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</si>
  <si>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</si>
  <si>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</si>
  <si>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</si>
  <si>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</si>
  <si>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</si>
  <si>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</si>
  <si>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</si>
  <si>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</si>
  <si>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</si>
  <si>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</si>
  <si>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</si>
  <si>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</si>
  <si>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</si>
  <si>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</si>
  <si>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</si>
  <si>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</si>
  <si>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</si>
  <si>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</si>
  <si>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</si>
  <si>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</si>
  <si>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</si>
  <si>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</si>
  <si>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</si>
  <si>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</si>
  <si>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</si>
  <si>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</si>
  <si>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</si>
  <si>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</si>
  <si>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</si>
  <si>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</si>
  <si>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</si>
  <si>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</si>
  <si>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</si>
  <si>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</si>
  <si>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</si>
  <si>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</si>
  <si>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</si>
  <si>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</si>
  <si>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</si>
  <si>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</si>
  <si>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</si>
  <si>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</si>
  <si>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</si>
  <si>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</si>
  <si>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</si>
  <si>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</si>
  <si>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</si>
  <si>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</si>
  <si>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</si>
  <si>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</si>
  <si>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</si>
  <si>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</si>
  <si>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</si>
  <si>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</si>
  <si>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</si>
  <si>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</si>
  <si>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</si>
  <si>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</si>
  <si>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</si>
  <si>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</si>
  <si>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</si>
  <si>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</si>
  <si>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</si>
  <si>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</si>
  <si>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</si>
  <si>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</si>
  <si>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</si>
  <si>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</si>
  <si>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</si>
  <si>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</si>
  <si>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</si>
  <si>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</si>
  <si>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</si>
  <si>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</si>
  <si>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</si>
  <si>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</si>
  <si>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</si>
  <si>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</si>
  <si>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</si>
  <si>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</si>
  <si>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</si>
  <si>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</si>
  <si>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</si>
  <si>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</si>
  <si>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</si>
  <si>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</si>
  <si>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</si>
  <si>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</si>
  <si>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</si>
  <si>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</si>
  <si>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</si>
  <si>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</si>
  <si>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</si>
  <si>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</si>
  <si>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</si>
  <si>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</si>
  <si>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</si>
  <si>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</si>
  <si>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</si>
  <si>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</si>
  <si>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</si>
  <si>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</si>
  <si>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</si>
  <si>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</si>
  <si>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</si>
  <si>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</si>
  <si>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</si>
  <si>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</si>
  <si>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</si>
  <si>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</si>
  <si>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</si>
  <si>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</si>
  <si>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</si>
  <si>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</si>
  <si>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</si>
  <si>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</si>
  <si>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</si>
  <si>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</si>
  <si>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</si>
  <si>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</si>
  <si>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</si>
  <si>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</si>
  <si>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</si>
  <si>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</si>
  <si>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</si>
  <si>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</si>
  <si>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</si>
  <si>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</si>
  <si>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</si>
  <si>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</si>
  <si>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</si>
  <si>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</si>
  <si>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</si>
  <si>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</si>
  <si>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</si>
  <si>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</si>
  <si>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</si>
  <si>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</si>
  <si>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</si>
  <si>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</si>
  <si>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</si>
  <si>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</si>
  <si>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</si>
  <si>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</si>
  <si>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</si>
  <si>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</si>
  <si>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</si>
  <si>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</si>
  <si>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</si>
  <si>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</si>
  <si>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</si>
  <si>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</si>
  <si>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</si>
  <si>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</si>
  <si>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</si>
  <si>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</si>
  <si>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</si>
  <si>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</si>
  <si>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</si>
  <si>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</si>
  <si>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</si>
  <si>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</si>
  <si>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</si>
  <si>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</si>
  <si>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</si>
  <si>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</si>
  <si>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</si>
  <si>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</si>
  <si>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</si>
  <si>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</si>
  <si>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</si>
  <si>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</si>
  <si>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</si>
  <si>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</si>
  <si>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</si>
  <si>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</si>
  <si>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</si>
  <si>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</si>
  <si>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</si>
  <si>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</si>
  <si>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</si>
  <si>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</si>
  <si>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</si>
  <si>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</si>
  <si>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</si>
  <si>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</si>
  <si>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</si>
  <si>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</si>
  <si>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</si>
  <si>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</si>
  <si>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</si>
  <si>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</si>
  <si>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</si>
  <si>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</si>
  <si>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</si>
  <si>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</si>
  <si>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</si>
  <si>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</si>
  <si>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</si>
  <si>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</si>
  <si>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</si>
  <si>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</si>
  <si>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</si>
  <si>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</si>
  <si>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</si>
  <si>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</si>
  <si>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</si>
  <si>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</si>
  <si>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</si>
  <si>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</si>
  <si>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</si>
  <si>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</si>
  <si>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2665-1</t>
  </si>
  <si>
    <t>MAC FER INDUSTR</t>
  </si>
  <si>
    <t>FRANCISCO GILAILTON/SABRI</t>
  </si>
  <si>
    <t>ECONOMICO_250</t>
  </si>
  <si>
    <t>CTE NORMAL</t>
  </si>
  <si>
    <t>SAO PAULO - SP</t>
  </si>
  <si>
    <t>N/D</t>
  </si>
  <si>
    <t>EDSON SANTOS DA SILVA</t>
  </si>
  <si>
    <t>RODRIGO DA SILVA POLEZA</t>
  </si>
  <si>
    <t>2703-1</t>
  </si>
  <si>
    <t>SKO COMERCIO, I</t>
  </si>
  <si>
    <t>URIEL CORREA</t>
  </si>
  <si>
    <t>PERSONALIZADO_V</t>
  </si>
  <si>
    <t>EXTREMA - MG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</si>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</sst>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PAULO_28082026.xlsx]Resumo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94.56</c:v>
                </c:pt>
                <c:pt idx="1">
                  <c:v>4289.17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27.290399999999998</c:v>
                </c:pt>
                <c:pt idx="1">
                  <c:v>2890.7328000000002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PAULO_28082026.xlsx]Resumo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94.56</c:v>
                </c:pt>
                <c:pt idx="1">
                  <c:v>4289.17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27.290399999999998</c:v>
                </c:pt>
                <c:pt idx="1">
                  <c:v>2890.7328000000002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575439814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764"/>
        <n v="279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9T00:00:00"/>
    </cacheField>
    <cacheField name="DATA" numFmtId="14">
      <sharedItems containsNonDate="0" containsDate="1" containsString="0" containsBlank="1" minDate="2026-08-27T00:00:00" maxDate="2026-08-29T00:00:00"/>
    </cacheField>
    <cacheField name="FAT" numFmtId="0">
      <sharedItems containsString="0" containsBlank="1" containsNumber="1" containsInteger="1" minValue="474" maxValue="478"/>
    </cacheField>
    <cacheField name="CT-E" numFmtId="0">
      <sharedItems containsBlank="1"/>
    </cacheField>
    <cacheField name="CLIENTE TOMADOR" numFmtId="0">
      <sharedItems containsBlank="1" count="855">
        <s v="MAC FER INDUSTR"/>
        <s v="SKO COMERCIO, 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31.25" maxValue="59476.02"/>
    </cacheField>
    <cacheField name="SERVICO" numFmtId="0">
      <sharedItems containsBlank="1" count="28">
        <s v="ECONOMICO_250"/>
        <s v="PERSONALIZADO_V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4.56" maxValue="4289.17"/>
    </cacheField>
    <cacheField name="VOLUMES" numFmtId="0">
      <sharedItems containsString="0" containsBlank="1" containsNumber="1" containsInteger="1" minValue="2" maxValue="44"/>
    </cacheField>
    <cacheField name="PESO" numFmtId="0">
      <sharedItems containsString="0" containsBlank="1" containsNumber="1" minValue="19.600000000000001" maxValue="132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1.35" maxValue="514.700000000000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5" maxValue="23.79"/>
    </cacheField>
    <cacheField name="OUTROS" numFmtId="0">
      <sharedItems containsString="0" containsBlank="1" containsNumber="1" minValue="0.34" maxValue="60.45"/>
    </cacheField>
    <cacheField name="C.TOTAL" numFmtId="0">
      <sharedItems containsString="0" containsBlank="1" containsNumber="1" minValue="103.91" maxValue="2947.17"/>
    </cacheField>
    <cacheField name="RECEITA" numFmtId="0">
      <sharedItems containsString="0" containsBlank="1" containsNumber="1" minValue="-9.35" maxValue="1342"/>
    </cacheField>
    <cacheField name="IMPOSTO" numFmtId="0">
      <sharedItems containsString="0" containsBlank="1" containsNumber="1" minValue="15.13" maxValue="686.27"/>
    </cacheField>
    <cacheField name="RESULTADO" numFmtId="0">
      <sharedItems containsString="0" containsBlank="1" containsNumber="1" minValue="-24.48" maxValue="655.73"/>
    </cacheField>
    <cacheField name="COMIS" numFmtId="0">
      <sharedItems containsString="0" containsBlank="1" containsNumber="1" minValue="0" maxValue="113.23"/>
    </cacheField>
    <cacheField name="LUCRO LIQ" numFmtId="0">
      <sharedItems containsString="0" containsBlank="1" containsNumber="1" minValue="-24.48" maxValue="542.5"/>
    </cacheField>
    <cacheField name="MARGEM" numFmtId="10">
      <sharedItems containsString="0" containsBlank="1" containsNumber="1" minValue="-0.25890000000000002" maxValue="0.126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7T00:00:00"/>
    <d v="2026-08-27T00:00:00"/>
    <n v="478"/>
    <s v="2665-1"/>
    <x v="0"/>
    <s v="FRANCISCO GILAILTON/SABRI"/>
    <n v="1131.25"/>
    <x v="0"/>
    <s v="CTE NORMAL"/>
    <s v="SAO PAULO - SP"/>
    <n v="94.56"/>
    <n v="2"/>
    <n v="19.600000000000001"/>
    <s v="N/D"/>
    <n v="0"/>
    <s v="EDSON SANTOS DA SILVA"/>
    <n v="40"/>
    <s v="RODRIGO DA SILVA POLEZA"/>
    <n v="0"/>
    <n v="11.35"/>
    <n v="0"/>
    <n v="0"/>
    <n v="0.45"/>
    <n v="0.34"/>
    <n v="103.91"/>
    <n v="-9.35"/>
    <n v="15.13"/>
    <n v="-24.48"/>
    <n v="0"/>
    <n v="-24.48"/>
    <n v="-0.25890000000000002"/>
    <m/>
  </r>
  <r>
    <x v="1"/>
    <s v="MATRIZ"/>
    <d v="2026-08-28T00:00:00"/>
    <d v="2026-08-28T00:00:00"/>
    <n v="474"/>
    <s v="2703-1"/>
    <x v="1"/>
    <s v="URIEL CORREA"/>
    <n v="59476.02"/>
    <x v="1"/>
    <s v="CTE NORMAL"/>
    <s v="EXTREMA - MG"/>
    <n v="4289.17"/>
    <n v="44"/>
    <n v="1320"/>
    <s v="MATRIZ"/>
    <n v="0"/>
    <s v="N/D"/>
    <n v="0"/>
    <s v="RODRIGO DA SILVA POLEZA"/>
    <n v="0"/>
    <n v="514.70000000000005"/>
    <n v="0"/>
    <n v="0"/>
    <n v="23.79"/>
    <n v="60.45"/>
    <n v="2947.17"/>
    <n v="1342"/>
    <n v="686.27"/>
    <n v="655.73"/>
    <n v="113.23"/>
    <n v="542.5"/>
    <n v="0.1265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4"/>
        <item m="1" x="439"/>
        <item sd="0" m="1" x="351"/>
        <item m="1" x="784"/>
        <item m="1" x="498"/>
        <item m="1" x="62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x="1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8"/>
    </i>
    <i>
      <x v="71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4"/>
        <item m="1" x="439"/>
        <item sd="0" m="1" x="351"/>
        <item m="1" x="784"/>
        <item m="1" x="498"/>
        <item m="1" x="62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x="1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m="1" x="12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70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5" s="1" nd="1"/>
        <i x="669" s="1" nd="1"/>
        <i x="94" s="1" nd="1"/>
        <i x="439" s="1" nd="1"/>
        <i x="351" s="1" nd="1"/>
        <i x="784" s="1" nd="1"/>
        <i x="498" s="1" nd="1"/>
        <i x="62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9" s="1" nd="1"/>
        <i x="679" s="1" nd="1"/>
        <i x="81" s="1" nd="1"/>
        <i x="634" s="1" nd="1"/>
        <i x="67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3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27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2764</v>
      </c>
      <c r="B2" s="12" t="s">
        <v>579</v>
      </c>
      <c r="C2" s="14">
        <v>46261</v>
      </c>
      <c r="D2" s="14">
        <v>46261</v>
      </c>
      <c r="E2" s="12">
        <v>478</v>
      </c>
      <c r="F2" s="15" t="s">
        <v>580</v>
      </c>
      <c r="G2" s="15" t="s">
        <v>581</v>
      </c>
      <c r="H2" s="15" t="s">
        <v>582</v>
      </c>
      <c r="I2" s="16">
        <v>1131.25</v>
      </c>
      <c r="J2" s="15" t="s">
        <v>583</v>
      </c>
      <c r="K2" s="15" t="s">
        <v>584</v>
      </c>
      <c r="L2" s="15" t="s">
        <v>585</v>
      </c>
      <c r="M2" s="15">
        <v>94.56</v>
      </c>
      <c r="N2" s="15">
        <v>2</v>
      </c>
      <c r="O2" s="16">
        <v>19.600000000000001</v>
      </c>
      <c r="P2" s="15" t="s">
        <v>586</v>
      </c>
      <c r="Q2" s="15">
        <v>0</v>
      </c>
      <c r="R2" s="15" t="s">
        <v>587</v>
      </c>
      <c r="S2" s="15">
        <v>40</v>
      </c>
      <c r="T2" s="15" t="s">
        <v>588</v>
      </c>
      <c r="U2" s="15">
        <v>0</v>
      </c>
      <c r="V2" s="15">
        <v>11.35</v>
      </c>
      <c r="W2" s="15">
        <v>0</v>
      </c>
      <c r="X2" s="15">
        <v>0</v>
      </c>
      <c r="Y2" s="15">
        <v>0.45</v>
      </c>
      <c r="Z2" s="15">
        <v>0.34</v>
      </c>
      <c r="AA2" s="15">
        <v>103.91</v>
      </c>
      <c r="AB2" s="15">
        <v>-9.35</v>
      </c>
      <c r="AC2" s="15">
        <v>15.13</v>
      </c>
      <c r="AD2" s="15">
        <v>-24.48</v>
      </c>
      <c r="AE2" s="15">
        <v>0</v>
      </c>
      <c r="AF2" s="15">
        <v>-24.48</v>
      </c>
      <c r="AG2" s="17">
        <v>-0.25890000000000002</v>
      </c>
      <c r="AH2" s="15"/>
    </row>
    <row r="3" spans="1:34" s="1" customFormat="1" ht="12" customHeight="1" x14ac:dyDescent="0.3">
      <c r="A3" s="13">
        <v>2792</v>
      </c>
      <c r="B3" s="12" t="s">
        <v>579</v>
      </c>
      <c r="C3" s="14">
        <v>46262</v>
      </c>
      <c r="D3" s="14">
        <v>46262</v>
      </c>
      <c r="E3" s="12">
        <v>474</v>
      </c>
      <c r="F3" s="15" t="s">
        <v>589</v>
      </c>
      <c r="G3" s="15" t="s">
        <v>590</v>
      </c>
      <c r="H3" s="15" t="s">
        <v>591</v>
      </c>
      <c r="I3" s="16">
        <v>59476.02</v>
      </c>
      <c r="J3" s="15" t="s">
        <v>592</v>
      </c>
      <c r="K3" s="15" t="s">
        <v>584</v>
      </c>
      <c r="L3" s="15" t="s">
        <v>593</v>
      </c>
      <c r="M3" s="16">
        <v>4289.17</v>
      </c>
      <c r="N3" s="15">
        <v>44</v>
      </c>
      <c r="O3" s="16">
        <v>1320</v>
      </c>
      <c r="P3" s="15" t="s">
        <v>579</v>
      </c>
      <c r="Q3" s="15">
        <v>0</v>
      </c>
      <c r="R3" s="15" t="s">
        <v>586</v>
      </c>
      <c r="S3" s="15">
        <v>0</v>
      </c>
      <c r="T3" s="15" t="s">
        <v>588</v>
      </c>
      <c r="U3" s="15">
        <v>0</v>
      </c>
      <c r="V3" s="15">
        <v>514.70000000000005</v>
      </c>
      <c r="W3" s="15">
        <v>0</v>
      </c>
      <c r="X3" s="15">
        <v>0</v>
      </c>
      <c r="Y3" s="15">
        <v>23.79</v>
      </c>
      <c r="Z3" s="15">
        <v>60.45</v>
      </c>
      <c r="AA3" s="16">
        <v>2947.17</v>
      </c>
      <c r="AB3" s="16">
        <v>1342</v>
      </c>
      <c r="AC3" s="15">
        <v>686.27</v>
      </c>
      <c r="AD3" s="15">
        <v>655.73</v>
      </c>
      <c r="AE3" s="15">
        <v>113.23</v>
      </c>
      <c r="AF3" s="15">
        <v>542.5</v>
      </c>
      <c r="AG3" s="17">
        <v>0.1265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4383.7300000000005</v>
      </c>
      <c r="F3" s="89"/>
      <c r="G3" s="90"/>
      <c r="H3" s="133">
        <f>'Resumo Detalhado'!C2</f>
        <v>1339.6</v>
      </c>
      <c r="I3" s="134"/>
      <c r="J3" s="135">
        <f>E3/H3</f>
        <v>3.2724171394446109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2400</v>
      </c>
      <c r="F7" s="112"/>
      <c r="G7" s="112"/>
      <c r="H7" s="112"/>
      <c r="I7" s="112"/>
      <c r="J7" s="112">
        <f>E7/H3</f>
        <v>1.7915795759928339</v>
      </c>
      <c r="K7" s="112"/>
      <c r="L7" s="112"/>
      <c r="M7" s="130">
        <f>E7/E3</f>
        <v>0.5474789733856783</v>
      </c>
      <c r="N7" s="130"/>
      <c r="O7" s="130"/>
      <c r="P7" s="112">
        <f>E11+K11+Q11+E15+K15+Q15+E19+H19+K19</f>
        <v>4063.1751999999997</v>
      </c>
      <c r="Q7" s="112"/>
      <c r="R7" s="112"/>
      <c r="S7" s="112">
        <f>P7/H3</f>
        <v>3.0331257091669155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2400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2400</v>
      </c>
      <c r="L11" s="90"/>
      <c r="M11" s="38"/>
      <c r="N11" s="88">
        <f>K11/H3</f>
        <v>1.7915795759928339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526.05000000000007</v>
      </c>
      <c r="F15" s="119"/>
      <c r="G15" s="119"/>
      <c r="H15" s="119"/>
      <c r="I15" s="132"/>
      <c r="J15" s="38"/>
      <c r="K15" s="113">
        <f>'Resumo Detalhado'!K2+'Resumo Detalhado'!L2</f>
        <v>701.39679999999998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24.24</v>
      </c>
      <c r="F19" s="120"/>
      <c r="G19" s="38"/>
      <c r="H19" s="122">
        <f>'Resumo Detalhado'!J2</f>
        <v>60.790000000000006</v>
      </c>
      <c r="I19" s="123"/>
      <c r="J19" s="38"/>
      <c r="K19" s="122">
        <f>'Resumo Detalhado'!L2</f>
        <v>350.69839999999999</v>
      </c>
      <c r="L19" s="123"/>
      <c r="M19" s="38"/>
      <c r="N19" s="121" t="s">
        <v>205</v>
      </c>
      <c r="O19" s="119"/>
      <c r="P19" s="119"/>
      <c r="Q19" s="119"/>
      <c r="R19" s="120"/>
      <c r="S19" s="121">
        <f>_xlfn.XLOOKUP(N19,Target!C:C,Target!D:D)</f>
        <v>3300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2918.0232000000001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0.66564847743816336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594</v>
      </c>
      <c r="F1" s="29"/>
    </row>
    <row r="2" spans="1:18" x14ac:dyDescent="0.3">
      <c r="B2" s="29">
        <f>SUM(B6:B5000)</f>
        <v>4383.7300000000005</v>
      </c>
      <c r="C2" s="29">
        <f>SUM(C6:C5000)</f>
        <v>1339.6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526.05000000000007</v>
      </c>
      <c r="I2" s="29">
        <f t="shared" si="0"/>
        <v>24.24</v>
      </c>
      <c r="J2" s="29">
        <f t="shared" si="0"/>
        <v>60.790000000000006</v>
      </c>
      <c r="K2" s="29">
        <f t="shared" si="0"/>
        <v>350.69839999999999</v>
      </c>
      <c r="L2" s="29">
        <f t="shared" si="0"/>
        <v>350.69839999999999</v>
      </c>
      <c r="M2" s="29">
        <f t="shared" si="0"/>
        <v>113.23</v>
      </c>
      <c r="N2" s="29">
        <f t="shared" si="0"/>
        <v>2918.0232000000001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2764</v>
      </c>
      <c r="B6" s="140">
        <v>94.56</v>
      </c>
      <c r="C6" s="141">
        <v>19.600000000000001</v>
      </c>
      <c r="D6" s="140">
        <v>0</v>
      </c>
      <c r="E6" s="140">
        <v>40</v>
      </c>
      <c r="F6" s="140">
        <v>0</v>
      </c>
      <c r="G6" s="142">
        <v>0.4230118443316413</v>
      </c>
      <c r="H6" s="140">
        <v>11.35</v>
      </c>
      <c r="I6" s="140">
        <v>0.45</v>
      </c>
      <c r="J6" s="140">
        <v>0.34</v>
      </c>
      <c r="K6" s="140">
        <v>7.5648</v>
      </c>
      <c r="L6" s="140">
        <v>7.5648</v>
      </c>
      <c r="M6" s="140">
        <v>0</v>
      </c>
      <c r="N6" s="140">
        <v>27.290399999999998</v>
      </c>
      <c r="O6" s="142">
        <v>0.28860406091370555</v>
      </c>
      <c r="Q6"/>
    </row>
    <row r="7" spans="1:18" s="31" customFormat="1" x14ac:dyDescent="0.3">
      <c r="A7" s="139" t="s">
        <v>590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2792</v>
      </c>
      <c r="B8" s="140">
        <v>4289.17</v>
      </c>
      <c r="C8" s="141">
        <v>1320</v>
      </c>
      <c r="D8" s="140">
        <v>0</v>
      </c>
      <c r="E8" s="140">
        <v>0</v>
      </c>
      <c r="F8" s="140">
        <v>0</v>
      </c>
      <c r="G8" s="142">
        <v>0</v>
      </c>
      <c r="H8" s="140">
        <v>514.70000000000005</v>
      </c>
      <c r="I8" s="140">
        <v>23.79</v>
      </c>
      <c r="J8" s="140">
        <v>60.45</v>
      </c>
      <c r="K8" s="140">
        <v>343.1336</v>
      </c>
      <c r="L8" s="140">
        <v>343.1336</v>
      </c>
      <c r="M8" s="140">
        <v>113.23</v>
      </c>
      <c r="N8" s="140">
        <v>2890.7328000000002</v>
      </c>
      <c r="O8" s="142">
        <v>0.6739608828747754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594</v>
      </c>
    </row>
    <row r="2" spans="1:4" x14ac:dyDescent="0.3">
      <c r="B2" s="29">
        <f>SUM(B6:B5000)</f>
        <v>4289.17</v>
      </c>
      <c r="C2" s="29">
        <f>SUM(C6:C5000)</f>
        <v>2890.7328000000002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94.56</v>
      </c>
      <c r="C5" s="10">
        <v>27.290399999999998</v>
      </c>
    </row>
    <row r="6" spans="1:4" x14ac:dyDescent="0.3">
      <c r="A6" s="139" t="s">
        <v>590</v>
      </c>
      <c r="B6" s="140">
        <v>4289.17</v>
      </c>
      <c r="C6" s="140">
        <v>2890.7328000000002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2026-09-02T12:30:00Z</dcterms:modified>
  <cp:category/>
  <cp:contentStatus/>
</cp:coreProperties>
</file>