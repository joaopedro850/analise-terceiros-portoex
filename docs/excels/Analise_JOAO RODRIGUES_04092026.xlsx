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9D9D445-9335-47EF-B460-4BF1CAF6C18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<sst xmlns="http://schemas.openxmlformats.org/spreadsheetml/2006/main" count="857" uniqueCount="589">
  <si>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</si>
  <si>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</si>
  <si>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</si>
  <si>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</si>
  <si>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</si>
  <si>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</si>
  <si>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</si>
  <si>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</si>
  <si>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</si>
  <si>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</si>
  <si>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</si>
  <si>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</si>
  <si>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</si>
  <si>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</si>
  <si>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</si>
  <si>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</si>
  <si>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</si>
  <si>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</si>
  <si>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</si>
  <si>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</si>
  <si>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</si>
  <si>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</si>
  <si>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</si>
  <si>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</si>
  <si>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</si>
  <si>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</si>
  <si>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</si>
  <si>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</si>
  <si>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</si>
  <si>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</si>
  <si>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</si>
  <si>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</si>
  <si>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</si>
  <si>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</si>
  <si>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</si>
  <si>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</si>
  <si>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</si>
  <si>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</si>
  <si>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</si>
  <si>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</si>
  <si>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</si>
  <si>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</si>
  <si>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</si>
  <si>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</si>
  <si>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</si>
  <si>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</si>
  <si>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</si>
  <si>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</si>
  <si>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</si>
  <si>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</si>
  <si>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</si>
  <si>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</si>
  <si>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</si>
  <si>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</si>
  <si>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</si>
  <si>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</si>
  <si>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</si>
  <si>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</si>
  <si>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</si>
  <si>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</si>
  <si>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</si>
  <si>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</si>
  <si>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</si>
  <si>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</si>
  <si>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</si>
  <si>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</si>
  <si>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</si>
  <si>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</si>
  <si>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</si>
  <si>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</si>
  <si>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</si>
  <si>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</si>
  <si>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</si>
  <si>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</si>
  <si>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</si>
  <si>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</si>
  <si>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</si>
  <si>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</si>
  <si>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</si>
  <si>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</si>
  <si>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</si>
  <si>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</si>
  <si>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</si>
  <si>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</si>
  <si>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</si>
  <si>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</si>
  <si>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</si>
  <si>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</si>
  <si>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</si>
  <si>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</si>
  <si>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</si>
  <si>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</si>
  <si>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</si>
  <si>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</si>
  <si>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</si>
  <si>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</si>
  <si>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</si>
  <si>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</si>
  <si>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</si>
  <si>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</si>
  <si>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</si>
  <si>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</si>
  <si>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</si>
  <si>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</si>
  <si>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</si>
  <si>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</si>
  <si>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</si>
  <si>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</si>
  <si>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</si>
  <si>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</si>
  <si>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</si>
  <si>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</si>
  <si>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</si>
  <si>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</si>
  <si>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</si>
  <si>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</si>
  <si>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</si>
  <si>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</si>
  <si>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</si>
  <si>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</si>
  <si>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</si>
  <si>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</si>
  <si>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</si>
  <si>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</si>
  <si>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</si>
  <si>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</si>
  <si>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</si>
  <si>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</si>
  <si>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</si>
  <si>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</si>
  <si>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</si>
  <si>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</si>
  <si>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</si>
  <si>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</si>
  <si>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</si>
  <si>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</si>
  <si>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</si>
  <si>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</si>
  <si>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</si>
  <si>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</si>
  <si>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</si>
  <si>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</si>
  <si>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</si>
  <si>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</si>
  <si>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</si>
  <si>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</si>
  <si>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</si>
  <si>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</si>
  <si>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</si>
  <si>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</si>
  <si>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</si>
  <si>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</si>
  <si>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</si>
  <si>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</si>
  <si>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</si>
  <si>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</si>
  <si>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</si>
  <si>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</si>
  <si>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</si>
  <si>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</si>
  <si>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</si>
  <si>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</si>
  <si>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</si>
  <si>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</si>
  <si>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</si>
  <si>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</si>
  <si>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</si>
  <si>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</si>
  <si>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</si>
  <si>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</si>
  <si>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</si>
  <si>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</si>
  <si>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</si>
  <si>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</si>
  <si>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</si>
  <si>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</si>
  <si>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</si>
  <si>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</si>
  <si>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</si>
  <si>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</si>
  <si>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</si>
  <si>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</si>
  <si>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</si>
  <si>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</si>
  <si>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</si>
  <si>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</si>
  <si>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</si>
  <si>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</si>
  <si>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</si>
  <si>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</si>
  <si>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</si>
  <si>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</si>
  <si>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</si>
  <si>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</si>
  <si>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</si>
  <si>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</si>
  <si>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</si>
  <si>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</si>
  <si>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</si>
  <si>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</si>
  <si>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</si>
  <si>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</si>
  <si>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</si>
  <si>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</si>
  <si>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</si>
  <si>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</si>
  <si>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</si>
  <si>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</si>
  <si>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</si>
  <si>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</si>
  <si>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</si>
  <si>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</si>
  <si>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</si>
  <si>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</si>
  <si>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</si>
  <si>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</si>
  <si>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</si>
  <si>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</si>
  <si>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</si>
  <si>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</si>
  <si>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</si>
  <si>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</si>
  <si>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</si>
  <si>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</si>
  <si>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</si>
  <si>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</si>
  <si>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</si>
  <si>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</si>
  <si>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</si>
  <si>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</si>
  <si>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</si>
  <si>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</si>
  <si>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</si>
  <si>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</si>
  <si>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</si>
  <si>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</si>
  <si>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</si>
  <si>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</si>
  <si>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</si>
  <si>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</si>
  <si>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</si>
  <si>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</si>
  <si>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</si>
  <si>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</si>
  <si>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</si>
  <si>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</si>
  <si>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</si>
  <si>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</si>
  <si>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</si>
  <si>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</si>
  <si>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</si>
  <si>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</si>
  <si>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</si>
  <si>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</si>
  <si>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</si>
  <si>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</si>
  <si>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</si>
  <si>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</si>
  <si>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</si>
  <si>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</si>
  <si>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</si>
  <si>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</si>
  <si>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</si>
  <si>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</si>
  <si>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</si>
  <si>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</si>
  <si>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</si>
  <si>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</si>
  <si>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</si>
  <si>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</si>
  <si>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</si>
  <si>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</si>
  <si>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</si>
  <si>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</si>
  <si>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</si>
  <si>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</si>
  <si>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</si>
  <si>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</si>
  <si>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</si>
  <si>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</si>
  <si>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</si>
  <si>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</si>
  <si>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</si>
  <si>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</si>
  <si>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</si>
  <si>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</si>
  <si>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</si>
  <si>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</si>
  <si>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</si>
  <si>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</si>
  <si>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</si>
  <si>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</si>
  <si>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</si>
  <si>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</si>
  <si>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</si>
  <si>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</si>
  <si>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</si>
  <si>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</si>
  <si>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</si>
  <si>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</si>
  <si>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</si>
  <si>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</si>
  <si>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</si>
  <si>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</si>
  <si>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</si>
  <si>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</si>
  <si>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</si>
  <si>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</si>
  <si>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</si>
  <si>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</si>
  <si>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</si>
  <si>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</si>
  <si>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</si>
  <si>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</si>
  <si>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</si>
  <si>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</si>
  <si>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</si>
  <si>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</si>
  <si>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</si>
  <si>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</si>
  <si>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</si>
  <si>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</si>
  <si>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</si>
  <si>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</si>
  <si>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</si>
  <si>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</si>
  <si>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</si>
  <si>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</si>
  <si>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</si>
  <si>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</si>
  <si>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</si>
  <si>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</si>
  <si>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</si>
  <si>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</si>
  <si>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</si>
  <si>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</si>
  <si>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</si>
  <si>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</si>
  <si>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</si>
  <si>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</si>
  <si>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</si>
  <si>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</si>
  <si>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</si>
  <si>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</si>
  <si>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</si>
  <si>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</si>
  <si>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</si>
  <si>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</si>
  <si>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</si>
  <si>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</si>
  <si>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</si>
  <si>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</si>
  <si>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</si>
  <si>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</si>
  <si>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</si>
  <si>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</si>
  <si>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</si>
  <si>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</si>
  <si>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</si>
  <si>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</si>
  <si>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</si>
  <si>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</si>
  <si>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</si>
  <si>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</si>
  <si>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</si>
  <si>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</si>
  <si>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</si>
  <si>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</si>
  <si>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</si>
  <si>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</si>
  <si>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</si>
  <si>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</si>
  <si>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</si>
  <si>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</si>
  <si>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</si>
  <si>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</si>
  <si>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</si>
  <si>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</si>
  <si>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</si>
  <si>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</si>
  <si>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</si>
  <si>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</si>
  <si>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</si>
  <si>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</si>
  <si>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</si>
  <si>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</si>
  <si>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</si>
  <si>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</si>
  <si>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</si>
  <si>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</si>
  <si>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</si>
  <si>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</si>
  <si>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</si>
  <si>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</si>
  <si>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</si>
  <si>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</si>
  <si>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</si>
  <si>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</si>
  <si>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</si>
  <si>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</si>
  <si>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</si>
  <si>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</si>
  <si>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</si>
  <si>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</si>
  <si>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</si>
  <si>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</si>
  <si>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</si>
  <si>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</si>
  <si>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</si>
  <si>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</si>
  <si>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</si>
  <si>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</si>
  <si>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</si>
  <si>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</si>
  <si>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</si>
  <si>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</si>
  <si>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</si>
  <si>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</si>
  <si>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</si>
  <si>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</si>
  <si>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</si>
  <si>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</si>
  <si>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</si>
  <si>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</si>
  <si>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</si>
  <si>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</si>
  <si>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</si>
  <si>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</si>
  <si>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</si>
  <si>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</si>
  <si>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</si>
  <si>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</si>
  <si>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</si>
  <si>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</si>
  <si>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</si>
  <si>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</si>
  <si>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</si>
  <si>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</si>
  <si>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</si>
  <si>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</si>
  <si>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</si>
  <si>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</si>
  <si>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</si>
  <si>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</si>
  <si>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</si>
  <si>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</si>
  <si>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</si>
  <si>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</si>
  <si>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</si>
  <si>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</si>
  <si>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</si>
  <si>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</si>
  <si>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</si>
  <si>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</si>
  <si>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</si>
  <si>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</si>
  <si>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</si>
  <si>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</si>
  <si>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</si>
  <si>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</si>
  <si>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</si>
  <si>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</si>
  <si>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</si>
  <si>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</si>
  <si>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</si>
  <si>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</si>
  <si>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</si>
  <si>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</si>
  <si>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</si>
  <si>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</si>
  <si>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</si>
  <si>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</si>
  <si>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</si>
  <si>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</si>
  <si>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</si>
  <si>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</si>
  <si>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</si>
  <si>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</si>
  <si>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</si>
  <si>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</si>
  <si>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</si>
  <si>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</si>
  <si>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</si>
  <si>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</si>
  <si>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</si>
  <si>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</si>
  <si>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</si>
  <si>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</si>
  <si>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</si>
  <si>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</si>
  <si>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</si>
  <si>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</si>
  <si>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</si>
  <si>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</si>
  <si>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</si>
  <si>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</si>
  <si>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</si>
  <si>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</si>
  <si>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</si>
  <si>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</si>
  <si>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</si>
  <si>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</si>
  <si>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</si>
  <si>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</si>
  <si>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</si>
  <si>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</si>
  <si>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</si>
  <si>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</si>
  <si>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</si>
  <si>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</si>
  <si>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</si>
  <si>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</si>
  <si>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</si>
  <si>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</si>
  <si>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</si>
  <si>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</si>
  <si>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</si>
  <si>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</si>
  <si>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</si>
  <si>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</si>
  <si>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</si>
  <si>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</si>
  <si>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</si>
  <si>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</si>
  <si>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</si>
  <si>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</si>
  <si>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</si>
  <si>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</si>
  <si>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</si>
  <si>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</si>
  <si>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</si>
  <si>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</si>
  <si>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</si>
  <si>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</si>
  <si>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</si>
  <si>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</si>
  <si>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</si>
  <si>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</si>
  <si>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</si>
  <si>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</si>
  <si>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</si>
  <si>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</si>
  <si>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</si>
  <si>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</si>
  <si>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</si>
  <si>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</si>
  <si>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</si>
  <si>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</si>
  <si>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</si>
  <si>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</si>
  <si>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</si>
  <si>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</si>
  <si>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</si>
  <si>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</si>
  <si>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</si>
  <si>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</si>
  <si>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</si>
  <si>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</si>
  <si>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</si>
  <si>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</si>
  <si>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</si>
  <si>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</si>
  <si>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</si>
  <si>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</si>
  <si>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</si>
  <si>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</si>
  <si>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</si>
  <si>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</si>
  <si>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</si>
  <si>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</si>
  <si>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</si>
  <si>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</si>
  <si>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</si>
  <si>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</si>
  <si>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</si>
  <si>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</si>
  <si>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</si>
  <si>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</si>
  <si>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</si>
  <si>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</si>
  <si>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2891-1</t>
  </si>
  <si>
    <t>AC COMERCIAL IM</t>
  </si>
  <si>
    <t>TIAGO SANTANA</t>
  </si>
  <si>
    <t>PERSONALIZADO_L</t>
  </si>
  <si>
    <t>CTE NORMAL</t>
  </si>
  <si>
    <t>EMBU - SP</t>
  </si>
  <si>
    <t>UILIAN PRAZITO RODRIGUES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</si>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</sst>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RODRIGUES_04092026.xlsx]Resumo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6797.1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1578.652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RODRIGUES_04092026.xlsx]Resumo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6797.1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1578.652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5218322916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98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4T00:00:00" maxDate="2026-09-05T00:00:00"/>
    </cacheField>
    <cacheField name="DATA" numFmtId="14">
      <sharedItems containsNonDate="0" containsDate="1" containsString="0" containsBlank="1" minDate="2026-09-04T00:00:00" maxDate="2026-09-0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60861.47" maxValue="1460861.47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797.1" maxValue="6797.1"/>
    </cacheField>
    <cacheField name="VOLUMES" numFmtId="0">
      <sharedItems containsString="0" containsBlank="1" containsNumber="1" containsInteger="1" minValue="589" maxValue="589"/>
    </cacheField>
    <cacheField name="PESO" numFmtId="0">
      <sharedItems containsString="0" containsBlank="1" containsNumber="1" minValue="2429.4" maxValue="2429.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3200" maxValue="3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815.65" maxValue="815.6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84.34" maxValue="584.34"/>
    </cacheField>
    <cacheField name="OUTROS" numFmtId="0">
      <sharedItems containsString="0" containsBlank="1" containsNumber="1" minValue="14.88" maxValue="14.88"/>
    </cacheField>
    <cacheField name="C.TOTAL" numFmtId="0">
      <sharedItems containsString="0" containsBlank="1" containsNumber="1" minValue="4614.87" maxValue="4614.87"/>
    </cacheField>
    <cacheField name="RECEITA" numFmtId="0">
      <sharedItems containsString="0" containsBlank="1" containsNumber="1" minValue="2182.23" maxValue="2182.23"/>
    </cacheField>
    <cacheField name="IMPOSTO" numFmtId="0">
      <sharedItems containsString="0" containsBlank="1" containsNumber="1" minValue="1087.54" maxValue="1087.54"/>
    </cacheField>
    <cacheField name="RESULTADO" numFmtId="0">
      <sharedItems containsString="0" containsBlank="1" containsNumber="1" minValue="1094.69" maxValue="1094.69"/>
    </cacheField>
    <cacheField name="COMIS" numFmtId="0">
      <sharedItems containsString="0" containsBlank="1" containsNumber="1" minValue="59.81" maxValue="59.81"/>
    </cacheField>
    <cacheField name="LUCRO LIQ" numFmtId="0">
      <sharedItems containsString="0" containsBlank="1" containsNumber="1" minValue="1034.8800000000001" maxValue="1034.8800000000001"/>
    </cacheField>
    <cacheField name="MARGEM" numFmtId="10">
      <sharedItems containsString="0" containsBlank="1" containsNumber="1" minValue="0.15229999999999999" maxValue="0.1522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4T00:00:00"/>
    <d v="2026-09-04T00:00:00"/>
    <m/>
    <s v="2891-1"/>
    <x v="0"/>
    <s v="TIAGO SANTANA"/>
    <n v="1460861.47"/>
    <x v="0"/>
    <s v="CTE NORMAL"/>
    <s v="EMBU - SP"/>
    <n v="6797.1"/>
    <n v="589"/>
    <n v="2429.4"/>
    <s v="MATRIZ"/>
    <n v="0"/>
    <s v="UILIAN PRAZITO RODRIGUES"/>
    <n v="3200"/>
    <s v="INDEFINIDO"/>
    <n v="0"/>
    <n v="815.65"/>
    <n v="0"/>
    <n v="0"/>
    <n v="584.34"/>
    <n v="14.88"/>
    <n v="4614.87"/>
    <n v="2182.23"/>
    <n v="1087.54"/>
    <n v="1094.69"/>
    <n v="59.81"/>
    <n v="1034.8800000000001"/>
    <n v="0.15229999999999999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2986</v>
      </c>
      <c r="B2" s="12" t="s">
        <v>579</v>
      </c>
      <c r="C2" s="14">
        <v>46269</v>
      </c>
      <c r="D2" s="14">
        <v>46269</v>
      </c>
      <c r="E2" s="12"/>
      <c r="F2" s="15" t="s">
        <v>580</v>
      </c>
      <c r="G2" s="15" t="s">
        <v>581</v>
      </c>
      <c r="H2" s="15" t="s">
        <v>582</v>
      </c>
      <c r="I2" s="16">
        <v>1460861.47</v>
      </c>
      <c r="J2" s="15" t="s">
        <v>583</v>
      </c>
      <c r="K2" s="15" t="s">
        <v>584</v>
      </c>
      <c r="L2" s="15" t="s">
        <v>585</v>
      </c>
      <c r="M2" s="15">
        <v>6797.1</v>
      </c>
      <c r="N2" s="15">
        <v>589</v>
      </c>
      <c r="O2" s="16">
        <v>2429.4</v>
      </c>
      <c r="P2" s="15" t="s">
        <v>579</v>
      </c>
      <c r="Q2" s="15">
        <v>0</v>
      </c>
      <c r="R2" s="15" t="s">
        <v>586</v>
      </c>
      <c r="S2" s="15">
        <v>3200</v>
      </c>
      <c r="T2" s="15" t="s">
        <v>587</v>
      </c>
      <c r="U2" s="15">
        <v>0</v>
      </c>
      <c r="V2" s="15">
        <v>815.65</v>
      </c>
      <c r="W2" s="15">
        <v>0</v>
      </c>
      <c r="X2" s="15">
        <v>0</v>
      </c>
      <c r="Y2" s="15">
        <v>584.34</v>
      </c>
      <c r="Z2" s="15">
        <v>14.88</v>
      </c>
      <c r="AA2" s="15">
        <v>4614.87</v>
      </c>
      <c r="AB2" s="15">
        <v>2182.23</v>
      </c>
      <c r="AC2" s="15">
        <v>1087.54</v>
      </c>
      <c r="AD2" s="15">
        <v>1094.69</v>
      </c>
      <c r="AE2" s="15">
        <v>59.81</v>
      </c>
      <c r="AF2" s="15">
        <v>1034.8800000000001</v>
      </c>
      <c r="AG2" s="17">
        <v>0.15229999999999999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6797.1</v>
      </c>
      <c r="F3" s="93"/>
      <c r="G3" s="94"/>
      <c r="H3" s="95">
        <f>'Resumo Detalhado'!C2</f>
        <v>2429.4</v>
      </c>
      <c r="I3" s="96"/>
      <c r="J3" s="97">
        <f>E3/H3</f>
        <v>2.7978513213139049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0.69411428571428579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3200</v>
      </c>
      <c r="F7" s="109"/>
      <c r="G7" s="109"/>
      <c r="H7" s="109"/>
      <c r="I7" s="109"/>
      <c r="J7" s="109">
        <f>E7/H3</f>
        <v>1.3171976619741499</v>
      </c>
      <c r="K7" s="109"/>
      <c r="L7" s="109"/>
      <c r="M7" s="110">
        <f>E7/E3</f>
        <v>0.47078901296141001</v>
      </c>
      <c r="N7" s="110"/>
      <c r="O7" s="110"/>
      <c r="P7" s="109">
        <f>E11+K11+Q11+E15+K15+Q15+E19+H19+K19</f>
        <v>6246.174</v>
      </c>
      <c r="Q7" s="109"/>
      <c r="R7" s="109"/>
      <c r="S7" s="109">
        <f>P7/H3</f>
        <v>2.5710768090886638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3200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3200</v>
      </c>
      <c r="L11" s="94"/>
      <c r="M11" s="38"/>
      <c r="N11" s="92">
        <f>K11/H3</f>
        <v>1.3171976619741499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815.65</v>
      </c>
      <c r="F15" s="113"/>
      <c r="G15" s="113"/>
      <c r="H15" s="113"/>
      <c r="I15" s="114"/>
      <c r="J15" s="38"/>
      <c r="K15" s="116">
        <f>'Resumo Detalhado'!K2+'Resumo Detalhado'!L2</f>
        <v>1087.5360000000001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584.34</v>
      </c>
      <c r="F19" s="119"/>
      <c r="G19" s="38"/>
      <c r="H19" s="106">
        <f>'Resumo Detalhado'!J2</f>
        <v>14.88</v>
      </c>
      <c r="I19" s="108"/>
      <c r="J19" s="38"/>
      <c r="K19" s="106">
        <f>'Resumo Detalhado'!L2</f>
        <v>543.76800000000003</v>
      </c>
      <c r="L19" s="108"/>
      <c r="M19" s="38"/>
      <c r="N19" s="112" t="s">
        <v>322</v>
      </c>
      <c r="O19" s="113"/>
      <c r="P19" s="113"/>
      <c r="Q19" s="113"/>
      <c r="R19" s="119"/>
      <c r="S19" s="112">
        <f>_xlfn.XLOOKUP(N19,Target!C:C,Target!D:D)</f>
        <v>3200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1578.652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0.2322537552779862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6797.1</v>
      </c>
      <c r="C2" s="29">
        <f>SUM(C6:C5000)</f>
        <v>2429.4</v>
      </c>
      <c r="D2" s="29">
        <f>SUM(D6:D5000)</f>
        <v>0</v>
      </c>
      <c r="E2" s="29">
        <f>SUM(E6:E5000)</f>
        <v>3200</v>
      </c>
      <c r="F2" s="29">
        <f>SUM(F6:F5000)</f>
        <v>0</v>
      </c>
      <c r="G2" s="29"/>
      <c r="H2" s="29">
        <f t="shared" ref="H2:P2" si="0">SUM(H6:H5000)</f>
        <v>815.65</v>
      </c>
      <c r="I2" s="29">
        <f t="shared" si="0"/>
        <v>584.34</v>
      </c>
      <c r="J2" s="29">
        <f t="shared" si="0"/>
        <v>14.88</v>
      </c>
      <c r="K2" s="29">
        <f t="shared" si="0"/>
        <v>543.76800000000003</v>
      </c>
      <c r="L2" s="29">
        <f t="shared" si="0"/>
        <v>543.76800000000003</v>
      </c>
      <c r="M2" s="29">
        <f t="shared" si="0"/>
        <v>59.81</v>
      </c>
      <c r="N2" s="29">
        <f t="shared" si="0"/>
        <v>1578.652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2986</v>
      </c>
      <c r="B6" s="140">
        <v>6797.1</v>
      </c>
      <c r="C6" s="141">
        <v>2429.4</v>
      </c>
      <c r="D6" s="140">
        <v>0</v>
      </c>
      <c r="E6" s="140">
        <v>3200</v>
      </c>
      <c r="F6" s="140">
        <v>0</v>
      </c>
      <c r="G6" s="142">
        <v>0.47078901296141001</v>
      </c>
      <c r="H6" s="140">
        <v>815.65</v>
      </c>
      <c r="I6" s="140">
        <v>584.34</v>
      </c>
      <c r="J6" s="140">
        <v>14.88</v>
      </c>
      <c r="K6" s="140">
        <v>543.76800000000003</v>
      </c>
      <c r="L6" s="140">
        <v>543.76800000000003</v>
      </c>
      <c r="M6" s="140">
        <v>59.81</v>
      </c>
      <c r="N6" s="140">
        <v>1578.652</v>
      </c>
      <c r="O6" s="142">
        <v>0.2322537552779862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6797.1</v>
      </c>
      <c r="C5" s="10">
        <v>1578.652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2026-09-10T15:31:33Z</dcterms:modified>
  <cp:category/>
  <cp:contentStatus/>
</cp:coreProperties>
</file>