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25AC3D6-7B71-494F-ABA6-87CA01FB861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<sst xmlns="http://schemas.openxmlformats.org/spreadsheetml/2006/main" count="869" uniqueCount="594">
  <si>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</si>
  <si>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</si>
  <si>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</si>
  <si>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</si>
  <si>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</si>
  <si>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</si>
  <si>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</si>
  <si>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</si>
  <si>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</si>
  <si>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</si>
  <si>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</si>
  <si>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</si>
  <si>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</si>
  <si>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</si>
  <si>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</si>
  <si>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</si>
  <si>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</si>
  <si>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</si>
  <si>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</si>
  <si>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</si>
  <si>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</si>
  <si>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</si>
  <si>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</si>
  <si>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</si>
  <si>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</si>
  <si>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</si>
  <si>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</si>
  <si>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</si>
  <si>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</si>
  <si>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</si>
  <si>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</si>
  <si>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</si>
  <si>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</si>
  <si>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</si>
  <si>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</si>
  <si>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</si>
  <si>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</si>
  <si>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</si>
  <si>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</si>
  <si>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</si>
  <si>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</si>
  <si>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</si>
  <si>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</si>
  <si>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</si>
  <si>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</si>
  <si>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</si>
  <si>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</si>
  <si>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</si>
  <si>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</si>
  <si>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</si>
  <si>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</si>
  <si>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</si>
  <si>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</si>
  <si>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</si>
  <si>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</si>
  <si>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</si>
  <si>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</si>
  <si>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</si>
  <si>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</si>
  <si>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</si>
  <si>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</si>
  <si>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</si>
  <si>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</si>
  <si>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</si>
  <si>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</si>
  <si>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</si>
  <si>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</si>
  <si>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</si>
  <si>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</si>
  <si>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</si>
  <si>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</si>
  <si>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</si>
  <si>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</si>
  <si>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</si>
  <si>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</si>
  <si>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</si>
  <si>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</si>
  <si>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</si>
  <si>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</si>
  <si>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</si>
  <si>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</si>
  <si>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</si>
  <si>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</si>
  <si>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</si>
  <si>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</si>
  <si>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</si>
  <si>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</si>
  <si>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</si>
  <si>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</si>
  <si>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</si>
  <si>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</si>
  <si>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</si>
  <si>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</si>
  <si>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</si>
  <si>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</si>
  <si>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</si>
  <si>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</si>
  <si>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</si>
  <si>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</si>
  <si>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</si>
  <si>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</si>
  <si>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</si>
  <si>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</si>
  <si>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</si>
  <si>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</si>
  <si>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</si>
  <si>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</si>
  <si>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</si>
  <si>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</si>
  <si>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</si>
  <si>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</si>
  <si>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</si>
  <si>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</si>
  <si>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</si>
  <si>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</si>
  <si>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</si>
  <si>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</si>
  <si>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</si>
  <si>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</si>
  <si>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</si>
  <si>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</si>
  <si>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</si>
  <si>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</si>
  <si>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</si>
  <si>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</si>
  <si>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</si>
  <si>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</si>
  <si>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</si>
  <si>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</si>
  <si>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</si>
  <si>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</si>
  <si>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</si>
  <si>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</si>
  <si>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</si>
  <si>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</si>
  <si>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</si>
  <si>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</si>
  <si>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</si>
  <si>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</si>
  <si>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</si>
  <si>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</si>
  <si>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</si>
  <si>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</si>
  <si>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</si>
  <si>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</si>
  <si>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</si>
  <si>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</si>
  <si>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</si>
  <si>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</si>
  <si>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</si>
  <si>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</si>
  <si>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</si>
  <si>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</si>
  <si>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</si>
  <si>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</si>
  <si>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</si>
  <si>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</si>
  <si>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</si>
  <si>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</si>
  <si>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</si>
  <si>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</si>
  <si>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</si>
  <si>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</si>
  <si>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</si>
  <si>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</si>
  <si>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</si>
  <si>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</si>
  <si>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</si>
  <si>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</si>
  <si>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</si>
  <si>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</si>
  <si>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</si>
  <si>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</si>
  <si>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</si>
  <si>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</si>
  <si>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</si>
  <si>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</si>
  <si>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</si>
  <si>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</si>
  <si>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</si>
  <si>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</si>
  <si>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</si>
  <si>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</si>
  <si>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</si>
  <si>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</si>
  <si>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</si>
  <si>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</si>
  <si>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</si>
  <si>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</si>
  <si>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</si>
  <si>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</si>
  <si>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</si>
  <si>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</si>
  <si>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</si>
  <si>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</si>
  <si>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</si>
  <si>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</si>
  <si>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</si>
  <si>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</si>
  <si>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</si>
  <si>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</si>
  <si>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</si>
  <si>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</si>
  <si>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</si>
  <si>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</si>
  <si>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</si>
  <si>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</si>
  <si>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</si>
  <si>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</si>
  <si>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</si>
  <si>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</si>
  <si>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</si>
  <si>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</si>
  <si>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</si>
  <si>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</si>
  <si>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</si>
  <si>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</si>
  <si>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</si>
  <si>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</si>
  <si>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</si>
  <si>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</si>
  <si>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</si>
  <si>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</si>
  <si>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</si>
  <si>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</si>
  <si>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</si>
  <si>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</si>
  <si>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</si>
  <si>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</si>
  <si>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</si>
  <si>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</si>
  <si>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</si>
  <si>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</si>
  <si>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</si>
  <si>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</si>
  <si>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</si>
  <si>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</si>
  <si>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</si>
  <si>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</si>
  <si>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</si>
  <si>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</si>
  <si>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</si>
  <si>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</si>
  <si>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</si>
  <si>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</si>
  <si>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</si>
  <si>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</si>
  <si>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</si>
  <si>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</si>
  <si>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</si>
  <si>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</si>
  <si>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</si>
  <si>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</si>
  <si>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</si>
  <si>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</si>
  <si>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</si>
  <si>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</si>
  <si>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</si>
  <si>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</si>
  <si>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</si>
  <si>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</si>
  <si>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</si>
  <si>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</si>
  <si>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</si>
  <si>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</si>
  <si>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</si>
  <si>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</si>
  <si>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</si>
  <si>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</si>
  <si>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</si>
  <si>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</si>
  <si>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</si>
  <si>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</si>
  <si>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</si>
  <si>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</si>
  <si>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</si>
  <si>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</si>
  <si>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</si>
  <si>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</si>
  <si>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</si>
  <si>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</si>
  <si>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</si>
  <si>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</si>
  <si>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</si>
  <si>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</si>
  <si>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</si>
  <si>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</si>
  <si>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</si>
  <si>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</si>
  <si>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</si>
  <si>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</si>
  <si>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</si>
  <si>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</si>
  <si>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</si>
  <si>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</si>
  <si>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</si>
  <si>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</si>
  <si>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</si>
  <si>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</si>
  <si>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</si>
  <si>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</si>
  <si>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</si>
  <si>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</si>
  <si>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</si>
  <si>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</si>
  <si>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</si>
  <si>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</si>
  <si>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</si>
  <si>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</si>
  <si>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</si>
  <si>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</si>
  <si>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</si>
  <si>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</si>
  <si>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</si>
  <si>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</si>
  <si>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</si>
  <si>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</si>
  <si>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</si>
  <si>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</si>
  <si>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</si>
  <si>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</si>
  <si>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</si>
  <si>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</si>
  <si>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</si>
  <si>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</si>
  <si>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</si>
  <si>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</si>
  <si>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</si>
  <si>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</si>
  <si>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</si>
  <si>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</si>
  <si>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</si>
  <si>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</si>
  <si>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</si>
  <si>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</si>
  <si>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</si>
  <si>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</si>
  <si>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</si>
  <si>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</si>
  <si>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</si>
  <si>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</si>
  <si>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</si>
  <si>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</si>
  <si>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</si>
  <si>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</si>
  <si>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</si>
  <si>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</si>
  <si>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</si>
  <si>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</si>
  <si>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</si>
  <si>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</si>
  <si>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</si>
  <si>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</si>
  <si>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</si>
  <si>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</si>
  <si>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</si>
  <si>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</si>
  <si>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</si>
  <si>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</si>
  <si>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</si>
  <si>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</si>
  <si>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</si>
  <si>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</si>
  <si>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</si>
  <si>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</si>
  <si>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</si>
  <si>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</si>
  <si>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</si>
  <si>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</si>
  <si>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</si>
  <si>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</si>
  <si>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</si>
  <si>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</si>
  <si>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</si>
  <si>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</si>
  <si>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</si>
  <si>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</si>
  <si>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</si>
  <si>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</si>
  <si>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</si>
  <si>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</si>
  <si>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</si>
  <si>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</si>
  <si>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</si>
  <si>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</si>
  <si>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</si>
  <si>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</si>
  <si>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</si>
  <si>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</si>
  <si>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</si>
  <si>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</si>
  <si>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</si>
  <si>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</si>
  <si>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</si>
  <si>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</si>
  <si>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</si>
  <si>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</si>
  <si>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</si>
  <si>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</si>
  <si>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</si>
  <si>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</si>
  <si>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</si>
  <si>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</si>
  <si>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</si>
  <si>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</si>
  <si>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</si>
  <si>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</si>
  <si>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</si>
  <si>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</si>
  <si>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</si>
  <si>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</si>
  <si>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</si>
  <si>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</si>
  <si>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</si>
  <si>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</si>
  <si>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</si>
  <si>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</si>
  <si>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</si>
  <si>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</si>
  <si>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</si>
  <si>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</si>
  <si>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</si>
  <si>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</si>
  <si>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</si>
  <si>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</si>
  <si>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</si>
  <si>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</si>
  <si>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</si>
  <si>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</si>
  <si>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</si>
  <si>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</si>
  <si>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</si>
  <si>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</si>
  <si>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</si>
  <si>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</si>
  <si>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</si>
  <si>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</si>
  <si>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</si>
  <si>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</si>
  <si>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</si>
  <si>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</si>
  <si>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</si>
  <si>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</si>
  <si>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</si>
  <si>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</si>
  <si>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</si>
  <si>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</si>
  <si>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</si>
  <si>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</si>
  <si>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</si>
  <si>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</si>
  <si>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</si>
  <si>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</si>
  <si>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</si>
  <si>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</si>
  <si>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</si>
  <si>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</si>
  <si>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</si>
  <si>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</si>
  <si>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</si>
  <si>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</si>
  <si>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</si>
  <si>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</si>
  <si>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</si>
  <si>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</si>
  <si>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</si>
  <si>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</si>
  <si>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</si>
  <si>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</si>
  <si>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</si>
  <si>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</si>
  <si>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</si>
  <si>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</si>
  <si>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</si>
  <si>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</si>
  <si>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</si>
  <si>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</si>
  <si>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</si>
  <si>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</si>
  <si>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</si>
  <si>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</si>
  <si>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</si>
  <si>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</si>
  <si>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</si>
  <si>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</si>
  <si>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</si>
  <si>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</si>
  <si>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</si>
  <si>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</si>
  <si>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</si>
  <si>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</si>
  <si>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</si>
  <si>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</si>
  <si>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</si>
  <si>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</si>
  <si>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</si>
  <si>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</si>
  <si>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</si>
  <si>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</si>
  <si>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</si>
  <si>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</si>
  <si>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</si>
  <si>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</si>
  <si>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</si>
  <si>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</si>
  <si>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</si>
  <si>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</si>
  <si>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</si>
  <si>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</si>
  <si>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</si>
  <si>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</si>
  <si>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</si>
  <si>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</si>
  <si>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</si>
  <si>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</si>
  <si>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</si>
  <si>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</si>
  <si>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</si>
  <si>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</si>
  <si>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</si>
  <si>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</si>
  <si>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</si>
  <si>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</si>
  <si>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</si>
  <si>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</si>
  <si>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</si>
  <si>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</si>
  <si>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</si>
  <si>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</si>
  <si>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</si>
  <si>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</si>
  <si>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</si>
  <si>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</si>
  <si>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</si>
  <si>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</si>
  <si>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</si>
  <si>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</si>
  <si>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</si>
  <si>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</si>
  <si>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</si>
  <si>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</si>
  <si>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</si>
  <si>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</si>
  <si>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</si>
  <si>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</si>
  <si>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</si>
  <si>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</si>
  <si>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</si>
  <si>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</si>
  <si>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</si>
  <si>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</si>
  <si>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</si>
  <si>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</si>
  <si>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</si>
  <si>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</si>
  <si>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</si>
  <si>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</si>
  <si>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</si>
  <si>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</si>
  <si>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</si>
  <si>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</si>
  <si>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</si>
  <si>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</si>
  <si>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</si>
  <si>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</si>
  <si>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</si>
  <si>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</si>
  <si>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</si>
  <si>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</si>
  <si>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</si>
  <si>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</si>
  <si>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</si>
  <si>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</si>
  <si>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</si>
  <si>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</si>
  <si>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</si>
  <si>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</si>
  <si>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</si>
  <si>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</si>
  <si>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</si>
  <si>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2756-1</t>
  </si>
  <si>
    <t>MAC FER INDUSTR</t>
  </si>
  <si>
    <t>FRANCISCO GILAILTON/SABRI</t>
  </si>
  <si>
    <t>ECONOMICO_250</t>
  </si>
  <si>
    <t>CTE NORMAL</t>
  </si>
  <si>
    <t>GUARULHOS - SP</t>
  </si>
  <si>
    <t>JOSE EMILTON DA COSTA - O</t>
  </si>
  <si>
    <t>JOAO VICTOR DE LIMA</t>
  </si>
  <si>
    <t>2771-1</t>
  </si>
  <si>
    <t>CRONOS LOGISTIC</t>
  </si>
  <si>
    <t>URIEL CORREA</t>
  </si>
  <si>
    <t>PERSONALIZADO_L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</si>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</sst>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VICTOR_01092026.xlsx]Resumo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6690</c:v>
                </c:pt>
                <c:pt idx="1">
                  <c:v>111.78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5248.4100000000008</c:v>
                </c:pt>
                <c:pt idx="1">
                  <c:v>39.495200000000004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VICTOR_01092026.xlsx]Resumo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6690</c:v>
                </c:pt>
                <c:pt idx="1">
                  <c:v>111.78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5248.4100000000008</c:v>
                </c:pt>
                <c:pt idx="1">
                  <c:v>39.495200000000004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9.42373449073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838"/>
        <n v="286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01T00:00:00"/>
    </cacheField>
    <cacheField name="DATA" numFmtId="14">
      <sharedItems containsNonDate="0" containsDate="1" containsString="0" containsBlank="1" minDate="2026-08-31T00:00:00" maxDate="2026-09-02T00:00:00"/>
    </cacheField>
    <cacheField name="FAT" numFmtId="0">
      <sharedItems containsString="0" containsBlank="1" containsNumber="1" containsInteger="1" minValue="478" maxValue="490"/>
    </cacheField>
    <cacheField name="CT-E" numFmtId="0">
      <sharedItems containsBlank="1"/>
    </cacheField>
    <cacheField name="CLIENTE TOMADOR" numFmtId="0">
      <sharedItems containsBlank="1" count="855">
        <s v="MAC FER INDUSTR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69.65" maxValue="426221.49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78" maxValue="6690"/>
    </cacheField>
    <cacheField name="VOLUMES" numFmtId="0">
      <sharedItems containsString="0" containsBlank="1" containsNumber="1" containsInteger="1" minValue="6" maxValue="7"/>
    </cacheField>
    <cacheField name="PESO" numFmtId="0">
      <sharedItems containsString="0" containsBlank="1" containsNumber="1" minValue="62.31" maxValue="6591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3.4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9" maxValue="170.4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23.42" maxValue="4301.47"/>
    </cacheField>
    <cacheField name="RECEITA" numFmtId="0">
      <sharedItems containsString="0" containsBlank="1" containsNumber="1" minValue="-11.64" maxValue="2388.5300000000002"/>
    </cacheField>
    <cacheField name="IMPOSTO" numFmtId="0">
      <sharedItems containsString="0" containsBlank="1" containsNumber="1" minValue="17.88" maxValue="1070.4000000000001"/>
    </cacheField>
    <cacheField name="RESULTADO" numFmtId="0">
      <sharedItems containsString="0" containsBlank="1" containsNumber="1" minValue="-29.52" maxValue="1318.13"/>
    </cacheField>
    <cacheField name="COMIS" numFmtId="0">
      <sharedItems containsString="0" containsBlank="1" containsNumber="1" minValue="0" maxValue="200.7"/>
    </cacheField>
    <cacheField name="LUCRO LIQ" numFmtId="0">
      <sharedItems containsString="0" containsBlank="1" containsNumber="1" minValue="-29.52" maxValue="1117.43"/>
    </cacheField>
    <cacheField name="MARGEM" numFmtId="10">
      <sharedItems containsString="0" containsBlank="1" containsNumber="1" minValue="-0.2641" maxValue="0.1669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31T00:00:00"/>
    <d v="2026-08-31T00:00:00"/>
    <n v="478"/>
    <s v="2756-1"/>
    <x v="0"/>
    <s v="FRANCISCO GILAILTON/SABRI"/>
    <n v="2469.65"/>
    <x v="0"/>
    <s v="CTE NORMAL"/>
    <s v="GUARULHOS - SP"/>
    <n v="111.78"/>
    <n v="7"/>
    <n v="62.31"/>
    <s v="MATRIZ"/>
    <n v="0"/>
    <s v="JOSE EMILTON DA COSTA - O"/>
    <n v="40"/>
    <s v="JOAO VICTOR DE LIMA"/>
    <n v="0"/>
    <n v="13.41"/>
    <n v="0"/>
    <n v="0"/>
    <n v="0.99"/>
    <n v="0"/>
    <n v="123.42"/>
    <n v="-11.64"/>
    <n v="17.88"/>
    <n v="-29.52"/>
    <n v="0"/>
    <n v="-29.52"/>
    <n v="-0.2641"/>
    <m/>
  </r>
  <r>
    <x v="1"/>
    <s v="MATRIZ"/>
    <d v="2026-08-31T00:00:00"/>
    <d v="2026-09-01T00:00:00"/>
    <n v="490"/>
    <s v="2771-1"/>
    <x v="1"/>
    <s v="URIEL CORREA"/>
    <n v="426221.49"/>
    <x v="1"/>
    <s v="CTE NORMAL"/>
    <s v="GUARULHOS - SP"/>
    <n v="6690"/>
    <n v="6"/>
    <n v="6591"/>
    <s v="MATRIZ"/>
    <n v="0"/>
    <s v="N/D"/>
    <n v="0"/>
    <s v="JOAO VICTOR DE LIMA"/>
    <n v="0"/>
    <n v="0"/>
    <n v="0"/>
    <n v="0"/>
    <n v="170.49"/>
    <n v="0"/>
    <n v="4301.47"/>
    <n v="2388.5300000000002"/>
    <n v="1070.4000000000001"/>
    <n v="1318.13"/>
    <n v="200.7"/>
    <n v="1117.43"/>
    <n v="0.1669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2838</v>
      </c>
      <c r="B2" s="12" t="s">
        <v>579</v>
      </c>
      <c r="C2" s="14">
        <v>46265</v>
      </c>
      <c r="D2" s="14">
        <v>46265</v>
      </c>
      <c r="E2" s="12">
        <v>478</v>
      </c>
      <c r="F2" s="15" t="s">
        <v>580</v>
      </c>
      <c r="G2" s="15" t="s">
        <v>581</v>
      </c>
      <c r="H2" s="15" t="s">
        <v>582</v>
      </c>
      <c r="I2" s="16">
        <v>2469.65</v>
      </c>
      <c r="J2" s="15" t="s">
        <v>583</v>
      </c>
      <c r="K2" s="15" t="s">
        <v>584</v>
      </c>
      <c r="L2" s="15" t="s">
        <v>585</v>
      </c>
      <c r="M2" s="15">
        <v>111.78</v>
      </c>
      <c r="N2" s="15">
        <v>7</v>
      </c>
      <c r="O2" s="16">
        <v>62.31</v>
      </c>
      <c r="P2" s="15" t="s">
        <v>579</v>
      </c>
      <c r="Q2" s="15">
        <v>0</v>
      </c>
      <c r="R2" s="15" t="s">
        <v>586</v>
      </c>
      <c r="S2" s="15">
        <v>40</v>
      </c>
      <c r="T2" s="15" t="s">
        <v>587</v>
      </c>
      <c r="U2" s="15">
        <v>0</v>
      </c>
      <c r="V2" s="15">
        <v>13.41</v>
      </c>
      <c r="W2" s="15">
        <v>0</v>
      </c>
      <c r="X2" s="15">
        <v>0</v>
      </c>
      <c r="Y2" s="15">
        <v>0.99</v>
      </c>
      <c r="Z2" s="15">
        <v>0</v>
      </c>
      <c r="AA2" s="15">
        <v>123.42</v>
      </c>
      <c r="AB2" s="15">
        <v>-11.64</v>
      </c>
      <c r="AC2" s="15">
        <v>17.88</v>
      </c>
      <c r="AD2" s="15">
        <v>-29.52</v>
      </c>
      <c r="AE2" s="15">
        <v>0</v>
      </c>
      <c r="AF2" s="15">
        <v>-29.52</v>
      </c>
      <c r="AG2" s="17">
        <v>-0.2641</v>
      </c>
      <c r="AH2" s="15"/>
    </row>
    <row r="3" spans="1:34" s="1" customFormat="1" ht="12" customHeight="1" x14ac:dyDescent="0.3">
      <c r="A3" s="13">
        <v>2861</v>
      </c>
      <c r="B3" s="12" t="s">
        <v>579</v>
      </c>
      <c r="C3" s="14">
        <v>46265</v>
      </c>
      <c r="D3" s="14">
        <v>46266</v>
      </c>
      <c r="E3" s="12">
        <v>490</v>
      </c>
      <c r="F3" s="15" t="s">
        <v>588</v>
      </c>
      <c r="G3" s="15" t="s">
        <v>589</v>
      </c>
      <c r="H3" s="15" t="s">
        <v>590</v>
      </c>
      <c r="I3" s="16">
        <v>426221.49</v>
      </c>
      <c r="J3" s="15" t="s">
        <v>591</v>
      </c>
      <c r="K3" s="15" t="s">
        <v>584</v>
      </c>
      <c r="L3" s="15" t="s">
        <v>585</v>
      </c>
      <c r="M3" s="16">
        <v>6690</v>
      </c>
      <c r="N3" s="15">
        <v>6</v>
      </c>
      <c r="O3" s="16">
        <v>6591</v>
      </c>
      <c r="P3" s="15" t="s">
        <v>579</v>
      </c>
      <c r="Q3" s="15">
        <v>0</v>
      </c>
      <c r="R3" s="15" t="s">
        <v>592</v>
      </c>
      <c r="S3" s="15">
        <v>0</v>
      </c>
      <c r="T3" s="15" t="s">
        <v>587</v>
      </c>
      <c r="U3" s="15">
        <v>0</v>
      </c>
      <c r="V3" s="15">
        <v>0</v>
      </c>
      <c r="W3" s="15">
        <v>0</v>
      </c>
      <c r="X3" s="15">
        <v>0</v>
      </c>
      <c r="Y3" s="15">
        <v>170.49</v>
      </c>
      <c r="Z3" s="15">
        <v>0</v>
      </c>
      <c r="AA3" s="16">
        <v>4301.47</v>
      </c>
      <c r="AB3" s="16">
        <v>2388.5300000000002</v>
      </c>
      <c r="AC3" s="15">
        <v>1070.4000000000001</v>
      </c>
      <c r="AD3" s="15">
        <v>1318.13</v>
      </c>
      <c r="AE3" s="15">
        <v>200.7</v>
      </c>
      <c r="AF3" s="15">
        <v>1117.43</v>
      </c>
      <c r="AG3" s="17">
        <v>0.16699999999999998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6801.78</v>
      </c>
      <c r="F3" s="89"/>
      <c r="G3" s="90"/>
      <c r="H3" s="133">
        <f>'Resumo Detalhado'!C2</f>
        <v>6653.31</v>
      </c>
      <c r="I3" s="134"/>
      <c r="J3" s="135">
        <f>E3/H3</f>
        <v>1.0223152085202702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0.60484636363636368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4200</v>
      </c>
      <c r="F7" s="112"/>
      <c r="G7" s="112"/>
      <c r="H7" s="112"/>
      <c r="I7" s="112"/>
      <c r="J7" s="112">
        <f>E7/H3</f>
        <v>0.63126473890439494</v>
      </c>
      <c r="K7" s="112"/>
      <c r="L7" s="112"/>
      <c r="M7" s="130">
        <f>E7/E3</f>
        <v>0.61748542293340858</v>
      </c>
      <c r="N7" s="130"/>
      <c r="O7" s="130"/>
      <c r="P7" s="112">
        <f>E11+K11+Q11+E15+K15+Q15+E19+H19+K19</f>
        <v>6017.3172000000004</v>
      </c>
      <c r="Q7" s="112"/>
      <c r="R7" s="112"/>
      <c r="S7" s="112">
        <f>P7/H3</f>
        <v>0.90440956456260113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4200</v>
      </c>
      <c r="L11" s="90"/>
      <c r="M11" s="38"/>
      <c r="N11" s="88">
        <f>K11/H3</f>
        <v>0.63126473890439494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13.41</v>
      </c>
      <c r="F15" s="119"/>
      <c r="G15" s="119"/>
      <c r="H15" s="119"/>
      <c r="I15" s="132"/>
      <c r="J15" s="38"/>
      <c r="K15" s="113">
        <f>'Resumo Detalhado'!K2+'Resumo Detalhado'!L2</f>
        <v>1088.2848000000001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171.48000000000002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544.14240000000007</v>
      </c>
      <c r="L19" s="123"/>
      <c r="M19" s="38"/>
      <c r="N19" s="121" t="s">
        <v>285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5287.9052000000011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0.77742961401280275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593</v>
      </c>
      <c r="F1" s="29"/>
    </row>
    <row r="2" spans="1:18" x14ac:dyDescent="0.3">
      <c r="B2" s="29">
        <f>SUM(B6:B5000)</f>
        <v>6801.78</v>
      </c>
      <c r="C2" s="29">
        <f>SUM(C6:C5000)</f>
        <v>6653.31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13.41</v>
      </c>
      <c r="I2" s="29">
        <f t="shared" si="0"/>
        <v>171.48000000000002</v>
      </c>
      <c r="J2" s="29">
        <f t="shared" si="0"/>
        <v>0</v>
      </c>
      <c r="K2" s="29">
        <f t="shared" si="0"/>
        <v>544.14240000000007</v>
      </c>
      <c r="L2" s="29">
        <f t="shared" si="0"/>
        <v>544.14240000000007</v>
      </c>
      <c r="M2" s="29">
        <f t="shared" si="0"/>
        <v>200.7</v>
      </c>
      <c r="N2" s="29">
        <f t="shared" si="0"/>
        <v>5287.9052000000011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589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2861</v>
      </c>
      <c r="B6" s="139">
        <v>6690</v>
      </c>
      <c r="C6" s="140">
        <v>6591</v>
      </c>
      <c r="D6" s="139">
        <v>0</v>
      </c>
      <c r="E6" s="139">
        <v>0</v>
      </c>
      <c r="F6" s="139">
        <v>0</v>
      </c>
      <c r="G6" s="141">
        <v>0</v>
      </c>
      <c r="H6" s="139">
        <v>0</v>
      </c>
      <c r="I6" s="139">
        <v>170.49</v>
      </c>
      <c r="J6" s="139">
        <v>0</v>
      </c>
      <c r="K6" s="139">
        <v>535.20000000000005</v>
      </c>
      <c r="L6" s="139">
        <v>535.20000000000005</v>
      </c>
      <c r="M6" s="139">
        <v>200.7</v>
      </c>
      <c r="N6" s="139">
        <v>5248.4100000000008</v>
      </c>
      <c r="O6" s="141">
        <v>0.78451569506726471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2838</v>
      </c>
      <c r="B8" s="139">
        <v>111.78</v>
      </c>
      <c r="C8" s="140">
        <v>62.31</v>
      </c>
      <c r="D8" s="139">
        <v>0</v>
      </c>
      <c r="E8" s="139">
        <v>40</v>
      </c>
      <c r="F8" s="139">
        <v>0</v>
      </c>
      <c r="G8" s="141">
        <v>0.3578457684737878</v>
      </c>
      <c r="H8" s="139">
        <v>13.41</v>
      </c>
      <c r="I8" s="139">
        <v>0.99</v>
      </c>
      <c r="J8" s="139">
        <v>0</v>
      </c>
      <c r="K8" s="139">
        <v>8.942400000000001</v>
      </c>
      <c r="L8" s="139">
        <v>8.942400000000001</v>
      </c>
      <c r="M8" s="139">
        <v>0</v>
      </c>
      <c r="N8" s="139">
        <v>39.495200000000004</v>
      </c>
      <c r="O8" s="141">
        <v>0.35332975487564861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593</v>
      </c>
    </row>
    <row r="2" spans="1:4" x14ac:dyDescent="0.3">
      <c r="B2" s="29">
        <f>SUM(B6:B5000)</f>
        <v>111.78</v>
      </c>
      <c r="C2" s="29">
        <f>SUM(C6:C5000)</f>
        <v>39.495200000000004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589</v>
      </c>
      <c r="B5" s="10">
        <v>6690</v>
      </c>
      <c r="C5" s="10">
        <v>5248.4100000000008</v>
      </c>
    </row>
    <row r="6" spans="1:4" x14ac:dyDescent="0.3">
      <c r="A6" s="9" t="s">
        <v>581</v>
      </c>
      <c r="B6" s="139">
        <v>111.78</v>
      </c>
      <c r="C6" s="139">
        <v>39.495200000000004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2026-09-04T13:10:17Z</dcterms:modified>
  <cp:category/>
  <cp:contentStatus/>
</cp:coreProperties>
</file>