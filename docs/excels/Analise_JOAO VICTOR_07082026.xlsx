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67DD854-E19F-42CF-824F-C8BA06056877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<sst xmlns="http://schemas.openxmlformats.org/spreadsheetml/2006/main" count="866" uniqueCount="592">
  <si>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</si>
  <si>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</si>
  <si>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</si>
  <si>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</si>
  <si>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</si>
  <si>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</si>
  <si>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</si>
  <si>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</si>
  <si>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</si>
  <si>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</si>
  <si>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</si>
  <si>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</si>
  <si>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</si>
  <si>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</si>
  <si>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</si>
  <si>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</si>
  <si>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</si>
  <si>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</si>
  <si>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</si>
  <si>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</si>
  <si>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</si>
  <si>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</si>
  <si>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</si>
  <si>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</si>
  <si>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</si>
  <si>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</si>
  <si>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</si>
  <si>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</si>
  <si>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</si>
  <si>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</si>
  <si>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</si>
  <si>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</si>
  <si>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</si>
  <si>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</si>
  <si>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</si>
  <si>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</si>
  <si>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</si>
  <si>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</si>
  <si>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</si>
  <si>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</si>
  <si>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</si>
  <si>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</si>
  <si>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</si>
  <si>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</si>
  <si>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</si>
  <si>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</si>
  <si>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</si>
  <si>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</si>
  <si>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</si>
  <si>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</si>
  <si>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</si>
  <si>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</si>
  <si>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</si>
  <si>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</si>
  <si>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</si>
  <si>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</si>
  <si>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</si>
  <si>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</si>
  <si>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</si>
  <si>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</si>
  <si>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</si>
  <si>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</si>
  <si>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</si>
  <si>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</si>
  <si>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</si>
  <si>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</si>
  <si>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</si>
  <si>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</si>
  <si>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</si>
  <si>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</si>
  <si>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</si>
  <si>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</si>
  <si>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</si>
  <si>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</si>
  <si>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</si>
  <si>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</si>
  <si>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</si>
  <si>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</si>
  <si>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</si>
  <si>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</si>
  <si>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</si>
  <si>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</si>
  <si>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</si>
  <si>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</si>
  <si>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</si>
  <si>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</si>
  <si>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</si>
  <si>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</si>
  <si>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</si>
  <si>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</si>
  <si>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</si>
  <si>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</si>
  <si>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</si>
  <si>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</si>
  <si>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</si>
  <si>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</si>
  <si>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</si>
  <si>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</si>
  <si>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</si>
  <si>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</si>
  <si>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</si>
  <si>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</si>
  <si>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</si>
  <si>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</si>
  <si>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</si>
  <si>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</si>
  <si>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</si>
  <si>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</si>
  <si>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</si>
  <si>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</si>
  <si>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</si>
  <si>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</si>
  <si>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</si>
  <si>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</si>
  <si>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</si>
  <si>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</si>
  <si>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</si>
  <si>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</si>
  <si>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</si>
  <si>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</si>
  <si>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</si>
  <si>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</si>
  <si>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</si>
  <si>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</si>
  <si>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</si>
  <si>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</si>
  <si>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</si>
  <si>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</si>
  <si>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</si>
  <si>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</si>
  <si>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</si>
  <si>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</si>
  <si>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</si>
  <si>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</si>
  <si>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</si>
  <si>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</si>
  <si>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</si>
  <si>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</si>
  <si>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</si>
  <si>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</si>
  <si>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</si>
  <si>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</si>
  <si>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</si>
  <si>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</si>
  <si>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</si>
  <si>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</si>
  <si>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</si>
  <si>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</si>
  <si>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</si>
  <si>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</si>
  <si>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</si>
  <si>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</si>
  <si>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</si>
  <si>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</si>
  <si>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</si>
  <si>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</si>
  <si>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</si>
  <si>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</si>
  <si>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</si>
  <si>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</si>
  <si>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</si>
  <si>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</si>
  <si>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</si>
  <si>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</si>
  <si>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</si>
  <si>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</si>
  <si>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</si>
  <si>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</si>
  <si>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</si>
  <si>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</si>
  <si>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</si>
  <si>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</si>
  <si>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</si>
  <si>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</si>
  <si>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</si>
  <si>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</si>
  <si>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</si>
  <si>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</si>
  <si>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</si>
  <si>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</si>
  <si>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</si>
  <si>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</si>
  <si>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</si>
  <si>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</si>
  <si>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</si>
  <si>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</si>
  <si>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</si>
  <si>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</si>
  <si>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</si>
  <si>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</si>
  <si>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</si>
  <si>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</si>
  <si>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</si>
  <si>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</si>
  <si>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</si>
  <si>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</si>
  <si>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</si>
  <si>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</si>
  <si>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</si>
  <si>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</si>
  <si>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</si>
  <si>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</si>
  <si>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</si>
  <si>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</si>
  <si>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</si>
  <si>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</si>
  <si>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</si>
  <si>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</si>
  <si>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</si>
  <si>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</si>
  <si>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</si>
  <si>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</si>
  <si>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</si>
  <si>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</si>
  <si>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</si>
  <si>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</si>
  <si>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</si>
  <si>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</si>
  <si>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</si>
  <si>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</si>
  <si>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</si>
  <si>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</si>
  <si>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</si>
  <si>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</si>
  <si>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</si>
  <si>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</si>
  <si>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</si>
  <si>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</si>
  <si>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</si>
  <si>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</si>
  <si>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</si>
  <si>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</si>
  <si>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</si>
  <si>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</si>
  <si>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</si>
  <si>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</si>
  <si>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</si>
  <si>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</si>
  <si>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</si>
  <si>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</si>
  <si>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</si>
  <si>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</si>
  <si>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</si>
  <si>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</si>
  <si>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</si>
  <si>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</si>
  <si>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</si>
  <si>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</si>
  <si>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</si>
  <si>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</si>
  <si>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</si>
  <si>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</si>
  <si>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</si>
  <si>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</si>
  <si>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</si>
  <si>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</si>
  <si>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</si>
  <si>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</si>
  <si>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</si>
  <si>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</si>
  <si>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</si>
  <si>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</si>
  <si>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</si>
  <si>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</si>
  <si>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</si>
  <si>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</si>
  <si>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</si>
  <si>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</si>
  <si>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</si>
  <si>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</si>
  <si>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</si>
  <si>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</si>
  <si>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</si>
  <si>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</si>
  <si>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</si>
  <si>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</si>
  <si>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</si>
  <si>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</si>
  <si>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</si>
  <si>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</si>
  <si>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</si>
  <si>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</si>
  <si>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</si>
  <si>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</si>
  <si>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</si>
  <si>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</si>
  <si>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</si>
  <si>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</si>
  <si>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</si>
  <si>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</si>
  <si>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</si>
  <si>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</si>
  <si>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</si>
  <si>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</si>
  <si>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</si>
  <si>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</si>
  <si>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</si>
  <si>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</si>
  <si>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</si>
  <si>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</si>
  <si>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</si>
  <si>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</si>
  <si>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</si>
  <si>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</si>
  <si>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</si>
  <si>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</si>
  <si>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</si>
  <si>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</si>
  <si>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</si>
  <si>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</si>
  <si>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</si>
  <si>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</si>
  <si>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</si>
  <si>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</si>
  <si>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</si>
  <si>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</si>
  <si>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</si>
  <si>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</si>
  <si>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</si>
  <si>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</si>
  <si>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</si>
  <si>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</si>
  <si>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</si>
  <si>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</si>
  <si>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</si>
  <si>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</si>
  <si>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</si>
  <si>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</si>
  <si>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</si>
  <si>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</si>
  <si>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</si>
  <si>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</si>
  <si>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</si>
  <si>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</si>
  <si>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</si>
  <si>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</si>
  <si>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</si>
  <si>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</si>
  <si>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</si>
  <si>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</si>
  <si>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</si>
  <si>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</si>
  <si>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</si>
  <si>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</si>
  <si>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</si>
  <si>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</si>
  <si>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</si>
  <si>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</si>
  <si>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</si>
  <si>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</si>
  <si>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</si>
  <si>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</si>
  <si>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</si>
  <si>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</si>
  <si>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</si>
  <si>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</si>
  <si>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</si>
  <si>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</si>
  <si>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</si>
  <si>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</si>
  <si>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</si>
  <si>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</si>
  <si>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</si>
  <si>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</si>
  <si>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</si>
  <si>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</si>
  <si>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</si>
  <si>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</si>
  <si>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</si>
  <si>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</si>
  <si>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</si>
  <si>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</si>
  <si>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</si>
  <si>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</si>
  <si>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</si>
  <si>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</si>
  <si>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</si>
  <si>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</si>
  <si>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</si>
  <si>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</si>
  <si>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</si>
  <si>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</si>
  <si>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</si>
  <si>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</si>
  <si>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</si>
  <si>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</si>
  <si>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</si>
  <si>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</si>
  <si>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</si>
  <si>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</si>
  <si>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</si>
  <si>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</si>
  <si>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</si>
  <si>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</si>
  <si>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</si>
  <si>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</si>
  <si>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</si>
  <si>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</si>
  <si>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</si>
  <si>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</si>
  <si>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</si>
  <si>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</si>
  <si>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</si>
  <si>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</si>
  <si>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</si>
  <si>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</si>
  <si>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</si>
  <si>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</si>
  <si>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</si>
  <si>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</si>
  <si>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</si>
  <si>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</si>
  <si>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</si>
  <si>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</si>
  <si>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</si>
  <si>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</si>
  <si>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</si>
  <si>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</si>
  <si>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</si>
  <si>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</si>
  <si>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</si>
  <si>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</si>
  <si>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</si>
  <si>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</si>
  <si>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</si>
  <si>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</si>
  <si>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</si>
  <si>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</si>
  <si>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</si>
  <si>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</si>
  <si>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</si>
  <si>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</si>
  <si>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</si>
  <si>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</si>
  <si>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</si>
  <si>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</si>
  <si>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</si>
  <si>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</si>
  <si>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</si>
  <si>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</si>
  <si>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</si>
  <si>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</si>
  <si>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</si>
  <si>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</si>
  <si>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</si>
  <si>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</si>
  <si>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</si>
  <si>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</si>
  <si>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</si>
  <si>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</si>
  <si>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</si>
  <si>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</si>
  <si>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</si>
  <si>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</si>
  <si>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</si>
  <si>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</si>
  <si>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</si>
  <si>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</si>
  <si>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</si>
  <si>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</si>
  <si>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</si>
  <si>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</si>
  <si>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</si>
  <si>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</si>
  <si>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</si>
  <si>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</si>
  <si>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</si>
  <si>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</si>
  <si>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</si>
  <si>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</si>
  <si>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</si>
  <si>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</si>
  <si>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</si>
  <si>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</si>
  <si>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</si>
  <si>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</si>
  <si>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</si>
  <si>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</si>
  <si>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</si>
  <si>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</si>
  <si>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</si>
  <si>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</si>
  <si>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</si>
  <si>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</si>
  <si>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</si>
  <si>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</si>
  <si>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</si>
  <si>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</si>
  <si>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</si>
  <si>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</si>
  <si>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</si>
  <si>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</si>
  <si>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</si>
  <si>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</si>
  <si>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</si>
  <si>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</si>
  <si>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</si>
  <si>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</si>
  <si>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</si>
  <si>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</si>
  <si>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</si>
  <si>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</si>
  <si>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</si>
  <si>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</si>
  <si>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</si>
  <si>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</si>
  <si>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</si>
  <si>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</si>
  <si>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</si>
  <si>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</si>
  <si>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</si>
  <si>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</si>
  <si>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</si>
  <si>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</si>
  <si>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</si>
  <si>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</si>
  <si>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</si>
  <si>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</si>
  <si>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</si>
  <si>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</si>
  <si>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</si>
  <si>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</si>
  <si>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</si>
  <si>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</si>
  <si>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</si>
  <si>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</si>
  <si>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</si>
  <si>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</si>
  <si>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</si>
  <si>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</si>
  <si>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</si>
  <si>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</si>
  <si>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</si>
  <si>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</si>
  <si>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</si>
  <si>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</si>
  <si>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</si>
  <si>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</si>
  <si>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</si>
  <si>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</si>
  <si>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</si>
  <si>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</si>
  <si>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</si>
  <si>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</si>
  <si>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</si>
  <si>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</si>
  <si>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</si>
  <si>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</si>
  <si>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</si>
  <si>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</si>
  <si>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</si>
  <si>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</si>
  <si>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</si>
  <si>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</si>
  <si>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</si>
  <si>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</si>
  <si>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</si>
  <si>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</si>
  <si>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</si>
  <si>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</si>
  <si>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</si>
  <si>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</si>
  <si>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</si>
  <si>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</si>
  <si>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</si>
  <si>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</si>
  <si>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</si>
  <si>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</si>
  <si>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</si>
  <si>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</si>
  <si>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</si>
  <si>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</si>
  <si>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</si>
  <si>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</si>
  <si>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</si>
  <si>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</si>
  <si>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</si>
  <si>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2233-1</t>
  </si>
  <si>
    <t>STRATUS COMERCI</t>
  </si>
  <si>
    <t>MICHELL MARQUES</t>
  </si>
  <si>
    <t>ECONOMICO_250</t>
  </si>
  <si>
    <t>CTE NORMAL</t>
  </si>
  <si>
    <t>SAO PAULO - SP</t>
  </si>
  <si>
    <t>DIEGO SOARES MARTINS</t>
  </si>
  <si>
    <t>JOAO VICTOR DE LIMA</t>
  </si>
  <si>
    <t>2257-1</t>
  </si>
  <si>
    <t>CRONOS LOGISTIC</t>
  </si>
  <si>
    <t>URIEL CORREA</t>
  </si>
  <si>
    <t>PERSONALIZADO_L</t>
  </si>
  <si>
    <t>GUARULHOS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</si>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</sst>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7408.58</c:v>
                </c:pt>
                <c:pt idx="1">
                  <c:v>148.65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5753.5171999999984</c:v>
                </c:pt>
                <c:pt idx="1">
                  <c:v>65.13600000000001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7408.58</c:v>
                </c:pt>
                <c:pt idx="1">
                  <c:v>148.65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5753.5171999999984</c:v>
                </c:pt>
                <c:pt idx="1">
                  <c:v>65.13600000000001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507474652775" createdVersion="4" refreshedVersion="7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308"/>
        <n v="233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6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ATUS COMERCI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733" maxValue="618581.0799999999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8.65" maxValue="7408.58"/>
    </cacheField>
    <cacheField name="VOLUMES" numFmtId="0">
      <sharedItems containsString="0" containsBlank="1" containsNumber="1" containsInteger="1" minValue="2" maxValue="24"/>
    </cacheField>
    <cacheField name="PESO" numFmtId="0">
      <sharedItems containsString="0" containsBlank="1" containsNumber="1" minValue="55" maxValue="7832.43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7.8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89" maxValue="247.4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42.34" maxValue="4364.82"/>
    </cacheField>
    <cacheField name="RECEITA" numFmtId="0">
      <sharedItems containsString="0" containsBlank="1" containsNumber="1" minValue="6.31" maxValue="3043.76"/>
    </cacheField>
    <cacheField name="IMPOSTO" numFmtId="0">
      <sharedItems containsString="0" containsBlank="1" containsNumber="1" minValue="23.78" maxValue="1185.3699999999999"/>
    </cacheField>
    <cacheField name="RESULTADO" numFmtId="0">
      <sharedItems containsString="0" containsBlank="1" containsNumber="1" minValue="-17.47" maxValue="1858.39"/>
    </cacheField>
    <cacheField name="COMIS" numFmtId="0">
      <sharedItems containsString="0" containsBlank="1" containsNumber="1" minValue="0" maxValue="222.26"/>
    </cacheField>
    <cacheField name="LUCRO LIQ" numFmtId="0">
      <sharedItems containsString="0" containsBlank="1" containsNumber="1" minValue="-17.47" maxValue="1636.13"/>
    </cacheField>
    <cacheField name="MARGEM" numFmtId="10">
      <sharedItems containsString="0" containsBlank="1" containsNumber="1" minValue="-0.11749999999999999" maxValue="0.220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06T00:00:00"/>
    <d v="2026-08-06T00:00:00"/>
    <m/>
    <s v="2233-1"/>
    <x v="0"/>
    <s v="MICHELL MARQUES"/>
    <n v="4733"/>
    <x v="0"/>
    <s v="CTE NORMAL"/>
    <s v="SAO PAULO - SP"/>
    <n v="148.65"/>
    <n v="2"/>
    <n v="55"/>
    <s v="MATRIZ"/>
    <n v="0"/>
    <s v="DIEGO SOARES MARTINS"/>
    <n v="40"/>
    <s v="JOAO VICTOR DE LIMA"/>
    <n v="0"/>
    <n v="17.84"/>
    <n v="0"/>
    <n v="0"/>
    <n v="1.89"/>
    <n v="0"/>
    <n v="142.34"/>
    <n v="6.31"/>
    <n v="23.78"/>
    <n v="-17.47"/>
    <n v="0"/>
    <n v="-17.47"/>
    <n v="-0.11749999999999999"/>
    <m/>
  </r>
  <r>
    <x v="1"/>
    <s v="MATRIZ"/>
    <d v="2026-08-07T00:00:00"/>
    <d v="2026-08-07T00:00:00"/>
    <m/>
    <s v="2257-1"/>
    <x v="1"/>
    <s v="URIEL CORREA"/>
    <n v="618581.07999999996"/>
    <x v="1"/>
    <s v="CTE NORMAL"/>
    <s v="GUARULHOS - SP"/>
    <n v="7408.58"/>
    <n v="24"/>
    <n v="7832.43"/>
    <s v="MATRIZ"/>
    <n v="0"/>
    <s v="N/D"/>
    <n v="0"/>
    <s v="JOAO VICTOR DE LIMA"/>
    <n v="0"/>
    <n v="0"/>
    <n v="0"/>
    <n v="0"/>
    <n v="247.43"/>
    <n v="0"/>
    <n v="4364.82"/>
    <n v="3043.76"/>
    <n v="1185.3699999999999"/>
    <n v="1858.39"/>
    <n v="222.26"/>
    <n v="1636.13"/>
    <n v="0.220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3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1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0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9"/>
    </i>
    <i>
      <x v="734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3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1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0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92" dataDxfId="90" headerRowBorderDxfId="91" tableBorderDxfId="89">
  <autoFilter ref="A1:AH95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4" totalsRowShown="0" headerRowDxfId="8" dataDxfId="6" headerRowBorderDxfId="7" tableBorderDxfId="5" totalsRowBorderDxfId="4">
  <autoFilter ref="A1:D36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3"/>
    <tableColumn id="2" xr3:uid="{AAA88DB3-D1F7-47B3-9D90-8B90F797E4CC}" name="TIPO VEÍCULO" dataDxfId="2"/>
    <tableColumn id="3" xr3:uid="{B311F3EE-5953-428C-8BC5-A618FCB30C40}" name="CONCATENADO" dataDxfId="1"/>
    <tableColumn id="4" xr3:uid="{C6AA6B7E-6BA2-42D2-8775-75C2F076115E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2308</v>
      </c>
      <c r="B2" s="12" t="s">
        <v>576</v>
      </c>
      <c r="C2" s="14">
        <v>46240</v>
      </c>
      <c r="D2" s="14">
        <v>46240</v>
      </c>
      <c r="E2" s="12"/>
      <c r="F2" s="15" t="s">
        <v>577</v>
      </c>
      <c r="G2" s="15" t="s">
        <v>578</v>
      </c>
      <c r="H2" s="15" t="s">
        <v>579</v>
      </c>
      <c r="I2" s="16">
        <v>4733</v>
      </c>
      <c r="J2" s="15" t="s">
        <v>580</v>
      </c>
      <c r="K2" s="15" t="s">
        <v>581</v>
      </c>
      <c r="L2" s="15" t="s">
        <v>582</v>
      </c>
      <c r="M2" s="15">
        <v>148.65</v>
      </c>
      <c r="N2" s="15">
        <v>2</v>
      </c>
      <c r="O2" s="16">
        <v>55</v>
      </c>
      <c r="P2" s="15" t="s">
        <v>576</v>
      </c>
      <c r="Q2" s="15">
        <v>0</v>
      </c>
      <c r="R2" s="15" t="s">
        <v>583</v>
      </c>
      <c r="S2" s="15">
        <v>40</v>
      </c>
      <c r="T2" s="15" t="s">
        <v>584</v>
      </c>
      <c r="U2" s="15">
        <v>0</v>
      </c>
      <c r="V2" s="15">
        <v>17.84</v>
      </c>
      <c r="W2" s="15">
        <v>0</v>
      </c>
      <c r="X2" s="15">
        <v>0</v>
      </c>
      <c r="Y2" s="15">
        <v>1.89</v>
      </c>
      <c r="Z2" s="15">
        <v>0</v>
      </c>
      <c r="AA2" s="15">
        <v>142.34</v>
      </c>
      <c r="AB2" s="15">
        <v>6.31</v>
      </c>
      <c r="AC2" s="15">
        <v>23.78</v>
      </c>
      <c r="AD2" s="15">
        <v>-17.47</v>
      </c>
      <c r="AE2" s="15">
        <v>0</v>
      </c>
      <c r="AF2" s="15">
        <v>-17.47</v>
      </c>
      <c r="AG2" s="17">
        <v>-0.11749999999999999</v>
      </c>
      <c r="AH2" s="15"/>
    </row>
    <row r="3" spans="1:34" s="1" customFormat="1" ht="12" customHeight="1" x14ac:dyDescent="0.3">
      <c r="A3" s="13">
        <v>2334</v>
      </c>
      <c r="B3" s="12" t="s">
        <v>576</v>
      </c>
      <c r="C3" s="14">
        <v>46241</v>
      </c>
      <c r="D3" s="14">
        <v>46241</v>
      </c>
      <c r="E3" s="12"/>
      <c r="F3" s="15" t="s">
        <v>585</v>
      </c>
      <c r="G3" s="15" t="s">
        <v>586</v>
      </c>
      <c r="H3" s="15" t="s">
        <v>587</v>
      </c>
      <c r="I3" s="16">
        <v>618581.07999999996</v>
      </c>
      <c r="J3" s="15" t="s">
        <v>588</v>
      </c>
      <c r="K3" s="15" t="s">
        <v>581</v>
      </c>
      <c r="L3" s="15" t="s">
        <v>589</v>
      </c>
      <c r="M3" s="16">
        <v>7408.58</v>
      </c>
      <c r="N3" s="15">
        <v>24</v>
      </c>
      <c r="O3" s="16">
        <v>7832.43</v>
      </c>
      <c r="P3" s="15" t="s">
        <v>576</v>
      </c>
      <c r="Q3" s="15">
        <v>0</v>
      </c>
      <c r="R3" s="15" t="s">
        <v>590</v>
      </c>
      <c r="S3" s="15">
        <v>0</v>
      </c>
      <c r="T3" s="15" t="s">
        <v>584</v>
      </c>
      <c r="U3" s="15">
        <v>0</v>
      </c>
      <c r="V3" s="15">
        <v>0</v>
      </c>
      <c r="W3" s="15">
        <v>0</v>
      </c>
      <c r="X3" s="15">
        <v>0</v>
      </c>
      <c r="Y3" s="15">
        <v>247.43</v>
      </c>
      <c r="Z3" s="15">
        <v>0</v>
      </c>
      <c r="AA3" s="16">
        <v>4364.82</v>
      </c>
      <c r="AB3" s="16">
        <v>3043.76</v>
      </c>
      <c r="AC3" s="15">
        <v>1185.3699999999999</v>
      </c>
      <c r="AD3" s="15">
        <v>1858.39</v>
      </c>
      <c r="AE3" s="15">
        <v>222.26</v>
      </c>
      <c r="AF3" s="15">
        <v>1636.13</v>
      </c>
      <c r="AG3" s="17">
        <v>0.2208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7557.23</v>
      </c>
      <c r="F3" s="89"/>
      <c r="G3" s="90"/>
      <c r="H3" s="133">
        <f>'Resumo Detalhado'!C2</f>
        <v>7887.43</v>
      </c>
      <c r="I3" s="134"/>
      <c r="J3" s="135">
        <f>E3/H3</f>
        <v>0.95813592006521764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0.7170390909090909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4200</v>
      </c>
      <c r="F7" s="112"/>
      <c r="G7" s="112"/>
      <c r="H7" s="112"/>
      <c r="I7" s="112"/>
      <c r="J7" s="112">
        <f>E7/H3</f>
        <v>0.53249283987306384</v>
      </c>
      <c r="K7" s="112"/>
      <c r="L7" s="112"/>
      <c r="M7" s="130">
        <f>E7/E3</f>
        <v>0.55575918689784487</v>
      </c>
      <c r="N7" s="130"/>
      <c r="O7" s="130"/>
      <c r="P7" s="112">
        <f>E11+K11+Q11+E15+K15+Q15+E19+H19+K19</f>
        <v>6280.8952000000008</v>
      </c>
      <c r="Q7" s="112"/>
      <c r="R7" s="112"/>
      <c r="S7" s="112">
        <f>P7/H3</f>
        <v>0.79631707666502283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4200</v>
      </c>
      <c r="L11" s="90"/>
      <c r="M11" s="38"/>
      <c r="N11" s="88">
        <f>K11/H3</f>
        <v>0.53249283987306384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17.84</v>
      </c>
      <c r="F15" s="119"/>
      <c r="G15" s="119"/>
      <c r="H15" s="119"/>
      <c r="I15" s="132"/>
      <c r="J15" s="38"/>
      <c r="K15" s="113">
        <f>'Resumo Detalhado'!K2+'Resumo Detalhado'!L2</f>
        <v>1209.1568000000002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249.32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604.5784000000001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5818.6531999999988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0.76994523125536729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591</v>
      </c>
      <c r="F1" s="29"/>
    </row>
    <row r="2" spans="1:18" x14ac:dyDescent="0.3">
      <c r="B2" s="29">
        <f>SUM(B6:B5000)</f>
        <v>7557.23</v>
      </c>
      <c r="C2" s="29">
        <f>SUM(C6:C5000)</f>
        <v>7887.43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17.84</v>
      </c>
      <c r="I2" s="29">
        <f t="shared" si="0"/>
        <v>249.32</v>
      </c>
      <c r="J2" s="29">
        <f t="shared" si="0"/>
        <v>0</v>
      </c>
      <c r="K2" s="29">
        <f t="shared" si="0"/>
        <v>604.5784000000001</v>
      </c>
      <c r="L2" s="29">
        <f t="shared" si="0"/>
        <v>604.5784000000001</v>
      </c>
      <c r="M2" s="29">
        <f t="shared" si="0"/>
        <v>222.26</v>
      </c>
      <c r="N2" s="29">
        <f t="shared" si="0"/>
        <v>5818.6531999999988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2334</v>
      </c>
      <c r="B6" s="140">
        <v>7408.58</v>
      </c>
      <c r="C6" s="141">
        <v>7832.43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247.43</v>
      </c>
      <c r="J6" s="140">
        <v>0</v>
      </c>
      <c r="K6" s="140">
        <v>592.68640000000005</v>
      </c>
      <c r="L6" s="140">
        <v>592.68640000000005</v>
      </c>
      <c r="M6" s="140">
        <v>222.26</v>
      </c>
      <c r="N6" s="140">
        <v>5753.5171999999984</v>
      </c>
      <c r="O6" s="142">
        <v>0.7766018859214584</v>
      </c>
      <c r="Q6"/>
    </row>
    <row r="7" spans="1:18" s="31" customFormat="1" x14ac:dyDescent="0.3">
      <c r="A7" s="139" t="s">
        <v>578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2308</v>
      </c>
      <c r="B8" s="140">
        <v>148.65</v>
      </c>
      <c r="C8" s="141">
        <v>55</v>
      </c>
      <c r="D8" s="140">
        <v>0</v>
      </c>
      <c r="E8" s="140">
        <v>40</v>
      </c>
      <c r="F8" s="140">
        <v>0</v>
      </c>
      <c r="G8" s="142">
        <v>0.26908846283215604</v>
      </c>
      <c r="H8" s="140">
        <v>17.84</v>
      </c>
      <c r="I8" s="140">
        <v>1.89</v>
      </c>
      <c r="J8" s="140">
        <v>0</v>
      </c>
      <c r="K8" s="140">
        <v>11.892000000000001</v>
      </c>
      <c r="L8" s="140">
        <v>11.892000000000001</v>
      </c>
      <c r="M8" s="140">
        <v>0</v>
      </c>
      <c r="N8" s="140">
        <v>65.13600000000001</v>
      </c>
      <c r="O8" s="142">
        <v>0.43818365287588301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591</v>
      </c>
    </row>
    <row r="2" spans="1:4" x14ac:dyDescent="0.3">
      <c r="B2" s="29">
        <f>SUM(B6:B5000)</f>
        <v>148.65</v>
      </c>
      <c r="C2" s="29">
        <f>SUM(C6:C5000)</f>
        <v>65.13600000000001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586</v>
      </c>
      <c r="B5" s="10">
        <v>7408.58</v>
      </c>
      <c r="C5" s="10">
        <v>5753.5171999999984</v>
      </c>
    </row>
    <row r="6" spans="1:4" x14ac:dyDescent="0.3">
      <c r="A6" s="139" t="s">
        <v>578</v>
      </c>
      <c r="B6" s="140">
        <v>148.65</v>
      </c>
      <c r="C6" s="140">
        <v>65.13600000000001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2026-08-11T15:10:52Z</dcterms:modified>
  <cp:category/>
  <cp:contentStatus/>
</cp:coreProperties>
</file>