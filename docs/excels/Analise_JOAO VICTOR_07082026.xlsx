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822EBE52-8EE8-4F81-9FA4-627924B90905}" xr6:coauthVersionLast="47" xr6:coauthVersionMax="47" xr10:uidLastSave="{00000000-0000-0000-0000-000000000000}"/>
  <bookViews>
    <workbookView xWindow="-25905" yWindow="2835" windowWidth="17280" windowHeight="8880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<sst xmlns="http://schemas.openxmlformats.org/spreadsheetml/2006/main" count="866" uniqueCount="592">
  <si>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</si>
  <si>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</si>
  <si>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</si>
  <si>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</si>
  <si>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</si>
  <si>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</si>
  <si>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</si>
  <si>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</si>
  <si>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</si>
  <si>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</si>
  <si>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</si>
  <si>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</si>
  <si>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</si>
  <si>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</si>
  <si>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</si>
  <si>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</si>
  <si>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</si>
  <si>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</si>
  <si>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</si>
  <si>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</si>
  <si>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</si>
  <si>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</si>
  <si>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</si>
  <si>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</si>
  <si>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</si>
  <si>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</si>
  <si>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</si>
  <si>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</si>
  <si>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</si>
  <si>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</si>
  <si>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</si>
  <si>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</si>
  <si>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</si>
  <si>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</si>
  <si>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</si>
  <si>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</si>
  <si>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</si>
  <si>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</si>
  <si>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</si>
  <si>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</si>
  <si>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</si>
  <si>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</si>
  <si>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</si>
  <si>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</si>
  <si>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</si>
  <si>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</si>
  <si>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</si>
  <si>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</si>
  <si>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</si>
  <si>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</si>
  <si>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</si>
  <si>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</si>
  <si>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</si>
  <si>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</si>
  <si>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</si>
  <si>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</si>
  <si>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</si>
  <si>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</si>
  <si>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</si>
  <si>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</si>
  <si>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</si>
  <si>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</si>
  <si>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</si>
  <si>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</si>
  <si>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</si>
  <si>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</si>
  <si>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</si>
  <si>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</si>
  <si>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</si>
  <si>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</si>
  <si>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</si>
  <si>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</si>
  <si>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</si>
  <si>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</si>
  <si>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</si>
  <si>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</si>
  <si>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</si>
  <si>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</si>
  <si>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</si>
  <si>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</si>
  <si>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</si>
  <si>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</si>
  <si>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</si>
  <si>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</si>
  <si>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</si>
  <si>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</si>
  <si>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</si>
  <si>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</si>
  <si>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</si>
  <si>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</si>
  <si>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</si>
  <si>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</si>
  <si>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</si>
  <si>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</si>
  <si>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</si>
  <si>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</si>
  <si>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</si>
  <si>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</si>
  <si>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</si>
  <si>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</si>
  <si>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</si>
  <si>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</si>
  <si>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</si>
  <si>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</si>
  <si>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</si>
  <si>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</si>
  <si>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</si>
  <si>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</si>
  <si>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</si>
  <si>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</si>
  <si>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</si>
  <si>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</si>
  <si>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</si>
  <si>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</si>
  <si>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</si>
  <si>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</si>
  <si>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</si>
  <si>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</si>
  <si>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</si>
  <si>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</si>
  <si>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</si>
  <si>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</si>
  <si>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</si>
  <si>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</si>
  <si>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</si>
  <si>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</si>
  <si>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</si>
  <si>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</si>
  <si>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</si>
  <si>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</si>
  <si>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</si>
  <si>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</si>
  <si>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</si>
  <si>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</si>
  <si>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</si>
  <si>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</si>
  <si>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</si>
  <si>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</si>
  <si>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</si>
  <si>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</si>
  <si>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</si>
  <si>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</si>
  <si>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</si>
  <si>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</si>
  <si>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</si>
  <si>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</si>
  <si>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</si>
  <si>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</si>
  <si>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</si>
  <si>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</si>
  <si>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</si>
  <si>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</si>
  <si>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</si>
  <si>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</si>
  <si>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</si>
  <si>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</si>
  <si>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</si>
  <si>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</si>
  <si>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</si>
  <si>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</si>
  <si>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</si>
  <si>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</si>
  <si>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</si>
  <si>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</si>
  <si>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</si>
  <si>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</si>
  <si>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</si>
  <si>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</si>
  <si>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</si>
  <si>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</si>
  <si>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</si>
  <si>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</si>
  <si>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</si>
  <si>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</si>
  <si>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</si>
  <si>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</si>
  <si>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</si>
  <si>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</si>
  <si>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</si>
  <si>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</si>
  <si>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</si>
  <si>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</si>
  <si>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</si>
  <si>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</si>
  <si>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</si>
  <si>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</si>
  <si>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</si>
  <si>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</si>
  <si>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</si>
  <si>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</si>
  <si>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</si>
  <si>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</si>
  <si>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</si>
  <si>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</si>
  <si>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</si>
  <si>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</si>
  <si>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</si>
  <si>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</si>
  <si>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</si>
  <si>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</si>
  <si>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</si>
  <si>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</si>
  <si>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</si>
  <si>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</si>
  <si>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</si>
  <si>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</si>
  <si>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</si>
  <si>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</si>
  <si>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</si>
  <si>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</si>
  <si>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</si>
  <si>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</si>
  <si>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</si>
  <si>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</si>
  <si>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</si>
  <si>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</si>
  <si>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</si>
  <si>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</si>
  <si>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</si>
  <si>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</si>
  <si>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</si>
  <si>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</si>
  <si>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</si>
  <si>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</si>
  <si>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</si>
  <si>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</si>
  <si>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</si>
  <si>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</si>
  <si>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</si>
  <si>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</si>
  <si>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</si>
  <si>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</si>
  <si>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</si>
  <si>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</si>
  <si>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</si>
  <si>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</si>
  <si>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</si>
  <si>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</si>
  <si>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</si>
  <si>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</si>
  <si>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</si>
  <si>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</si>
  <si>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</si>
  <si>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</si>
  <si>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</si>
  <si>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</si>
  <si>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</si>
  <si>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</si>
  <si>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</si>
  <si>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</si>
  <si>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</si>
  <si>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</si>
  <si>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</si>
  <si>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</si>
  <si>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</si>
  <si>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</si>
  <si>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</si>
  <si>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</si>
  <si>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</si>
  <si>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</si>
  <si>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</si>
  <si>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</si>
  <si>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</si>
  <si>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</si>
  <si>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</si>
  <si>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</si>
  <si>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</si>
  <si>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</si>
  <si>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</si>
  <si>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</si>
  <si>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</si>
  <si>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</si>
  <si>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</si>
  <si>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</si>
  <si>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</si>
  <si>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</si>
  <si>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</si>
  <si>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</si>
  <si>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</si>
  <si>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</si>
  <si>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</si>
  <si>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</si>
  <si>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</si>
  <si>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</si>
  <si>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</si>
  <si>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</si>
  <si>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</si>
  <si>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</si>
  <si>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</si>
  <si>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</si>
  <si>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</si>
  <si>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</si>
  <si>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</si>
  <si>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</si>
  <si>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</si>
  <si>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</si>
  <si>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</si>
  <si>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</si>
  <si>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</si>
  <si>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</si>
  <si>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</si>
  <si>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</si>
  <si>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</si>
  <si>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</si>
  <si>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</si>
  <si>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</si>
  <si>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</si>
  <si>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</si>
  <si>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</si>
  <si>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</si>
  <si>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</si>
  <si>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</si>
  <si>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</si>
  <si>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</si>
  <si>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</si>
  <si>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</si>
  <si>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</si>
  <si>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</si>
  <si>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</si>
  <si>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</si>
  <si>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</si>
  <si>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</si>
  <si>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</si>
  <si>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</si>
  <si>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</si>
  <si>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</si>
  <si>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</si>
  <si>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</si>
  <si>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</si>
  <si>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</si>
  <si>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</si>
  <si>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</si>
  <si>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</si>
  <si>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</si>
  <si>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</si>
  <si>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</si>
  <si>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</si>
  <si>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</si>
  <si>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</si>
  <si>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</si>
  <si>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</si>
  <si>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</si>
  <si>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</si>
  <si>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</si>
  <si>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</si>
  <si>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</si>
  <si>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</si>
  <si>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</si>
  <si>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</si>
  <si>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</si>
  <si>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</si>
  <si>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</si>
  <si>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</si>
  <si>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</si>
  <si>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</si>
  <si>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</si>
  <si>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</si>
  <si>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</si>
  <si>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</si>
  <si>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</si>
  <si>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</si>
  <si>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</si>
  <si>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</si>
  <si>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</si>
  <si>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</si>
  <si>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</si>
  <si>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</si>
  <si>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</si>
  <si>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</si>
  <si>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</si>
  <si>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</si>
  <si>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</si>
  <si>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</si>
  <si>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</si>
  <si>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</si>
  <si>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</si>
  <si>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</si>
  <si>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</si>
  <si>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</si>
  <si>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</si>
  <si>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</si>
  <si>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</si>
  <si>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</si>
  <si>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</si>
  <si>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</si>
  <si>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</si>
  <si>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</si>
  <si>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</si>
  <si>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</si>
  <si>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</si>
  <si>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</si>
  <si>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</si>
  <si>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</si>
  <si>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</si>
  <si>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</si>
  <si>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</si>
  <si>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</si>
  <si>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</si>
  <si>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</si>
  <si>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</si>
  <si>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</si>
  <si>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</si>
  <si>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</si>
  <si>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</si>
  <si>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</si>
  <si>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</si>
  <si>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</si>
  <si>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</si>
  <si>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</si>
  <si>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</si>
  <si>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</si>
  <si>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</si>
  <si>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</si>
  <si>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</si>
  <si>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</si>
  <si>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</si>
  <si>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</si>
  <si>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</si>
  <si>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</si>
  <si>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</si>
  <si>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</si>
  <si>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</si>
  <si>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</si>
  <si>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</si>
  <si>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</si>
  <si>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</si>
  <si>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</si>
  <si>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</si>
  <si>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</si>
  <si>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</si>
  <si>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</si>
  <si>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</si>
  <si>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</si>
  <si>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</si>
  <si>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</si>
  <si>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</si>
  <si>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</si>
  <si>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</si>
  <si>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</si>
  <si>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</si>
  <si>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</si>
  <si>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</si>
  <si>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</si>
  <si>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</si>
  <si>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</si>
  <si>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</si>
  <si>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</si>
  <si>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</si>
  <si>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</si>
  <si>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</si>
  <si>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</si>
  <si>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</si>
  <si>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</si>
  <si>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</si>
  <si>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</si>
  <si>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</si>
  <si>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</si>
  <si>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</si>
  <si>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</si>
  <si>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</si>
  <si>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</si>
  <si>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</si>
  <si>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</si>
  <si>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</si>
  <si>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</si>
  <si>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</si>
  <si>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</si>
  <si>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</si>
  <si>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</si>
  <si>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</si>
  <si>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</si>
  <si>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</si>
  <si>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</si>
  <si>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</si>
  <si>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</si>
  <si>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</si>
  <si>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</si>
  <si>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</si>
  <si>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</si>
  <si>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</si>
  <si>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</si>
  <si>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</si>
  <si>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</si>
  <si>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</si>
  <si>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</si>
  <si>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</si>
  <si>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</si>
  <si>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</si>
  <si>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</si>
  <si>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</si>
  <si>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</si>
  <si>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</si>
  <si>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</si>
  <si>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</si>
  <si>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</si>
  <si>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</si>
  <si>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</si>
  <si>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</si>
  <si>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</si>
  <si>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</si>
  <si>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</si>
  <si>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</si>
  <si>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</si>
  <si>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</si>
  <si>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</si>
  <si>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</si>
  <si>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</si>
  <si>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</si>
  <si>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</si>
  <si>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</si>
  <si>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</si>
  <si>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</si>
  <si>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</si>
  <si>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</si>
  <si>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</si>
  <si>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</si>
  <si>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</si>
  <si>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</si>
  <si>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</si>
  <si>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</si>
  <si>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</si>
  <si>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</si>
  <si>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</si>
  <si>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</si>
  <si>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</si>
  <si>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</si>
  <si>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</si>
  <si>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</si>
  <si>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</si>
  <si>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</si>
  <si>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</si>
  <si>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</si>
  <si>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</si>
  <si>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</si>
  <si>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</si>
  <si>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</si>
  <si>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</si>
  <si>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</si>
  <si>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</si>
  <si>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</si>
  <si>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</si>
  <si>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</si>
  <si>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</si>
  <si>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</si>
  <si>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</si>
  <si>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</si>
  <si>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</si>
  <si>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</si>
  <si>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</si>
  <si>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</si>
  <si>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</si>
  <si>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</si>
  <si>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</si>
  <si>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</si>
  <si>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</si>
  <si>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</si>
  <si>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</si>
  <si>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</si>
  <si>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</si>
  <si>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</si>
  <si>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</si>
  <si>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</si>
  <si>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</si>
  <si>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</si>
  <si>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</si>
  <si>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</si>
  <si>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</si>
  <si>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</si>
  <si>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</si>
  <si>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</si>
  <si>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</si>
  <si>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</si>
  <si>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</si>
  <si>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</si>
  <si>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</si>
  <si>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</si>
  <si>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MATRIZ</t>
  </si>
  <si>
    <t>2233-1</t>
  </si>
  <si>
    <t>STRATUS COMERCI</t>
  </si>
  <si>
    <t>MICHELL MARQUES</t>
  </si>
  <si>
    <t>ECONOMICO_250</t>
  </si>
  <si>
    <t>CTE NORMAL</t>
  </si>
  <si>
    <t>SAO PAULO - SP</t>
  </si>
  <si>
    <t>DIEGO SOARES MARTINS</t>
  </si>
  <si>
    <t>JOAO VICTOR DE LIMA</t>
  </si>
  <si>
    <t>2257-1</t>
  </si>
  <si>
    <t>CRONOS LOGISTIC</t>
  </si>
  <si>
    <t>URIEL CORREA</t>
  </si>
  <si>
    <t>PERSONALIZADO_L</t>
  </si>
  <si>
    <t>GUARULHOS - SP</t>
  </si>
  <si>
    <t>N/D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</si>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</sst>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[Analise_JOAO VICTOR_07082026.xlsx]Resumo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CRONOS LOGISTIC</c:v>
                </c:pt>
                <c:pt idx="1">
                  <c:v>STRATUS COMERCI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7408.58</c:v>
                </c:pt>
                <c:pt idx="1">
                  <c:v>148.65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CRONOS LOGISTIC</c:v>
                </c:pt>
                <c:pt idx="1">
                  <c:v>STRATUS COMERCI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5753.5171999999984</c:v>
                </c:pt>
                <c:pt idx="1">
                  <c:v>65.13600000000001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[Analise_JOAO VICTOR_07082026.xlsx]Resumo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CRONOS LOGISTIC</c:v>
                </c:pt>
                <c:pt idx="1">
                  <c:v>STRATUS COMERCI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7408.58</c:v>
                </c:pt>
                <c:pt idx="1">
                  <c:v>148.65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CRONOS LOGISTIC</c:v>
                </c:pt>
                <c:pt idx="1">
                  <c:v>STRATUS COMERCI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5753.5171999999984</c:v>
                </c:pt>
                <c:pt idx="1">
                  <c:v>65.13600000000001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45.634436805558" createdVersion="4" refreshedVersion="7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2308"/>
        <n v="2334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06T00:00:00" maxDate="2026-08-08T00:00:00"/>
    </cacheField>
    <cacheField name="DATA" numFmtId="14">
      <sharedItems containsNonDate="0" containsDate="1" containsString="0" containsBlank="1" minDate="2026-08-06T00:00:00" maxDate="2026-08-08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STRATUS COMERCI"/>
        <s v="CRONOS LOGISTIC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4733" maxValue="618581.07999999996"/>
    </cacheField>
    <cacheField name="SERVICO" numFmtId="0">
      <sharedItems containsBlank="1" count="27">
        <s v="ECONOMICO_250"/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48.65" maxValue="7408.58"/>
    </cacheField>
    <cacheField name="VOLUMES" numFmtId="0">
      <sharedItems containsString="0" containsBlank="1" containsNumber="1" containsInteger="1" minValue="2" maxValue="24"/>
    </cacheField>
    <cacheField name="PESO" numFmtId="0">
      <sharedItems containsString="0" containsBlank="1" containsNumber="1" minValue="55" maxValue="7832.43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4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0" maxValue="17.84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.89" maxValue="247.43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42.34" maxValue="4364.82"/>
    </cacheField>
    <cacheField name="RECEITA" numFmtId="0">
      <sharedItems containsString="0" containsBlank="1" containsNumber="1" minValue="6.31" maxValue="3043.76"/>
    </cacheField>
    <cacheField name="IMPOSTO" numFmtId="0">
      <sharedItems containsString="0" containsBlank="1" containsNumber="1" minValue="23.78" maxValue="1185.3699999999999"/>
    </cacheField>
    <cacheField name="RESULTADO" numFmtId="0">
      <sharedItems containsString="0" containsBlank="1" containsNumber="1" minValue="-17.47" maxValue="1858.39"/>
    </cacheField>
    <cacheField name="COMIS" numFmtId="0">
      <sharedItems containsString="0" containsBlank="1" containsNumber="1" minValue="0" maxValue="222.26"/>
    </cacheField>
    <cacheField name="LUCRO LIQ" numFmtId="0">
      <sharedItems containsString="0" containsBlank="1" containsNumber="1" minValue="-17.47" maxValue="1636.13"/>
    </cacheField>
    <cacheField name="MARGEM" numFmtId="10">
      <sharedItems containsString="0" containsBlank="1" containsNumber="1" minValue="-0.11749999999999999" maxValue="0.2208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.FIX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8-06T00:00:00"/>
    <d v="2026-08-06T00:00:00"/>
    <m/>
    <s v="2233-1"/>
    <x v="0"/>
    <s v="MICHELL MARQUES"/>
    <n v="4733"/>
    <x v="0"/>
    <s v="CTE NORMAL"/>
    <s v="SAO PAULO - SP"/>
    <n v="148.65"/>
    <n v="2"/>
    <n v="55"/>
    <s v="MATRIZ"/>
    <n v="0"/>
    <s v="DIEGO SOARES MARTINS"/>
    <n v="40"/>
    <s v="JOAO VICTOR DE LIMA"/>
    <n v="0"/>
    <n v="17.84"/>
    <n v="0"/>
    <n v="0"/>
    <n v="1.89"/>
    <n v="0"/>
    <n v="142.34"/>
    <n v="6.31"/>
    <n v="23.78"/>
    <n v="-17.47"/>
    <n v="0"/>
    <n v="-17.47"/>
    <n v="-0.11749999999999999"/>
    <m/>
  </r>
  <r>
    <x v="1"/>
    <s v="MATRIZ"/>
    <d v="2026-08-07T00:00:00"/>
    <d v="2026-08-07T00:00:00"/>
    <m/>
    <s v="2257-1"/>
    <x v="1"/>
    <s v="URIEL CORREA"/>
    <n v="618581.07999999996"/>
    <x v="1"/>
    <s v="CTE NORMAL"/>
    <s v="GUARULHOS - SP"/>
    <n v="7408.58"/>
    <n v="24"/>
    <n v="7832.43"/>
    <s v="MATRIZ"/>
    <n v="0"/>
    <s v="N/D"/>
    <n v="0"/>
    <s v="JOAO VICTOR DE LIMA"/>
    <n v="0"/>
    <n v="0"/>
    <n v="0"/>
    <n v="0"/>
    <n v="247.43"/>
    <n v="0"/>
    <n v="4364.82"/>
    <n v="3043.76"/>
    <n v="1185.3699999999999"/>
    <n v="1858.39"/>
    <n v="222.26"/>
    <n v="1636.13"/>
    <n v="0.2208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3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2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5"/>
        <item m="1" x="581"/>
        <item m="1" x="852"/>
        <item m="1" x="21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6"/>
        <item m="1" x="48"/>
        <item sd="0" m="1" x="668"/>
        <item m="1" x="660"/>
        <item m="1" x="468"/>
        <item m="1" x="45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8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1"/>
        <item m="1" x="462"/>
        <item m="1" x="138"/>
        <item m="1" x="661"/>
        <item m="1" x="372"/>
        <item m="1" x="154"/>
        <item m="1" x="251"/>
        <item m="1" x="628"/>
        <item m="1" x="736"/>
        <item m="1" x="421"/>
        <item m="1" x="80"/>
        <item m="1" x="696"/>
        <item m="1" x="284"/>
        <item m="1" x="846"/>
        <item m="1" x="248"/>
        <item sd="0" m="1" x="763"/>
        <item m="1" x="425"/>
        <item m="1" x="436"/>
        <item m="1" x="167"/>
        <item m="1" x="542"/>
        <item m="1" x="806"/>
        <item sd="0" m="1" x="620"/>
        <item m="1" x="5"/>
        <item m="1" x="770"/>
        <item m="1" x="15"/>
        <item m="1" x="739"/>
        <item m="1" x="393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3"/>
        <item m="1" x="649"/>
        <item m="1" x="469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6"/>
        <item m="1" x="401"/>
        <item m="1" x="114"/>
        <item sd="0" m="1" x="652"/>
        <item m="1" x="656"/>
        <item m="1" x="795"/>
        <item sd="0" m="1" x="695"/>
        <item m="1" x="454"/>
        <item m="1" x="381"/>
        <item m="1" x="447"/>
        <item m="1" x="159"/>
        <item m="1" x="277"/>
        <item sd="0" m="1" x="203"/>
        <item m="1" x="493"/>
        <item m="1" x="289"/>
        <item m="1" x="526"/>
        <item m="1" x="257"/>
        <item m="1" x="406"/>
        <item m="1" x="840"/>
        <item m="1" x="456"/>
        <item sd="0" m="1" x="477"/>
        <item m="1" x="750"/>
        <item sd="0" m="1" x="638"/>
        <item x="1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4"/>
        <item m="1" x="173"/>
        <item m="1" x="627"/>
        <item m="1" x="375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3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8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2"/>
        <item m="1" x="427"/>
        <item sd="0" m="1" x="10"/>
        <item m="1" x="43"/>
        <item m="1" x="17"/>
        <item m="1" x="622"/>
        <item m="1" x="556"/>
        <item m="1" x="626"/>
        <item m="1" x="345"/>
        <item m="1" x="433"/>
        <item m="1" x="708"/>
        <item m="1" x="210"/>
        <item m="1" x="439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7"/>
        <item m="1" x="790"/>
        <item m="1" x="703"/>
        <item m="1" x="234"/>
        <item m="1" x="597"/>
        <item m="1" x="44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6"/>
        <item m="1" x="545"/>
        <item m="1" x="213"/>
        <item m="1" x="415"/>
        <item m="1" x="419"/>
        <item m="1" x="802"/>
        <item m="1" x="42"/>
        <item m="1" x="805"/>
        <item sd="0" m="1" x="486"/>
        <item m="1" x="442"/>
        <item m="1" x="399"/>
        <item sd="0" m="1" x="608"/>
        <item m="1" x="153"/>
        <item m="1" x="16"/>
        <item m="1" x="232"/>
        <item m="1" x="241"/>
        <item m="1" x="6"/>
        <item m="1" x="388"/>
        <item m="1" x="370"/>
        <item m="1" x="615"/>
        <item m="1" x="57"/>
        <item m="1" x="707"/>
        <item m="1" x="24"/>
        <item m="1" x="37"/>
        <item m="1" x="9"/>
        <item m="1" x="418"/>
        <item sd="0" m="1" x="683"/>
        <item m="1" x="285"/>
        <item m="1" x="316"/>
        <item m="1" x="380"/>
        <item m="1" x="539"/>
        <item m="1" x="314"/>
        <item m="1" x="339"/>
        <item m="1" x="771"/>
        <item m="1" x="143"/>
        <item m="1" x="666"/>
        <item sd="0" m="1" x="839"/>
        <item sd="0" m="1" x="39"/>
        <item m="1" x="383"/>
        <item m="1" x="589"/>
        <item m="1" x="747"/>
        <item sd="0" m="1" x="269"/>
        <item m="1" x="18"/>
        <item m="1" x="637"/>
        <item m="1" x="389"/>
        <item m="1" x="479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0"/>
        <item m="1" x="759"/>
        <item sd="0" m="1" x="690"/>
        <item sd="0" m="1" x="22"/>
        <item m="1" x="727"/>
        <item m="1" x="780"/>
        <item m="1" x="639"/>
        <item m="1" x="329"/>
        <item m="1" x="368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6"/>
        <item m="1" x="718"/>
        <item m="1" x="127"/>
        <item m="1" x="34"/>
        <item m="1" x="302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4"/>
        <item m="1" x="741"/>
        <item m="1" x="194"/>
        <item m="1" x="746"/>
        <item m="1" x="384"/>
        <item sd="0" m="1" x="137"/>
        <item m="1" x="658"/>
        <item m="1" x="430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6"/>
        <item m="1" x="723"/>
        <item m="1" x="748"/>
        <item m="1" x="743"/>
        <item m="1" x="847"/>
        <item sd="0" m="1" x="124"/>
        <item m="1" x="464"/>
        <item m="1" x="700"/>
        <item m="1" x="428"/>
        <item m="1" x="363"/>
        <item m="1" x="100"/>
        <item m="1" x="480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5"/>
        <item m="1" x="130"/>
        <item m="1" x="654"/>
        <item sd="0" m="1" x="721"/>
        <item m="1" x="641"/>
        <item m="1" x="231"/>
        <item m="1" x="373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69"/>
        <item m="1" x="118"/>
        <item m="1" x="645"/>
        <item m="1" x="411"/>
        <item m="1" x="854"/>
        <item m="1" x="432"/>
        <item m="1" x="569"/>
        <item m="1" x="487"/>
        <item m="1" x="182"/>
        <item sd="0" m="1" x="374"/>
        <item m="1" x="242"/>
        <item m="1" x="337"/>
        <item m="1" x="527"/>
        <item m="1" x="423"/>
        <item m="1" x="788"/>
        <item m="1" x="301"/>
        <item m="1" x="309"/>
        <item m="1" x="367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2"/>
        <item m="1" x="268"/>
        <item m="1" x="751"/>
        <item m="1" x="371"/>
        <item m="1" x="246"/>
        <item m="1" x="398"/>
        <item sd="0" m="1" x="481"/>
        <item m="1" x="338"/>
        <item m="1" x="612"/>
        <item m="1" x="672"/>
        <item m="1" x="838"/>
        <item m="1" x="51"/>
        <item m="1" x="605"/>
        <item m="1" x="84"/>
        <item m="1" x="326"/>
        <item m="1" x="35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4"/>
        <item sd="0" m="1" x="669"/>
        <item m="1" x="94"/>
        <item m="1" x="440"/>
        <item sd="0" m="1" x="351"/>
        <item m="1" x="784"/>
        <item m="1" x="498"/>
        <item m="1" x="61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7"/>
        <item m="1" x="320"/>
        <item m="1" x="710"/>
        <item m="1" x="534"/>
        <item m="1" x="644"/>
        <item m="1" x="609"/>
        <item m="1" x="834"/>
        <item m="1" x="787"/>
        <item m="1" x="29"/>
        <item m="1" x="782"/>
        <item m="1" x="253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1"/>
        <item m="1" x="23"/>
        <item m="1" x="594"/>
        <item m="1" x="435"/>
        <item m="1" x="67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7"/>
        <item m="1" x="72"/>
        <item m="1" x="77"/>
        <item m="1" x="528"/>
        <item m="1" x="566"/>
        <item m="1" x="687"/>
        <item m="1" x="280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2"/>
        <item m="1" x="26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4"/>
        <item m="1" x="395"/>
        <item m="1" x="670"/>
        <item m="1" x="185"/>
        <item sd="0" m="1" x="409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m="1" x="79"/>
        <item m="1" x="52"/>
        <item m="1" x="851"/>
        <item m="1" x="30"/>
        <item sd="0" m="1" x="570"/>
        <item m="1" x="512"/>
        <item m="1" x="413"/>
        <item m="1" x="702"/>
        <item m="1" x="204"/>
        <item sd="0" m="1" x="643"/>
        <item m="1" x="779"/>
        <item sd="0" m="1" x="467"/>
        <item sd="0" m="1" x="41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10"/>
        <item m="1" x="692"/>
        <item x="0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0"/>
        <item m="1" x="513"/>
        <item m="1" x="122"/>
        <item m="1" x="646"/>
        <item m="1" x="49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4"/>
        <item sd="0" m="1" x="27"/>
        <item sd="0" m="1" x="765"/>
        <item m="1" x="414"/>
        <item sd="0" m="1" x="552"/>
        <item m="1" x="97"/>
        <item m="1" x="85"/>
        <item sd="0" m="1" x="293"/>
        <item m="1" x="195"/>
        <item sd="0" m="1" x="496"/>
        <item m="1" x="262"/>
        <item m="1" x="31"/>
        <item m="1" x="105"/>
        <item m="1" x="533"/>
        <item sd="0" m="1" x="297"/>
        <item sd="0" m="1" x="397"/>
        <item sd="0" m="1" x="229"/>
        <item sd="0" m="1" x="8"/>
        <item m="1" x="472"/>
        <item sd="0" m="1" x="824"/>
        <item m="1" x="36"/>
        <item m="1" x="311"/>
        <item m="1" x="825"/>
        <item m="1" x="562"/>
        <item m="1" x="62"/>
        <item m="1" x="568"/>
        <item m="1" x="431"/>
        <item m="1" x="426"/>
        <item m="1" x="176"/>
        <item m="1" x="366"/>
        <item m="1" x="758"/>
        <item m="1" x="600"/>
        <item m="1" x="13"/>
        <item m="1" x="92"/>
        <item m="1" x="438"/>
        <item m="1" x="434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6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186"/>
    </i>
    <i r="1">
      <x v="7999"/>
    </i>
    <i>
      <x v="734"/>
    </i>
    <i r="1">
      <x v="7998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3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2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5"/>
        <item m="1" x="581"/>
        <item m="1" x="852"/>
        <item m="1" x="21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6"/>
        <item m="1" x="48"/>
        <item sd="0" m="1" x="668"/>
        <item m="1" x="660"/>
        <item m="1" x="468"/>
        <item m="1" x="45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8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1"/>
        <item m="1" x="462"/>
        <item m="1" x="138"/>
        <item m="1" x="661"/>
        <item m="1" x="372"/>
        <item m="1" x="154"/>
        <item m="1" x="251"/>
        <item m="1" x="628"/>
        <item m="1" x="736"/>
        <item m="1" x="421"/>
        <item m="1" x="80"/>
        <item m="1" x="696"/>
        <item m="1" x="284"/>
        <item m="1" x="846"/>
        <item m="1" x="248"/>
        <item sd="0" m="1" x="763"/>
        <item m="1" x="425"/>
        <item m="1" x="436"/>
        <item m="1" x="167"/>
        <item m="1" x="542"/>
        <item m="1" x="806"/>
        <item sd="0" m="1" x="620"/>
        <item m="1" x="5"/>
        <item m="1" x="770"/>
        <item m="1" x="15"/>
        <item m="1" x="739"/>
        <item m="1" x="393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3"/>
        <item m="1" x="649"/>
        <item m="1" x="469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6"/>
        <item m="1" x="401"/>
        <item m="1" x="114"/>
        <item sd="0" m="1" x="652"/>
        <item m="1" x="656"/>
        <item m="1" x="795"/>
        <item sd="0" m="1" x="695"/>
        <item m="1" x="454"/>
        <item m="1" x="381"/>
        <item m="1" x="447"/>
        <item m="1" x="159"/>
        <item m="1" x="277"/>
        <item sd="0" m="1" x="203"/>
        <item m="1" x="493"/>
        <item m="1" x="289"/>
        <item m="1" x="526"/>
        <item m="1" x="257"/>
        <item m="1" x="406"/>
        <item m="1" x="840"/>
        <item m="1" x="456"/>
        <item sd="0" m="1" x="477"/>
        <item m="1" x="750"/>
        <item sd="0" m="1" x="638"/>
        <item x="1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4"/>
        <item m="1" x="173"/>
        <item m="1" x="627"/>
        <item m="1" x="375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3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8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2"/>
        <item m="1" x="427"/>
        <item sd="0" m="1" x="10"/>
        <item m="1" x="43"/>
        <item m="1" x="17"/>
        <item m="1" x="622"/>
        <item m="1" x="556"/>
        <item m="1" x="626"/>
        <item m="1" x="345"/>
        <item m="1" x="433"/>
        <item m="1" x="708"/>
        <item m="1" x="210"/>
        <item m="1" x="439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7"/>
        <item m="1" x="790"/>
        <item sd="0" m="1" x="703"/>
        <item m="1" x="234"/>
        <item m="1" x="597"/>
        <item m="1" x="44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6"/>
        <item m="1" x="545"/>
        <item m="1" x="213"/>
        <item m="1" x="415"/>
        <item m="1" x="419"/>
        <item m="1" x="802"/>
        <item m="1" x="42"/>
        <item m="1" x="805"/>
        <item sd="0" m="1" x="486"/>
        <item m="1" x="442"/>
        <item m="1" x="399"/>
        <item sd="0" m="1" x="608"/>
        <item m="1" x="153"/>
        <item m="1" x="16"/>
        <item m="1" x="232"/>
        <item m="1" x="241"/>
        <item m="1" x="6"/>
        <item m="1" x="388"/>
        <item m="1" x="370"/>
        <item m="1" x="615"/>
        <item m="1" x="57"/>
        <item m="1" x="707"/>
        <item m="1" x="24"/>
        <item m="1" x="37"/>
        <item m="1" x="9"/>
        <item m="1" x="418"/>
        <item sd="0" m="1" x="683"/>
        <item m="1" x="285"/>
        <item m="1" x="316"/>
        <item m="1" x="380"/>
        <item m="1" x="539"/>
        <item m="1" x="314"/>
        <item m="1" x="339"/>
        <item m="1" x="771"/>
        <item m="1" x="143"/>
        <item m="1" x="666"/>
        <item sd="0" m="1" x="839"/>
        <item sd="0" m="1" x="39"/>
        <item m="1" x="383"/>
        <item m="1" x="589"/>
        <item m="1" x="747"/>
        <item sd="0" m="1" x="269"/>
        <item m="1" x="18"/>
        <item m="1" x="637"/>
        <item m="1" x="389"/>
        <item m="1" x="479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0"/>
        <item m="1" x="759"/>
        <item sd="0" m="1" x="690"/>
        <item sd="0" m="1" x="22"/>
        <item m="1" x="727"/>
        <item m="1" x="780"/>
        <item m="1" x="639"/>
        <item m="1" x="329"/>
        <item m="1" x="368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6"/>
        <item m="1" x="718"/>
        <item m="1" x="127"/>
        <item m="1" x="34"/>
        <item m="1" x="302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4"/>
        <item m="1" x="741"/>
        <item m="1" x="194"/>
        <item m="1" x="746"/>
        <item m="1" x="384"/>
        <item sd="0" m="1" x="137"/>
        <item m="1" x="658"/>
        <item m="1" x="430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6"/>
        <item m="1" x="723"/>
        <item m="1" x="748"/>
        <item m="1" x="743"/>
        <item m="1" x="847"/>
        <item sd="0" m="1" x="124"/>
        <item m="1" x="464"/>
        <item m="1" x="700"/>
        <item m="1" x="428"/>
        <item m="1" x="363"/>
        <item m="1" x="100"/>
        <item m="1" x="480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5"/>
        <item m="1" x="130"/>
        <item m="1" x="654"/>
        <item sd="0" m="1" x="721"/>
        <item m="1" x="641"/>
        <item m="1" x="231"/>
        <item m="1" x="373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69"/>
        <item m="1" x="118"/>
        <item m="1" x="645"/>
        <item m="1" x="411"/>
        <item m="1" x="854"/>
        <item m="1" x="432"/>
        <item m="1" x="569"/>
        <item m="1" x="487"/>
        <item m="1" x="182"/>
        <item sd="0" m="1" x="374"/>
        <item m="1" x="242"/>
        <item m="1" x="337"/>
        <item m="1" x="527"/>
        <item m="1" x="423"/>
        <item m="1" x="788"/>
        <item m="1" x="301"/>
        <item m="1" x="309"/>
        <item m="1" x="367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2"/>
        <item m="1" x="268"/>
        <item m="1" x="751"/>
        <item m="1" x="371"/>
        <item m="1" x="246"/>
        <item m="1" x="398"/>
        <item sd="0" m="1" x="481"/>
        <item m="1" x="338"/>
        <item m="1" x="612"/>
        <item m="1" x="672"/>
        <item m="1" x="838"/>
        <item m="1" x="51"/>
        <item m="1" x="605"/>
        <item m="1" x="84"/>
        <item m="1" x="326"/>
        <item m="1" x="35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4"/>
        <item sd="0" m="1" x="669"/>
        <item m="1" x="94"/>
        <item m="1" x="440"/>
        <item sd="0" m="1" x="351"/>
        <item m="1" x="784"/>
        <item m="1" x="498"/>
        <item m="1" x="61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7"/>
        <item m="1" x="320"/>
        <item m="1" x="710"/>
        <item m="1" x="534"/>
        <item m="1" x="644"/>
        <item m="1" x="609"/>
        <item m="1" x="834"/>
        <item m="1" x="787"/>
        <item m="1" x="29"/>
        <item m="1" x="782"/>
        <item m="1" x="253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1"/>
        <item m="1" x="23"/>
        <item m="1" x="594"/>
        <item m="1" x="435"/>
        <item m="1" x="67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7"/>
        <item m="1" x="72"/>
        <item m="1" x="77"/>
        <item m="1" x="528"/>
        <item m="1" x="566"/>
        <item m="1" x="687"/>
        <item m="1" x="280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2"/>
        <item m="1" x="26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4"/>
        <item m="1" x="395"/>
        <item m="1" x="670"/>
        <item m="1" x="185"/>
        <item sd="0" m="1" x="409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m="1" x="79"/>
        <item m="1" x="52"/>
        <item m="1" x="851"/>
        <item m="1" x="30"/>
        <item sd="0" m="1" x="570"/>
        <item m="1" x="512"/>
        <item m="1" x="413"/>
        <item m="1" x="702"/>
        <item m="1" x="204"/>
        <item sd="0" m="1" x="643"/>
        <item m="1" x="779"/>
        <item sd="0" m="1" x="467"/>
        <item sd="0" m="1" x="41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10"/>
        <item m="1" x="692"/>
        <item x="0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0"/>
        <item m="1" x="513"/>
        <item m="1" x="122"/>
        <item m="1" x="646"/>
        <item m="1" x="49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4"/>
        <item sd="0" m="1" x="27"/>
        <item sd="0" m="1" x="765"/>
        <item m="1" x="414"/>
        <item sd="0" m="1" x="552"/>
        <item m="1" x="97"/>
        <item m="1" x="85"/>
        <item sd="0" m="1" x="293"/>
        <item m="1" x="195"/>
        <item sd="0" m="1" x="496"/>
        <item m="1" x="262"/>
        <item m="1" x="31"/>
        <item m="1" x="105"/>
        <item m="1" x="533"/>
        <item sd="0" m="1" x="297"/>
        <item sd="0" m="1" x="397"/>
        <item sd="0" m="1" x="229"/>
        <item sd="0" m="1" x="8"/>
        <item m="1" x="472"/>
        <item sd="0" m="1" x="824"/>
        <item m="1" x="36"/>
        <item m="1" x="311"/>
        <item m="1" x="825"/>
        <item m="1" x="562"/>
        <item m="1" x="62"/>
        <item m="1" x="568"/>
        <item m="1" x="431"/>
        <item m="1" x="426"/>
        <item m="1" x="176"/>
        <item m="1" x="366"/>
        <item m="1" x="758"/>
        <item m="1" x="600"/>
        <item m="1" x="13"/>
        <item m="1" x="92"/>
        <item m="1" x="438"/>
        <item m="1" x="434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6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186"/>
    </i>
    <i>
      <x v="734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1" s="1"/>
        <i x="0" s="1"/>
        <i x="2" s="1"/>
        <i x="818" s="1" nd="1"/>
        <i x="762" s="1" nd="1"/>
        <i x="794" s="1" nd="1"/>
        <i x="543" s="1" nd="1"/>
        <i x="149" s="1" nd="1"/>
        <i x="187" s="1" nd="1"/>
        <i x="273" s="1" nd="1"/>
        <i x="12" s="1" nd="1"/>
        <i x="761" s="1" nd="1"/>
        <i x="392" s="1" nd="1"/>
        <i x="712" s="1" nd="1"/>
        <i x="296" s="1" nd="1"/>
        <i x="113" s="1" nd="1"/>
        <i x="271" s="1" nd="1"/>
        <i x="590" s="1" nd="1"/>
        <i x="324" s="1" nd="1"/>
        <i x="675" s="1" nd="1"/>
        <i x="501" s="1" nd="1"/>
        <i x="25" s="1" nd="1"/>
        <i x="581" s="1" nd="1"/>
        <i x="852" s="1" nd="1"/>
        <i x="21" s="1" nd="1"/>
        <i x="757" s="1" nd="1"/>
        <i x="112" s="1" nd="1"/>
        <i x="544" s="1" nd="1"/>
        <i x="828" s="1" nd="1"/>
        <i x="270" s="1" nd="1"/>
        <i x="478" s="1" nd="1"/>
        <i x="772" s="1" nd="1"/>
        <i x="266" s="1" nd="1"/>
        <i x="343" s="1" nd="1"/>
        <i x="676" s="1" nd="1"/>
        <i x="800" s="1" nd="1"/>
        <i x="76" s="1" nd="1"/>
        <i x="48" s="1" nd="1"/>
        <i x="668" s="1" nd="1"/>
        <i x="660" s="1" nd="1"/>
        <i x="468" s="1" nd="1"/>
        <i x="45" s="1" nd="1"/>
        <i x="730" s="1" nd="1"/>
        <i x="689" s="1" nd="1"/>
        <i x="216" s="1" nd="1"/>
        <i x="475" s="1" nd="1"/>
        <i x="633" s="1" nd="1"/>
        <i x="445" s="1" nd="1"/>
        <i x="809" s="1" nd="1"/>
        <i x="667" s="1" nd="1"/>
        <i x="215" s="1" nd="1"/>
        <i x="131" s="1" nd="1"/>
        <i x="222" s="1" nd="1"/>
        <i x="158" s="1" nd="1"/>
        <i x="230" s="1" nd="1"/>
        <i x="109" s="1" nd="1"/>
        <i x="621" s="1" nd="1"/>
        <i x="141" s="1" nd="1"/>
        <i x="616" s="1" nd="1"/>
        <i x="321" s="1" nd="1"/>
        <i x="820" s="1" nd="1"/>
        <i x="322" s="1" nd="1"/>
        <i x="460" s="1" nd="1"/>
        <i x="505" s="1" nd="1"/>
        <i x="553" s="1" nd="1"/>
        <i x="476" s="1" nd="1"/>
        <i x="244" s="1" nd="1"/>
        <i x="848" s="1" nd="1"/>
        <i x="832" s="1" nd="1"/>
        <i x="742" s="1" nd="1"/>
        <i x="240" s="1" nd="1"/>
        <i x="239" s="1" nd="1"/>
        <i x="461" s="1" nd="1"/>
        <i x="286" s="1" nd="1"/>
        <i x="549" s="1" nd="1"/>
        <i x="845" s="1" nd="1"/>
        <i x="444" s="1" nd="1"/>
        <i x="529" s="1" nd="1"/>
        <i x="665" s="1" nd="1"/>
        <i x="518" s="1" nd="1"/>
        <i x="792" s="1" nd="1"/>
        <i x="178" s="1" nd="1"/>
        <i x="58" s="1" nd="1"/>
        <i x="356" s="1" nd="1"/>
        <i x="686" s="1" nd="1"/>
        <i x="312" s="1" nd="1"/>
        <i x="136" s="1" nd="1"/>
        <i x="294" s="1" nd="1"/>
        <i x="601" s="1" nd="1"/>
        <i x="206" s="1" nd="1"/>
        <i x="674" s="1" nd="1"/>
        <i x="139" s="1" nd="1"/>
        <i x="688" s="1" nd="1"/>
        <i x="452" s="1" nd="1"/>
        <i x="408" s="1" nd="1"/>
        <i x="515" s="1" nd="1"/>
        <i x="318" s="1" nd="1"/>
        <i x="591" s="1" nd="1"/>
        <i x="595" s="1" nd="1"/>
        <i x="732" s="1" nd="1"/>
        <i x="785" s="1" nd="1"/>
        <i x="183" s="1" nd="1"/>
        <i x="835" s="1" nd="1"/>
        <i x="711" s="1" nd="1"/>
        <i x="378" s="1" nd="1"/>
        <i x="207" s="1" nd="1"/>
        <i x="521" s="1" nd="1"/>
        <i x="462" s="1" nd="1"/>
        <i x="138" s="1" nd="1"/>
        <i x="661" s="1" nd="1"/>
        <i x="372" s="1" nd="1"/>
        <i x="154" s="1" nd="1"/>
        <i x="251" s="1" nd="1"/>
        <i x="628" s="1" nd="1"/>
        <i x="736" s="1" nd="1"/>
        <i x="421" s="1" nd="1"/>
        <i x="80" s="1" nd="1"/>
        <i x="696" s="1" nd="1"/>
        <i x="284" s="1" nd="1"/>
        <i x="846" s="1" nd="1"/>
        <i x="248" s="1" nd="1"/>
        <i x="763" s="1" nd="1"/>
        <i x="425" s="1" nd="1"/>
        <i x="436" s="1" nd="1"/>
        <i x="167" s="1" nd="1"/>
        <i x="542" s="1" nd="1"/>
        <i x="806" s="1" nd="1"/>
        <i x="620" s="1" nd="1"/>
        <i x="5" s="1" nd="1"/>
        <i x="770" s="1" nd="1"/>
        <i x="15" s="1" nd="1"/>
        <i x="739" s="1" nd="1"/>
        <i x="393" s="1" nd="1"/>
        <i x="276" s="1" nd="1"/>
        <i x="65" s="1" nd="1"/>
        <i x="186" s="1" nd="1"/>
        <i x="307" s="1" nd="1"/>
        <i x="177" s="1" nd="1"/>
        <i x="596" s="1" nd="1"/>
        <i x="172" s="1" nd="1"/>
        <i x="614" s="1" nd="1"/>
        <i x="767" s="1" nd="1"/>
        <i x="482" s="1" nd="1"/>
        <i x="53" s="1" nd="1"/>
        <i x="649" s="1" nd="1"/>
        <i x="469" s="1" nd="1"/>
        <i x="249" s="1" nd="1"/>
        <i x="328" s="1" nd="1"/>
        <i x="437" s="1" nd="1"/>
        <i x="352" s="1" nd="1"/>
        <i x="571" s="1" nd="1"/>
        <i x="567" s="1" nd="1"/>
        <i x="733" s="1" nd="1"/>
        <i x="755" s="1" nd="1"/>
        <i x="120" s="1" nd="1"/>
        <i x="390" s="1" nd="1"/>
        <i x="88" s="1" nd="1"/>
        <i x="382" s="1" nd="1"/>
        <i x="814" s="1" nd="1"/>
        <i x="396" s="1" nd="1"/>
        <i x="258" s="1" nd="1"/>
        <i x="377" s="1" nd="1"/>
        <i x="849" s="1" nd="1"/>
        <i x="647" s="1" nd="1"/>
        <i x="853" s="1" nd="1"/>
        <i x="829" s="1" nd="1"/>
        <i x="106" s="1" nd="1"/>
        <i x="401" s="1" nd="1"/>
        <i x="114" s="1" nd="1"/>
        <i x="652" s="1" nd="1"/>
        <i x="656" s="1" nd="1"/>
        <i x="795" s="1" nd="1"/>
        <i x="695" s="1" nd="1"/>
        <i x="454" s="1" nd="1"/>
        <i x="381" s="1" nd="1"/>
        <i x="447" s="1" nd="1"/>
        <i x="159" s="1" nd="1"/>
        <i x="277" s="1" nd="1"/>
        <i x="203" s="1" nd="1"/>
        <i x="493" s="1" nd="1"/>
        <i x="289" s="1" nd="1"/>
        <i x="526" s="1" nd="1"/>
        <i x="257" s="1" nd="1"/>
        <i x="406" s="1" nd="1"/>
        <i x="840" s="1" nd="1"/>
        <i x="456" s="1" nd="1"/>
        <i x="477" s="1" nd="1"/>
        <i x="750" s="1" nd="1"/>
        <i x="638" s="1" nd="1"/>
        <i x="793" s="1" nd="1"/>
        <i x="716" s="1" nd="1"/>
        <i x="417" s="1" nd="1"/>
        <i x="734" s="1" nd="1"/>
        <i x="813" s="1" nd="1"/>
        <i x="561" s="1" nd="1"/>
        <i x="558" s="1" nd="1"/>
        <i x="429" s="1" nd="1"/>
        <i x="714" s="1" nd="1"/>
        <i x="504" s="1" nd="1"/>
        <i x="173" s="1" nd="1"/>
        <i x="627" s="1" nd="1"/>
        <i x="375" s="1" nd="1"/>
        <i x="807" s="1" nd="1"/>
        <i x="59" s="1" nd="1"/>
        <i x="631" s="1" nd="1"/>
        <i x="530" s="1" nd="1"/>
        <i x="295" s="1" nd="1"/>
        <i x="304" s="1" nd="1"/>
        <i x="174" s="1" nd="1"/>
        <i x="101" s="1" nd="1"/>
        <i x="70" s="1" nd="1"/>
        <i x="578" s="1" nd="1"/>
        <i x="798" s="1" nd="1"/>
        <i x="33" s="1" nd="1"/>
        <i x="673" s="1" nd="1"/>
        <i x="287" s="1" nd="1"/>
        <i x="629" s="1" nd="1"/>
        <i x="265" s="1" nd="1"/>
        <i x="115" s="1" nd="1"/>
        <i x="333" s="1" nd="1"/>
        <i x="220" s="1" nd="1"/>
        <i x="509" s="1" nd="1"/>
        <i x="117" s="1" nd="1"/>
        <i x="536" s="1" nd="1"/>
        <i x="83" s="1" nd="1"/>
        <i x="602" s="1" nd="1"/>
        <i x="449" s="1" nd="1"/>
        <i x="349" s="1" nd="1"/>
        <i x="78" s="1" nd="1"/>
        <i x="582" s="1" nd="1"/>
        <i x="19" s="1" nd="1"/>
        <i x="160" s="1" nd="1"/>
        <i x="773" s="1" nd="1"/>
        <i x="579" s="1" nd="1"/>
        <i x="517" s="1" nd="1"/>
        <i x="797" s="1" nd="1"/>
        <i x="165" s="1" nd="1"/>
        <i x="826" s="1" nd="1"/>
        <i x="110" s="1" nd="1"/>
        <i x="422" s="1" nd="1"/>
        <i x="427" s="1" nd="1"/>
        <i x="10" s="1" nd="1"/>
        <i x="43" s="1" nd="1"/>
        <i x="17" s="1" nd="1"/>
        <i x="622" s="1" nd="1"/>
        <i x="556" s="1" nd="1"/>
        <i x="626" s="1" nd="1"/>
        <i x="345" s="1" nd="1"/>
        <i x="433" s="1" nd="1"/>
        <i x="708" s="1" nd="1"/>
        <i x="210" s="1" nd="1"/>
        <i x="439" s="1" nd="1"/>
        <i x="102" s="1" nd="1"/>
        <i x="196" s="1" nd="1"/>
        <i x="831" s="1" nd="1"/>
        <i x="764" s="1" nd="1"/>
        <i x="508" s="1" nd="1"/>
        <i x="821" s="1" nd="1"/>
        <i x="341" s="1" nd="1"/>
        <i x="223" s="1" nd="1"/>
        <i x="64" s="1" nd="1"/>
        <i x="635" s="1" nd="1"/>
        <i x="457" s="1" nd="1"/>
        <i x="790" s="1" nd="1"/>
        <i x="703" s="1" nd="1"/>
        <i x="234" s="1" nd="1"/>
        <i x="597" s="1" nd="1"/>
        <i x="44" s="1" nd="1"/>
        <i x="843" s="1" nd="1"/>
        <i x="123" s="1" nd="1"/>
        <i x="267" s="1" nd="1"/>
        <i x="292" s="1" nd="1"/>
        <i x="354" s="1" nd="1"/>
        <i x="98" s="1" nd="1"/>
        <i x="459" s="1" nd="1"/>
        <i x="580" s="1" nd="1"/>
        <i x="353" s="1" nd="1"/>
        <i x="103" s="1" nd="1"/>
        <i x="538" s="1" nd="1"/>
        <i x="208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6" s="1" nd="1"/>
        <i x="545" s="1" nd="1"/>
        <i x="213" s="1" nd="1"/>
        <i x="415" s="1" nd="1"/>
        <i x="419" s="1" nd="1"/>
        <i x="802" s="1" nd="1"/>
        <i x="42" s="1" nd="1"/>
        <i x="805" s="1" nd="1"/>
        <i x="486" s="1" nd="1"/>
        <i x="442" s="1" nd="1"/>
        <i x="399" s="1" nd="1"/>
        <i x="608" s="1" nd="1"/>
        <i x="153" s="1" nd="1"/>
        <i x="16" s="1" nd="1"/>
        <i x="232" s="1" nd="1"/>
        <i x="241" s="1" nd="1"/>
        <i x="6" s="1" nd="1"/>
        <i x="388" s="1" nd="1"/>
        <i x="370" s="1" nd="1"/>
        <i x="615" s="1" nd="1"/>
        <i x="57" s="1" nd="1"/>
        <i x="707" s="1" nd="1"/>
        <i x="24" s="1" nd="1"/>
        <i x="37" s="1" nd="1"/>
        <i x="9" s="1" nd="1"/>
        <i x="418" s="1" nd="1"/>
        <i x="683" s="1" nd="1"/>
        <i x="285" s="1" nd="1"/>
        <i x="316" s="1" nd="1"/>
        <i x="380" s="1" nd="1"/>
        <i x="539" s="1" nd="1"/>
        <i x="314" s="1" nd="1"/>
        <i x="339" s="1" nd="1"/>
        <i x="771" s="1" nd="1"/>
        <i x="143" s="1" nd="1"/>
        <i x="666" s="1" nd="1"/>
        <i x="839" s="1" nd="1"/>
        <i x="39" s="1" nd="1"/>
        <i x="383" s="1" nd="1"/>
        <i x="589" s="1" nd="1"/>
        <i x="747" s="1" nd="1"/>
        <i x="269" s="1" nd="1"/>
        <i x="18" s="1" nd="1"/>
        <i x="637" s="1" nd="1"/>
        <i x="389" s="1" nd="1"/>
        <i x="479" s="1" nd="1"/>
        <i x="344" s="1" nd="1"/>
        <i x="737" s="1" nd="1"/>
        <i x="245" s="1" nd="1"/>
        <i x="261" s="1" nd="1"/>
        <i x="274" s="1" nd="1"/>
        <i x="822" s="1" nd="1"/>
        <i x="7" s="1" nd="1"/>
        <i x="350" s="1" nd="1"/>
        <i x="577" s="1" nd="1"/>
        <i x="161" s="1" nd="1"/>
        <i x="315" s="1" nd="1"/>
        <i x="698" s="1" nd="1"/>
        <i x="331" s="1" nd="1"/>
        <i x="625" s="1" nd="1"/>
        <i x="541" s="1" nd="1"/>
        <i x="369" s="1" nd="1"/>
        <i x="335" s="1" nd="1"/>
        <i x="175" s="1" nd="1"/>
        <i x="420" s="1" nd="1"/>
        <i x="701" s="1" nd="1"/>
        <i x="697" s="1" nd="1"/>
        <i x="379" s="1" nd="1"/>
        <i x="348" s="1" nd="1"/>
        <i x="150" s="1" nd="1"/>
        <i x="759" s="1" nd="1"/>
        <i x="690" s="1" nd="1"/>
        <i x="22" s="1" nd="1"/>
        <i x="727" s="1" nd="1"/>
        <i x="780" s="1" nd="1"/>
        <i x="639" s="1" nd="1"/>
        <i x="329" s="1" nd="1"/>
        <i x="368" s="1" nd="1"/>
        <i x="815" s="1" nd="1"/>
        <i x="776" s="1" nd="1"/>
        <i x="144" s="1" nd="1"/>
        <i x="497" s="1" nd="1"/>
        <i x="466" s="1" nd="1"/>
        <i x="140" s="1" nd="1"/>
        <i x="756" s="1" nd="1"/>
        <i x="148" s="1" nd="1"/>
        <i x="224" s="1" nd="1"/>
        <i x="720" s="1" nd="1"/>
        <i x="555" s="1" nd="1"/>
        <i x="116" s="1" nd="1"/>
        <i x="376" s="1" nd="1"/>
        <i x="718" s="1" nd="1"/>
        <i x="127" s="1" nd="1"/>
        <i x="34" s="1" nd="1"/>
        <i x="302" s="1" nd="1"/>
        <i x="548" s="1" nd="1"/>
        <i x="60" s="1" nd="1"/>
        <i x="451" s="1" nd="1"/>
        <i x="774" s="1" nd="1"/>
        <i x="484" s="1" nd="1"/>
        <i x="740" s="1" nd="1"/>
        <i x="453" s="1" nd="1"/>
        <i x="520" s="1" nd="1"/>
        <i x="162" s="1" nd="1"/>
        <i x="404" s="1" nd="1"/>
        <i x="741" s="1" nd="1"/>
        <i x="194" s="1" nd="1"/>
        <i x="746" s="1" nd="1"/>
        <i x="384" s="1" nd="1"/>
        <i x="137" s="1" nd="1"/>
        <i x="658" s="1" nd="1"/>
        <i x="430" s="1" nd="1"/>
        <i x="664" s="1" nd="1"/>
        <i x="492" s="1" nd="1"/>
        <i x="685" s="1" nd="1"/>
        <i x="327" s="1" nd="1"/>
        <i x="768" s="1" nd="1"/>
        <i x="804" s="1" nd="1"/>
        <i x="91" s="1" nd="1"/>
        <i x="572" s="1" nd="1"/>
        <i x="157" s="1" nd="1"/>
        <i x="560" s="1" nd="1"/>
        <i x="46" s="1" nd="1"/>
        <i x="723" s="1" nd="1"/>
        <i x="748" s="1" nd="1"/>
        <i x="743" s="1" nd="1"/>
        <i x="847" s="1" nd="1"/>
        <i x="124" s="1" nd="1"/>
        <i x="464" s="1" nd="1"/>
        <i x="700" s="1" nd="1"/>
        <i x="428" s="1" nd="1"/>
        <i x="363" s="1" nd="1"/>
        <i x="100" s="1" nd="1"/>
        <i x="480" s="1" nd="1"/>
        <i x="607" s="1" nd="1"/>
        <i x="715" s="1" nd="1"/>
        <i x="54" s="1" nd="1"/>
        <i x="298" s="1" nd="1"/>
        <i x="682" s="1" nd="1"/>
        <i x="135" s="1" nd="1"/>
        <i x="330" s="1" nd="1"/>
        <i x="535" s="1" nd="1"/>
        <i x="237" s="1" nd="1"/>
        <i x="557" s="1" nd="1"/>
        <i x="546" s="1" nd="1"/>
        <i x="850" s="1" nd="1"/>
        <i x="3" s="1" nd="1"/>
        <i x="272" s="1" nd="1"/>
        <i x="75" s="1" nd="1"/>
        <i x="130" s="1" nd="1"/>
        <i x="654" s="1" nd="1"/>
        <i x="721" s="1" nd="1"/>
        <i x="641" s="1" nd="1"/>
        <i x="231" s="1" nd="1"/>
        <i x="373" s="1" nd="1"/>
        <i x="735" s="1" nd="1"/>
        <i x="132" s="1" nd="1"/>
        <i x="86" s="1" nd="1"/>
        <i x="209" s="1" nd="1"/>
        <i x="681" s="1" nd="1"/>
        <i x="275" s="1" nd="1"/>
        <i x="471" s="1" nd="1"/>
        <i x="799" s="1" nd="1"/>
        <i x="217" s="1" nd="1"/>
        <i x="827" s="1" nd="1"/>
        <i x="69" s="1" nd="1"/>
        <i x="118" s="1" nd="1"/>
        <i x="645" s="1" nd="1"/>
        <i x="411" s="1" nd="1"/>
        <i x="854" s="1" nd="1"/>
        <i x="432" s="1" nd="1"/>
        <i x="569" s="1" nd="1"/>
        <i x="487" s="1" nd="1"/>
        <i x="182" s="1" nd="1"/>
        <i x="374" s="1" nd="1"/>
        <i x="242" s="1" nd="1"/>
        <i x="337" s="1" nd="1"/>
        <i x="527" s="1" nd="1"/>
        <i x="423" s="1" nd="1"/>
        <i x="788" s="1" nd="1"/>
        <i x="301" s="1" nd="1"/>
        <i x="309" s="1" nd="1"/>
        <i x="367" s="1" nd="1"/>
        <i x="490" s="1" nd="1"/>
        <i x="662" s="1" nd="1"/>
        <i x="188" s="1" nd="1"/>
        <i x="659" s="1" nd="1"/>
        <i x="221" s="1" nd="1"/>
        <i x="448" s="1" nd="1"/>
        <i x="147" s="1" nd="1"/>
        <i x="362" s="1" nd="1"/>
        <i x="263" s="1" nd="1"/>
        <i x="291" s="1" nd="1"/>
        <i x="540" s="1" nd="1"/>
        <i x="810" s="1" nd="1"/>
        <i x="603" s="1" nd="1"/>
        <i x="32" s="1" nd="1"/>
        <i x="268" s="1" nd="1"/>
        <i x="751" s="1" nd="1"/>
        <i x="371" s="1" nd="1"/>
        <i x="246" s="1" nd="1"/>
        <i x="398" s="1" nd="1"/>
        <i x="481" s="1" nd="1"/>
        <i x="338" s="1" nd="1"/>
        <i x="612" s="1" nd="1"/>
        <i x="672" s="1" nd="1"/>
        <i x="838" s="1" nd="1"/>
        <i x="51" s="1" nd="1"/>
        <i x="605" s="1" nd="1"/>
        <i x="84" s="1" nd="1"/>
        <i x="326" s="1" nd="1"/>
        <i x="35" s="1" nd="1"/>
        <i x="495" s="1" nd="1"/>
        <i x="506" s="1" nd="1"/>
        <i x="446" s="1" nd="1"/>
        <i x="166" s="1" nd="1"/>
        <i x="133" s="1" nd="1"/>
        <i x="252" s="1" nd="1"/>
        <i x="300" s="1" nd="1"/>
        <i x="819" s="1" nd="1"/>
        <i x="169" s="1" nd="1"/>
        <i x="709" s="1" nd="1"/>
        <i x="171" s="1" nd="1"/>
        <i x="586" s="1" nd="1"/>
        <i x="227" s="1" nd="1"/>
        <i x="391" s="1" nd="1"/>
        <i x="657" s="1" nd="1"/>
        <i x="310" s="1" nd="1"/>
        <i x="74" s="1" nd="1"/>
        <i x="669" s="1" nd="1"/>
        <i x="94" s="1" nd="1"/>
        <i x="440" s="1" nd="1"/>
        <i x="351" s="1" nd="1"/>
        <i x="784" s="1" nd="1"/>
        <i x="498" s="1" nd="1"/>
        <i x="61" s="1" nd="1"/>
        <i x="455" s="1" nd="1"/>
        <i x="82" s="1" nd="1"/>
        <i x="325" s="1" nd="1"/>
        <i x="168" s="1" nd="1"/>
        <i x="332" s="1" nd="1"/>
        <i x="564" s="1" nd="1"/>
        <i x="503" s="1" nd="1"/>
        <i x="228" s="1" nd="1"/>
        <i x="281" s="1" nd="1"/>
        <i x="93" s="1" nd="1"/>
        <i x="407" s="1" nd="1"/>
        <i x="320" s="1" nd="1"/>
        <i x="710" s="1" nd="1"/>
        <i x="534" s="1" nd="1"/>
        <i x="644" s="1" nd="1"/>
        <i x="609" s="1" nd="1"/>
        <i x="834" s="1" nd="1"/>
        <i x="787" s="1" nd="1"/>
        <i x="29" s="1" nd="1"/>
        <i x="782" s="1" nd="1"/>
        <i x="253" s="1" nd="1"/>
        <i x="474" s="1" nd="1"/>
        <i x="812" s="1" nd="1"/>
        <i x="463" s="1" nd="1"/>
        <i x="745" s="1" nd="1"/>
        <i x="648" s="1" nd="1"/>
        <i x="775" s="1" nd="1"/>
        <i x="71" s="1" nd="1"/>
        <i x="713" s="1" nd="1"/>
        <i x="573" s="1" nd="1"/>
        <i x="184" s="1" nd="1"/>
        <i x="717" s="1" nd="1"/>
        <i x="111" s="1" nd="1"/>
        <i x="254" s="1" nd="1"/>
        <i x="511" s="1" nd="1"/>
        <i x="95" s="1" nd="1"/>
        <i x="522" s="1" nd="1"/>
        <i x="789" s="1" nd="1"/>
        <i x="20" s="1" nd="1"/>
        <i x="537" s="1" nd="1"/>
        <i x="636" s="1" nd="1"/>
        <i x="575" s="1" nd="1"/>
        <i x="197" s="1" nd="1"/>
        <i x="574" s="1" nd="1"/>
        <i x="365" s="1" nd="1"/>
        <i x="823" s="1" nd="1"/>
        <i x="336" s="1" nd="1"/>
        <i x="523" s="1" nd="1"/>
        <i x="247" s="1" nd="1"/>
        <i x="11" s="1" nd="1"/>
        <i x="142" s="1" nd="1"/>
        <i x="651" s="1" nd="1"/>
        <i x="604" s="1" nd="1"/>
        <i x="441" s="1" nd="1"/>
        <i x="23" s="1" nd="1"/>
        <i x="594" s="1" nd="1"/>
        <i x="435" s="1" nd="1"/>
        <i x="67" s="1" nd="1"/>
        <i x="655" s="1" nd="1"/>
        <i x="677" s="1" nd="1"/>
        <i x="565" s="1" nd="1"/>
        <i x="514" s="1" nd="1"/>
        <i x="598" s="1" nd="1"/>
        <i x="317" s="1" nd="1"/>
        <i x="781" s="1" nd="1"/>
        <i x="483" s="1" nd="1"/>
        <i x="313" s="1" nd="1"/>
        <i x="347" s="1" nd="1"/>
        <i x="282" s="1" nd="1"/>
        <i x="323" s="1" nd="1"/>
        <i x="844" s="1" nd="1"/>
        <i x="358" s="1" nd="1"/>
        <i x="387" s="1" nd="1"/>
        <i x="72" s="1" nd="1"/>
        <i x="77" s="1" nd="1"/>
        <i x="528" s="1" nd="1"/>
        <i x="566" s="1" nd="1"/>
        <i x="687" s="1" nd="1"/>
        <i x="280" s="1" nd="1"/>
        <i x="524" s="1" nd="1"/>
        <i x="525" s="1" nd="1"/>
        <i x="38" s="1" nd="1"/>
        <i x="592" s="1" nd="1"/>
        <i x="801" s="1" nd="1"/>
        <i x="583" s="1" nd="1"/>
        <i x="749" s="1" nd="1"/>
        <i x="722" s="1" nd="1"/>
        <i x="532" s="1" nd="1"/>
        <i x="47" s="1" nd="1"/>
        <i x="554" s="1" nd="1"/>
        <i x="108" s="1" nd="1"/>
        <i x="235" s="1" nd="1"/>
        <i x="359" s="1" nd="1"/>
        <i x="260" s="1" nd="1"/>
        <i x="364" s="1" nd="1"/>
        <i x="500" s="1" nd="1"/>
        <i x="146" s="1" nd="1"/>
        <i x="170" s="1" nd="1"/>
        <i x="584" s="1" nd="1"/>
        <i x="803" s="1" nd="1"/>
        <i x="791" s="1" nd="1"/>
        <i x="200" s="1" nd="1"/>
        <i x="151" s="1" nd="1"/>
        <i x="236" s="1" nd="1"/>
        <i x="502" s="1" nd="1"/>
        <i x="786" s="1" nd="1"/>
        <i x="259" s="1" nd="1"/>
        <i x="752" s="1" nd="1"/>
        <i x="128" s="1" nd="1"/>
        <i x="211" s="1" nd="1"/>
        <i x="833" s="1" nd="1"/>
        <i x="585" s="1" nd="1"/>
        <i x="796" s="1" nd="1"/>
        <i x="726" s="1" nd="1"/>
        <i x="412" s="1" nd="1"/>
        <i x="26" s="1" nd="1"/>
        <i x="342" s="1" nd="1"/>
        <i x="489" s="1" nd="1"/>
        <i x="510" s="1" nd="1"/>
        <i x="769" s="1" nd="1"/>
        <i x="719" s="1" nd="1"/>
        <i x="760" s="1" nd="1"/>
        <i x="519" s="1" nd="1"/>
        <i x="642" s="1" nd="1"/>
        <i x="288" s="1" nd="1"/>
        <i x="180" s="1" nd="1"/>
        <i x="334" s="1" nd="1"/>
        <i x="817" s="1" nd="1"/>
        <i x="610" s="1" nd="1"/>
        <i x="587" s="1" nd="1"/>
        <i x="256" s="1" nd="1"/>
        <i x="550" s="1" nd="1"/>
        <i x="104" s="1" nd="1"/>
        <i x="87" s="1" nd="1"/>
        <i x="754" s="1" nd="1"/>
        <i x="155" s="1" nd="1"/>
        <i x="233" s="1" nd="1"/>
        <i x="238" s="1" nd="1"/>
        <i x="465" s="1" nd="1"/>
        <i x="706" s="1" nd="1"/>
        <i x="619" s="1" nd="1"/>
        <i x="731" s="1" nd="1"/>
        <i x="470" s="1" nd="1"/>
        <i x="551" s="1" nd="1"/>
        <i x="264" s="1" nd="1"/>
        <i x="250" s="1" nd="1"/>
        <i x="632" s="1" nd="1"/>
        <i x="699" s="1" nd="1"/>
        <i x="357" s="1" nd="1"/>
        <i x="14" s="1" nd="1"/>
        <i x="225" s="1" nd="1"/>
        <i x="783" s="1" nd="1"/>
        <i x="724" s="1" nd="1"/>
        <i x="841" s="1" nd="1"/>
        <i x="443" s="1" nd="1"/>
        <i x="193" s="1" nd="1"/>
        <i x="306" s="1" nd="1"/>
        <i x="340" s="1" nd="1"/>
        <i x="96" s="1" nd="1"/>
        <i x="694" s="1" nd="1"/>
        <i x="305" s="1" nd="1"/>
        <i x="355" s="1" nd="1"/>
        <i x="402" s="1" nd="1"/>
        <i x="617" s="1" nd="1"/>
        <i x="613" s="1" nd="1"/>
        <i x="777" s="1" nd="1"/>
        <i x="394" s="1" nd="1"/>
        <i x="400" s="1" nd="1"/>
        <i x="704" s="1" nd="1"/>
        <i x="403" s="1" nd="1"/>
        <i x="830" s="1" nd="1"/>
        <i x="494" s="1" nd="1"/>
        <i x="395" s="1" nd="1"/>
        <i x="670" s="1" nd="1"/>
        <i x="185" s="1" nd="1"/>
        <i x="409" s="1" nd="1"/>
        <i x="473" s="1" nd="1"/>
        <i x="837" s="1" nd="1"/>
        <i x="125" s="1" nd="1"/>
        <i x="152" s="1" nd="1"/>
        <i x="593" s="1" nd="1"/>
        <i x="778" s="1" nd="1"/>
        <i x="611" s="1" nd="1"/>
        <i x="559" s="1" nd="1"/>
        <i x="308" s="1" nd="1"/>
        <i x="653" s="1" nd="1"/>
        <i x="725" s="1" nd="1"/>
        <i x="405" s="1" nd="1"/>
        <i x="744" s="1" nd="1"/>
        <i x="79" s="1" nd="1"/>
        <i x="52" s="1" nd="1"/>
        <i x="851" s="1" nd="1"/>
        <i x="30" s="1" nd="1"/>
        <i x="570" s="1" nd="1"/>
        <i x="512" s="1" nd="1"/>
        <i x="413" s="1" nd="1"/>
        <i x="702" s="1" nd="1"/>
        <i x="204" s="1" nd="1"/>
        <i x="643" s="1" nd="1"/>
        <i x="779" s="1" nd="1"/>
        <i x="467" s="1" nd="1"/>
        <i x="41" s="1" nd="1"/>
        <i x="693" s="1" nd="1"/>
        <i x="663" s="1" nd="1"/>
        <i x="808" s="1" nd="1"/>
        <i x="816" s="1" nd="1"/>
        <i x="624" s="1" nd="1"/>
        <i x="458" s="1" nd="1"/>
        <i x="691" s="1" nd="1"/>
        <i x="134" s="1" nd="1"/>
        <i x="410" s="1" nd="1"/>
        <i x="692" s="1" nd="1"/>
        <i x="361" s="1" nd="1"/>
        <i x="705" s="1" nd="1"/>
        <i x="303" s="1" nd="1"/>
        <i x="189" s="1" nd="1"/>
        <i x="680" s="1" nd="1"/>
        <i x="283" s="1" nd="1"/>
        <i x="219" s="1" nd="1"/>
        <i x="319" s="1" nd="1"/>
        <i x="255" s="1" nd="1"/>
        <i x="192" s="1" nd="1"/>
        <i x="729" s="1" nd="1"/>
        <i x="385" s="1" nd="1"/>
        <i x="576" s="1" nd="1"/>
        <i x="360" s="1" nd="1"/>
        <i x="450" s="1" nd="1"/>
        <i x="513" s="1" nd="1"/>
        <i x="122" s="1" nd="1"/>
        <i x="646" s="1" nd="1"/>
        <i x="49" s="1" nd="1"/>
        <i x="416" s="1" nd="1"/>
        <i x="145" s="1" nd="1"/>
        <i x="728" s="1" nd="1"/>
        <i x="164" s="1" nd="1"/>
        <i x="346" s="1" nd="1"/>
        <i x="119" s="1" nd="1"/>
        <i x="290" s="1" nd="1"/>
        <i x="199" s="1" nd="1"/>
        <i x="205" s="1" nd="1"/>
        <i x="89" s="1" nd="1"/>
        <i x="28" s="1" nd="1"/>
        <i x="278" s="1" nd="1"/>
        <i x="507" s="1" nd="1"/>
        <i x="499" s="1" nd="1"/>
        <i x="68" s="1" nd="1"/>
        <i x="679" s="1" nd="1"/>
        <i x="81" s="1" nd="1"/>
        <i x="634" s="1" nd="1"/>
        <i x="66" s="1" nd="1"/>
        <i x="650" s="1" nd="1"/>
        <i x="488" s="1" nd="1"/>
        <i x="753" s="1" nd="1"/>
        <i x="163" s="1" nd="1"/>
        <i x="191" s="1" nd="1"/>
        <i x="678" s="1" nd="1"/>
        <i x="299" s="1" nd="1"/>
        <i x="588" s="1" nd="1"/>
        <i x="179" s="1" nd="1"/>
        <i x="623" s="1" nd="1"/>
        <i x="63" s="1" nd="1"/>
        <i x="424" s="1" nd="1"/>
        <i x="27" s="1" nd="1"/>
        <i x="765" s="1" nd="1"/>
        <i x="414" s="1" nd="1"/>
        <i x="552" s="1" nd="1"/>
        <i x="97" s="1" nd="1"/>
        <i x="85" s="1" nd="1"/>
        <i x="293" s="1" nd="1"/>
        <i x="195" s="1" nd="1"/>
        <i x="496" s="1" nd="1"/>
        <i x="262" s="1" nd="1"/>
        <i x="31" s="1" nd="1"/>
        <i x="105" s="1" nd="1"/>
        <i x="533" s="1" nd="1"/>
        <i x="297" s="1" nd="1"/>
        <i x="397" s="1" nd="1"/>
        <i x="229" s="1" nd="1"/>
        <i x="8" s="1" nd="1"/>
        <i x="472" s="1" nd="1"/>
        <i x="824" s="1" nd="1"/>
        <i x="36" s="1" nd="1"/>
        <i x="311" s="1" nd="1"/>
        <i x="825" s="1" nd="1"/>
        <i x="562" s="1" nd="1"/>
        <i x="62" s="1" nd="1"/>
        <i x="568" s="1" nd="1"/>
        <i x="431" s="1" nd="1"/>
        <i x="426" s="1" nd="1"/>
        <i x="176" s="1" nd="1"/>
        <i x="366" s="1" nd="1"/>
        <i x="758" s="1" nd="1"/>
        <i x="600" s="1" nd="1"/>
        <i x="13" s="1" nd="1"/>
        <i x="92" s="1" nd="1"/>
        <i x="438" s="1" nd="1"/>
        <i x="434" s="1" nd="1"/>
        <i x="121" s="1" nd="1"/>
        <i x="630" s="1" nd="1"/>
        <i x="201" s="1" nd="1"/>
        <i x="156" s="1" nd="1"/>
        <i x="55" s="1" nd="1"/>
        <i x="547" s="1" nd="1"/>
        <i x="618" s="1" nd="1"/>
        <i x="99" s="1" nd="1"/>
        <i x="766" s="1" nd="1"/>
        <i x="126" s="1" nd="1"/>
        <i x="218" s="1" nd="1"/>
        <i x="811" s="1" nd="1"/>
        <i x="279" s="1" nd="1"/>
        <i x="107" s="1" nd="1"/>
        <i x="198" s="1" nd="1"/>
        <i x="214" s="1" nd="1"/>
        <i x="181" s="1" nd="1"/>
        <i x="73" s="1" nd="1"/>
        <i x="212" s="1" nd="1"/>
        <i x="599" s="1" nd="1"/>
        <i x="190" s="1" nd="1"/>
        <i x="226" s="1" nd="1"/>
        <i x="842" s="1" nd="1"/>
        <i x="836" s="1" nd="1"/>
        <i x="491" s="1" nd="1"/>
        <i x="684" s="1" nd="1"/>
        <i x="243" s="1" nd="1"/>
        <i x="56" s="1" nd="1"/>
        <i x="129" s="1" nd="1"/>
        <i x="4" s="1" nd="1"/>
        <i x="50" s="1" nd="1"/>
        <i x="90" s="1" nd="1"/>
        <i x="202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4" s="1" nd="1"/>
        <i x="23" s="1" nd="1"/>
        <i x="7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92" dataDxfId="90" headerRowBorderDxfId="91" tableBorderDxfId="89">
  <autoFilter ref="A1:AH95" xr:uid="{00000000-0009-0000-0100-000002000000}"/>
  <tableColumns count="34">
    <tableColumn id="1" xr3:uid="{00000000-0010-0000-0000-000001000000}" name="MINUTA" dataDxfId="88"/>
    <tableColumn id="2" xr3:uid="{00000000-0010-0000-0000-000002000000}" name="BASE" dataDxfId="87"/>
    <tableColumn id="3" xr3:uid="{00000000-0010-0000-0000-000003000000}" name="DATA COLETA" dataDxfId="86"/>
    <tableColumn id="4" xr3:uid="{00000000-0010-0000-0000-000004000000}" name="DATA" dataDxfId="85"/>
    <tableColumn id="5" xr3:uid="{00000000-0010-0000-0000-000005000000}" name="FAT" dataDxfId="84"/>
    <tableColumn id="6" xr3:uid="{00000000-0010-0000-0000-000006000000}" name="CT-E" dataDxfId="83"/>
    <tableColumn id="7" xr3:uid="{00000000-0010-0000-0000-000007000000}" name="CLIENTE TOMADOR" dataDxfId="82"/>
    <tableColumn id="8" xr3:uid="{00000000-0010-0000-0000-000008000000}" name="VENDEDOR" dataDxfId="81"/>
    <tableColumn id="9" xr3:uid="{00000000-0010-0000-0000-000009000000}" name="VALOR NF" dataDxfId="80"/>
    <tableColumn id="10" xr3:uid="{00000000-0010-0000-0000-00000A000000}" name="SERVICO" dataDxfId="79"/>
    <tableColumn id="11" xr3:uid="{00000000-0010-0000-0000-00000B000000}" name="TIPO CTE" dataDxfId="78"/>
    <tableColumn id="12" xr3:uid="{00000000-0010-0000-0000-00000C000000}" name="DESTINO" dataDxfId="77"/>
    <tableColumn id="13" xr3:uid="{00000000-0010-0000-0000-00000D000000}" name="FRETE" dataDxfId="76"/>
    <tableColumn id="14" xr3:uid="{00000000-0010-0000-0000-00000E000000}" name="VOLUMES" dataDxfId="75"/>
    <tableColumn id="15" xr3:uid="{00000000-0010-0000-0000-00000F000000}" name="PESO" dataDxfId="74"/>
    <tableColumn id="16" xr3:uid="{00000000-0010-0000-0000-000010000000}" name="RESP. COLETA" dataDxfId="73"/>
    <tableColumn id="17" xr3:uid="{00000000-0010-0000-0000-000011000000}" name="CUSTO COLETA" dataDxfId="72"/>
    <tableColumn id="18" xr3:uid="{00000000-0010-0000-0000-000012000000}" name="RESP. ENTREGA" dataDxfId="71"/>
    <tableColumn id="19" xr3:uid="{00000000-0010-0000-0000-000013000000}" name="CUSTO ENTREGA" dataDxfId="70"/>
    <tableColumn id="20" xr3:uid="{00000000-0010-0000-0000-000014000000}" name="RESP. TRANSF" dataDxfId="69"/>
    <tableColumn id="21" xr3:uid="{00000000-0010-0000-0000-000015000000}" name="CUSTO TRANSF" dataDxfId="68"/>
    <tableColumn id="22" xr3:uid="{00000000-0010-0000-0000-000016000000}" name="ICMS/ISS" dataDxfId="67"/>
    <tableColumn id="23" xr3:uid="{00000000-0010-0000-0000-000017000000}" name="DIFAL" dataDxfId="66"/>
    <tableColumn id="24" xr3:uid="{00000000-0010-0000-0000-000018000000}" name="C.DESPACHO" dataDxfId="65"/>
    <tableColumn id="25" xr3:uid="{00000000-0010-0000-0000-000019000000}" name="SEGURO" dataDxfId="64"/>
    <tableColumn id="26" xr3:uid="{00000000-0010-0000-0000-00001A000000}" name="OUTROS" dataDxfId="63"/>
    <tableColumn id="27" xr3:uid="{00000000-0010-0000-0000-00001B000000}" name="C.TOTAL" dataDxfId="62"/>
    <tableColumn id="28" xr3:uid="{00000000-0010-0000-0000-00001C000000}" name="RECEITA" dataDxfId="61"/>
    <tableColumn id="29" xr3:uid="{00000000-0010-0000-0000-00001D000000}" name="IMPOSTO" dataDxfId="60"/>
    <tableColumn id="30" xr3:uid="{00000000-0010-0000-0000-00001E000000}" name="RESULTADO" dataDxfId="59"/>
    <tableColumn id="31" xr3:uid="{00000000-0010-0000-0000-00001F000000}" name="COMIS" dataDxfId="58"/>
    <tableColumn id="32" xr3:uid="{00000000-0010-0000-0000-000020000000}" name="LUCRO LIQ" dataDxfId="57"/>
    <tableColumn id="33" xr3:uid="{00000000-0010-0000-0000-000021000000}" name="MARGEM" dataDxfId="56"/>
    <tableColumn id="34" xr3:uid="{00000000-0010-0000-0000-000022000000}" name="Coluna1" dataDxfId="5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4" totalsRowShown="0" headerRowDxfId="8" dataDxfId="6" headerRowBorderDxfId="7" tableBorderDxfId="5" totalsRowBorderDxfId="4">
  <autoFilter ref="A1:D364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3"/>
    <tableColumn id="2" xr3:uid="{AAA88DB3-D1F7-47B3-9D90-8B90F797E4CC}" name="TIPO VEÍCULO" dataDxfId="2"/>
    <tableColumn id="3" xr3:uid="{B311F3EE-5953-428C-8BC5-A618FCB30C40}" name="CONCATENADO" dataDxfId="1"/>
    <tableColumn id="4" xr3:uid="{C6AA6B7E-6BA2-42D2-8775-75C2F076115E}" name="VALOR" dataDxfId="0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2308</v>
      </c>
      <c r="B2" s="12" t="s">
        <v>576</v>
      </c>
      <c r="C2" s="14">
        <v>46240</v>
      </c>
      <c r="D2" s="14">
        <v>46240</v>
      </c>
      <c r="E2" s="12"/>
      <c r="F2" s="15" t="s">
        <v>577</v>
      </c>
      <c r="G2" s="15" t="s">
        <v>578</v>
      </c>
      <c r="H2" s="15" t="s">
        <v>579</v>
      </c>
      <c r="I2" s="16">
        <v>4733</v>
      </c>
      <c r="J2" s="15" t="s">
        <v>580</v>
      </c>
      <c r="K2" s="15" t="s">
        <v>581</v>
      </c>
      <c r="L2" s="15" t="s">
        <v>582</v>
      </c>
      <c r="M2" s="15">
        <v>148.65</v>
      </c>
      <c r="N2" s="15">
        <v>2</v>
      </c>
      <c r="O2" s="16">
        <v>55</v>
      </c>
      <c r="P2" s="15" t="s">
        <v>576</v>
      </c>
      <c r="Q2" s="15">
        <v>0</v>
      </c>
      <c r="R2" s="15" t="s">
        <v>583</v>
      </c>
      <c r="S2" s="15">
        <v>40</v>
      </c>
      <c r="T2" s="15" t="s">
        <v>584</v>
      </c>
      <c r="U2" s="15">
        <v>0</v>
      </c>
      <c r="V2" s="15">
        <v>17.84</v>
      </c>
      <c r="W2" s="15">
        <v>0</v>
      </c>
      <c r="X2" s="15">
        <v>0</v>
      </c>
      <c r="Y2" s="15">
        <v>1.89</v>
      </c>
      <c r="Z2" s="15">
        <v>0</v>
      </c>
      <c r="AA2" s="15">
        <v>142.34</v>
      </c>
      <c r="AB2" s="15">
        <v>6.31</v>
      </c>
      <c r="AC2" s="15">
        <v>23.78</v>
      </c>
      <c r="AD2" s="15">
        <v>-17.47</v>
      </c>
      <c r="AE2" s="15">
        <v>0</v>
      </c>
      <c r="AF2" s="15">
        <v>-17.47</v>
      </c>
      <c r="AG2" s="17">
        <v>-0.11749999999999999</v>
      </c>
      <c r="AH2" s="15"/>
    </row>
    <row r="3" spans="1:34" s="1" customFormat="1" ht="12" customHeight="1" x14ac:dyDescent="0.3">
      <c r="A3" s="13">
        <v>2334</v>
      </c>
      <c r="B3" s="12" t="s">
        <v>576</v>
      </c>
      <c r="C3" s="14">
        <v>46241</v>
      </c>
      <c r="D3" s="14">
        <v>46241</v>
      </c>
      <c r="E3" s="12"/>
      <c r="F3" s="15" t="s">
        <v>585</v>
      </c>
      <c r="G3" s="15" t="s">
        <v>586</v>
      </c>
      <c r="H3" s="15" t="s">
        <v>587</v>
      </c>
      <c r="I3" s="16">
        <v>618581.07999999996</v>
      </c>
      <c r="J3" s="15" t="s">
        <v>588</v>
      </c>
      <c r="K3" s="15" t="s">
        <v>581</v>
      </c>
      <c r="L3" s="15" t="s">
        <v>589</v>
      </c>
      <c r="M3" s="16">
        <v>7408.58</v>
      </c>
      <c r="N3" s="15">
        <v>24</v>
      </c>
      <c r="O3" s="16">
        <v>7832.43</v>
      </c>
      <c r="P3" s="15" t="s">
        <v>576</v>
      </c>
      <c r="Q3" s="15">
        <v>0</v>
      </c>
      <c r="R3" s="15" t="s">
        <v>590</v>
      </c>
      <c r="S3" s="15">
        <v>0</v>
      </c>
      <c r="T3" s="15" t="s">
        <v>584</v>
      </c>
      <c r="U3" s="15">
        <v>0</v>
      </c>
      <c r="V3" s="15">
        <v>0</v>
      </c>
      <c r="W3" s="15">
        <v>0</v>
      </c>
      <c r="X3" s="15">
        <v>0</v>
      </c>
      <c r="Y3" s="15">
        <v>247.43</v>
      </c>
      <c r="Z3" s="15">
        <v>0</v>
      </c>
      <c r="AA3" s="16">
        <v>4364.82</v>
      </c>
      <c r="AB3" s="16">
        <v>3043.76</v>
      </c>
      <c r="AC3" s="15">
        <v>1185.3699999999999</v>
      </c>
      <c r="AD3" s="15">
        <v>1858.39</v>
      </c>
      <c r="AE3" s="15">
        <v>222.26</v>
      </c>
      <c r="AF3" s="15">
        <v>1636.13</v>
      </c>
      <c r="AG3" s="17">
        <v>0.2208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7557.23</v>
      </c>
      <c r="F3" s="89"/>
      <c r="G3" s="90"/>
      <c r="H3" s="133">
        <f>'Resumo Detalhado'!C2</f>
        <v>7887.43</v>
      </c>
      <c r="I3" s="134"/>
      <c r="J3" s="135">
        <f>E3/H3</f>
        <v>0.95813592006521764</v>
      </c>
      <c r="K3" s="136"/>
      <c r="L3" s="137"/>
      <c r="M3" s="138" t="s">
        <v>58</v>
      </c>
      <c r="N3" s="89"/>
      <c r="O3" s="90"/>
      <c r="P3" s="106">
        <v>11000</v>
      </c>
      <c r="Q3" s="107"/>
      <c r="R3" s="108"/>
      <c r="S3" s="103">
        <f>MIN(H3/P3,1)</f>
        <v>0.7170390909090909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4100</v>
      </c>
      <c r="F7" s="112"/>
      <c r="G7" s="112"/>
      <c r="H7" s="112"/>
      <c r="I7" s="112"/>
      <c r="J7" s="112">
        <f>E7/H3</f>
        <v>0.51981443892370516</v>
      </c>
      <c r="K7" s="112"/>
      <c r="L7" s="112"/>
      <c r="M7" s="130">
        <f>E7/E3</f>
        <v>0.54252682530503904</v>
      </c>
      <c r="N7" s="130"/>
      <c r="O7" s="130"/>
      <c r="P7" s="112">
        <f>E11+K11+Q11+E15+K15+Q15+E19+H19+K19</f>
        <v>6180.8952000000008</v>
      </c>
      <c r="Q7" s="112"/>
      <c r="R7" s="112"/>
      <c r="S7" s="112">
        <f>P7/H3</f>
        <v>0.78363867571566415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4100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4100</v>
      </c>
      <c r="L11" s="90"/>
      <c r="M11" s="38"/>
      <c r="N11" s="88">
        <f>K11/H3</f>
        <v>0.51981443892370516</v>
      </c>
      <c r="O11" s="90"/>
      <c r="P11" s="38"/>
      <c r="Q11" s="88">
        <f>'Resumo Detalhado'!D2</f>
        <v>0</v>
      </c>
      <c r="R11" s="90"/>
      <c r="S11" s="38"/>
      <c r="T11" s="88">
        <f>Q11/H3</f>
        <v>0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17.84</v>
      </c>
      <c r="F15" s="119"/>
      <c r="G15" s="119"/>
      <c r="H15" s="119"/>
      <c r="I15" s="132"/>
      <c r="J15" s="38"/>
      <c r="K15" s="113">
        <f>'Resumo Detalhado'!K2+'Resumo Detalhado'!L2</f>
        <v>1209.1568000000002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249.32</v>
      </c>
      <c r="F19" s="120"/>
      <c r="G19" s="38"/>
      <c r="H19" s="122">
        <f>'Resumo Detalhado'!J2</f>
        <v>0</v>
      </c>
      <c r="I19" s="123"/>
      <c r="J19" s="38"/>
      <c r="K19" s="122">
        <f>'Resumo Detalhado'!L2</f>
        <v>604.5784000000001</v>
      </c>
      <c r="L19" s="123"/>
      <c r="M19" s="38"/>
      <c r="N19" s="121" t="s">
        <v>285</v>
      </c>
      <c r="O19" s="119"/>
      <c r="P19" s="119"/>
      <c r="Q19" s="119"/>
      <c r="R19" s="120"/>
      <c r="S19" s="121">
        <f>_xlfn.XLOOKUP(N19,Target!C:C,Target!D:D)</f>
        <v>4100</v>
      </c>
      <c r="T19" s="119"/>
      <c r="U19" s="120"/>
      <c r="V19" s="36"/>
      <c r="W19" s="94" t="str">
        <f>IF(D11=S19,"NO TARGET",IF(D11&lt;S19,"ABAIXO DO TARGET",IF(D11&gt;S19,"FORA DO TARGET")))</f>
        <v>NO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5818.6531999999988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0.76994523125536729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54" priority="10" operator="between">
      <formula>0.1001</formula>
      <formula>100</formula>
    </cfRule>
    <cfRule type="cellIs" dxfId="53" priority="11" operator="between">
      <formula>0.07</formula>
      <formula>0.1</formula>
    </cfRule>
    <cfRule type="cellIs" dxfId="52" priority="12" operator="between">
      <formula>-100000%</formula>
      <formula>0.0699</formula>
    </cfRule>
  </conditionalFormatting>
  <conditionalFormatting sqref="S3:U3">
    <cfRule type="cellIs" dxfId="51" priority="4" operator="between">
      <formula>0.801</formula>
      <formula>1</formula>
    </cfRule>
    <cfRule type="cellIs" dxfId="50" priority="5" operator="between">
      <formula>0.501</formula>
      <formula>0.8</formula>
    </cfRule>
    <cfRule type="cellIs" dxfId="49" priority="6" operator="between">
      <formula>0</formula>
      <formula>0.5</formula>
    </cfRule>
  </conditionalFormatting>
  <conditionalFormatting sqref="W19:Y23">
    <cfRule type="cellIs" dxfId="48" priority="1" operator="equal">
      <formula>"NO TARGET"</formula>
    </cfRule>
    <cfRule type="cellIs" dxfId="47" priority="2" operator="equal">
      <formula>"FORA DO TARGET"</formula>
    </cfRule>
    <cfRule type="cellIs" dxfId="46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9.3320312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6640625" style="4" bestFit="1" customWidth="1"/>
    <col min="6" max="6" width="9.21875" bestFit="1" customWidth="1"/>
    <col min="7" max="7" width="16.6640625" style="4" bestFit="1" customWidth="1"/>
    <col min="8" max="8" width="9.44140625" bestFit="1" customWidth="1"/>
    <col min="9" max="9" width="10.5546875" style="4" bestFit="1" customWidth="1"/>
    <col min="10" max="10" width="9.77734375" bestFit="1" customWidth="1"/>
    <col min="11" max="11" width="11" bestFit="1" customWidth="1"/>
    <col min="12" max="13" width="10.5546875" bestFit="1" customWidth="1"/>
    <col min="14" max="14" width="15.109375" bestFit="1" customWidth="1"/>
    <col min="15" max="15" width="16.21875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591</v>
      </c>
      <c r="F1" s="29"/>
    </row>
    <row r="2" spans="1:18" x14ac:dyDescent="0.3">
      <c r="B2" s="29">
        <f>SUM(B6:B5000)</f>
        <v>7557.23</v>
      </c>
      <c r="C2" s="29">
        <f>SUM(C6:C5000)</f>
        <v>7887.43</v>
      </c>
      <c r="D2" s="29">
        <f>SUM(D6:D5000)</f>
        <v>0</v>
      </c>
      <c r="E2" s="29">
        <f>SUM(E6:E5000)</f>
        <v>40</v>
      </c>
      <c r="F2" s="29">
        <f>SUM(F6:F5000)</f>
        <v>0</v>
      </c>
      <c r="G2" s="29"/>
      <c r="H2" s="29">
        <f t="shared" ref="H2:P2" si="0">SUM(H6:H5000)</f>
        <v>17.84</v>
      </c>
      <c r="I2" s="29">
        <f t="shared" si="0"/>
        <v>249.32</v>
      </c>
      <c r="J2" s="29">
        <f t="shared" si="0"/>
        <v>0</v>
      </c>
      <c r="K2" s="29">
        <f t="shared" si="0"/>
        <v>604.5784000000001</v>
      </c>
      <c r="L2" s="29">
        <f t="shared" si="0"/>
        <v>604.5784000000001</v>
      </c>
      <c r="M2" s="29">
        <f t="shared" si="0"/>
        <v>222.26</v>
      </c>
      <c r="N2" s="29">
        <f t="shared" si="0"/>
        <v>5818.6531999999988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586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2334</v>
      </c>
      <c r="B6" s="140">
        <v>7408.58</v>
      </c>
      <c r="C6" s="141">
        <v>7832.43</v>
      </c>
      <c r="D6" s="140">
        <v>0</v>
      </c>
      <c r="E6" s="140">
        <v>0</v>
      </c>
      <c r="F6" s="140">
        <v>0</v>
      </c>
      <c r="G6" s="142">
        <v>0</v>
      </c>
      <c r="H6" s="140">
        <v>0</v>
      </c>
      <c r="I6" s="140">
        <v>247.43</v>
      </c>
      <c r="J6" s="140">
        <v>0</v>
      </c>
      <c r="K6" s="140">
        <v>592.68640000000005</v>
      </c>
      <c r="L6" s="140">
        <v>592.68640000000005</v>
      </c>
      <c r="M6" s="140">
        <v>222.26</v>
      </c>
      <c r="N6" s="140">
        <v>5753.5171999999984</v>
      </c>
      <c r="O6" s="142">
        <v>0.7766018859214584</v>
      </c>
      <c r="Q6"/>
    </row>
    <row r="7" spans="1:18" s="31" customFormat="1" x14ac:dyDescent="0.3">
      <c r="A7" s="139" t="s">
        <v>578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2308</v>
      </c>
      <c r="B8" s="140">
        <v>148.65</v>
      </c>
      <c r="C8" s="141">
        <v>55</v>
      </c>
      <c r="D8" s="140">
        <v>0</v>
      </c>
      <c r="E8" s="140">
        <v>40</v>
      </c>
      <c r="F8" s="140">
        <v>0</v>
      </c>
      <c r="G8" s="142">
        <v>0.26908846283215604</v>
      </c>
      <c r="H8" s="140">
        <v>17.84</v>
      </c>
      <c r="I8" s="140">
        <v>1.89</v>
      </c>
      <c r="J8" s="140">
        <v>0</v>
      </c>
      <c r="K8" s="140">
        <v>11.892000000000001</v>
      </c>
      <c r="L8" s="140">
        <v>11.892000000000001</v>
      </c>
      <c r="M8" s="140">
        <v>0</v>
      </c>
      <c r="N8" s="140">
        <v>65.13600000000001</v>
      </c>
      <c r="O8" s="142">
        <v>0.43818365287588301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88671875" bestFit="1" customWidth="1"/>
    <col min="2" max="2" width="12.88671875" bestFit="1" customWidth="1"/>
    <col min="3" max="3" width="15.109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591</v>
      </c>
    </row>
    <row r="2" spans="1:4" x14ac:dyDescent="0.3">
      <c r="B2" s="29">
        <f>SUM(B6:B5000)</f>
        <v>148.65</v>
      </c>
      <c r="C2" s="29">
        <f>SUM(C6:C5000)</f>
        <v>65.13600000000001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586</v>
      </c>
      <c r="B5" s="10">
        <v>7408.58</v>
      </c>
      <c r="C5" s="10">
        <v>5753.5171999999984</v>
      </c>
    </row>
    <row r="6" spans="1:4" x14ac:dyDescent="0.3">
      <c r="A6" s="139" t="s">
        <v>578</v>
      </c>
      <c r="B6" s="140">
        <v>148.65</v>
      </c>
      <c r="C6" s="140">
        <v>65.13600000000001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2026-08-11T18:13:42Z</dcterms:modified>
  <cp:category/>
  <cp:contentStatus/>
</cp:coreProperties>
</file>