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8874B25-296C-445B-9BA1-91DAD0C7C065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<sst xmlns="http://schemas.openxmlformats.org/spreadsheetml/2006/main" count="914" uniqueCount="633">
  <si>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</si>
  <si>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</si>
  <si>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</si>
  <si>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</si>
  <si>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</si>
  <si>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</si>
  <si>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</si>
  <si>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</si>
  <si>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</si>
  <si>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</si>
  <si>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</si>
  <si>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</si>
  <si>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</si>
  <si>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</si>
  <si>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</si>
  <si>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</si>
  <si>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</si>
  <si>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</si>
  <si>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</si>
  <si>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</si>
  <si>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</si>
  <si>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</si>
  <si>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</si>
  <si>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</si>
  <si>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</si>
  <si>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</si>
  <si>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</si>
  <si>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</si>
  <si>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</si>
  <si>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</si>
  <si>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</si>
  <si>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</si>
  <si>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</si>
  <si>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</si>
  <si>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</si>
  <si>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</si>
  <si>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</si>
  <si>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</si>
  <si>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</si>
  <si>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</si>
  <si>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</si>
  <si>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</si>
  <si>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</si>
  <si>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</si>
  <si>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</si>
  <si>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</si>
  <si>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</si>
  <si>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</si>
  <si>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</si>
  <si>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</si>
  <si>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</si>
  <si>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</si>
  <si>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</si>
  <si>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</si>
  <si>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</si>
  <si>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</si>
  <si>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</si>
  <si>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</si>
  <si>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</si>
  <si>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</si>
  <si>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</si>
  <si>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</si>
  <si>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</si>
  <si>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</si>
  <si>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</si>
  <si>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</si>
  <si>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</si>
  <si>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</si>
  <si>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</si>
  <si>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</si>
  <si>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</si>
  <si>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</si>
  <si>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</si>
  <si>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</si>
  <si>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</si>
  <si>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</si>
  <si>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</si>
  <si>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</si>
  <si>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</si>
  <si>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</si>
  <si>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</si>
  <si>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</si>
  <si>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</si>
  <si>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</si>
  <si>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</si>
  <si>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</si>
  <si>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</si>
  <si>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</si>
  <si>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</si>
  <si>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</si>
  <si>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</si>
  <si>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</si>
  <si>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</si>
  <si>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</si>
  <si>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</si>
  <si>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</si>
  <si>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</si>
  <si>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</si>
  <si>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</si>
  <si>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</si>
  <si>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</si>
  <si>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</si>
  <si>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</si>
  <si>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</si>
  <si>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</si>
  <si>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</si>
  <si>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</si>
  <si>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</si>
  <si>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</si>
  <si>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</si>
  <si>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</si>
  <si>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</si>
  <si>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</si>
  <si>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</si>
  <si>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</si>
  <si>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</si>
  <si>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</si>
  <si>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</si>
  <si>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</si>
  <si>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</si>
  <si>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</si>
  <si>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</si>
  <si>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</si>
  <si>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</si>
  <si>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</si>
  <si>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</si>
  <si>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</si>
  <si>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</si>
  <si>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</si>
  <si>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</si>
  <si>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</si>
  <si>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</si>
  <si>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</si>
  <si>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</si>
  <si>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</si>
  <si>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</si>
  <si>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</si>
  <si>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</si>
  <si>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</si>
  <si>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</si>
  <si>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</si>
  <si>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</si>
  <si>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</si>
  <si>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</si>
  <si>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</si>
  <si>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</si>
  <si>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</si>
  <si>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</si>
  <si>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</si>
  <si>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</si>
  <si>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</si>
  <si>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</si>
  <si>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</si>
  <si>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</si>
  <si>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</si>
  <si>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</si>
  <si>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</si>
  <si>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</si>
  <si>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</si>
  <si>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</si>
  <si>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</si>
  <si>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</si>
  <si>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</si>
  <si>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</si>
  <si>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</si>
  <si>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</si>
  <si>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</si>
  <si>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</si>
  <si>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</si>
  <si>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</si>
  <si>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</si>
  <si>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</si>
  <si>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</si>
  <si>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</si>
  <si>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</si>
  <si>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</si>
  <si>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</si>
  <si>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</si>
  <si>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</si>
  <si>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</si>
  <si>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</si>
  <si>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</si>
  <si>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</si>
  <si>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</si>
  <si>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</si>
  <si>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</si>
  <si>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</si>
  <si>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</si>
  <si>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</si>
  <si>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</si>
  <si>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</si>
  <si>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</si>
  <si>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</si>
  <si>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</si>
  <si>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</si>
  <si>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</si>
  <si>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</si>
  <si>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</si>
  <si>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</si>
  <si>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</si>
  <si>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</si>
  <si>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</si>
  <si>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</si>
  <si>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</si>
  <si>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</si>
  <si>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</si>
  <si>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</si>
  <si>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</si>
  <si>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</si>
  <si>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</si>
  <si>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</si>
  <si>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</si>
  <si>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</si>
  <si>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</si>
  <si>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</si>
  <si>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</si>
  <si>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</si>
  <si>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</si>
  <si>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</si>
  <si>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</si>
  <si>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</si>
  <si>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</si>
  <si>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</si>
  <si>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</si>
  <si>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</si>
  <si>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</si>
  <si>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</si>
  <si>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</si>
  <si>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</si>
  <si>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</si>
  <si>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</si>
  <si>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</si>
  <si>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</si>
  <si>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</si>
  <si>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</si>
  <si>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</si>
  <si>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</si>
  <si>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</si>
  <si>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</si>
  <si>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</si>
  <si>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</si>
  <si>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</si>
  <si>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</si>
  <si>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</si>
  <si>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</si>
  <si>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</si>
  <si>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</si>
  <si>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</si>
  <si>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</si>
  <si>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</si>
  <si>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</si>
  <si>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</si>
  <si>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</si>
  <si>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</si>
  <si>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</si>
  <si>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</si>
  <si>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</si>
  <si>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</si>
  <si>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</si>
  <si>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</si>
  <si>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</si>
  <si>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</si>
  <si>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</si>
  <si>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</si>
  <si>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</si>
  <si>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</si>
  <si>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</si>
  <si>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</si>
  <si>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</si>
  <si>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</si>
  <si>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</si>
  <si>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</si>
  <si>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</si>
  <si>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</si>
  <si>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</si>
  <si>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</si>
  <si>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</si>
  <si>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</si>
  <si>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</si>
  <si>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</si>
  <si>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</si>
  <si>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</si>
  <si>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</si>
  <si>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</si>
  <si>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</si>
  <si>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</si>
  <si>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</si>
  <si>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</si>
  <si>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</si>
  <si>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</si>
  <si>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</si>
  <si>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</si>
  <si>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</si>
  <si>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</si>
  <si>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</si>
  <si>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</si>
  <si>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</si>
  <si>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</si>
  <si>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</si>
  <si>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</si>
  <si>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</si>
  <si>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</si>
  <si>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</si>
  <si>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</si>
  <si>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</si>
  <si>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</si>
  <si>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</si>
  <si>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</si>
  <si>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</si>
  <si>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</si>
  <si>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</si>
  <si>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</si>
  <si>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</si>
  <si>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</si>
  <si>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</si>
  <si>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</si>
  <si>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</si>
  <si>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</si>
  <si>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</si>
  <si>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</si>
  <si>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</si>
  <si>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</si>
  <si>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</si>
  <si>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</si>
  <si>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</si>
  <si>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</si>
  <si>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</si>
  <si>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</si>
  <si>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</si>
  <si>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</si>
  <si>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</si>
  <si>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</si>
  <si>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</si>
  <si>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</si>
  <si>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</si>
  <si>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</si>
  <si>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</si>
  <si>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</si>
  <si>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</si>
  <si>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</si>
  <si>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</si>
  <si>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</si>
  <si>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</si>
  <si>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</si>
  <si>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</si>
  <si>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</si>
  <si>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</si>
  <si>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</si>
  <si>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</si>
  <si>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</si>
  <si>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</si>
  <si>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</si>
  <si>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</si>
  <si>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</si>
  <si>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</si>
  <si>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</si>
  <si>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</si>
  <si>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</si>
  <si>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</si>
  <si>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</si>
  <si>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</si>
  <si>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</si>
  <si>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</si>
  <si>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</si>
  <si>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</si>
  <si>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</si>
  <si>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</si>
  <si>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</si>
  <si>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</si>
  <si>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</si>
  <si>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</si>
  <si>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</si>
  <si>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</si>
  <si>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</si>
  <si>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</si>
  <si>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</si>
  <si>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</si>
  <si>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</si>
  <si>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</si>
  <si>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</si>
  <si>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</si>
  <si>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</si>
  <si>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</si>
  <si>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</si>
  <si>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</si>
  <si>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</si>
  <si>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</si>
  <si>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</si>
  <si>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</si>
  <si>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</si>
  <si>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</si>
  <si>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</si>
  <si>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</si>
  <si>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</si>
  <si>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</si>
  <si>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</si>
  <si>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</si>
  <si>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</si>
  <si>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</si>
  <si>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</si>
  <si>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</si>
  <si>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</si>
  <si>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</si>
  <si>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</si>
  <si>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</si>
  <si>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</si>
  <si>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</si>
  <si>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</si>
  <si>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</si>
  <si>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</si>
  <si>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</si>
  <si>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</si>
  <si>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</si>
  <si>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</si>
  <si>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</si>
  <si>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</si>
  <si>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</si>
  <si>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</si>
  <si>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</si>
  <si>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</si>
  <si>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</si>
  <si>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</si>
  <si>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</si>
  <si>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</si>
  <si>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</si>
  <si>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</si>
  <si>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</si>
  <si>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</si>
  <si>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</si>
  <si>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</si>
  <si>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</si>
  <si>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</si>
  <si>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</si>
  <si>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</si>
  <si>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</si>
  <si>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</si>
  <si>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</si>
  <si>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</si>
  <si>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</si>
  <si>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</si>
  <si>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</si>
  <si>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</si>
  <si>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</si>
  <si>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</si>
  <si>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</si>
  <si>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</si>
  <si>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</si>
  <si>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</si>
  <si>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</si>
  <si>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</si>
  <si>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</si>
  <si>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</si>
  <si>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</si>
  <si>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</si>
  <si>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</si>
  <si>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</si>
  <si>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</si>
  <si>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</si>
  <si>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</si>
  <si>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</si>
  <si>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</si>
  <si>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</si>
  <si>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</si>
  <si>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</si>
  <si>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</si>
  <si>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</si>
  <si>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</si>
  <si>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</si>
  <si>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</si>
  <si>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</si>
  <si>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</si>
  <si>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</si>
  <si>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</si>
  <si>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</si>
  <si>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</si>
  <si>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</si>
  <si>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</si>
  <si>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</si>
  <si>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</si>
  <si>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</si>
  <si>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</si>
  <si>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</si>
  <si>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</si>
  <si>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</si>
  <si>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</si>
  <si>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</si>
  <si>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</si>
  <si>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</si>
  <si>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</si>
  <si>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</si>
  <si>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</si>
  <si>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</si>
  <si>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</si>
  <si>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</si>
  <si>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</si>
  <si>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</si>
  <si>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</si>
  <si>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</si>
  <si>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</si>
  <si>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</si>
  <si>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</si>
  <si>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</si>
  <si>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</si>
  <si>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</si>
  <si>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</si>
  <si>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</si>
  <si>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</si>
  <si>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</si>
  <si>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</si>
  <si>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</si>
  <si>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</si>
  <si>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</si>
  <si>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</si>
  <si>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</si>
  <si>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</si>
  <si>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</si>
  <si>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</si>
  <si>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</si>
  <si>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</si>
  <si>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</si>
  <si>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</si>
  <si>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</si>
  <si>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</si>
  <si>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</si>
  <si>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</si>
  <si>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</si>
  <si>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</si>
  <si>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</si>
  <si>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</si>
  <si>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</si>
  <si>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</si>
  <si>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</si>
  <si>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</si>
  <si>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</si>
  <si>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</si>
  <si>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</si>
  <si>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</si>
  <si>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</si>
  <si>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</si>
  <si>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</si>
  <si>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</si>
  <si>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</si>
  <si>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</si>
  <si>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</si>
  <si>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</si>
  <si>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</si>
  <si>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</si>
  <si>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</si>
  <si>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</si>
  <si>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</si>
  <si>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</si>
  <si>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</si>
  <si>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</si>
  <si>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</si>
  <si>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</si>
  <si>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</si>
  <si>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</si>
  <si>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</si>
  <si>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</si>
  <si>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</si>
  <si>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</si>
  <si>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</si>
  <si>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</si>
  <si>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</si>
  <si>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</si>
  <si>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</si>
  <si>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</si>
  <si>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</si>
  <si>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</si>
  <si>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</si>
  <si>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</si>
  <si>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</si>
  <si>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</si>
  <si>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</si>
  <si>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</si>
  <si>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</si>
  <si>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</si>
  <si>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</si>
  <si>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</si>
  <si>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</si>
  <si>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</si>
  <si>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</si>
  <si>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</si>
  <si>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</si>
  <si>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</si>
  <si>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</si>
  <si>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</si>
  <si>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</si>
  <si>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</si>
  <si>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</si>
  <si>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</si>
  <si>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</si>
  <si>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</si>
  <si>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</si>
  <si>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</si>
  <si>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</si>
  <si>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</si>
  <si>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</si>
  <si>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</si>
  <si>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</si>
  <si>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</si>
  <si>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</si>
  <si>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</si>
  <si>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</si>
  <si>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</si>
  <si>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</si>
  <si>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</si>
  <si>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</si>
  <si>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</si>
  <si>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</si>
  <si>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</si>
  <si>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</si>
  <si>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</si>
  <si>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</si>
  <si>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</si>
  <si>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</si>
  <si>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</si>
  <si>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3523-1</t>
  </si>
  <si>
    <t>CRONOS LOGISTIC</t>
  </si>
  <si>
    <t>URIEL CORREA</t>
  </si>
  <si>
    <t>PERSONALIZADO_L</t>
  </si>
  <si>
    <t>CTE NORMAL</t>
  </si>
  <si>
    <t>GUARULHOS - SP</t>
  </si>
  <si>
    <t>N/D</t>
  </si>
  <si>
    <t>JOAO VICTOR DE LIMA</t>
  </si>
  <si>
    <t>3528-1</t>
  </si>
  <si>
    <t>STRATUS COMERCI</t>
  </si>
  <si>
    <t>MICHELL MARQUES</t>
  </si>
  <si>
    <t>ECONOMICO_250</t>
  </si>
  <si>
    <t>SANTA BARBARA D OESTE - SP</t>
  </si>
  <si>
    <t>PORTOEXPRESS LOGISTICA LT</t>
  </si>
  <si>
    <t>PORTOEX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</si>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</sst>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6174.14</c:v>
                </c:pt>
                <c:pt idx="1">
                  <c:v>179.74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1162.9388000000004</c:v>
                </c:pt>
                <c:pt idx="1">
                  <c:v>131.96080000000003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6174.14</c:v>
                </c:pt>
                <c:pt idx="1">
                  <c:v>179.74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1162.9388000000004</c:v>
                </c:pt>
                <c:pt idx="1">
                  <c:v>131.96080000000003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8456493055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44"/>
        <n v="364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8T00:00:00" maxDate="2026-10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52" maxValue="418185.3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9.74" maxValue="6174.14"/>
    </cacheField>
    <cacheField name="VOLUMES" numFmtId="0">
      <sharedItems containsString="0" containsBlank="1" containsNumber="1" containsInteger="1" minValue="2" maxValue="6"/>
    </cacheField>
    <cacheField name="PESO" numFmtId="0">
      <sharedItems containsString="0" containsBlank="1" containsNumber="1" containsInteger="1" minValue="69" maxValue="6591"/>
    </cacheField>
    <cacheField name="RESP. COLETA" numFmtId="0">
      <sharedItems containsBlank="1"/>
    </cacheField>
    <cacheField name="CUSTO COLETA" numFmtId="0">
      <sharedItems containsString="0" containsBlank="1" containsNumber="1" minValue="0" maxValue="10.7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1.5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000000000000001" maxValue="167.27"/>
    </cacheField>
    <cacheField name="OUTROS" numFmtId="0">
      <sharedItems containsString="0" containsBlank="1" containsNumber="1" containsInteger="1" minValue="0" maxValue="250"/>
    </cacheField>
    <cacheField name="C.TOTAL" numFmtId="0">
      <sharedItems containsString="0" containsBlank="1" containsNumber="1" minValue="215.48" maxValue="4498.46"/>
    </cacheField>
    <cacheField name="RECEITA" numFmtId="0">
      <sharedItems containsString="0" containsBlank="1" containsNumber="1" minValue="-35.74" maxValue="1675.68"/>
    </cacheField>
    <cacheField name="IMPOSTO" numFmtId="0">
      <sharedItems containsString="0" containsBlank="1" containsNumber="1" minValue="46.73" maxValue="1605.28"/>
    </cacheField>
    <cacheField name="RESULTADO" numFmtId="0">
      <sharedItems containsString="0" containsBlank="1" containsNumber="1" minValue="-114.82" maxValue="-82.4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14.82" maxValue="-82.47"/>
    </cacheField>
    <cacheField name="MARGEM" numFmtId="10">
      <sharedItems containsString="0" containsBlank="1" containsNumber="1" minValue="-0.45880000000000004" maxValue="-1.86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7T00:00:00"/>
    <d v="2026-10-08T00:00:00"/>
    <m/>
    <s v="3523-1"/>
    <x v="0"/>
    <s v="URIEL CORREA"/>
    <n v="418185.3"/>
    <x v="0"/>
    <s v="CTE NORMAL"/>
    <s v="GUARULHOS - SP"/>
    <n v="6174.14"/>
    <n v="6"/>
    <n v="6591"/>
    <s v="N/D"/>
    <n v="0"/>
    <s v="N/D"/>
    <n v="4100"/>
    <s v="JOAO VICTOR DE LIMA"/>
    <n v="0"/>
    <n v="0"/>
    <n v="0"/>
    <n v="0"/>
    <n v="167.27"/>
    <n v="250"/>
    <n v="4498.46"/>
    <n v="1675.68"/>
    <n v="1605.28"/>
    <n v="-114.82"/>
    <n v="0"/>
    <n v="-114.82"/>
    <n v="-1.8600000000000002E-2"/>
    <m/>
  </r>
  <r>
    <x v="1"/>
    <s v="MATRIZ"/>
    <m/>
    <d v="2026-10-08T00:00:00"/>
    <m/>
    <s v="3528-1"/>
    <x v="1"/>
    <s v="MICHELL MARQUES"/>
    <n v="2752"/>
    <x v="1"/>
    <s v="CTE NORMAL"/>
    <s v="SANTA BARBARA D OESTE - SP"/>
    <n v="179.74"/>
    <n v="2"/>
    <n v="69"/>
    <s v="PORTOEXPRESS LOGISTICA LT"/>
    <n v="10.73"/>
    <s v="PORTOEX SP"/>
    <n v="0"/>
    <s v="JOAO VICTOR DE LIMA"/>
    <n v="0"/>
    <n v="21.57"/>
    <n v="0"/>
    <n v="0"/>
    <n v="1.1000000000000001"/>
    <n v="0"/>
    <n v="215.48"/>
    <n v="-35.74"/>
    <n v="46.73"/>
    <n v="-82.47"/>
    <n v="0"/>
    <n v="-82.47"/>
    <n v="-0.45880000000000004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3644</v>
      </c>
      <c r="B2" s="12" t="s">
        <v>616</v>
      </c>
      <c r="C2" s="14">
        <v>46302</v>
      </c>
      <c r="D2" s="14">
        <v>46303</v>
      </c>
      <c r="E2" s="12"/>
      <c r="F2" s="15" t="s">
        <v>617</v>
      </c>
      <c r="G2" s="15" t="s">
        <v>618</v>
      </c>
      <c r="H2" s="15" t="s">
        <v>619</v>
      </c>
      <c r="I2" s="16">
        <v>418185.3</v>
      </c>
      <c r="J2" s="15" t="s">
        <v>620</v>
      </c>
      <c r="K2" s="15" t="s">
        <v>621</v>
      </c>
      <c r="L2" s="15" t="s">
        <v>622</v>
      </c>
      <c r="M2" s="15">
        <v>6174.14</v>
      </c>
      <c r="N2" s="15">
        <v>6</v>
      </c>
      <c r="O2" s="16">
        <v>6591</v>
      </c>
      <c r="P2" s="15" t="s">
        <v>623</v>
      </c>
      <c r="Q2" s="15">
        <v>0</v>
      </c>
      <c r="R2" s="15" t="s">
        <v>623</v>
      </c>
      <c r="S2" s="15">
        <v>4100</v>
      </c>
      <c r="T2" s="15" t="s">
        <v>624</v>
      </c>
      <c r="U2" s="15">
        <v>0</v>
      </c>
      <c r="V2" s="15">
        <v>0</v>
      </c>
      <c r="W2" s="15">
        <v>0</v>
      </c>
      <c r="X2" s="15">
        <v>0</v>
      </c>
      <c r="Y2" s="15">
        <v>167.27</v>
      </c>
      <c r="Z2" s="15">
        <v>250</v>
      </c>
      <c r="AA2" s="15">
        <v>4498.46</v>
      </c>
      <c r="AB2" s="15">
        <v>1675.68</v>
      </c>
      <c r="AC2" s="15">
        <v>1605.28</v>
      </c>
      <c r="AD2" s="15">
        <v>-114.82</v>
      </c>
      <c r="AE2" s="15">
        <v>0</v>
      </c>
      <c r="AF2" s="15">
        <v>-114.82</v>
      </c>
      <c r="AG2" s="17">
        <v>-1.8600000000000002E-2</v>
      </c>
      <c r="AH2" s="15"/>
    </row>
    <row r="3" spans="1:34" s="1" customFormat="1" ht="12" customHeight="1" x14ac:dyDescent="0.3">
      <c r="A3" s="13">
        <v>3648</v>
      </c>
      <c r="B3" s="12" t="s">
        <v>616</v>
      </c>
      <c r="C3" s="14"/>
      <c r="D3" s="14">
        <v>46303</v>
      </c>
      <c r="E3" s="12"/>
      <c r="F3" s="15" t="s">
        <v>625</v>
      </c>
      <c r="G3" s="15" t="s">
        <v>626</v>
      </c>
      <c r="H3" s="15" t="s">
        <v>627</v>
      </c>
      <c r="I3" s="16">
        <v>2752</v>
      </c>
      <c r="J3" s="15" t="s">
        <v>628</v>
      </c>
      <c r="K3" s="15" t="s">
        <v>621</v>
      </c>
      <c r="L3" s="15" t="s">
        <v>629</v>
      </c>
      <c r="M3" s="16">
        <v>179.74</v>
      </c>
      <c r="N3" s="15">
        <v>2</v>
      </c>
      <c r="O3" s="16">
        <v>69</v>
      </c>
      <c r="P3" s="15" t="s">
        <v>630</v>
      </c>
      <c r="Q3" s="15">
        <v>10.73</v>
      </c>
      <c r="R3" s="15" t="s">
        <v>631</v>
      </c>
      <c r="S3" s="15">
        <v>0</v>
      </c>
      <c r="T3" s="15" t="s">
        <v>624</v>
      </c>
      <c r="U3" s="15">
        <v>0</v>
      </c>
      <c r="V3" s="15">
        <v>21.57</v>
      </c>
      <c r="W3" s="15">
        <v>0</v>
      </c>
      <c r="X3" s="15">
        <v>0</v>
      </c>
      <c r="Y3" s="15">
        <v>1.1000000000000001</v>
      </c>
      <c r="Z3" s="15">
        <v>0</v>
      </c>
      <c r="AA3" s="16">
        <v>215.48</v>
      </c>
      <c r="AB3" s="16">
        <v>-35.74</v>
      </c>
      <c r="AC3" s="15">
        <v>46.73</v>
      </c>
      <c r="AD3" s="15">
        <v>-82.47</v>
      </c>
      <c r="AE3" s="15">
        <v>0</v>
      </c>
      <c r="AF3" s="15">
        <v>-82.47</v>
      </c>
      <c r="AG3" s="17">
        <v>-0.45880000000000004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6353.88</v>
      </c>
      <c r="F3" s="89"/>
      <c r="G3" s="90"/>
      <c r="H3" s="133">
        <f>'Resumo Detalhado'!C2</f>
        <v>6660</v>
      </c>
      <c r="I3" s="134"/>
      <c r="J3" s="135">
        <f>E3/H3</f>
        <v>0.95403603603603604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0.60545454545454547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4110.7299999999996</v>
      </c>
      <c r="F7" s="112"/>
      <c r="G7" s="112"/>
      <c r="H7" s="112"/>
      <c r="I7" s="112"/>
      <c r="J7" s="112">
        <f>E7/H3</f>
        <v>0.61722672672672663</v>
      </c>
      <c r="K7" s="112"/>
      <c r="L7" s="112"/>
      <c r="M7" s="130">
        <f>E7/E3</f>
        <v>0.64696374498731479</v>
      </c>
      <c r="N7" s="130"/>
      <c r="O7" s="130"/>
      <c r="P7" s="112">
        <f>E11+K11+Q11+E15+K15+Q15+E19+H19+K19</f>
        <v>5925.6012000000001</v>
      </c>
      <c r="Q7" s="112"/>
      <c r="R7" s="112"/>
      <c r="S7" s="112">
        <f>P7/H3</f>
        <v>0.88972990990990997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0.61561561561561562</v>
      </c>
      <c r="O11" s="90"/>
      <c r="P11" s="38"/>
      <c r="Q11" s="88">
        <f>'Resumo Detalhado'!D2</f>
        <v>10.73</v>
      </c>
      <c r="R11" s="90"/>
      <c r="S11" s="38"/>
      <c r="T11" s="88">
        <f>Q11/H3</f>
        <v>1.6111111111111111E-3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21.57</v>
      </c>
      <c r="F15" s="119"/>
      <c r="G15" s="119"/>
      <c r="H15" s="119"/>
      <c r="I15" s="132"/>
      <c r="J15" s="38"/>
      <c r="K15" s="113">
        <f>'Resumo Detalhado'!K2+'Resumo Detalhado'!L2</f>
        <v>1016.6208000000001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168.37</v>
      </c>
      <c r="F19" s="120"/>
      <c r="G19" s="38"/>
      <c r="H19" s="122">
        <v>100</v>
      </c>
      <c r="I19" s="123"/>
      <c r="J19" s="38"/>
      <c r="K19" s="122">
        <f>'Resumo Detalhado'!L2</f>
        <v>508.31040000000007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1294.8996000000004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0.20379667226954246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6353.88</v>
      </c>
      <c r="C2" s="29">
        <f>SUM(C6:C5000)</f>
        <v>6660</v>
      </c>
      <c r="D2" s="29">
        <f>SUM(D6:D5000)</f>
        <v>10.73</v>
      </c>
      <c r="E2" s="29">
        <f>SUM(E6:E5000)</f>
        <v>4100</v>
      </c>
      <c r="F2" s="29">
        <f>SUM(F6:F5000)</f>
        <v>0</v>
      </c>
      <c r="G2" s="29"/>
      <c r="H2" s="29">
        <f t="shared" ref="H2:P2" si="0">SUM(H6:H5000)</f>
        <v>21.57</v>
      </c>
      <c r="I2" s="29">
        <f t="shared" si="0"/>
        <v>168.37</v>
      </c>
      <c r="J2" s="29">
        <f t="shared" si="0"/>
        <v>250</v>
      </c>
      <c r="K2" s="29">
        <f t="shared" si="0"/>
        <v>508.31040000000007</v>
      </c>
      <c r="L2" s="29">
        <f t="shared" si="0"/>
        <v>508.31040000000007</v>
      </c>
      <c r="M2" s="29">
        <f t="shared" si="0"/>
        <v>0</v>
      </c>
      <c r="N2" s="29">
        <f t="shared" si="0"/>
        <v>1294.8996000000004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3644</v>
      </c>
      <c r="B6" s="140">
        <v>6174.14</v>
      </c>
      <c r="C6" s="141">
        <v>6591</v>
      </c>
      <c r="D6" s="140">
        <v>0</v>
      </c>
      <c r="E6" s="140">
        <v>4100</v>
      </c>
      <c r="F6" s="140">
        <v>0</v>
      </c>
      <c r="G6" s="142">
        <v>0.66406009581901282</v>
      </c>
      <c r="H6" s="140">
        <v>0</v>
      </c>
      <c r="I6" s="140">
        <v>167.27</v>
      </c>
      <c r="J6" s="140">
        <v>250</v>
      </c>
      <c r="K6" s="140">
        <v>493.93120000000005</v>
      </c>
      <c r="L6" s="140">
        <v>493.93120000000005</v>
      </c>
      <c r="M6" s="140">
        <v>0</v>
      </c>
      <c r="N6" s="140">
        <v>1162.9388000000004</v>
      </c>
      <c r="O6" s="142">
        <v>0.18835640267308487</v>
      </c>
      <c r="Q6"/>
    </row>
    <row r="7" spans="1:18" s="31" customFormat="1" x14ac:dyDescent="0.3">
      <c r="A7" s="139" t="s">
        <v>626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3648</v>
      </c>
      <c r="B8" s="140">
        <v>179.74</v>
      </c>
      <c r="C8" s="141">
        <v>69</v>
      </c>
      <c r="D8" s="140">
        <v>10.73</v>
      </c>
      <c r="E8" s="140">
        <v>0</v>
      </c>
      <c r="F8" s="140">
        <v>0</v>
      </c>
      <c r="G8" s="142">
        <v>5.9697340603093355E-2</v>
      </c>
      <c r="H8" s="140">
        <v>21.57</v>
      </c>
      <c r="I8" s="140">
        <v>1.1000000000000001</v>
      </c>
      <c r="J8" s="140">
        <v>0</v>
      </c>
      <c r="K8" s="140">
        <v>14.379200000000001</v>
      </c>
      <c r="L8" s="140">
        <v>14.379200000000001</v>
      </c>
      <c r="M8" s="140">
        <v>0</v>
      </c>
      <c r="N8" s="140">
        <v>131.96080000000003</v>
      </c>
      <c r="O8" s="142">
        <v>0.73417603204628923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179.74</v>
      </c>
      <c r="C2" s="29">
        <f>SUM(C6:C5000)</f>
        <v>131.96080000000003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6174.14</v>
      </c>
      <c r="C5" s="10">
        <v>1162.9388000000004</v>
      </c>
    </row>
    <row r="6" spans="1:4" x14ac:dyDescent="0.3">
      <c r="A6" s="139" t="s">
        <v>626</v>
      </c>
      <c r="B6" s="140">
        <v>179.74</v>
      </c>
      <c r="C6" s="140">
        <v>131.96080000000003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2026-10-14T14:37:53Z</dcterms:modified>
  <cp:category/>
  <cp:contentStatus/>
</cp:coreProperties>
</file>