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48BD72D-DB39-46C0-A416-1E5D53B01CF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1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<sst xmlns="http://schemas.openxmlformats.org/spreadsheetml/2006/main" count="884" uniqueCount="609">
  <si>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</si>
  <si>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</si>
  <si>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</si>
  <si>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</si>
  <si>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</si>
  <si>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</si>
  <si>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</si>
  <si>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</si>
  <si>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</si>
  <si>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</si>
  <si>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</si>
  <si>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</si>
  <si>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</si>
  <si>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</si>
  <si>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</si>
  <si>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</si>
  <si>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</si>
  <si>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</si>
  <si>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</si>
  <si>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</si>
  <si>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</si>
  <si>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</si>
  <si>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</si>
  <si>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</si>
  <si>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</si>
  <si>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</si>
  <si>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</si>
  <si>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</si>
  <si>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</si>
  <si>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</si>
  <si>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</si>
  <si>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</si>
  <si>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</si>
  <si>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</si>
  <si>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</si>
  <si>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</si>
  <si>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</si>
  <si>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</si>
  <si>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</si>
  <si>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</si>
  <si>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</si>
  <si>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</si>
  <si>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</si>
  <si>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</si>
  <si>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</si>
  <si>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</si>
  <si>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</si>
  <si>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</si>
  <si>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</si>
  <si>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</si>
  <si>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</si>
  <si>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</si>
  <si>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</si>
  <si>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</si>
  <si>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</si>
  <si>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</si>
  <si>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</si>
  <si>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</si>
  <si>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</si>
  <si>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</si>
  <si>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</si>
  <si>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</si>
  <si>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</si>
  <si>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</si>
  <si>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</si>
  <si>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</si>
  <si>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</si>
  <si>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</si>
  <si>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</si>
  <si>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</si>
  <si>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</si>
  <si>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</si>
  <si>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</si>
  <si>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</si>
  <si>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</si>
  <si>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</si>
  <si>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</si>
  <si>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</si>
  <si>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</si>
  <si>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</si>
  <si>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</si>
  <si>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</si>
  <si>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</si>
  <si>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</si>
  <si>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</si>
  <si>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</si>
  <si>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</si>
  <si>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</si>
  <si>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</si>
  <si>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</si>
  <si>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</si>
  <si>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</si>
  <si>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</si>
  <si>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</si>
  <si>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</si>
  <si>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</si>
  <si>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</si>
  <si>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</si>
  <si>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</si>
  <si>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</si>
  <si>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</si>
  <si>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</si>
  <si>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</si>
  <si>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</si>
  <si>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</si>
  <si>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</si>
  <si>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</si>
  <si>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</si>
  <si>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</si>
  <si>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</si>
  <si>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</si>
  <si>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</si>
  <si>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</si>
  <si>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</si>
  <si>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</si>
  <si>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</si>
  <si>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</si>
  <si>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</si>
  <si>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</si>
  <si>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</si>
  <si>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</si>
  <si>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</si>
  <si>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</si>
  <si>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</si>
  <si>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</si>
  <si>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</si>
  <si>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</si>
  <si>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</si>
  <si>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</si>
  <si>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</si>
  <si>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</si>
  <si>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</si>
  <si>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</si>
  <si>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</si>
  <si>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</si>
  <si>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</si>
  <si>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</si>
  <si>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</si>
  <si>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</si>
  <si>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</si>
  <si>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</si>
  <si>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</si>
  <si>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</si>
  <si>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</si>
  <si>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</si>
  <si>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</si>
  <si>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</si>
  <si>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</si>
  <si>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</si>
  <si>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</si>
  <si>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</si>
  <si>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</si>
  <si>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</si>
  <si>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</si>
  <si>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</si>
  <si>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</si>
  <si>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</si>
  <si>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</si>
  <si>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</si>
  <si>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</si>
  <si>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</si>
  <si>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</si>
  <si>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</si>
  <si>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</si>
  <si>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</si>
  <si>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</si>
  <si>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</si>
  <si>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</si>
  <si>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</si>
  <si>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</si>
  <si>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</si>
  <si>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</si>
  <si>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</si>
  <si>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</si>
  <si>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</si>
  <si>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</si>
  <si>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</si>
  <si>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</si>
  <si>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</si>
  <si>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</si>
  <si>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</si>
  <si>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</si>
  <si>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</si>
  <si>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</si>
  <si>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</si>
  <si>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</si>
  <si>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</si>
  <si>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</si>
  <si>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</si>
  <si>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</si>
  <si>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</si>
  <si>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</si>
  <si>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</si>
  <si>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</si>
  <si>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</si>
  <si>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</si>
  <si>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</si>
  <si>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</si>
  <si>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</si>
  <si>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</si>
  <si>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</si>
  <si>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</si>
  <si>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</si>
  <si>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</si>
  <si>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</si>
  <si>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</si>
  <si>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</si>
  <si>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</si>
  <si>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</si>
  <si>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</si>
  <si>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</si>
  <si>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</si>
  <si>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</si>
  <si>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</si>
  <si>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</si>
  <si>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</si>
  <si>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</si>
  <si>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</si>
  <si>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</si>
  <si>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</si>
  <si>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</si>
  <si>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</si>
  <si>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</si>
  <si>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</si>
  <si>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</si>
  <si>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</si>
  <si>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</si>
  <si>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</si>
  <si>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</si>
  <si>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</si>
  <si>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</si>
  <si>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</si>
  <si>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</si>
  <si>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</si>
  <si>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</si>
  <si>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</si>
  <si>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</si>
  <si>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</si>
  <si>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</si>
  <si>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</si>
  <si>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</si>
  <si>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</si>
  <si>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</si>
  <si>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</si>
  <si>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</si>
  <si>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</si>
  <si>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</si>
  <si>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</si>
  <si>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</si>
  <si>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</si>
  <si>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</si>
  <si>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</si>
  <si>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</si>
  <si>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</si>
  <si>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</si>
  <si>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</si>
  <si>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</si>
  <si>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</si>
  <si>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</si>
  <si>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</si>
  <si>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</si>
  <si>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</si>
  <si>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</si>
  <si>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</si>
  <si>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</si>
  <si>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</si>
  <si>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</si>
  <si>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</si>
  <si>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</si>
  <si>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</si>
  <si>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</si>
  <si>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</si>
  <si>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</si>
  <si>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</si>
  <si>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</si>
  <si>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</si>
  <si>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</si>
  <si>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</si>
  <si>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</si>
  <si>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</si>
  <si>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</si>
  <si>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</si>
  <si>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</si>
  <si>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</si>
  <si>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</si>
  <si>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</si>
  <si>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</si>
  <si>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</si>
  <si>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</si>
  <si>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</si>
  <si>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</si>
  <si>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</si>
  <si>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</si>
  <si>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</si>
  <si>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</si>
  <si>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</si>
  <si>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</si>
  <si>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</si>
  <si>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</si>
  <si>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</si>
  <si>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</si>
  <si>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</si>
  <si>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</si>
  <si>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</si>
  <si>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</si>
  <si>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</si>
  <si>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</si>
  <si>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</si>
  <si>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</si>
  <si>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</si>
  <si>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</si>
  <si>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</si>
  <si>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</si>
  <si>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</si>
  <si>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</si>
  <si>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</si>
  <si>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</si>
  <si>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</si>
  <si>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</si>
  <si>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</si>
  <si>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</si>
  <si>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</si>
  <si>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</si>
  <si>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</si>
  <si>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</si>
  <si>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</si>
  <si>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</si>
  <si>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</si>
  <si>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</si>
  <si>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</si>
  <si>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</si>
  <si>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</si>
  <si>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</si>
  <si>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</si>
  <si>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</si>
  <si>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</si>
  <si>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</si>
  <si>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</si>
  <si>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</si>
  <si>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</si>
  <si>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</si>
  <si>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</si>
  <si>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</si>
  <si>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</si>
  <si>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</si>
  <si>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</si>
  <si>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</si>
  <si>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</si>
  <si>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</si>
  <si>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</si>
  <si>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</si>
  <si>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</si>
  <si>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</si>
  <si>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</si>
  <si>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</si>
  <si>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</si>
  <si>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</si>
  <si>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</si>
  <si>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</si>
  <si>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</si>
  <si>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</si>
  <si>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</si>
  <si>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</si>
  <si>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</si>
  <si>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</si>
  <si>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</si>
  <si>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</si>
  <si>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</si>
  <si>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</si>
  <si>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</si>
  <si>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</si>
  <si>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</si>
  <si>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</si>
  <si>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</si>
  <si>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</si>
  <si>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</si>
  <si>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</si>
  <si>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</si>
  <si>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</si>
  <si>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</si>
  <si>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</si>
  <si>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</si>
  <si>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</si>
  <si>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</si>
  <si>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</si>
  <si>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</si>
  <si>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</si>
  <si>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</si>
  <si>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</si>
  <si>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</si>
  <si>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</si>
  <si>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</si>
  <si>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</si>
  <si>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</si>
  <si>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</si>
  <si>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</si>
  <si>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</si>
  <si>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</si>
  <si>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</si>
  <si>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</si>
  <si>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</si>
  <si>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</si>
  <si>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</si>
  <si>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</si>
  <si>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</si>
  <si>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</si>
  <si>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</si>
  <si>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</si>
  <si>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</si>
  <si>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</si>
  <si>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</si>
  <si>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</si>
  <si>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</si>
  <si>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</si>
  <si>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</si>
  <si>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</si>
  <si>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</si>
  <si>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</si>
  <si>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</si>
  <si>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</si>
  <si>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</si>
  <si>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</si>
  <si>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</si>
  <si>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</si>
  <si>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</si>
  <si>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</si>
  <si>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</si>
  <si>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</si>
  <si>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</si>
  <si>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</si>
  <si>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</si>
  <si>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</si>
  <si>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</si>
  <si>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</si>
  <si>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</si>
  <si>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</si>
  <si>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</si>
  <si>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</si>
  <si>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</si>
  <si>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</si>
  <si>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</si>
  <si>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</si>
  <si>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</si>
  <si>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</si>
  <si>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</si>
  <si>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</si>
  <si>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</si>
  <si>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</si>
  <si>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</si>
  <si>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</si>
  <si>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</si>
  <si>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</si>
  <si>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</si>
  <si>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</si>
  <si>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</si>
  <si>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</si>
  <si>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</si>
  <si>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</si>
  <si>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</si>
  <si>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</si>
  <si>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</si>
  <si>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</si>
  <si>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</si>
  <si>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</si>
  <si>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</si>
  <si>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</si>
  <si>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</si>
  <si>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</si>
  <si>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</si>
  <si>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</si>
  <si>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</si>
  <si>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</si>
  <si>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</si>
  <si>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</si>
  <si>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</si>
  <si>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</si>
  <si>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</si>
  <si>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</si>
  <si>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</si>
  <si>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</si>
  <si>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</si>
  <si>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</si>
  <si>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</si>
  <si>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</si>
  <si>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</si>
  <si>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</si>
  <si>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</si>
  <si>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</si>
  <si>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</si>
  <si>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</si>
  <si>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</si>
  <si>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</si>
  <si>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</si>
  <si>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</si>
  <si>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</si>
  <si>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</si>
  <si>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</si>
  <si>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</si>
  <si>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</si>
  <si>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</si>
  <si>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</si>
  <si>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</si>
  <si>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</si>
  <si>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</si>
  <si>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</si>
  <si>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</si>
  <si>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</si>
  <si>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</si>
  <si>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</si>
  <si>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</si>
  <si>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</si>
  <si>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</si>
  <si>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</si>
  <si>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</si>
  <si>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</si>
  <si>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</si>
  <si>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</si>
  <si>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</si>
  <si>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</si>
  <si>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</si>
  <si>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</si>
  <si>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</si>
  <si>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</si>
  <si>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</si>
  <si>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</si>
  <si>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</si>
  <si>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</si>
  <si>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</si>
  <si>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</si>
  <si>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</si>
  <si>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</si>
  <si>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</si>
  <si>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</si>
  <si>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</si>
  <si>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</si>
  <si>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</si>
  <si>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</si>
  <si>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</si>
  <si>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</si>
  <si>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</si>
  <si>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</si>
  <si>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</si>
  <si>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</si>
  <si>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</si>
  <si>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</si>
  <si>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</si>
  <si>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</si>
  <si>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</si>
  <si>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</si>
  <si>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</si>
  <si>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</si>
  <si>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</si>
  <si>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</si>
  <si>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</si>
  <si>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</si>
  <si>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</si>
  <si>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</si>
  <si>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</si>
  <si>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</si>
  <si>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</si>
  <si>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</si>
  <si>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</si>
  <si>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</si>
  <si>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</si>
  <si>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</si>
  <si>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</si>
  <si>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</si>
  <si>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</si>
  <si>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</si>
  <si>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</si>
  <si>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</si>
  <si>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</si>
  <si>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</si>
  <si>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</si>
  <si>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</si>
  <si>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</si>
  <si>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</si>
  <si>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</si>
  <si>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</si>
  <si>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</si>
  <si>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</si>
  <si>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</si>
  <si>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</si>
  <si>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</si>
  <si>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</si>
  <si>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</si>
  <si>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</si>
  <si>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</si>
  <si>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</si>
  <si>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</si>
  <si>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</si>
  <si>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</si>
  <si>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MATRIZ</t>
  </si>
  <si>
    <t>203442-1</t>
  </si>
  <si>
    <t>LAHUMAN DISTRIB</t>
  </si>
  <si>
    <t>LUCAS DA SILVA MENDES/URI</t>
  </si>
  <si>
    <t>ECONOMICO_250</t>
  </si>
  <si>
    <t>CTE NORMAL</t>
  </si>
  <si>
    <t>PILAR DO SUL - SP</t>
  </si>
  <si>
    <t>RAFAEL DE FREITAS</t>
  </si>
  <si>
    <t>RISSO TRANSPORTES</t>
  </si>
  <si>
    <t>JOAO VICTOR DE LIMA</t>
  </si>
  <si>
    <t>203476-1</t>
  </si>
  <si>
    <t>SEGER COMERCIAL</t>
  </si>
  <si>
    <t>MAURO MARQUES</t>
  </si>
  <si>
    <t>PERSONALIZADO_L</t>
  </si>
  <si>
    <t>SAO PAULO - SP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</si>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</sst>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VICTOR_18092026.xlsx]Resumo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LAHUMAN DISTRIB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246.36</c:v>
                </c:pt>
                <c:pt idx="1">
                  <c:v>7281.69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LAHUMAN DISTRIB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139.94120000000001</c:v>
                </c:pt>
                <c:pt idx="1">
                  <c:v>5693.9247999999989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[Analise_JOAO VICTOR_18092026.xlsx]Resumo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LAHUMAN DISTRIB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246.36</c:v>
                </c:pt>
                <c:pt idx="1">
                  <c:v>7281.69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LAHUMAN DISTRIB</c:v>
                </c:pt>
                <c:pt idx="1">
                  <c:v>SEGER COMERCIAL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139.94120000000001</c:v>
                </c:pt>
                <c:pt idx="1">
                  <c:v>5693.9247999999989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1828460648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1799" count="8000">
        <n v="301715"/>
        <n v="30179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8T00:00:00" maxDate="2026-09-19T00:00:00"/>
    </cacheField>
    <cacheField name="DATA" numFmtId="14">
      <sharedItems containsNonDate="0" containsDate="1" containsString="0" containsBlank="1" minDate="2026-09-18T00:00:00" maxDate="2026-09-19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6">
        <s v="LAHUMAN DISTRIB"/>
        <s v="SEGER COMERCIAL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75" maxValue="262851.78000000003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46.36" maxValue="7281.69"/>
    </cacheField>
    <cacheField name="VOLUMES" numFmtId="0">
      <sharedItems containsString="0" containsBlank="1" containsNumber="1" containsInteger="1" minValue="4" maxValue="14"/>
    </cacheField>
    <cacheField name="PESO" numFmtId="0">
      <sharedItems containsString="0" containsBlank="1" containsNumber="1" minValue="18.09" maxValue="7842"/>
    </cacheField>
    <cacheField name="RESP. COLETA" numFmtId="0">
      <sharedItems containsBlank="1"/>
    </cacheField>
    <cacheField name="CUSTO COLETA" numFmtId="0">
      <sharedItems containsString="0" containsBlank="1" containsNumber="1" minValue="0" maxValue="2.5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7.74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9.56" maxValue="873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34" maxValue="131.4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9.64" maxValue="5095.79"/>
    </cacheField>
    <cacheField name="RECEITA" numFmtId="0">
      <sharedItems containsString="0" containsBlank="1" containsNumber="1" minValue="156.72" maxValue="2185.9"/>
    </cacheField>
    <cacheField name="IMPOSTO" numFmtId="0">
      <sharedItems containsString="0" containsBlank="1" containsNumber="1" minValue="64.05" maxValue="1893.24"/>
    </cacheField>
    <cacheField name="RESULTADO" numFmtId="0">
      <sharedItems containsString="0" containsBlank="1" containsNumber="1" minValue="92.67" maxValue="292.66000000000003"/>
    </cacheField>
    <cacheField name="COMIS" numFmtId="0">
      <sharedItems containsString="0" containsBlank="1" containsNumber="1" minValue="0" maxValue="6.51"/>
    </cacheField>
    <cacheField name="LUCRO LIQ" numFmtId="0">
      <sharedItems containsString="0" containsBlank="1" containsNumber="1" minValue="86.16" maxValue="292.66000000000003"/>
    </cacheField>
    <cacheField name="MARGEM" numFmtId="10">
      <sharedItems containsString="0" containsBlank="1" containsNumber="1" minValue="4.0199999999999993E-2" maxValue="0.3497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8T00:00:00"/>
    <d v="2026-09-18T00:00:00"/>
    <m/>
    <s v="203442-1"/>
    <x v="0"/>
    <s v="LUCAS DA SILVA MENDES/URI"/>
    <n v="675"/>
    <x v="0"/>
    <s v="CTE NORMAL"/>
    <s v="PILAR DO SUL - SP"/>
    <n v="246.36"/>
    <n v="4"/>
    <n v="18.09"/>
    <s v="RAFAEL DE FREITAS"/>
    <n v="2.56"/>
    <s v="RISSO TRANSPORTES"/>
    <n v="47.74"/>
    <s v="JOAO VICTOR DE LIMA"/>
    <n v="0"/>
    <n v="29.56"/>
    <n v="0"/>
    <n v="0"/>
    <n v="0.34"/>
    <n v="0"/>
    <n v="89.64"/>
    <n v="156.72"/>
    <n v="64.05"/>
    <n v="92.67"/>
    <n v="6.51"/>
    <n v="86.16"/>
    <n v="0.34970000000000001"/>
    <m/>
  </r>
  <r>
    <x v="1"/>
    <s v="MATRIZ"/>
    <m/>
    <d v="2026-09-18T00:00:00"/>
    <m/>
    <s v="203476-1"/>
    <x v="1"/>
    <s v="MAURO MARQUES"/>
    <n v="262851.78000000003"/>
    <x v="1"/>
    <s v="CTE NORMAL"/>
    <s v="SAO PAULO - SP"/>
    <n v="7281.69"/>
    <n v="14"/>
    <n v="7842"/>
    <s v="N/D"/>
    <n v="0"/>
    <s v="N/D"/>
    <n v="0"/>
    <s v="JOAO VICTOR DE LIMA"/>
    <n v="0"/>
    <n v="873.8"/>
    <n v="0"/>
    <n v="0"/>
    <n v="131.43"/>
    <n v="0"/>
    <n v="5095.79"/>
    <n v="2185.9"/>
    <n v="1893.24"/>
    <n v="292.66000000000003"/>
    <n v="0"/>
    <n v="292.66000000000003"/>
    <n v="4.0199999999999993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2"/>
        <item m="1" x="506"/>
        <item sd="0" m="1" x="554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0"/>
        <item m="1" x="846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1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5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9"/>
        <item m="1" x="791"/>
        <item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8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x="0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7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1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x="1"/>
        <item m="1" x="396"/>
        <item m="1" x="671"/>
        <item m="1" x="186"/>
        <item sd="0" m="1" x="410"/>
        <item m="1" x="475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9"/>
        <item m="1" x="817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25"/>
    </i>
    <i r="1">
      <x v="7998"/>
    </i>
    <i>
      <x v="694"/>
    </i>
    <i r="1">
      <x v="7999"/>
    </i>
    <i>
      <x v="855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13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6">
        <item sd="0" m="1" x="819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2"/>
        <item m="1" x="25"/>
        <item m="1" x="582"/>
        <item m="1" x="853"/>
        <item m="1" x="21"/>
        <item m="1" x="758"/>
        <item m="1" x="113"/>
        <item m="1" x="545"/>
        <item m="1" x="829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10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1"/>
        <item m="1" x="323"/>
        <item m="1" x="462"/>
        <item m="1" x="506"/>
        <item sd="0" m="1" x="554"/>
        <item m="1" x="478"/>
        <item sd="0" m="1" x="245"/>
        <item m="1" x="849"/>
        <item m="1" x="833"/>
        <item m="1" x="743"/>
        <item m="1" x="241"/>
        <item m="1" x="240"/>
        <item m="1" x="463"/>
        <item m="1" x="287"/>
        <item m="1" x="550"/>
        <item m="1" x="846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m="1" x="516"/>
        <item m="1" x="319"/>
        <item m="1" x="592"/>
        <item m="1" x="596"/>
        <item m="1" x="733"/>
        <item m="1" x="786"/>
        <item m="1" x="184"/>
        <item m="1" x="836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7"/>
        <item m="1" x="249"/>
        <item sd="0" m="1" x="764"/>
        <item m="1" x="426"/>
        <item m="1" x="437"/>
        <item m="1" x="168"/>
        <item m="1" x="543"/>
        <item m="1" x="807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5"/>
        <item m="1" x="397"/>
        <item m="1" x="259"/>
        <item m="1" x="378"/>
        <item m="1" x="850"/>
        <item sd="0" m="1" x="648"/>
        <item m="1" x="854"/>
        <item sd="0" m="1" x="830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1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4"/>
        <item m="1" x="562"/>
        <item m="1" x="559"/>
        <item m="1" x="430"/>
        <item m="1" x="715"/>
        <item m="1" x="505"/>
        <item m="1" x="174"/>
        <item m="1" x="628"/>
        <item m="1" x="376"/>
        <item m="1" x="808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7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2"/>
        <item m="1" x="765"/>
        <item m="1" x="509"/>
        <item m="1" x="822"/>
        <item m="1" x="342"/>
        <item m="1" x="224"/>
        <item m="1" x="65"/>
        <item m="1" x="636"/>
        <item m="1" x="459"/>
        <item m="1" x="791"/>
        <item sd="0" m="1" x="704"/>
        <item m="1" x="235"/>
        <item m="1" x="598"/>
        <item m="1" x="44"/>
        <item sd="0" m="1" x="844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m="1" x="803"/>
        <item m="1" x="42"/>
        <item m="1" x="806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40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3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6"/>
        <item m="1" x="777"/>
        <item m="1" x="145"/>
        <item m="1" x="498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5"/>
        <item m="1" x="92"/>
        <item m="1" x="573"/>
        <item m="1" x="158"/>
        <item sd="0" m="1" x="561"/>
        <item m="1" x="46"/>
        <item m="1" x="724"/>
        <item m="1" x="749"/>
        <item m="1" x="744"/>
        <item m="1" x="848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x="0"/>
        <item m="1" x="136"/>
        <item m="1" x="331"/>
        <item m="1" x="536"/>
        <item sd="0" m="1" x="238"/>
        <item m="1" x="558"/>
        <item m="1" x="547"/>
        <item m="1" x="851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8"/>
        <item m="1" x="70"/>
        <item m="1" x="119"/>
        <item m="1" x="646"/>
        <item m="1" x="412"/>
        <item m="1" x="855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1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9"/>
        <item m="1" x="51"/>
        <item m="1" x="606"/>
        <item m="1" x="85"/>
        <item m="1" x="327"/>
        <item m="1" x="35"/>
        <item m="1" x="496"/>
        <item sd="0" m="1" x="507"/>
        <item m="1" x="448"/>
        <item m="1" x="167"/>
        <item m="1" x="134"/>
        <item m="1" x="253"/>
        <item m="1" x="301"/>
        <item m="1" x="820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499"/>
        <item m="1" x="62"/>
        <item m="1" x="457"/>
        <item m="1" x="83"/>
        <item m="1" x="326"/>
        <item sd="0" m="1" x="169"/>
        <item m="1" x="333"/>
        <item m="1" x="565"/>
        <item m="1" x="504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5"/>
        <item m="1" x="788"/>
        <item m="1" x="29"/>
        <item m="1" x="783"/>
        <item m="1" x="254"/>
        <item m="1" x="476"/>
        <item m="1" x="813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4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5"/>
        <item m="1" x="314"/>
        <item m="1" x="348"/>
        <item m="1" x="283"/>
        <item m="1" x="324"/>
        <item m="1" x="845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1"/>
        <item sd="0" m="1" x="147"/>
        <item m="1" x="171"/>
        <item m="1" x="585"/>
        <item m="1" x="804"/>
        <item sd="0" m="1" x="792"/>
        <item m="1" x="201"/>
        <item m="1" x="152"/>
        <item m="1" x="237"/>
        <item m="1" x="503"/>
        <item m="1" x="787"/>
        <item m="1" x="260"/>
        <item sd="0" m="1" x="753"/>
        <item m="1" x="129"/>
        <item m="1" x="212"/>
        <item m="1" x="834"/>
        <item m="1" x="586"/>
        <item m="1" x="797"/>
        <item m="1" x="727"/>
        <item m="1" x="413"/>
        <item m="1" x="26"/>
        <item m="1" x="343"/>
        <item m="1" x="491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8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2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1"/>
        <item x="1"/>
        <item m="1" x="396"/>
        <item m="1" x="671"/>
        <item m="1" x="186"/>
        <item sd="0" m="1" x="410"/>
        <item m="1" x="475"/>
        <item m="1" x="838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2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9"/>
        <item m="1" x="817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0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7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5"/>
        <item m="1" x="36"/>
        <item m="1" x="312"/>
        <item m="1" x="826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2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3"/>
        <item m="1" x="837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25"/>
    </i>
    <i>
      <x v="694"/>
    </i>
    <i>
      <x v="85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6"/>
            <x v="461"/>
            <x v="485"/>
            <x v="506"/>
            <x v="530"/>
            <x v="534"/>
            <x v="577"/>
            <x v="630"/>
            <x v="640"/>
            <x v="672"/>
            <x v="681"/>
            <x v="694"/>
            <x v="712"/>
            <x v="719"/>
            <x v="721"/>
            <x v="735"/>
            <x v="737"/>
            <x v="747"/>
            <x v="757"/>
            <x v="759"/>
            <x v="765"/>
            <x v="777"/>
            <x v="814"/>
            <x v="817"/>
            <x v="82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3"/>
            <x v="489"/>
            <x v="493"/>
            <x v="500"/>
            <x v="541"/>
            <x v="549"/>
            <x v="564"/>
            <x v="611"/>
            <x v="614"/>
            <x v="623"/>
            <x v="635"/>
            <x v="651"/>
            <x v="698"/>
            <x v="702"/>
            <x v="722"/>
            <x v="762"/>
            <x v="782"/>
            <x v="784"/>
            <x v="787"/>
            <x v="792"/>
            <x v="800"/>
            <x v="801"/>
            <x v="802"/>
            <x v="804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9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6">
        <i x="0" s="1"/>
        <i x="1" s="1"/>
        <i x="2" s="1"/>
        <i x="819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1" s="1" nd="1"/>
        <i x="325" s="1" nd="1"/>
        <i x="676" s="1" nd="1"/>
        <i x="502" s="1" nd="1"/>
        <i x="25" s="1" nd="1"/>
        <i x="582" s="1" nd="1"/>
        <i x="853" s="1" nd="1"/>
        <i x="21" s="1" nd="1"/>
        <i x="758" s="1" nd="1"/>
        <i x="113" s="1" nd="1"/>
        <i x="545" s="1" nd="1"/>
        <i x="829" s="1" nd="1"/>
        <i x="271" s="1" nd="1"/>
        <i x="480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70" s="1" nd="1"/>
        <i x="45" s="1" nd="1"/>
        <i x="731" s="1" nd="1"/>
        <i x="690" s="1" nd="1"/>
        <i x="217" s="1" nd="1"/>
        <i x="477" s="1" nd="1"/>
        <i x="634" s="1" nd="1"/>
        <i x="447" s="1" nd="1"/>
        <i x="810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1" s="1" nd="1"/>
        <i x="323" s="1" nd="1"/>
        <i x="462" s="1" nd="1"/>
        <i x="506" s="1" nd="1"/>
        <i x="554" s="1" nd="1"/>
        <i x="478" s="1" nd="1"/>
        <i x="245" s="1" nd="1"/>
        <i x="849" s="1" nd="1"/>
        <i x="833" s="1" nd="1"/>
        <i x="743" s="1" nd="1"/>
        <i x="241" s="1" nd="1"/>
        <i x="240" s="1" nd="1"/>
        <i x="463" s="1" nd="1"/>
        <i x="287" s="1" nd="1"/>
        <i x="550" s="1" nd="1"/>
        <i x="846" s="1" nd="1"/>
        <i x="446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4" s="1" nd="1"/>
        <i x="409" s="1" nd="1"/>
        <i x="516" s="1" nd="1"/>
        <i x="319" s="1" nd="1"/>
        <i x="592" s="1" nd="1"/>
        <i x="596" s="1" nd="1"/>
        <i x="733" s="1" nd="1"/>
        <i x="786" s="1" nd="1"/>
        <i x="184" s="1" nd="1"/>
        <i x="836" s="1" nd="1"/>
        <i x="712" s="1" nd="1"/>
        <i x="379" s="1" nd="1"/>
        <i x="208" s="1" nd="1"/>
        <i x="522" s="1" nd="1"/>
        <i x="464" s="1" nd="1"/>
        <i x="139" s="1" nd="1"/>
        <i x="662" s="1" nd="1"/>
        <i x="373" s="1" nd="1"/>
        <i x="155" s="1" nd="1"/>
        <i x="252" s="1" nd="1"/>
        <i x="629" s="1" nd="1"/>
        <i x="737" s="1" nd="1"/>
        <i x="422" s="1" nd="1"/>
        <i x="81" s="1" nd="1"/>
        <i x="697" s="1" nd="1"/>
        <i x="285" s="1" nd="1"/>
        <i x="847" s="1" nd="1"/>
        <i x="249" s="1" nd="1"/>
        <i x="764" s="1" nd="1"/>
        <i x="426" s="1" nd="1"/>
        <i x="437" s="1" nd="1"/>
        <i x="168" s="1" nd="1"/>
        <i x="543" s="1" nd="1"/>
        <i x="807" s="1" nd="1"/>
        <i x="621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4" s="1" nd="1"/>
        <i x="53" s="1" nd="1"/>
        <i x="650" s="1" nd="1"/>
        <i x="471" s="1" nd="1"/>
        <i x="250" s="1" nd="1"/>
        <i x="329" s="1" nd="1"/>
        <i x="438" s="1" nd="1"/>
        <i x="353" s="1" nd="1"/>
        <i x="572" s="1" nd="1"/>
        <i x="568" s="1" nd="1"/>
        <i x="734" s="1" nd="1"/>
        <i x="756" s="1" nd="1"/>
        <i x="121" s="1" nd="1"/>
        <i x="391" s="1" nd="1"/>
        <i x="89" s="1" nd="1"/>
        <i x="383" s="1" nd="1"/>
        <i x="815" s="1" nd="1"/>
        <i x="397" s="1" nd="1"/>
        <i x="259" s="1" nd="1"/>
        <i x="378" s="1" nd="1"/>
        <i x="850" s="1" nd="1"/>
        <i x="648" s="1" nd="1"/>
        <i x="854" s="1" nd="1"/>
        <i x="830" s="1" nd="1"/>
        <i x="107" s="1" nd="1"/>
        <i x="402" s="1" nd="1"/>
        <i x="115" s="1" nd="1"/>
        <i x="653" s="1" nd="1"/>
        <i x="657" s="1" nd="1"/>
        <i x="796" s="1" nd="1"/>
        <i x="696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1" s="1" nd="1"/>
        <i x="458" s="1" nd="1"/>
        <i x="479" s="1" nd="1"/>
        <i x="751" s="1" nd="1"/>
        <i x="639" s="1" nd="1"/>
        <i x="54" s="1" nd="1"/>
        <i x="794" s="1" nd="1"/>
        <i x="717" s="1" nd="1"/>
        <i x="418" s="1" nd="1"/>
        <i x="735" s="1" nd="1"/>
        <i x="814" s="1" nd="1"/>
        <i x="562" s="1" nd="1"/>
        <i x="559" s="1" nd="1"/>
        <i x="430" s="1" nd="1"/>
        <i x="715" s="1" nd="1"/>
        <i x="505" s="1" nd="1"/>
        <i x="174" s="1" nd="1"/>
        <i x="628" s="1" nd="1"/>
        <i x="376" s="1" nd="1"/>
        <i x="808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7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709" s="1" nd="1"/>
        <i x="211" s="1" nd="1"/>
        <i x="440" s="1" nd="1"/>
        <i x="103" s="1" nd="1"/>
        <i x="197" s="1" nd="1"/>
        <i x="832" s="1" nd="1"/>
        <i x="765" s="1" nd="1"/>
        <i x="509" s="1" nd="1"/>
        <i x="822" s="1" nd="1"/>
        <i x="342" s="1" nd="1"/>
        <i x="224" s="1" nd="1"/>
        <i x="65" s="1" nd="1"/>
        <i x="636" s="1" nd="1"/>
        <i x="459" s="1" nd="1"/>
        <i x="791" s="1" nd="1"/>
        <i x="704" s="1" nd="1"/>
        <i x="235" s="1" nd="1"/>
        <i x="598" s="1" nd="1"/>
        <i x="44" s="1" nd="1"/>
        <i x="844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39" s="1" nd="1"/>
        <i x="209" s="1" nd="1"/>
        <i x="672" s="1" nd="1"/>
        <i x="487" s="1" nd="1"/>
        <i x="641" s="1" nd="1"/>
        <i x="607" s="1" nd="1"/>
        <i x="532" s="1" nd="1"/>
        <i x="564" s="1" nd="1"/>
        <i x="739" s="1" nd="1"/>
        <i x="517" s="1" nd="1"/>
        <i x="387" s="1" nd="1"/>
        <i x="546" s="1" nd="1"/>
        <i x="214" s="1" nd="1"/>
        <i x="416" s="1" nd="1"/>
        <i x="420" s="1" nd="1"/>
        <i x="803" s="1" nd="1"/>
        <i x="42" s="1" nd="1"/>
        <i x="806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2" s="1" nd="1"/>
        <i x="144" s="1" nd="1"/>
        <i x="667" s="1" nd="1"/>
        <i x="840" s="1" nd="1"/>
        <i x="39" s="1" nd="1"/>
        <i x="384" s="1" nd="1"/>
        <i x="590" s="1" nd="1"/>
        <i x="748" s="1" nd="1"/>
        <i x="270" s="1" nd="1"/>
        <i x="18" s="1" nd="1"/>
        <i x="638" s="1" nd="1"/>
        <i x="390" s="1" nd="1"/>
        <i x="481" s="1" nd="1"/>
        <i x="345" s="1" nd="1"/>
        <i x="738" s="1" nd="1"/>
        <i x="246" s="1" nd="1"/>
        <i x="262" s="1" nd="1"/>
        <i x="275" s="1" nd="1"/>
        <i x="823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9" s="1" nd="1"/>
        <i x="816" s="1" nd="1"/>
        <i x="777" s="1" nd="1"/>
        <i x="145" s="1" nd="1"/>
        <i x="498" s="1" nd="1"/>
        <i x="468" s="1" nd="1"/>
        <i x="141" s="1" nd="1"/>
        <i x="757" s="1" nd="1"/>
        <i x="149" s="1" nd="1"/>
        <i x="225" s="1" nd="1"/>
        <i x="721" s="1" nd="1"/>
        <i x="556" s="1" nd="1"/>
        <i x="117" s="1" nd="1"/>
        <i x="377" s="1" nd="1"/>
        <i x="719" s="1" nd="1"/>
        <i x="128" s="1" nd="1"/>
        <i x="34" s="1" nd="1"/>
        <i x="303" s="1" nd="1"/>
        <i x="549" s="1" nd="1"/>
        <i x="61" s="1" nd="1"/>
        <i x="453" s="1" nd="1"/>
        <i x="775" s="1" nd="1"/>
        <i x="486" s="1" nd="1"/>
        <i x="741" s="1" nd="1"/>
        <i x="455" s="1" nd="1"/>
        <i x="521" s="1" nd="1"/>
        <i x="163" s="1" nd="1"/>
        <i x="405" s="1" nd="1"/>
        <i x="742" s="1" nd="1"/>
        <i x="195" s="1" nd="1"/>
        <i x="747" s="1" nd="1"/>
        <i x="385" s="1" nd="1"/>
        <i x="138" s="1" nd="1"/>
        <i x="659" s="1" nd="1"/>
        <i x="431" s="1" nd="1"/>
        <i x="665" s="1" nd="1"/>
        <i x="494" s="1" nd="1"/>
        <i x="686" s="1" nd="1"/>
        <i x="328" s="1" nd="1"/>
        <i x="769" s="1" nd="1"/>
        <i x="805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8" s="1" nd="1"/>
        <i x="125" s="1" nd="1"/>
        <i x="466" s="1" nd="1"/>
        <i x="701" s="1" nd="1"/>
        <i x="429" s="1" nd="1"/>
        <i x="364" s="1" nd="1"/>
        <i x="101" s="1" nd="1"/>
        <i x="482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1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4" s="1" nd="1"/>
        <i x="736" s="1" nd="1"/>
        <i x="133" s="1" nd="1"/>
        <i x="87" s="1" nd="1"/>
        <i x="210" s="1" nd="1"/>
        <i x="682" s="1" nd="1"/>
        <i x="276" s="1" nd="1"/>
        <i x="473" s="1" nd="1"/>
        <i x="800" s="1" nd="1"/>
        <i x="218" s="1" nd="1"/>
        <i x="828" s="1" nd="1"/>
        <i x="70" s="1" nd="1"/>
        <i x="119" s="1" nd="1"/>
        <i x="646" s="1" nd="1"/>
        <i x="412" s="1" nd="1"/>
        <i x="855" s="1" nd="1"/>
        <i x="433" s="1" nd="1"/>
        <i x="570" s="1" nd="1"/>
        <i x="489" s="1" nd="1"/>
        <i x="183" s="1" nd="1"/>
        <i x="375" s="1" nd="1"/>
        <i x="243" s="1" nd="1"/>
        <i x="338" s="1" nd="1"/>
        <i x="528" s="1" nd="1"/>
        <i x="424" s="1" nd="1"/>
        <i x="789" s="1" nd="1"/>
        <i x="302" s="1" nd="1"/>
        <i x="310" s="1" nd="1"/>
        <i x="368" s="1" nd="1"/>
        <i x="492" s="1" nd="1"/>
        <i x="663" s="1" nd="1"/>
        <i x="189" s="1" nd="1"/>
        <i x="660" s="1" nd="1"/>
        <i x="222" s="1" nd="1"/>
        <i x="450" s="1" nd="1"/>
        <i x="148" s="1" nd="1"/>
        <i x="363" s="1" nd="1"/>
        <i x="264" s="1" nd="1"/>
        <i x="292" s="1" nd="1"/>
        <i x="541" s="1" nd="1"/>
        <i x="811" s="1" nd="1"/>
        <i x="604" s="1" nd="1"/>
        <i x="32" s="1" nd="1"/>
        <i x="269" s="1" nd="1"/>
        <i x="752" s="1" nd="1"/>
        <i x="372" s="1" nd="1"/>
        <i x="247" s="1" nd="1"/>
        <i x="399" s="1" nd="1"/>
        <i x="483" s="1" nd="1"/>
        <i x="339" s="1" nd="1"/>
        <i x="613" s="1" nd="1"/>
        <i x="673" s="1" nd="1"/>
        <i x="839" s="1" nd="1"/>
        <i x="51" s="1" nd="1"/>
        <i x="606" s="1" nd="1"/>
        <i x="85" s="1" nd="1"/>
        <i x="327" s="1" nd="1"/>
        <i x="35" s="1" nd="1"/>
        <i x="496" s="1" nd="1"/>
        <i x="507" s="1" nd="1"/>
        <i x="448" s="1" nd="1"/>
        <i x="167" s="1" nd="1"/>
        <i x="134" s="1" nd="1"/>
        <i x="253" s="1" nd="1"/>
        <i x="301" s="1" nd="1"/>
        <i x="820" s="1" nd="1"/>
        <i x="170" s="1" nd="1"/>
        <i x="710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5" s="1" nd="1"/>
        <i x="499" s="1" nd="1"/>
        <i x="62" s="1" nd="1"/>
        <i x="457" s="1" nd="1"/>
        <i x="83" s="1" nd="1"/>
        <i x="326" s="1" nd="1"/>
        <i x="169" s="1" nd="1"/>
        <i x="333" s="1" nd="1"/>
        <i x="565" s="1" nd="1"/>
        <i x="504" s="1" nd="1"/>
        <i x="229" s="1" nd="1"/>
        <i x="282" s="1" nd="1"/>
        <i x="94" s="1" nd="1"/>
        <i x="408" s="1" nd="1"/>
        <i x="321" s="1" nd="1"/>
        <i x="711" s="1" nd="1"/>
        <i x="535" s="1" nd="1"/>
        <i x="645" s="1" nd="1"/>
        <i x="610" s="1" nd="1"/>
        <i x="835" s="1" nd="1"/>
        <i x="788" s="1" nd="1"/>
        <i x="29" s="1" nd="1"/>
        <i x="783" s="1" nd="1"/>
        <i x="254" s="1" nd="1"/>
        <i x="476" s="1" nd="1"/>
        <i x="813" s="1" nd="1"/>
        <i x="465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4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5" s="1" nd="1"/>
        <i x="314" s="1" nd="1"/>
        <i x="348" s="1" nd="1"/>
        <i x="283" s="1" nd="1"/>
        <i x="324" s="1" nd="1"/>
        <i x="845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1" s="1" nd="1"/>
        <i x="147" s="1" nd="1"/>
        <i x="171" s="1" nd="1"/>
        <i x="585" s="1" nd="1"/>
        <i x="804" s="1" nd="1"/>
        <i x="792" s="1" nd="1"/>
        <i x="201" s="1" nd="1"/>
        <i x="152" s="1" nd="1"/>
        <i x="237" s="1" nd="1"/>
        <i x="503" s="1" nd="1"/>
        <i x="787" s="1" nd="1"/>
        <i x="260" s="1" nd="1"/>
        <i x="753" s="1" nd="1"/>
        <i x="129" s="1" nd="1"/>
        <i x="212" s="1" nd="1"/>
        <i x="834" s="1" nd="1"/>
        <i x="586" s="1" nd="1"/>
        <i x="797" s="1" nd="1"/>
        <i x="727" s="1" nd="1"/>
        <i x="413" s="1" nd="1"/>
        <i x="26" s="1" nd="1"/>
        <i x="343" s="1" nd="1"/>
        <i x="491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8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7" s="1" nd="1"/>
        <i x="707" s="1" nd="1"/>
        <i x="620" s="1" nd="1"/>
        <i x="732" s="1" nd="1"/>
        <i x="472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2" s="1" nd="1"/>
        <i x="445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8" s="1" nd="1"/>
        <i x="395" s="1" nd="1"/>
        <i x="401" s="1" nd="1"/>
        <i x="705" s="1" nd="1"/>
        <i x="404" s="1" nd="1"/>
        <i x="831" s="1" nd="1"/>
        <i x="396" s="1" nd="1"/>
        <i x="671" s="1" nd="1"/>
        <i x="186" s="1" nd="1"/>
        <i x="410" s="1" nd="1"/>
        <i x="475" s="1" nd="1"/>
        <i x="838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6" s="1" nd="1"/>
        <i x="745" s="1" nd="1"/>
        <i x="80" s="1" nd="1"/>
        <i x="52" s="1" nd="1"/>
        <i x="852" s="1" nd="1"/>
        <i x="30" s="1" nd="1"/>
        <i x="571" s="1" nd="1"/>
        <i x="513" s="1" nd="1"/>
        <i x="414" s="1" nd="1"/>
        <i x="703" s="1" nd="1"/>
        <i x="205" s="1" nd="1"/>
        <i x="644" s="1" nd="1"/>
        <i x="780" s="1" nd="1"/>
        <i x="469" s="1" nd="1"/>
        <i x="41" s="1" nd="1"/>
        <i x="694" s="1" nd="1"/>
        <i x="664" s="1" nd="1"/>
        <i x="809" s="1" nd="1"/>
        <i x="817" s="1" nd="1"/>
        <i x="625" s="1" nd="1"/>
        <i x="460" s="1" nd="1"/>
        <i x="692" s="1" nd="1"/>
        <i x="135" s="1" nd="1"/>
        <i x="411" s="1" nd="1"/>
        <i x="693" s="1" nd="1"/>
        <i x="44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6" s="1" nd="1"/>
        <i x="577" s="1" nd="1"/>
        <i x="361" s="1" nd="1"/>
        <i x="452" s="1" nd="1"/>
        <i x="514" s="1" nd="1"/>
        <i x="123" s="1" nd="1"/>
        <i x="647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0" s="1" nd="1"/>
        <i x="69" s="1" nd="1"/>
        <i x="680" s="1" nd="1"/>
        <i x="82" s="1" nd="1"/>
        <i x="635" s="1" nd="1"/>
        <i x="67" s="1" nd="1"/>
        <i x="651" s="1" nd="1"/>
        <i x="490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6" s="1" nd="1"/>
        <i x="415" s="1" nd="1"/>
        <i x="553" s="1" nd="1"/>
        <i x="98" s="1" nd="1"/>
        <i x="86" s="1" nd="1"/>
        <i x="294" s="1" nd="1"/>
        <i x="196" s="1" nd="1"/>
        <i x="497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5" s="1" nd="1"/>
        <i x="36" s="1" nd="1"/>
        <i x="312" s="1" nd="1"/>
        <i x="826" s="1" nd="1"/>
        <i x="563" s="1" nd="1"/>
        <i x="63" s="1" nd="1"/>
        <i x="569" s="1" nd="1"/>
        <i x="432" s="1" nd="1"/>
        <i x="427" s="1" nd="1"/>
        <i x="177" s="1" nd="1"/>
        <i x="367" s="1" nd="1"/>
        <i x="759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2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3" s="1" nd="1"/>
        <i x="837" s="1" nd="1"/>
        <i x="493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7" totalsRowShown="0" headerRowDxfId="92" dataDxfId="90" headerRowBorderDxfId="91" tableBorderDxfId="89" totalsRowBorderDxfId="88">
  <autoFilter ref="A1:D37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301715</v>
      </c>
      <c r="B2" s="12" t="s">
        <v>592</v>
      </c>
      <c r="C2" s="14">
        <v>46283</v>
      </c>
      <c r="D2" s="14">
        <v>46283</v>
      </c>
      <c r="E2" s="12"/>
      <c r="F2" s="15" t="s">
        <v>593</v>
      </c>
      <c r="G2" s="15" t="s">
        <v>594</v>
      </c>
      <c r="H2" s="15" t="s">
        <v>595</v>
      </c>
      <c r="I2" s="16">
        <v>675</v>
      </c>
      <c r="J2" s="15" t="s">
        <v>596</v>
      </c>
      <c r="K2" s="15" t="s">
        <v>597</v>
      </c>
      <c r="L2" s="15" t="s">
        <v>598</v>
      </c>
      <c r="M2" s="15">
        <v>246.36</v>
      </c>
      <c r="N2" s="15">
        <v>4</v>
      </c>
      <c r="O2" s="16">
        <v>18.09</v>
      </c>
      <c r="P2" s="15" t="s">
        <v>599</v>
      </c>
      <c r="Q2" s="15">
        <v>2.56</v>
      </c>
      <c r="R2" s="15" t="s">
        <v>600</v>
      </c>
      <c r="S2" s="15">
        <v>47.74</v>
      </c>
      <c r="T2" s="15" t="s">
        <v>601</v>
      </c>
      <c r="U2" s="15">
        <v>0</v>
      </c>
      <c r="V2" s="15">
        <v>29.56</v>
      </c>
      <c r="W2" s="15">
        <v>0</v>
      </c>
      <c r="X2" s="15">
        <v>0</v>
      </c>
      <c r="Y2" s="15">
        <v>0.34</v>
      </c>
      <c r="Z2" s="15">
        <v>0</v>
      </c>
      <c r="AA2" s="15">
        <v>89.64</v>
      </c>
      <c r="AB2" s="15">
        <v>156.72</v>
      </c>
      <c r="AC2" s="15">
        <v>64.05</v>
      </c>
      <c r="AD2" s="15">
        <v>92.67</v>
      </c>
      <c r="AE2" s="15">
        <v>6.51</v>
      </c>
      <c r="AF2" s="15">
        <v>86.16</v>
      </c>
      <c r="AG2" s="17">
        <v>0.34970000000000001</v>
      </c>
      <c r="AH2" s="15"/>
    </row>
    <row r="3" spans="1:34" s="1" customFormat="1" ht="12" customHeight="1" x14ac:dyDescent="0.3">
      <c r="A3" s="13">
        <v>301799</v>
      </c>
      <c r="B3" s="12" t="s">
        <v>592</v>
      </c>
      <c r="C3" s="14"/>
      <c r="D3" s="14">
        <v>46283</v>
      </c>
      <c r="E3" s="12"/>
      <c r="F3" s="15" t="s">
        <v>602</v>
      </c>
      <c r="G3" s="15" t="s">
        <v>603</v>
      </c>
      <c r="H3" s="15" t="s">
        <v>604</v>
      </c>
      <c r="I3" s="16">
        <v>262851.78000000003</v>
      </c>
      <c r="J3" s="15" t="s">
        <v>605</v>
      </c>
      <c r="K3" s="15" t="s">
        <v>597</v>
      </c>
      <c r="L3" s="15" t="s">
        <v>606</v>
      </c>
      <c r="M3" s="16">
        <v>7281.69</v>
      </c>
      <c r="N3" s="15">
        <v>14</v>
      </c>
      <c r="O3" s="16">
        <v>7842</v>
      </c>
      <c r="P3" s="15" t="s">
        <v>607</v>
      </c>
      <c r="Q3" s="15">
        <v>0</v>
      </c>
      <c r="R3" s="15" t="s">
        <v>607</v>
      </c>
      <c r="S3" s="15">
        <v>0</v>
      </c>
      <c r="T3" s="15" t="s">
        <v>601</v>
      </c>
      <c r="U3" s="15">
        <v>0</v>
      </c>
      <c r="V3" s="15">
        <v>873.8</v>
      </c>
      <c r="W3" s="15">
        <v>0</v>
      </c>
      <c r="X3" s="15">
        <v>0</v>
      </c>
      <c r="Y3" s="15">
        <v>131.43</v>
      </c>
      <c r="Z3" s="15">
        <v>0</v>
      </c>
      <c r="AA3" s="16">
        <v>5095.79</v>
      </c>
      <c r="AB3" s="16">
        <v>2185.9</v>
      </c>
      <c r="AC3" s="15">
        <v>1893.24</v>
      </c>
      <c r="AD3" s="15">
        <v>292.66000000000003</v>
      </c>
      <c r="AE3" s="15">
        <v>0</v>
      </c>
      <c r="AF3" s="15">
        <v>292.66000000000003</v>
      </c>
      <c r="AG3" s="17">
        <v>4.0199999999999993E-2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7528.0499999999993</v>
      </c>
      <c r="F3" s="93"/>
      <c r="G3" s="94"/>
      <c r="H3" s="95">
        <f>'Resumo Detalhado'!C2</f>
        <v>7860.09</v>
      </c>
      <c r="I3" s="96"/>
      <c r="J3" s="97">
        <f>E3/H3</f>
        <v>0.95775620889837132</v>
      </c>
      <c r="K3" s="98"/>
      <c r="L3" s="99"/>
      <c r="M3" s="138" t="s">
        <v>58</v>
      </c>
      <c r="N3" s="93"/>
      <c r="O3" s="94"/>
      <c r="P3" s="135">
        <v>11000</v>
      </c>
      <c r="Q3" s="136"/>
      <c r="R3" s="137"/>
      <c r="S3" s="103">
        <f>MIN(H3/P3,1)</f>
        <v>0.71455363636363634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4102.5600000000004</v>
      </c>
      <c r="F7" s="109"/>
      <c r="G7" s="109"/>
      <c r="H7" s="109"/>
      <c r="I7" s="109"/>
      <c r="J7" s="109">
        <f>E7/H3</f>
        <v>0.52194822196692403</v>
      </c>
      <c r="K7" s="109"/>
      <c r="L7" s="109"/>
      <c r="M7" s="110">
        <f>E7/E3</f>
        <v>0.54496981289975499</v>
      </c>
      <c r="N7" s="110"/>
      <c r="O7" s="110"/>
      <c r="P7" s="109">
        <f>E11+K11+Q11+E15+K15+Q15+E19+H19+K19</f>
        <v>6944.4220000000005</v>
      </c>
      <c r="Q7" s="109"/>
      <c r="R7" s="109"/>
      <c r="S7" s="109">
        <f>P7/H3</f>
        <v>0.88350413290433061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4100</v>
      </c>
      <c r="L11" s="94"/>
      <c r="M11" s="38"/>
      <c r="N11" s="92">
        <f>K11/H3</f>
        <v>0.52162252595072067</v>
      </c>
      <c r="O11" s="94"/>
      <c r="P11" s="38"/>
      <c r="Q11" s="92">
        <f>'Resumo Detalhado'!D2</f>
        <v>2.56</v>
      </c>
      <c r="R11" s="94"/>
      <c r="S11" s="38"/>
      <c r="T11" s="92">
        <f>Q11/H3</f>
        <v>3.256960162033768E-4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903.3599999999999</v>
      </c>
      <c r="F15" s="113"/>
      <c r="G15" s="113"/>
      <c r="H15" s="113"/>
      <c r="I15" s="114"/>
      <c r="J15" s="38"/>
      <c r="K15" s="116">
        <f>'Resumo Detalhado'!K2+'Resumo Detalhado'!L2</f>
        <v>1204.4880000000001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131.77000000000001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602.24400000000003</v>
      </c>
      <c r="L19" s="108"/>
      <c r="M19" s="38"/>
      <c r="N19" s="112" t="s">
        <v>390</v>
      </c>
      <c r="O19" s="113"/>
      <c r="P19" s="113"/>
      <c r="Q19" s="113"/>
      <c r="R19" s="119"/>
      <c r="S19" s="112">
        <f>_xlfn.XLOOKUP(N19,Target!C:C,Target!D:D)</f>
        <v>4000</v>
      </c>
      <c r="T19" s="113"/>
      <c r="U19" s="119"/>
      <c r="V19" s="36"/>
      <c r="W19" s="126" t="str">
        <f>IF(D11=S19,"NO TARGET",IF(D11&lt;S19,"ABAIXO DO TARGET",IF(D11&gt;S19,"FORA DO TARGET")))</f>
        <v>FORA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5833.8659999999991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0.77495048518540655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608</v>
      </c>
      <c r="F1" s="29"/>
    </row>
    <row r="2" spans="1:18" x14ac:dyDescent="0.3">
      <c r="B2" s="29">
        <f>SUM(B6:B5000)</f>
        <v>7528.0499999999993</v>
      </c>
      <c r="C2" s="29">
        <f>SUM(C6:C5000)</f>
        <v>7860.09</v>
      </c>
      <c r="D2" s="29">
        <f>SUM(D6:D5000)</f>
        <v>2.56</v>
      </c>
      <c r="E2" s="29">
        <f>SUM(E6:E5000)</f>
        <v>47.74</v>
      </c>
      <c r="F2" s="29">
        <f>SUM(F6:F5000)</f>
        <v>0</v>
      </c>
      <c r="G2" s="29"/>
      <c r="H2" s="29">
        <f t="shared" ref="H2:P2" si="0">SUM(H6:H5000)</f>
        <v>903.3599999999999</v>
      </c>
      <c r="I2" s="29">
        <f t="shared" si="0"/>
        <v>131.77000000000001</v>
      </c>
      <c r="J2" s="29">
        <f t="shared" si="0"/>
        <v>0</v>
      </c>
      <c r="K2" s="29">
        <f t="shared" si="0"/>
        <v>602.24400000000003</v>
      </c>
      <c r="L2" s="29">
        <f t="shared" si="0"/>
        <v>602.24400000000003</v>
      </c>
      <c r="M2" s="29">
        <f t="shared" si="0"/>
        <v>6.51</v>
      </c>
      <c r="N2" s="29">
        <f t="shared" si="0"/>
        <v>5833.8659999999991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594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301715</v>
      </c>
      <c r="B6" s="140">
        <v>246.36</v>
      </c>
      <c r="C6" s="141">
        <v>18.09</v>
      </c>
      <c r="D6" s="140">
        <v>2.56</v>
      </c>
      <c r="E6" s="140">
        <v>47.74</v>
      </c>
      <c r="F6" s="140">
        <v>0</v>
      </c>
      <c r="G6" s="142">
        <v>0.20417275531742166</v>
      </c>
      <c r="H6" s="140">
        <v>29.56</v>
      </c>
      <c r="I6" s="140">
        <v>0.34</v>
      </c>
      <c r="J6" s="140">
        <v>0</v>
      </c>
      <c r="K6" s="140">
        <v>19.7088</v>
      </c>
      <c r="L6" s="140">
        <v>19.7088</v>
      </c>
      <c r="M6" s="140">
        <v>6.51</v>
      </c>
      <c r="N6" s="140">
        <v>139.94120000000001</v>
      </c>
      <c r="O6" s="142">
        <v>0.56803539535638903</v>
      </c>
      <c r="Q6"/>
    </row>
    <row r="7" spans="1:18" s="31" customFormat="1" x14ac:dyDescent="0.3">
      <c r="A7" s="139" t="s">
        <v>603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301799</v>
      </c>
      <c r="B8" s="140">
        <v>7281.69</v>
      </c>
      <c r="C8" s="141">
        <v>7842</v>
      </c>
      <c r="D8" s="140">
        <v>0</v>
      </c>
      <c r="E8" s="140">
        <v>0</v>
      </c>
      <c r="F8" s="140">
        <v>0</v>
      </c>
      <c r="G8" s="142">
        <v>0</v>
      </c>
      <c r="H8" s="140">
        <v>873.8</v>
      </c>
      <c r="I8" s="140">
        <v>131.43</v>
      </c>
      <c r="J8" s="140">
        <v>0</v>
      </c>
      <c r="K8" s="140">
        <v>582.53520000000003</v>
      </c>
      <c r="L8" s="140">
        <v>582.53520000000003</v>
      </c>
      <c r="M8" s="140">
        <v>0</v>
      </c>
      <c r="N8" s="140">
        <v>5693.9247999999989</v>
      </c>
      <c r="O8" s="142">
        <v>0.78195100313251442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66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608</v>
      </c>
    </row>
    <row r="2" spans="1:4" x14ac:dyDescent="0.3">
      <c r="B2" s="29">
        <f>SUM(B6:B5000)</f>
        <v>7281.69</v>
      </c>
      <c r="C2" s="29">
        <f>SUM(C6:C5000)</f>
        <v>5693.9247999999989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594</v>
      </c>
      <c r="B5" s="10">
        <v>246.36</v>
      </c>
      <c r="C5" s="10">
        <v>139.94120000000001</v>
      </c>
    </row>
    <row r="6" spans="1:4" x14ac:dyDescent="0.3">
      <c r="A6" s="139" t="s">
        <v>603</v>
      </c>
      <c r="B6" s="140">
        <v>7281.69</v>
      </c>
      <c r="C6" s="140">
        <v>5693.9247999999989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2026-09-23T13:02:26Z</dcterms:modified>
  <cp:category/>
  <cp:contentStatus/>
</cp:coreProperties>
</file>