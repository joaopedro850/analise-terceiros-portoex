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BCFBC0C3-FF50-451C-9908-3BEC7E56BAF0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2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<sst xmlns="http://schemas.openxmlformats.org/spreadsheetml/2006/main" count="914" uniqueCount="633">
  <si>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</si>
  <si>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</si>
  <si>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</si>
  <si>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</si>
  <si>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</si>
  <si>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</si>
  <si>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</si>
  <si>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</si>
  <si>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</si>
  <si>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</si>
  <si>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</si>
  <si>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</si>
  <si>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</si>
  <si>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</si>
  <si>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</si>
  <si>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</si>
  <si>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</si>
  <si>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</si>
  <si>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</si>
  <si>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</si>
  <si>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</si>
  <si>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</si>
  <si>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</si>
  <si>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</si>
  <si>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</si>
  <si>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</si>
  <si>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</si>
  <si>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</si>
  <si>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</si>
  <si>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</si>
  <si>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</si>
  <si>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</si>
  <si>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</si>
  <si>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</si>
  <si>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</si>
  <si>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</si>
  <si>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</si>
  <si>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</si>
  <si>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</si>
  <si>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</si>
  <si>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</si>
  <si>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</si>
  <si>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</si>
  <si>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</si>
  <si>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</si>
  <si>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</si>
  <si>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</si>
  <si>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</si>
  <si>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</si>
  <si>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</si>
  <si>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</si>
  <si>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</si>
  <si>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</si>
  <si>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</si>
  <si>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</si>
  <si>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</si>
  <si>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</si>
  <si>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</si>
  <si>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</si>
  <si>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</si>
  <si>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</si>
  <si>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</si>
  <si>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</si>
  <si>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</si>
  <si>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</si>
  <si>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</si>
  <si>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</si>
  <si>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</si>
  <si>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</si>
  <si>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</si>
  <si>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</si>
  <si>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</si>
  <si>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</si>
  <si>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</si>
  <si>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</si>
  <si>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</si>
  <si>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</si>
  <si>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</si>
  <si>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</si>
  <si>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</si>
  <si>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</si>
  <si>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</si>
  <si>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</si>
  <si>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</si>
  <si>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</si>
  <si>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</si>
  <si>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</si>
  <si>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</si>
  <si>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</si>
  <si>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</si>
  <si>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</si>
  <si>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</si>
  <si>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</si>
  <si>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</si>
  <si>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</si>
  <si>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</si>
  <si>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</si>
  <si>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</si>
  <si>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</si>
  <si>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</si>
  <si>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</si>
  <si>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</si>
  <si>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</si>
  <si>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</si>
  <si>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</si>
  <si>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</si>
  <si>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</si>
  <si>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</si>
  <si>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</si>
  <si>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</si>
  <si>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</si>
  <si>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</si>
  <si>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</si>
  <si>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</si>
  <si>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</si>
  <si>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</si>
  <si>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</si>
  <si>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</si>
  <si>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</si>
  <si>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</si>
  <si>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</si>
  <si>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</si>
  <si>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</si>
  <si>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</si>
  <si>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</si>
  <si>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</si>
  <si>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</si>
  <si>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</si>
  <si>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</si>
  <si>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</si>
  <si>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</si>
  <si>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</si>
  <si>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</si>
  <si>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</si>
  <si>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</si>
  <si>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</si>
  <si>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</si>
  <si>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</si>
  <si>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</si>
  <si>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</si>
  <si>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</si>
  <si>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</si>
  <si>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</si>
  <si>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</si>
  <si>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</si>
  <si>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</si>
  <si>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</si>
  <si>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</si>
  <si>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</si>
  <si>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</si>
  <si>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</si>
  <si>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</si>
  <si>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</si>
  <si>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</si>
  <si>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</si>
  <si>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</si>
  <si>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</si>
  <si>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</si>
  <si>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</si>
  <si>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</si>
  <si>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</si>
  <si>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</si>
  <si>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</si>
  <si>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</si>
  <si>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</si>
  <si>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</si>
  <si>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</si>
  <si>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</si>
  <si>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</si>
  <si>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</si>
  <si>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</si>
  <si>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</si>
  <si>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</si>
  <si>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</si>
  <si>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</si>
  <si>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</si>
  <si>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</si>
  <si>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</si>
  <si>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</si>
  <si>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</si>
  <si>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</si>
  <si>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</si>
  <si>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</si>
  <si>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</si>
  <si>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</si>
  <si>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</si>
  <si>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</si>
  <si>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</si>
  <si>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</si>
  <si>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</si>
  <si>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</si>
  <si>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</si>
  <si>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</si>
  <si>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</si>
  <si>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</si>
  <si>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</si>
  <si>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</si>
  <si>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</si>
  <si>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</si>
  <si>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</si>
  <si>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</si>
  <si>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</si>
  <si>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</si>
  <si>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</si>
  <si>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</si>
  <si>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</si>
  <si>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</si>
  <si>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</si>
  <si>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</si>
  <si>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</si>
  <si>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</si>
  <si>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</si>
  <si>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</si>
  <si>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</si>
  <si>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</si>
  <si>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</si>
  <si>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</si>
  <si>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</si>
  <si>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</si>
  <si>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</si>
  <si>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</si>
  <si>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</si>
  <si>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</si>
  <si>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</si>
  <si>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</si>
  <si>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</si>
  <si>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</si>
  <si>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</si>
  <si>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</si>
  <si>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</si>
  <si>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</si>
  <si>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</si>
  <si>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</si>
  <si>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</si>
  <si>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</si>
  <si>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</si>
  <si>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</si>
  <si>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</si>
  <si>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</si>
  <si>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</si>
  <si>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</si>
  <si>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</si>
  <si>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</si>
  <si>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</si>
  <si>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</si>
  <si>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</si>
  <si>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</si>
  <si>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</si>
  <si>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</si>
  <si>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</si>
  <si>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</si>
  <si>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</si>
  <si>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</si>
  <si>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</si>
  <si>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</si>
  <si>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</si>
  <si>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</si>
  <si>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</si>
  <si>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</si>
  <si>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</si>
  <si>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</si>
  <si>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</si>
  <si>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</si>
  <si>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</si>
  <si>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</si>
  <si>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</si>
  <si>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</si>
  <si>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</si>
  <si>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</si>
  <si>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</si>
  <si>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</si>
  <si>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</si>
  <si>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</si>
  <si>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</si>
  <si>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</si>
  <si>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</si>
  <si>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</si>
  <si>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</si>
  <si>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</si>
  <si>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</si>
  <si>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</si>
  <si>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</si>
  <si>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</si>
  <si>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</si>
  <si>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</si>
  <si>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</si>
  <si>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</si>
  <si>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</si>
  <si>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</si>
  <si>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</si>
  <si>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</si>
  <si>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</si>
  <si>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</si>
  <si>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</si>
  <si>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</si>
  <si>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</si>
  <si>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</si>
  <si>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</si>
  <si>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</si>
  <si>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</si>
  <si>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</si>
  <si>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</si>
  <si>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</si>
  <si>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</si>
  <si>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</si>
  <si>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</si>
  <si>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</si>
  <si>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</si>
  <si>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</si>
  <si>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</si>
  <si>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</si>
  <si>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</si>
  <si>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</si>
  <si>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</si>
  <si>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</si>
  <si>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</si>
  <si>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</si>
  <si>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</si>
  <si>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</si>
  <si>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</si>
  <si>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</si>
  <si>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</si>
  <si>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</si>
  <si>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</si>
  <si>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</si>
  <si>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</si>
  <si>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</si>
  <si>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</si>
  <si>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</si>
  <si>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</si>
  <si>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</si>
  <si>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</si>
  <si>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</si>
  <si>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</si>
  <si>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</si>
  <si>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</si>
  <si>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</si>
  <si>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</si>
  <si>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</si>
  <si>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</si>
  <si>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</si>
  <si>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</si>
  <si>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</si>
  <si>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</si>
  <si>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</si>
  <si>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</si>
  <si>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</si>
  <si>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</si>
  <si>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</si>
  <si>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</si>
  <si>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</si>
  <si>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</si>
  <si>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</si>
  <si>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</si>
  <si>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</si>
  <si>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</si>
  <si>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</si>
  <si>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</si>
  <si>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</si>
  <si>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</si>
  <si>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</si>
  <si>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</si>
  <si>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</si>
  <si>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</si>
  <si>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</si>
  <si>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</si>
  <si>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</si>
  <si>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</si>
  <si>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</si>
  <si>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</si>
  <si>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</si>
  <si>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</si>
  <si>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</si>
  <si>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</si>
  <si>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</si>
  <si>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</si>
  <si>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</si>
  <si>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</si>
  <si>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</si>
  <si>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</si>
  <si>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</si>
  <si>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</si>
  <si>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</si>
  <si>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</si>
  <si>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</si>
  <si>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</si>
  <si>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</si>
  <si>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</si>
  <si>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</si>
  <si>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</si>
  <si>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</si>
  <si>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</si>
  <si>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</si>
  <si>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</si>
  <si>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</si>
  <si>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</si>
  <si>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</si>
  <si>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</si>
  <si>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</si>
  <si>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</si>
  <si>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</si>
  <si>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</si>
  <si>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</si>
  <si>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</si>
  <si>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</si>
  <si>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</si>
  <si>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</si>
  <si>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</si>
  <si>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</si>
  <si>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</si>
  <si>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</si>
  <si>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</si>
  <si>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</si>
  <si>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</si>
  <si>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</si>
  <si>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</si>
  <si>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</si>
  <si>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</si>
  <si>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</si>
  <si>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</si>
  <si>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</si>
  <si>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</si>
  <si>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</si>
  <si>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</si>
  <si>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</si>
  <si>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</si>
  <si>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</si>
  <si>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</si>
  <si>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</si>
  <si>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</si>
  <si>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</si>
  <si>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</si>
  <si>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</si>
  <si>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</si>
  <si>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</si>
  <si>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</si>
  <si>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</si>
  <si>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</si>
  <si>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</si>
  <si>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</si>
  <si>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</si>
  <si>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</si>
  <si>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</si>
  <si>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</si>
  <si>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</si>
  <si>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</si>
  <si>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</si>
  <si>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</si>
  <si>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</si>
  <si>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</si>
  <si>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</si>
  <si>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</si>
  <si>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</si>
  <si>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</si>
  <si>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</si>
  <si>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</si>
  <si>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</si>
  <si>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</si>
  <si>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</si>
  <si>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</si>
  <si>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</si>
  <si>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</si>
  <si>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</si>
  <si>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</si>
  <si>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</si>
  <si>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</si>
  <si>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</si>
  <si>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</si>
  <si>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</si>
  <si>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</si>
  <si>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</si>
  <si>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</si>
  <si>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</si>
  <si>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</si>
  <si>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</si>
  <si>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</si>
  <si>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</si>
  <si>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</si>
  <si>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</si>
  <si>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</si>
  <si>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</si>
  <si>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</si>
  <si>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</si>
  <si>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</si>
  <si>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</si>
  <si>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</si>
  <si>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</si>
  <si>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</si>
  <si>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</si>
  <si>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</si>
  <si>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</si>
  <si>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</si>
  <si>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</si>
  <si>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</si>
  <si>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</si>
  <si>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</si>
  <si>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</si>
  <si>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</si>
  <si>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</si>
  <si>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</si>
  <si>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</si>
  <si>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</si>
  <si>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</si>
  <si>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</si>
  <si>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</si>
  <si>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</si>
  <si>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</si>
  <si>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</si>
  <si>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</si>
  <si>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</si>
  <si>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</si>
  <si>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</si>
  <si>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</si>
  <si>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</si>
  <si>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</si>
  <si>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</si>
  <si>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</si>
  <si>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</si>
  <si>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</si>
  <si>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</si>
  <si>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</si>
  <si>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</si>
  <si>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</si>
  <si>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</si>
  <si>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</si>
  <si>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</si>
  <si>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</si>
  <si>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</si>
  <si>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</si>
  <si>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</si>
  <si>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</si>
  <si>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</si>
  <si>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</si>
  <si>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</si>
  <si>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</si>
  <si>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</si>
  <si>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</si>
  <si>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</si>
  <si>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</si>
  <si>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</si>
  <si>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</si>
  <si>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</si>
  <si>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</si>
  <si>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</si>
  <si>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</si>
  <si>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</si>
  <si>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</si>
  <si>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</si>
  <si>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</si>
  <si>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</si>
  <si>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</si>
  <si>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</si>
  <si>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</si>
  <si>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</si>
  <si>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</si>
  <si>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</si>
  <si>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</si>
  <si>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</si>
  <si>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</si>
  <si>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</si>
  <si>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</si>
  <si>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</si>
  <si>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</si>
  <si>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</si>
  <si>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</si>
  <si>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</si>
  <si>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</si>
  <si>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</si>
  <si>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</si>
  <si>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</si>
  <si>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</si>
  <si>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</si>
  <si>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</si>
  <si>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</si>
  <si>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</si>
  <si>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</si>
  <si>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</si>
  <si>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</si>
  <si>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</si>
  <si>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</si>
  <si>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</si>
  <si>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</si>
  <si>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</si>
  <si>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</si>
  <si>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</si>
  <si>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</si>
  <si>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</si>
  <si>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</si>
  <si>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</si>
  <si>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</si>
  <si>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</si>
  <si>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</si>
  <si>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</si>
  <si>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</si>
  <si>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</si>
  <si>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</si>
  <si>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</si>
  <si>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</si>
  <si>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</si>
  <si>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</si>
  <si>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</si>
  <si>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</si>
  <si>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</si>
  <si>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</si>
  <si>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</si>
  <si>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</si>
  <si>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</si>
  <si>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</si>
  <si>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</si>
  <si>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</si>
  <si>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</si>
  <si>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</si>
  <si>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</si>
  <si>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</si>
  <si>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</si>
  <si>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</si>
  <si>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</si>
  <si>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3410-1</t>
  </si>
  <si>
    <t>CRONOS LOGISTIC</t>
  </si>
  <si>
    <t>URIEL CORREA</t>
  </si>
  <si>
    <t>PERSONALIZADO_L</t>
  </si>
  <si>
    <t>CTE NORMAL</t>
  </si>
  <si>
    <t>GUARULHOS - SP</t>
  </si>
  <si>
    <t>PORTOEXPRESS LOGISTICA LT</t>
  </si>
  <si>
    <t>N/D</t>
  </si>
  <si>
    <t>RODRIGO DA SILVA POLEZA</t>
  </si>
  <si>
    <t>3431-1</t>
  </si>
  <si>
    <t>MAC FER INDUSTR</t>
  </si>
  <si>
    <t>FRANCISCO GILAILTON/SABRI</t>
  </si>
  <si>
    <t>ECONOMICO_250</t>
  </si>
  <si>
    <t>OSASCO - SP</t>
  </si>
  <si>
    <t>JOSE EMILTON DA COSTA - 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</si>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</sst>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[Analise_JOAO_02102026.xlsx]Resumo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4848</c:v>
                </c:pt>
                <c:pt idx="1">
                  <c:v>95.08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3750.4799999999996</c:v>
                </c:pt>
                <c:pt idx="1">
                  <c:v>33.083600000000004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[Analise_JOAO_02102026.xlsx]Resumo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4848</c:v>
                </c:pt>
                <c:pt idx="1">
                  <c:v>95.08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3750.4799999999996</c:v>
                </c:pt>
                <c:pt idx="1">
                  <c:v>33.083600000000004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2.514875462963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523"/>
        <n v="3545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2T00:00:00" maxDate="2026-10-03T00:00:00"/>
    </cacheField>
    <cacheField name="DATA" numFmtId="14">
      <sharedItems containsNonDate="0" containsDate="1" containsString="0" containsBlank="1" minDate="2026-10-02T00:00:00" maxDate="2026-10-03T00:00:00"/>
    </cacheField>
    <cacheField name="FAT" numFmtId="0">
      <sharedItems containsString="0" containsBlank="1" containsNumber="1" containsInteger="1" minValue="713" maxValue="744"/>
    </cacheField>
    <cacheField name="CT-E" numFmtId="0">
      <sharedItems containsBlank="1"/>
    </cacheField>
    <cacheField name="CLIENTE TOMADOR" numFmtId="0">
      <sharedItems containsBlank="1" count="855">
        <s v="CRONOS LOGISTIC"/>
        <s v="MAC FER INDUSTR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264.1400000000001" maxValue="198426.32"/>
    </cacheField>
    <cacheField name="SERVICO" numFmtId="0">
      <sharedItems containsBlank="1" count="27">
        <s v="PERSONALIZADO_L"/>
        <s v="ECONOMICO_250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95.08" maxValue="4848"/>
    </cacheField>
    <cacheField name="VOLUMES" numFmtId="0">
      <sharedItems containsString="0" containsBlank="1" containsNumber="1" containsInteger="1" minValue="2" maxValue="6"/>
    </cacheField>
    <cacheField name="PESO" numFmtId="0">
      <sharedItems containsString="0" containsBlank="1" containsNumber="1" minValue="24.42" maxValue="1893.38"/>
    </cacheField>
    <cacheField name="RESP. COLETA" numFmtId="0">
      <sharedItems containsBlank="1"/>
    </cacheField>
    <cacheField name="CUSTO COLETA" numFmtId="0">
      <sharedItems containsString="0" containsBlank="1" containsNumber="1" minValue="2.4700000000000002" maxValue="180.31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0" maxValue="11.41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51" maxValue="79.37"/>
    </cacheField>
    <cacheField name="OUTROS" numFmtId="0">
      <sharedItems containsString="0" containsBlank="1" containsNumber="1" containsInteger="1" minValue="0" maxValue="450"/>
    </cacheField>
    <cacheField name="C.TOTAL" numFmtId="0">
      <sharedItems containsString="0" containsBlank="1" containsNumber="1" minValue="114.02" maxValue="3750.05"/>
    </cacheField>
    <cacheField name="RECEITA" numFmtId="0">
      <sharedItems containsString="0" containsBlank="1" containsNumber="1" minValue="-18.940000000000001" maxValue="1097.95"/>
    </cacheField>
    <cacheField name="IMPOSTO" numFmtId="0">
      <sharedItems containsString="0" containsBlank="1" containsNumber="1" minValue="24.72" maxValue="1260.48"/>
    </cacheField>
    <cacheField name="RESULTADO" numFmtId="0">
      <sharedItems containsString="0" containsBlank="1" containsNumber="1" minValue="-307.97000000000003" maxValue="-43.66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307.97000000000003" maxValue="-43.66"/>
    </cacheField>
    <cacheField name="MARGEM" numFmtId="10">
      <sharedItems containsString="0" containsBlank="1" containsNumber="1" minValue="-0.4592" maxValue="-6.3500000000000001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10-02T00:00:00"/>
    <d v="2026-10-02T00:00:00"/>
    <n v="744"/>
    <s v="3410-1"/>
    <x v="0"/>
    <s v="URIEL CORREA"/>
    <n v="198426.32"/>
    <x v="0"/>
    <s v="CTE NORMAL"/>
    <s v="GUARULHOS - SP"/>
    <n v="4848"/>
    <n v="6"/>
    <n v="1893.38"/>
    <s v="PORTOEXPRESS LOGISTICA LT"/>
    <n v="180.31"/>
    <s v="N/D"/>
    <n v="0"/>
    <s v="RODRIGO DA SILVA POLEZA"/>
    <n v="0"/>
    <n v="0"/>
    <n v="0"/>
    <n v="0"/>
    <n v="79.37"/>
    <n v="450"/>
    <n v="3750.05"/>
    <n v="1097.95"/>
    <n v="1260.48"/>
    <n v="-307.97000000000003"/>
    <n v="0"/>
    <n v="-307.97000000000003"/>
    <n v="-6.3500000000000001E-2"/>
    <m/>
  </r>
  <r>
    <x v="1"/>
    <s v="MATRIZ"/>
    <d v="2026-10-02T00:00:00"/>
    <d v="2026-10-02T00:00:00"/>
    <n v="713"/>
    <s v="3431-1"/>
    <x v="1"/>
    <s v="FRANCISCO GILAILTON/SABRI"/>
    <n v="1264.1400000000001"/>
    <x v="1"/>
    <s v="CTE NORMAL"/>
    <s v="OSASCO - SP"/>
    <n v="95.08"/>
    <n v="2"/>
    <n v="24.42"/>
    <s v="PORTOEXPRESS LOGISTICA LT"/>
    <n v="2.4700000000000002"/>
    <s v="JOSE EMILTON DA COSTA - O"/>
    <n v="40"/>
    <s v="RODRIGO DA SILVA POLEZA"/>
    <n v="0"/>
    <n v="11.41"/>
    <n v="0"/>
    <n v="0"/>
    <n v="0.51"/>
    <n v="0"/>
    <n v="114.02"/>
    <n v="-18.940000000000001"/>
    <n v="24.72"/>
    <n v="-43.66"/>
    <n v="0"/>
    <n v="-43.66"/>
    <n v="-0.459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x="0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10"/>
        <item m="1" x="43"/>
        <item m="1" x="17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3"/>
        <item m="1" x="16"/>
        <item m="1" x="232"/>
        <item m="1" x="241"/>
        <item m="1" x="6"/>
        <item m="1" x="387"/>
        <item m="1" x="369"/>
        <item m="1" x="615"/>
        <item m="1" x="57"/>
        <item m="1" x="707"/>
        <item m="1" x="24"/>
        <item m="1" x="37"/>
        <item m="1" x="9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2"/>
        <item m="1" x="589"/>
        <item m="1" x="747"/>
        <item sd="0" m="1" x="269"/>
        <item m="1" x="18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4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x="1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1"/>
        <item m="1" x="605"/>
        <item m="1" x="84"/>
        <item m="1" x="326"/>
        <item m="1" x="35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0"/>
        <item m="1" x="23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2"/>
        <item m="1" x="851"/>
        <item m="1" x="30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9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7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1"/>
        <item m="1" x="105"/>
        <item m="1" x="533"/>
        <item sd="0" m="1" x="297"/>
        <item sd="0" m="1" x="396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2"/>
        <item m="1" x="568"/>
        <item m="1" x="430"/>
        <item m="1" x="425"/>
        <item m="1" x="176"/>
        <item m="1" x="366"/>
        <item m="1" x="758"/>
        <item m="1" x="600"/>
        <item m="1" x="13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186"/>
    </i>
    <i r="1">
      <x v="7998"/>
    </i>
    <i>
      <x v="468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x="0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10"/>
        <item m="1" x="43"/>
        <item m="1" x="17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sd="0"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3"/>
        <item m="1" x="16"/>
        <item m="1" x="232"/>
        <item m="1" x="241"/>
        <item m="1" x="6"/>
        <item m="1" x="387"/>
        <item m="1" x="369"/>
        <item m="1" x="615"/>
        <item m="1" x="57"/>
        <item m="1" x="707"/>
        <item m="1" x="24"/>
        <item m="1" x="37"/>
        <item m="1" x="9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2"/>
        <item m="1" x="589"/>
        <item m="1" x="747"/>
        <item sd="0" m="1" x="269"/>
        <item m="1" x="18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4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x="1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1"/>
        <item m="1" x="605"/>
        <item m="1" x="84"/>
        <item m="1" x="326"/>
        <item m="1" x="35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0"/>
        <item m="1" x="23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2"/>
        <item m="1" x="851"/>
        <item m="1" x="30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9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7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1"/>
        <item m="1" x="105"/>
        <item m="1" x="533"/>
        <item sd="0" m="1" x="297"/>
        <item sd="0" m="1" x="396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2"/>
        <item m="1" x="568"/>
        <item m="1" x="430"/>
        <item m="1" x="425"/>
        <item m="1" x="176"/>
        <item m="1" x="366"/>
        <item m="1" x="758"/>
        <item m="1" x="600"/>
        <item m="1" x="13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186"/>
    </i>
    <i>
      <x v="468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6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1" s="1" nd="1"/>
        <i x="712" s="1" nd="1"/>
        <i x="296" s="1" nd="1"/>
        <i x="113" s="1" nd="1"/>
        <i x="271" s="1" nd="1"/>
        <i x="590" s="1" nd="1"/>
        <i x="324" s="1" nd="1"/>
        <i x="675" s="1" nd="1"/>
        <i x="501" s="1" nd="1"/>
        <i x="25" s="1" nd="1"/>
        <i x="581" s="1" nd="1"/>
        <i x="852" s="1" nd="1"/>
        <i x="21" s="1" nd="1"/>
        <i x="757" s="1" nd="1"/>
        <i x="112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6" s="1" nd="1"/>
        <i x="48" s="1" nd="1"/>
        <i x="668" s="1" nd="1"/>
        <i x="660" s="1" nd="1"/>
        <i x="468" s="1" nd="1"/>
        <i x="45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2" s="1" nd="1"/>
        <i x="407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7" s="1" nd="1"/>
        <i x="207" s="1" nd="1"/>
        <i x="521" s="1" nd="1"/>
        <i x="462" s="1" nd="1"/>
        <i x="138" s="1" nd="1"/>
        <i x="661" s="1" nd="1"/>
        <i x="371" s="1" nd="1"/>
        <i x="154" s="1" nd="1"/>
        <i x="251" s="1" nd="1"/>
        <i x="628" s="1" nd="1"/>
        <i x="736" s="1" nd="1"/>
        <i x="420" s="1" nd="1"/>
        <i x="80" s="1" nd="1"/>
        <i x="696" s="1" nd="1"/>
        <i x="284" s="1" nd="1"/>
        <i x="846" s="1" nd="1"/>
        <i x="248" s="1" nd="1"/>
        <i x="763" s="1" nd="1"/>
        <i x="424" s="1" nd="1"/>
        <i x="435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2" s="1" nd="1"/>
        <i x="276" s="1" nd="1"/>
        <i x="65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3" s="1" nd="1"/>
        <i x="649" s="1" nd="1"/>
        <i x="469" s="1" nd="1"/>
        <i x="249" s="1" nd="1"/>
        <i x="328" s="1" nd="1"/>
        <i x="436" s="1" nd="1"/>
        <i x="352" s="1" nd="1"/>
        <i x="571" s="1" nd="1"/>
        <i x="567" s="1" nd="1"/>
        <i x="733" s="1" nd="1"/>
        <i x="755" s="1" nd="1"/>
        <i x="120" s="1" nd="1"/>
        <i x="389" s="1" nd="1"/>
        <i x="88" s="1" nd="1"/>
        <i x="381" s="1" nd="1"/>
        <i x="814" s="1" nd="1"/>
        <i x="395" s="1" nd="1"/>
        <i x="258" s="1" nd="1"/>
        <i x="376" s="1" nd="1"/>
        <i x="849" s="1" nd="1"/>
        <i x="647" s="1" nd="1"/>
        <i x="853" s="1" nd="1"/>
        <i x="829" s="1" nd="1"/>
        <i x="106" s="1" nd="1"/>
        <i x="400" s="1" nd="1"/>
        <i x="114" s="1" nd="1"/>
        <i x="652" s="1" nd="1"/>
        <i x="656" s="1" nd="1"/>
        <i x="795" s="1" nd="1"/>
        <i x="695" s="1" nd="1"/>
        <i x="454" s="1" nd="1"/>
        <i x="380" s="1" nd="1"/>
        <i x="447" s="1" nd="1"/>
        <i x="159" s="1" nd="1"/>
        <i x="277" s="1" nd="1"/>
        <i x="203" s="1" nd="1"/>
        <i x="493" s="1" nd="1"/>
        <i x="289" s="1" nd="1"/>
        <i x="526" s="1" nd="1"/>
        <i x="257" s="1" nd="1"/>
        <i x="405" s="1" nd="1"/>
        <i x="840" s="1" nd="1"/>
        <i x="456" s="1" nd="1"/>
        <i x="477" s="1" nd="1"/>
        <i x="750" s="1" nd="1"/>
        <i x="638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3" s="1" nd="1"/>
        <i x="627" s="1" nd="1"/>
        <i x="374" s="1" nd="1"/>
        <i x="807" s="1" nd="1"/>
        <i x="59" s="1" nd="1"/>
        <i x="631" s="1" nd="1"/>
        <i x="530" s="1" nd="1"/>
        <i x="295" s="1" nd="1"/>
        <i x="304" s="1" nd="1"/>
        <i x="174" s="1" nd="1"/>
        <i x="101" s="1" nd="1"/>
        <i x="70" s="1" nd="1"/>
        <i x="578" s="1" nd="1"/>
        <i x="798" s="1" nd="1"/>
        <i x="33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3" s="1" nd="1"/>
        <i x="602" s="1" nd="1"/>
        <i x="449" s="1" nd="1"/>
        <i x="349" s="1" nd="1"/>
        <i x="78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1" s="1" nd="1"/>
        <i x="426" s="1" nd="1"/>
        <i x="10" s="1" nd="1"/>
        <i x="43" s="1" nd="1"/>
        <i x="17" s="1" nd="1"/>
        <i x="622" s="1" nd="1"/>
        <i x="556" s="1" nd="1"/>
        <i x="626" s="1" nd="1"/>
        <i x="345" s="1" nd="1"/>
        <i x="432" s="1" nd="1"/>
        <i x="708" s="1" nd="1"/>
        <i x="210" s="1" nd="1"/>
        <i x="438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4" s="1" nd="1"/>
        <i x="635" s="1" nd="1"/>
        <i x="457" s="1" nd="1"/>
        <i x="790" s="1" nd="1"/>
        <i x="703" s="1" nd="1"/>
        <i x="234" s="1" nd="1"/>
        <i x="597" s="1" nd="1"/>
        <i x="44" s="1" nd="1"/>
        <i x="843" s="1" nd="1"/>
        <i x="123" s="1" nd="1"/>
        <i x="267" s="1" nd="1"/>
        <i x="292" s="1" nd="1"/>
        <i x="354" s="1" nd="1"/>
        <i x="98" s="1" nd="1"/>
        <i x="459" s="1" nd="1"/>
        <i x="580" s="1" nd="1"/>
        <i x="353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3" s="1" nd="1"/>
        <i x="414" s="1" nd="1"/>
        <i x="418" s="1" nd="1"/>
        <i x="802" s="1" nd="1"/>
        <i x="42" s="1" nd="1"/>
        <i x="805" s="1" nd="1"/>
        <i x="486" s="1" nd="1"/>
        <i x="442" s="1" nd="1"/>
        <i x="398" s="1" nd="1"/>
        <i x="608" s="1" nd="1"/>
        <i x="153" s="1" nd="1"/>
        <i x="16" s="1" nd="1"/>
        <i x="232" s="1" nd="1"/>
        <i x="241" s="1" nd="1"/>
        <i x="6" s="1" nd="1"/>
        <i x="387" s="1" nd="1"/>
        <i x="369" s="1" nd="1"/>
        <i x="615" s="1" nd="1"/>
        <i x="57" s="1" nd="1"/>
        <i x="707" s="1" nd="1"/>
        <i x="24" s="1" nd="1"/>
        <i x="37" s="1" nd="1"/>
        <i x="9" s="1" nd="1"/>
        <i x="417" s="1" nd="1"/>
        <i x="683" s="1" nd="1"/>
        <i x="285" s="1" nd="1"/>
        <i x="316" s="1" nd="1"/>
        <i x="379" s="1" nd="1"/>
        <i x="539" s="1" nd="1"/>
        <i x="314" s="1" nd="1"/>
        <i x="339" s="1" nd="1"/>
        <i x="771" s="1" nd="1"/>
        <i x="143" s="1" nd="1"/>
        <i x="666" s="1" nd="1"/>
        <i x="839" s="1" nd="1"/>
        <i x="39" s="1" nd="1"/>
        <i x="382" s="1" nd="1"/>
        <i x="589" s="1" nd="1"/>
        <i x="747" s="1" nd="1"/>
        <i x="269" s="1" nd="1"/>
        <i x="18" s="1" nd="1"/>
        <i x="637" s="1" nd="1"/>
        <i x="388" s="1" nd="1"/>
        <i x="479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8" s="1" nd="1"/>
        <i x="335" s="1" nd="1"/>
        <i x="175" s="1" nd="1"/>
        <i x="419" s="1" nd="1"/>
        <i x="701" s="1" nd="1"/>
        <i x="697" s="1" nd="1"/>
        <i x="378" s="1" nd="1"/>
        <i x="348" s="1" nd="1"/>
        <i x="150" s="1" nd="1"/>
        <i x="759" s="1" nd="1"/>
        <i x="690" s="1" nd="1"/>
        <i x="22" s="1" nd="1"/>
        <i x="727" s="1" nd="1"/>
        <i x="780" s="1" nd="1"/>
        <i x="639" s="1" nd="1"/>
        <i x="329" s="1" nd="1"/>
        <i x="367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4" s="1" nd="1"/>
        <i x="720" s="1" nd="1"/>
        <i x="555" s="1" nd="1"/>
        <i x="116" s="1" nd="1"/>
        <i x="375" s="1" nd="1"/>
        <i x="718" s="1" nd="1"/>
        <i x="127" s="1" nd="1"/>
        <i x="34" s="1" nd="1"/>
        <i x="302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2" s="1" nd="1"/>
        <i x="403" s="1" nd="1"/>
        <i x="741" s="1" nd="1"/>
        <i x="194" s="1" nd="1"/>
        <i x="746" s="1" nd="1"/>
        <i x="383" s="1" nd="1"/>
        <i x="137" s="1" nd="1"/>
        <i x="658" s="1" nd="1"/>
        <i x="429" s="1" nd="1"/>
        <i x="664" s="1" nd="1"/>
        <i x="492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6" s="1" nd="1"/>
        <i x="723" s="1" nd="1"/>
        <i x="748" s="1" nd="1"/>
        <i x="743" s="1" nd="1"/>
        <i x="847" s="1" nd="1"/>
        <i x="124" s="1" nd="1"/>
        <i x="464" s="1" nd="1"/>
        <i x="700" s="1" nd="1"/>
        <i x="427" s="1" nd="1"/>
        <i x="363" s="1" nd="1"/>
        <i x="100" s="1" nd="1"/>
        <i x="480" s="1" nd="1"/>
        <i x="607" s="1" nd="1"/>
        <i x="715" s="1" nd="1"/>
        <i x="54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5" s="1" nd="1"/>
        <i x="130" s="1" nd="1"/>
        <i x="654" s="1" nd="1"/>
        <i x="721" s="1" nd="1"/>
        <i x="641" s="1" nd="1"/>
        <i x="231" s="1" nd="1"/>
        <i x="372" s="1" nd="1"/>
        <i x="735" s="1" nd="1"/>
        <i x="132" s="1" nd="1"/>
        <i x="86" s="1" nd="1"/>
        <i x="209" s="1" nd="1"/>
        <i x="681" s="1" nd="1"/>
        <i x="275" s="1" nd="1"/>
        <i x="471" s="1" nd="1"/>
        <i x="799" s="1" nd="1"/>
        <i x="217" s="1" nd="1"/>
        <i x="827" s="1" nd="1"/>
        <i x="69" s="1" nd="1"/>
        <i x="118" s="1" nd="1"/>
        <i x="645" s="1" nd="1"/>
        <i x="410" s="1" nd="1"/>
        <i x="854" s="1" nd="1"/>
        <i x="431" s="1" nd="1"/>
        <i x="569" s="1" nd="1"/>
        <i x="487" s="1" nd="1"/>
        <i x="182" s="1" nd="1"/>
        <i x="373" s="1" nd="1"/>
        <i x="242" s="1" nd="1"/>
        <i x="337" s="1" nd="1"/>
        <i x="527" s="1" nd="1"/>
        <i x="422" s="1" nd="1"/>
        <i x="788" s="1" nd="1"/>
        <i x="301" s="1" nd="1"/>
        <i x="309" s="1" nd="1"/>
        <i x="490" s="1" nd="1"/>
        <i x="662" s="1" nd="1"/>
        <i x="188" s="1" nd="1"/>
        <i x="659" s="1" nd="1"/>
        <i x="221" s="1" nd="1"/>
        <i x="448" s="1" nd="1"/>
        <i x="147" s="1" nd="1"/>
        <i x="362" s="1" nd="1"/>
        <i x="263" s="1" nd="1"/>
        <i x="291" s="1" nd="1"/>
        <i x="540" s="1" nd="1"/>
        <i x="810" s="1" nd="1"/>
        <i x="603" s="1" nd="1"/>
        <i x="32" s="1" nd="1"/>
        <i x="268" s="1" nd="1"/>
        <i x="751" s="1" nd="1"/>
        <i x="370" s="1" nd="1"/>
        <i x="246" s="1" nd="1"/>
        <i x="397" s="1" nd="1"/>
        <i x="481" s="1" nd="1"/>
        <i x="338" s="1" nd="1"/>
        <i x="612" s="1" nd="1"/>
        <i x="672" s="1" nd="1"/>
        <i x="838" s="1" nd="1"/>
        <i x="51" s="1" nd="1"/>
        <i x="605" s="1" nd="1"/>
        <i x="84" s="1" nd="1"/>
        <i x="326" s="1" nd="1"/>
        <i x="35" s="1" nd="1"/>
        <i x="495" s="1" nd="1"/>
        <i x="506" s="1" nd="1"/>
        <i x="446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0" s="1" nd="1"/>
        <i x="657" s="1" nd="1"/>
        <i x="310" s="1" nd="1"/>
        <i x="74" s="1" nd="1"/>
        <i x="669" s="1" nd="1"/>
        <i x="94" s="1" nd="1"/>
        <i x="439" s="1" nd="1"/>
        <i x="351" s="1" nd="1"/>
        <i x="784" s="1" nd="1"/>
        <i x="498" s="1" nd="1"/>
        <i x="61" s="1" nd="1"/>
        <i x="455" s="1" nd="1"/>
        <i x="82" s="1" nd="1"/>
        <i x="325" s="1" nd="1"/>
        <i x="168" s="1" nd="1"/>
        <i x="332" s="1" nd="1"/>
        <i x="564" s="1" nd="1"/>
        <i x="503" s="1" nd="1"/>
        <i x="228" s="1" nd="1"/>
        <i x="281" s="1" nd="1"/>
        <i x="93" s="1" nd="1"/>
        <i x="406" s="1" nd="1"/>
        <i x="320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0" s="1" nd="1"/>
        <i x="23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6" s="1" nd="1"/>
        <i x="72" s="1" nd="1"/>
        <i x="77" s="1" nd="1"/>
        <i x="528" s="1" nd="1"/>
        <i x="566" s="1" nd="1"/>
        <i x="687" s="1" nd="1"/>
        <i x="280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8" s="1" nd="1"/>
        <i x="235" s="1" nd="1"/>
        <i x="359" s="1" nd="1"/>
        <i x="260" s="1" nd="1"/>
        <i x="364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1" s="1" nd="1"/>
        <i x="26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6" s="1" nd="1"/>
        <i x="694" s="1" nd="1"/>
        <i x="305" s="1" nd="1"/>
        <i x="355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5" s="1" nd="1"/>
        <i x="408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4" s="1" nd="1"/>
        <i x="744" s="1" nd="1"/>
        <i x="79" s="1" nd="1"/>
        <i x="52" s="1" nd="1"/>
        <i x="851" s="1" nd="1"/>
        <i x="30" s="1" nd="1"/>
        <i x="570" s="1" nd="1"/>
        <i x="512" s="1" nd="1"/>
        <i x="412" s="1" nd="1"/>
        <i x="702" s="1" nd="1"/>
        <i x="204" s="1" nd="1"/>
        <i x="643" s="1" nd="1"/>
        <i x="779" s="1" nd="1"/>
        <i x="467" s="1" nd="1"/>
        <i x="41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09" s="1" nd="1"/>
        <i x="692" s="1" nd="1"/>
        <i x="441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4" s="1" nd="1"/>
        <i x="576" s="1" nd="1"/>
        <i x="360" s="1" nd="1"/>
        <i x="450" s="1" nd="1"/>
        <i x="513" s="1" nd="1"/>
        <i x="122" s="1" nd="1"/>
        <i x="646" s="1" nd="1"/>
        <i x="49" s="1" nd="1"/>
        <i x="415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8" s="1" nd="1"/>
        <i x="278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3" s="1" nd="1"/>
        <i x="423" s="1" nd="1"/>
        <i x="27" s="1" nd="1"/>
        <i x="765" s="1" nd="1"/>
        <i x="413" s="1" nd="1"/>
        <i x="552" s="1" nd="1"/>
        <i x="97" s="1" nd="1"/>
        <i x="85" s="1" nd="1"/>
        <i x="293" s="1" nd="1"/>
        <i x="195" s="1" nd="1"/>
        <i x="496" s="1" nd="1"/>
        <i x="262" s="1" nd="1"/>
        <i x="31" s="1" nd="1"/>
        <i x="105" s="1" nd="1"/>
        <i x="533" s="1" nd="1"/>
        <i x="297" s="1" nd="1"/>
        <i x="396" s="1" nd="1"/>
        <i x="229" s="1" nd="1"/>
        <i x="8" s="1" nd="1"/>
        <i x="472" s="1" nd="1"/>
        <i x="824" s="1" nd="1"/>
        <i x="36" s="1" nd="1"/>
        <i x="311" s="1" nd="1"/>
        <i x="825" s="1" nd="1"/>
        <i x="562" s="1" nd="1"/>
        <i x="62" s="1" nd="1"/>
        <i x="568" s="1" nd="1"/>
        <i x="430" s="1" nd="1"/>
        <i x="425" s="1" nd="1"/>
        <i x="176" s="1" nd="1"/>
        <i x="366" s="1" nd="1"/>
        <i x="758" s="1" nd="1"/>
        <i x="600" s="1" nd="1"/>
        <i x="13" s="1" nd="1"/>
        <i x="92" s="1" nd="1"/>
        <i x="437" s="1" nd="1"/>
        <i x="433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6" s="1" nd="1"/>
        <i x="129" s="1" nd="1"/>
        <i x="4" s="1" nd="1"/>
        <i x="50" s="1" nd="1"/>
        <i x="90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4" totalsRowShown="0" headerRowDxfId="92" dataDxfId="90" headerRowBorderDxfId="91" tableBorderDxfId="89" totalsRowBorderDxfId="88">
  <autoFilter ref="A1:D39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3523</v>
      </c>
      <c r="B2" s="12" t="s">
        <v>616</v>
      </c>
      <c r="C2" s="14">
        <v>46297</v>
      </c>
      <c r="D2" s="14">
        <v>46297</v>
      </c>
      <c r="E2" s="12">
        <v>744</v>
      </c>
      <c r="F2" s="15" t="s">
        <v>617</v>
      </c>
      <c r="G2" s="15" t="s">
        <v>618</v>
      </c>
      <c r="H2" s="15" t="s">
        <v>619</v>
      </c>
      <c r="I2" s="16">
        <v>198426.32</v>
      </c>
      <c r="J2" s="15" t="s">
        <v>620</v>
      </c>
      <c r="K2" s="15" t="s">
        <v>621</v>
      </c>
      <c r="L2" s="15" t="s">
        <v>622</v>
      </c>
      <c r="M2" s="15">
        <v>4848</v>
      </c>
      <c r="N2" s="15">
        <v>6</v>
      </c>
      <c r="O2" s="16">
        <v>1893.38</v>
      </c>
      <c r="P2" s="15" t="s">
        <v>623</v>
      </c>
      <c r="Q2" s="15">
        <v>180.31</v>
      </c>
      <c r="R2" s="15" t="s">
        <v>624</v>
      </c>
      <c r="S2" s="15">
        <v>0</v>
      </c>
      <c r="T2" s="15" t="s">
        <v>625</v>
      </c>
      <c r="U2" s="15">
        <v>0</v>
      </c>
      <c r="V2" s="15">
        <v>0</v>
      </c>
      <c r="W2" s="15">
        <v>0</v>
      </c>
      <c r="X2" s="15">
        <v>0</v>
      </c>
      <c r="Y2" s="15">
        <v>79.37</v>
      </c>
      <c r="Z2" s="15">
        <v>450</v>
      </c>
      <c r="AA2" s="15">
        <v>3750.05</v>
      </c>
      <c r="AB2" s="15">
        <v>1097.95</v>
      </c>
      <c r="AC2" s="15">
        <v>1260.48</v>
      </c>
      <c r="AD2" s="15">
        <v>-307.97000000000003</v>
      </c>
      <c r="AE2" s="15">
        <v>0</v>
      </c>
      <c r="AF2" s="15">
        <v>-307.97000000000003</v>
      </c>
      <c r="AG2" s="17">
        <v>-6.3500000000000001E-2</v>
      </c>
      <c r="AH2" s="15"/>
    </row>
    <row r="3" spans="1:34" s="1" customFormat="1" ht="12" customHeight="1" x14ac:dyDescent="0.3">
      <c r="A3" s="13">
        <v>3545</v>
      </c>
      <c r="B3" s="12" t="s">
        <v>616</v>
      </c>
      <c r="C3" s="14">
        <v>46297</v>
      </c>
      <c r="D3" s="14">
        <v>46297</v>
      </c>
      <c r="E3" s="12">
        <v>713</v>
      </c>
      <c r="F3" s="15" t="s">
        <v>626</v>
      </c>
      <c r="G3" s="15" t="s">
        <v>627</v>
      </c>
      <c r="H3" s="15" t="s">
        <v>628</v>
      </c>
      <c r="I3" s="16">
        <v>1264.1400000000001</v>
      </c>
      <c r="J3" s="15" t="s">
        <v>629</v>
      </c>
      <c r="K3" s="15" t="s">
        <v>621</v>
      </c>
      <c r="L3" s="15" t="s">
        <v>630</v>
      </c>
      <c r="M3" s="16">
        <v>95.08</v>
      </c>
      <c r="N3" s="15">
        <v>2</v>
      </c>
      <c r="O3" s="16">
        <v>24.42</v>
      </c>
      <c r="P3" s="15" t="s">
        <v>623</v>
      </c>
      <c r="Q3" s="15">
        <v>2.4700000000000002</v>
      </c>
      <c r="R3" s="15" t="s">
        <v>631</v>
      </c>
      <c r="S3" s="15">
        <v>40</v>
      </c>
      <c r="T3" s="15" t="s">
        <v>625</v>
      </c>
      <c r="U3" s="15">
        <v>0</v>
      </c>
      <c r="V3" s="15">
        <v>11.41</v>
      </c>
      <c r="W3" s="15">
        <v>0</v>
      </c>
      <c r="X3" s="15">
        <v>0</v>
      </c>
      <c r="Y3" s="15">
        <v>0.51</v>
      </c>
      <c r="Z3" s="15">
        <v>0</v>
      </c>
      <c r="AA3" s="16">
        <v>114.02</v>
      </c>
      <c r="AB3" s="16">
        <v>-18.940000000000001</v>
      </c>
      <c r="AC3" s="15">
        <v>24.72</v>
      </c>
      <c r="AD3" s="15">
        <v>-43.66</v>
      </c>
      <c r="AE3" s="15">
        <v>0</v>
      </c>
      <c r="AF3" s="15">
        <v>-43.66</v>
      </c>
      <c r="AG3" s="17">
        <v>-0.4592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4943.08</v>
      </c>
      <c r="F3" s="89"/>
      <c r="G3" s="90"/>
      <c r="H3" s="133">
        <f>'Resumo Detalhado'!C2</f>
        <v>1917.8000000000002</v>
      </c>
      <c r="I3" s="134"/>
      <c r="J3" s="135">
        <f>E3/H3</f>
        <v>2.5774741891750961</v>
      </c>
      <c r="K3" s="136"/>
      <c r="L3" s="137"/>
      <c r="M3" s="138" t="s">
        <v>236</v>
      </c>
      <c r="N3" s="89"/>
      <c r="O3" s="90"/>
      <c r="P3" s="106">
        <v>3500</v>
      </c>
      <c r="Q3" s="107"/>
      <c r="R3" s="108"/>
      <c r="S3" s="103">
        <f>MIN(H3/P3,1)</f>
        <v>0.54794285714285718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3282.78</v>
      </c>
      <c r="F7" s="112"/>
      <c r="G7" s="112"/>
      <c r="H7" s="112"/>
      <c r="I7" s="112"/>
      <c r="J7" s="112">
        <f>E7/H3</f>
        <v>1.7117426217540932</v>
      </c>
      <c r="K7" s="112"/>
      <c r="L7" s="112"/>
      <c r="M7" s="130">
        <f>E7/E3</f>
        <v>0.66411629995873023</v>
      </c>
      <c r="N7" s="130"/>
      <c r="O7" s="130"/>
      <c r="P7" s="112">
        <f>E11+K11+Q11+E15+K15+Q15+E19+H19+K19</f>
        <v>5010.4092000000001</v>
      </c>
      <c r="Q7" s="112"/>
      <c r="R7" s="112"/>
      <c r="S7" s="112">
        <f>P7/H3</f>
        <v>2.6125817082073208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3100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3100</v>
      </c>
      <c r="L11" s="90"/>
      <c r="M11" s="38"/>
      <c r="N11" s="88">
        <f>K11/H3</f>
        <v>1.6164354990092813</v>
      </c>
      <c r="O11" s="90"/>
      <c r="P11" s="38"/>
      <c r="Q11" s="88">
        <f>'Resumo Detalhado'!D2</f>
        <v>182.78</v>
      </c>
      <c r="R11" s="90"/>
      <c r="S11" s="38"/>
      <c r="T11" s="88">
        <f>Q11/H3</f>
        <v>9.5307122744811762E-2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11.41</v>
      </c>
      <c r="F15" s="119"/>
      <c r="G15" s="119"/>
      <c r="H15" s="119"/>
      <c r="I15" s="132"/>
      <c r="J15" s="38"/>
      <c r="K15" s="113">
        <f>'Resumo Detalhado'!K2+'Resumo Detalhado'!L2</f>
        <v>790.89280000000008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79.88000000000001</v>
      </c>
      <c r="F19" s="120"/>
      <c r="G19" s="38"/>
      <c r="H19" s="122">
        <f>'Resumo Detalhado'!J2</f>
        <v>450</v>
      </c>
      <c r="I19" s="123"/>
      <c r="J19" s="38"/>
      <c r="K19" s="122">
        <f>'Resumo Detalhado'!L2</f>
        <v>395.44640000000004</v>
      </c>
      <c r="L19" s="123"/>
      <c r="M19" s="38"/>
      <c r="N19" s="121" t="s">
        <v>329</v>
      </c>
      <c r="O19" s="119"/>
      <c r="P19" s="119"/>
      <c r="Q19" s="119"/>
      <c r="R19" s="120"/>
      <c r="S19" s="121">
        <f>_xlfn.XLOOKUP(N19,Target!C:C,Target!D:D)</f>
        <v>3200</v>
      </c>
      <c r="T19" s="119"/>
      <c r="U19" s="120"/>
      <c r="V19" s="36"/>
      <c r="W19" s="94" t="str">
        <f>IF(D11=S19,"NO TARGET",IF(D11&lt;S19,"ABAIXO DO TARGET",IF(D11&gt;S19,"FORA DO TARGET")))</f>
        <v>ABAIXO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3783.5635999999995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0.76542633337918864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6640625" bestFit="1" customWidth="1"/>
    <col min="2" max="2" width="14.33203125" bestFit="1" customWidth="1"/>
    <col min="3" max="3" width="10.88671875" style="5" bestFit="1" customWidth="1"/>
    <col min="4" max="4" width="10.5546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9.44140625" bestFit="1" customWidth="1"/>
    <col min="9" max="9" width="9.6640625" style="4" bestFit="1" customWidth="1"/>
    <col min="10" max="10" width="10.55468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632</v>
      </c>
      <c r="F1" s="29"/>
    </row>
    <row r="2" spans="1:18" x14ac:dyDescent="0.3">
      <c r="B2" s="29">
        <f>SUM(B6:B5000)</f>
        <v>4943.08</v>
      </c>
      <c r="C2" s="29">
        <f>SUM(C6:C5000)</f>
        <v>1917.8000000000002</v>
      </c>
      <c r="D2" s="29">
        <f>SUM(D6:D5000)</f>
        <v>182.78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11.41</v>
      </c>
      <c r="I2" s="29">
        <f t="shared" si="0"/>
        <v>79.88000000000001</v>
      </c>
      <c r="J2" s="29">
        <f t="shared" si="0"/>
        <v>450</v>
      </c>
      <c r="K2" s="29">
        <f t="shared" si="0"/>
        <v>395.44640000000004</v>
      </c>
      <c r="L2" s="29">
        <f t="shared" si="0"/>
        <v>395.44640000000004</v>
      </c>
      <c r="M2" s="29">
        <f t="shared" si="0"/>
        <v>0</v>
      </c>
      <c r="N2" s="29">
        <f t="shared" si="0"/>
        <v>3783.5635999999995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618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3523</v>
      </c>
      <c r="B6" s="139">
        <v>4848</v>
      </c>
      <c r="C6" s="140">
        <v>1893.38</v>
      </c>
      <c r="D6" s="139">
        <v>180.31</v>
      </c>
      <c r="E6" s="139">
        <v>0</v>
      </c>
      <c r="F6" s="139">
        <v>0</v>
      </c>
      <c r="G6" s="141">
        <v>3.7192656765676568E-2</v>
      </c>
      <c r="H6" s="139">
        <v>0</v>
      </c>
      <c r="I6" s="139">
        <v>79.37</v>
      </c>
      <c r="J6" s="139">
        <v>450</v>
      </c>
      <c r="K6" s="139">
        <v>387.84000000000003</v>
      </c>
      <c r="L6" s="139">
        <v>387.84000000000003</v>
      </c>
      <c r="M6" s="139">
        <v>0</v>
      </c>
      <c r="N6" s="139">
        <v>3750.4799999999996</v>
      </c>
      <c r="O6" s="141">
        <v>0.77361386138613852</v>
      </c>
      <c r="Q6"/>
    </row>
    <row r="7" spans="1:18" s="31" customFormat="1" x14ac:dyDescent="0.3">
      <c r="A7" s="9" t="s">
        <v>627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>
        <v>3545</v>
      </c>
      <c r="B8" s="139">
        <v>95.08</v>
      </c>
      <c r="C8" s="140">
        <v>24.42</v>
      </c>
      <c r="D8" s="139">
        <v>2.4700000000000002</v>
      </c>
      <c r="E8" s="139">
        <v>40</v>
      </c>
      <c r="F8" s="139">
        <v>0</v>
      </c>
      <c r="G8" s="141">
        <v>0.44667648296171647</v>
      </c>
      <c r="H8" s="139">
        <v>11.41</v>
      </c>
      <c r="I8" s="139">
        <v>0.51</v>
      </c>
      <c r="J8" s="139">
        <v>0</v>
      </c>
      <c r="K8" s="139">
        <v>7.6063999999999998</v>
      </c>
      <c r="L8" s="139">
        <v>7.6063999999999998</v>
      </c>
      <c r="M8" s="139">
        <v>0</v>
      </c>
      <c r="N8" s="139">
        <v>33.083600000000004</v>
      </c>
      <c r="O8" s="141">
        <v>0.34795540597391678</v>
      </c>
      <c r="P8"/>
    </row>
    <row r="9" spans="1:18" s="31" customFormat="1" x14ac:dyDescent="0.3">
      <c r="A9" s="9" t="s">
        <v>86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39"/>
      <c r="O9" s="141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632</v>
      </c>
    </row>
    <row r="2" spans="1:4" x14ac:dyDescent="0.3">
      <c r="B2" s="29">
        <f>SUM(B6:B5000)</f>
        <v>95.08</v>
      </c>
      <c r="C2" s="29">
        <f>SUM(C6:C5000)</f>
        <v>33.083600000000004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618</v>
      </c>
      <c r="B5" s="10">
        <v>4848</v>
      </c>
      <c r="C5" s="10">
        <v>3750.4799999999996</v>
      </c>
    </row>
    <row r="6" spans="1:4" x14ac:dyDescent="0.3">
      <c r="A6" s="9" t="s">
        <v>627</v>
      </c>
      <c r="B6" s="139">
        <v>95.08</v>
      </c>
      <c r="C6" s="139">
        <v>33.083600000000004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2026-10-07T15:21:32Z</dcterms:modified>
  <cp:category/>
  <cp:contentStatus/>
</cp:coreProperties>
</file>