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57538C9-1F81-41E9-8931-514C842C412C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<sst xmlns="http://schemas.openxmlformats.org/spreadsheetml/2006/main" count="914" uniqueCount="633">
  <si>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</si>
  <si>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</si>
  <si>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</si>
  <si>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</si>
  <si>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</si>
  <si>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</si>
  <si>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</si>
  <si>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</si>
  <si>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</si>
  <si>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</si>
  <si>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</si>
  <si>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</si>
  <si>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</si>
  <si>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</si>
  <si>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</si>
  <si>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</si>
  <si>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</si>
  <si>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</si>
  <si>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</si>
  <si>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</si>
  <si>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</si>
  <si>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</si>
  <si>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</si>
  <si>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</si>
  <si>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</si>
  <si>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</si>
  <si>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</si>
  <si>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</si>
  <si>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</si>
  <si>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</si>
  <si>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</si>
  <si>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</si>
  <si>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</si>
  <si>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</si>
  <si>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</si>
  <si>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</si>
  <si>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</si>
  <si>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</si>
  <si>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</si>
  <si>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</si>
  <si>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</si>
  <si>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</si>
  <si>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</si>
  <si>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</si>
  <si>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</si>
  <si>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</si>
  <si>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</si>
  <si>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</si>
  <si>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</si>
  <si>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</si>
  <si>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</si>
  <si>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</si>
  <si>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</si>
  <si>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</si>
  <si>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</si>
  <si>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</si>
  <si>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</si>
  <si>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</si>
  <si>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</si>
  <si>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</si>
  <si>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</si>
  <si>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</si>
  <si>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</si>
  <si>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</si>
  <si>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</si>
  <si>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</si>
  <si>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</si>
  <si>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</si>
  <si>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</si>
  <si>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</si>
  <si>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</si>
  <si>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</si>
  <si>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</si>
  <si>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</si>
  <si>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</si>
  <si>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</si>
  <si>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</si>
  <si>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</si>
  <si>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</si>
  <si>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</si>
  <si>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</si>
  <si>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</si>
  <si>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</si>
  <si>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</si>
  <si>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</si>
  <si>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</si>
  <si>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</si>
  <si>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</si>
  <si>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</si>
  <si>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</si>
  <si>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</si>
  <si>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</si>
  <si>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</si>
  <si>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</si>
  <si>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</si>
  <si>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</si>
  <si>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</si>
  <si>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</si>
  <si>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</si>
  <si>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</si>
  <si>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</si>
  <si>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</si>
  <si>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</si>
  <si>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</si>
  <si>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</si>
  <si>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</si>
  <si>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</si>
  <si>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</si>
  <si>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</si>
  <si>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</si>
  <si>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</si>
  <si>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</si>
  <si>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</si>
  <si>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</si>
  <si>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</si>
  <si>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</si>
  <si>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</si>
  <si>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</si>
  <si>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</si>
  <si>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</si>
  <si>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</si>
  <si>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</si>
  <si>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</si>
  <si>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</si>
  <si>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</si>
  <si>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</si>
  <si>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</si>
  <si>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</si>
  <si>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</si>
  <si>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</si>
  <si>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</si>
  <si>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</si>
  <si>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</si>
  <si>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</si>
  <si>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</si>
  <si>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</si>
  <si>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</si>
  <si>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</si>
  <si>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</si>
  <si>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</si>
  <si>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</si>
  <si>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</si>
  <si>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</si>
  <si>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</si>
  <si>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</si>
  <si>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</si>
  <si>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</si>
  <si>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</si>
  <si>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</si>
  <si>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</si>
  <si>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</si>
  <si>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</si>
  <si>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</si>
  <si>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</si>
  <si>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</si>
  <si>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</si>
  <si>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</si>
  <si>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</si>
  <si>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</si>
  <si>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</si>
  <si>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</si>
  <si>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</si>
  <si>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</si>
  <si>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</si>
  <si>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</si>
  <si>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</si>
  <si>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</si>
  <si>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</si>
  <si>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</si>
  <si>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</si>
  <si>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</si>
  <si>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</si>
  <si>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</si>
  <si>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</si>
  <si>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</si>
  <si>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</si>
  <si>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</si>
  <si>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</si>
  <si>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</si>
  <si>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</si>
  <si>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</si>
  <si>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</si>
  <si>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</si>
  <si>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</si>
  <si>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</si>
  <si>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</si>
  <si>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</si>
  <si>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</si>
  <si>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</si>
  <si>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</si>
  <si>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</si>
  <si>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</si>
  <si>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</si>
  <si>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</si>
  <si>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</si>
  <si>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</si>
  <si>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</si>
  <si>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</si>
  <si>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</si>
  <si>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</si>
  <si>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</si>
  <si>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</si>
  <si>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</si>
  <si>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</si>
  <si>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</si>
  <si>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</si>
  <si>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</si>
  <si>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</si>
  <si>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</si>
  <si>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</si>
  <si>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</si>
  <si>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</si>
  <si>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</si>
  <si>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</si>
  <si>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</si>
  <si>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</si>
  <si>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</si>
  <si>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</si>
  <si>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</si>
  <si>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</si>
  <si>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</si>
  <si>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</si>
  <si>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</si>
  <si>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</si>
  <si>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</si>
  <si>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</si>
  <si>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</si>
  <si>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</si>
  <si>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</si>
  <si>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</si>
  <si>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</si>
  <si>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</si>
  <si>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</si>
  <si>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</si>
  <si>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</si>
  <si>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</si>
  <si>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</si>
  <si>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</si>
  <si>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</si>
  <si>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</si>
  <si>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</si>
  <si>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</si>
  <si>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</si>
  <si>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</si>
  <si>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</si>
  <si>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</si>
  <si>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</si>
  <si>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</si>
  <si>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</si>
  <si>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</si>
  <si>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</si>
  <si>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</si>
  <si>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</si>
  <si>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</si>
  <si>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</si>
  <si>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</si>
  <si>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</si>
  <si>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</si>
  <si>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</si>
  <si>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</si>
  <si>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</si>
  <si>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</si>
  <si>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</si>
  <si>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</si>
  <si>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</si>
  <si>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</si>
  <si>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</si>
  <si>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</si>
  <si>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</si>
  <si>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</si>
  <si>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</si>
  <si>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</si>
  <si>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</si>
  <si>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</si>
  <si>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</si>
  <si>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</si>
  <si>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</si>
  <si>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</si>
  <si>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</si>
  <si>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</si>
  <si>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</si>
  <si>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</si>
  <si>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</si>
  <si>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</si>
  <si>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</si>
  <si>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</si>
  <si>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</si>
  <si>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</si>
  <si>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</si>
  <si>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</si>
  <si>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</si>
  <si>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</si>
  <si>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</si>
  <si>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</si>
  <si>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</si>
  <si>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</si>
  <si>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</si>
  <si>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</si>
  <si>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</si>
  <si>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</si>
  <si>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</si>
  <si>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</si>
  <si>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</si>
  <si>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</si>
  <si>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</si>
  <si>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</si>
  <si>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</si>
  <si>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</si>
  <si>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</si>
  <si>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</si>
  <si>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</si>
  <si>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</si>
  <si>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</si>
  <si>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</si>
  <si>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</si>
  <si>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</si>
  <si>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</si>
  <si>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</si>
  <si>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</si>
  <si>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</si>
  <si>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</si>
  <si>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</si>
  <si>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</si>
  <si>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</si>
  <si>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</si>
  <si>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</si>
  <si>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</si>
  <si>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</si>
  <si>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</si>
  <si>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</si>
  <si>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</si>
  <si>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</si>
  <si>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</si>
  <si>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</si>
  <si>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</si>
  <si>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</si>
  <si>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</si>
  <si>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</si>
  <si>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</si>
  <si>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</si>
  <si>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</si>
  <si>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</si>
  <si>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</si>
  <si>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</si>
  <si>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</si>
  <si>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</si>
  <si>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</si>
  <si>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</si>
  <si>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</si>
  <si>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</si>
  <si>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</si>
  <si>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</si>
  <si>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</si>
  <si>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</si>
  <si>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</si>
  <si>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</si>
  <si>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</si>
  <si>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</si>
  <si>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</si>
  <si>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</si>
  <si>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</si>
  <si>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</si>
  <si>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</si>
  <si>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</si>
  <si>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</si>
  <si>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</si>
  <si>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</si>
  <si>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</si>
  <si>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</si>
  <si>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</si>
  <si>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</si>
  <si>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</si>
  <si>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</si>
  <si>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</si>
  <si>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</si>
  <si>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</si>
  <si>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</si>
  <si>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</si>
  <si>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</si>
  <si>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</si>
  <si>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</si>
  <si>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</si>
  <si>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</si>
  <si>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</si>
  <si>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</si>
  <si>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</si>
  <si>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</si>
  <si>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</si>
  <si>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</si>
  <si>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</si>
  <si>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</si>
  <si>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</si>
  <si>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</si>
  <si>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</si>
  <si>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</si>
  <si>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</si>
  <si>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</si>
  <si>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</si>
  <si>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</si>
  <si>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</si>
  <si>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</si>
  <si>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</si>
  <si>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</si>
  <si>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</si>
  <si>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</si>
  <si>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</si>
  <si>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</si>
  <si>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</si>
  <si>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</si>
  <si>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</si>
  <si>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</si>
  <si>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</si>
  <si>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</si>
  <si>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</si>
  <si>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</si>
  <si>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</si>
  <si>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</si>
  <si>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</si>
  <si>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</si>
  <si>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</si>
  <si>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</si>
  <si>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</si>
  <si>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</si>
  <si>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</si>
  <si>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</si>
  <si>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</si>
  <si>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</si>
  <si>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</si>
  <si>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</si>
  <si>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</si>
  <si>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</si>
  <si>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</si>
  <si>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</si>
  <si>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</si>
  <si>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</si>
  <si>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</si>
  <si>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</si>
  <si>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</si>
  <si>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</si>
  <si>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</si>
  <si>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</si>
  <si>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</si>
  <si>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</si>
  <si>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</si>
  <si>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</si>
  <si>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</si>
  <si>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</si>
  <si>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</si>
  <si>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</si>
  <si>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</si>
  <si>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</si>
  <si>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</si>
  <si>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</si>
  <si>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</si>
  <si>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</si>
  <si>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</si>
  <si>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</si>
  <si>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</si>
  <si>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</si>
  <si>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</si>
  <si>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</si>
  <si>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</si>
  <si>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</si>
  <si>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</si>
  <si>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</si>
  <si>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</si>
  <si>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</si>
  <si>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</si>
  <si>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</si>
  <si>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</si>
  <si>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</si>
  <si>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</si>
  <si>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</si>
  <si>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</si>
  <si>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</si>
  <si>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</si>
  <si>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</si>
  <si>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</si>
  <si>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</si>
  <si>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</si>
  <si>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</si>
  <si>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</si>
  <si>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</si>
  <si>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</si>
  <si>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</si>
  <si>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</si>
  <si>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</si>
  <si>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</si>
  <si>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</si>
  <si>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</si>
  <si>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</si>
  <si>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</si>
  <si>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</si>
  <si>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</si>
  <si>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</si>
  <si>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</si>
  <si>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</si>
  <si>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</si>
  <si>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</si>
  <si>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</si>
  <si>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</si>
  <si>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</si>
  <si>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</si>
  <si>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</si>
  <si>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</si>
  <si>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</si>
  <si>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</si>
  <si>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</si>
  <si>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</si>
  <si>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</si>
  <si>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</si>
  <si>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</si>
  <si>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</si>
  <si>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</si>
  <si>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</si>
  <si>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</si>
  <si>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</si>
  <si>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</si>
  <si>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</si>
  <si>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</si>
  <si>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</si>
  <si>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</si>
  <si>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</si>
  <si>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</si>
  <si>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</si>
  <si>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</si>
  <si>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</si>
  <si>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</si>
  <si>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</si>
  <si>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</si>
  <si>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</si>
  <si>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</si>
  <si>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</si>
  <si>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</si>
  <si>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</si>
  <si>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</si>
  <si>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</si>
  <si>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</si>
  <si>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</si>
  <si>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</si>
  <si>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</si>
  <si>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</si>
  <si>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</si>
  <si>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</si>
  <si>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</si>
  <si>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</si>
  <si>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</si>
  <si>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</si>
  <si>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</si>
  <si>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</si>
  <si>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</si>
  <si>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</si>
  <si>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</si>
  <si>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</si>
  <si>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</si>
  <si>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</si>
  <si>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</si>
  <si>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</si>
  <si>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</si>
  <si>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</si>
  <si>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</si>
  <si>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</si>
  <si>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</si>
  <si>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</si>
  <si>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</si>
  <si>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</si>
  <si>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</si>
  <si>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</si>
  <si>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</si>
  <si>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</si>
  <si>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</si>
  <si>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</si>
  <si>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</si>
  <si>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</si>
  <si>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</si>
  <si>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</si>
  <si>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</si>
  <si>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</si>
  <si>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</si>
  <si>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</si>
  <si>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</si>
  <si>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</si>
  <si>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</si>
  <si>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</si>
  <si>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</si>
  <si>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</si>
  <si>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</si>
  <si>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</si>
  <si>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</si>
  <si>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</si>
  <si>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</si>
  <si>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</si>
  <si>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</si>
  <si>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</si>
  <si>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</si>
  <si>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</si>
  <si>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</si>
  <si>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</si>
  <si>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</si>
  <si>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</si>
  <si>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</si>
  <si>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</si>
  <si>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</si>
  <si>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</si>
  <si>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</si>
  <si>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</si>
  <si>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</si>
  <si>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</si>
  <si>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</si>
  <si>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</si>
  <si>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</si>
  <si>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</si>
  <si>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</si>
  <si>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</si>
  <si>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</si>
  <si>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</si>
  <si>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</si>
  <si>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3410-1</t>
  </si>
  <si>
    <t>CRONOS LOGISTIC</t>
  </si>
  <si>
    <t>URIEL CORREA</t>
  </si>
  <si>
    <t>PERSONALIZADO_L</t>
  </si>
  <si>
    <t>CTE NORMAL</t>
  </si>
  <si>
    <t>GUARULHOS - SP</t>
  </si>
  <si>
    <t>PORTOEXPRESS LOGISTICA LT</t>
  </si>
  <si>
    <t>N/D</t>
  </si>
  <si>
    <t>RODRIGO DA SILVA POLEZA</t>
  </si>
  <si>
    <t>3431-1</t>
  </si>
  <si>
    <t>MAC FER INDUSTR</t>
  </si>
  <si>
    <t>FRANCISCO GILAILTON/SABRI</t>
  </si>
  <si>
    <t>ECONOMICO_250</t>
  </si>
  <si>
    <t>OSASCO - SP</t>
  </si>
  <si>
    <t>JOSE EMILTON DA COSTA - 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</si>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</sst>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[Analise_JOAO_02102026.xlsx]Resumo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4848</c:v>
                </c:pt>
                <c:pt idx="1">
                  <c:v>95.08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3750.4799999999996</c:v>
                </c:pt>
                <c:pt idx="1">
                  <c:v>33.083600000000004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[Analise_JOAO_02102026.xlsx]Resumo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4848</c:v>
                </c:pt>
                <c:pt idx="1">
                  <c:v>95.08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3750.4799999999996</c:v>
                </c:pt>
                <c:pt idx="1">
                  <c:v>33.083600000000004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2.57571192129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23"/>
        <n v="3545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3T00:00:00"/>
    </cacheField>
    <cacheField name="DATA" numFmtId="14">
      <sharedItems containsNonDate="0" containsDate="1" containsString="0" containsBlank="1" minDate="2026-10-02T00:00:00" maxDate="2026-10-03T00:00:00"/>
    </cacheField>
    <cacheField name="FAT" numFmtId="0">
      <sharedItems containsString="0" containsBlank="1" containsNumber="1" containsInteger="1" minValue="713" maxValue="744"/>
    </cacheField>
    <cacheField name="CT-E" numFmtId="0">
      <sharedItems containsBlank="1"/>
    </cacheField>
    <cacheField name="CLIENTE TOMADOR" numFmtId="0">
      <sharedItems containsBlank="1" count="855">
        <s v="CRONOS LOGISTIC"/>
        <s v="MAC FER INDUST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264.1400000000001" maxValue="198426.32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5.08" maxValue="4848"/>
    </cacheField>
    <cacheField name="VOLUMES" numFmtId="0">
      <sharedItems containsString="0" containsBlank="1" containsNumber="1" containsInteger="1" minValue="2" maxValue="6"/>
    </cacheField>
    <cacheField name="PESO" numFmtId="0">
      <sharedItems containsString="0" containsBlank="1" containsNumber="1" minValue="24.42" maxValue="1893.38"/>
    </cacheField>
    <cacheField name="RESP. COLETA" numFmtId="0">
      <sharedItems containsBlank="1"/>
    </cacheField>
    <cacheField name="CUSTO COLETA" numFmtId="0">
      <sharedItems containsString="0" containsBlank="1" containsNumber="1" minValue="2.4700000000000002" maxValue="180.31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1.4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1" maxValue="79.37"/>
    </cacheField>
    <cacheField name="OUTROS" numFmtId="0">
      <sharedItems containsString="0" containsBlank="1" containsNumber="1" containsInteger="1" minValue="0" maxValue="450"/>
    </cacheField>
    <cacheField name="C.TOTAL" numFmtId="0">
      <sharedItems containsString="0" containsBlank="1" containsNumber="1" minValue="114.02" maxValue="3750.05"/>
    </cacheField>
    <cacheField name="RECEITA" numFmtId="0">
      <sharedItems containsString="0" containsBlank="1" containsNumber="1" minValue="-18.940000000000001" maxValue="1097.95"/>
    </cacheField>
    <cacheField name="IMPOSTO" numFmtId="0">
      <sharedItems containsString="0" containsBlank="1" containsNumber="1" minValue="24.72" maxValue="1260.48"/>
    </cacheField>
    <cacheField name="RESULTADO" numFmtId="0">
      <sharedItems containsString="0" containsBlank="1" containsNumber="1" minValue="-307.97000000000003" maxValue="-43.66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307.97000000000003" maxValue="-43.66"/>
    </cacheField>
    <cacheField name="MARGEM" numFmtId="10">
      <sharedItems containsString="0" containsBlank="1" containsNumber="1" minValue="-0.4592" maxValue="-6.3500000000000001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2T00:00:00"/>
    <d v="2026-10-02T00:00:00"/>
    <n v="744"/>
    <s v="3410-1"/>
    <x v="0"/>
    <s v="URIEL CORREA"/>
    <n v="198426.32"/>
    <x v="0"/>
    <s v="CTE NORMAL"/>
    <s v="GUARULHOS - SP"/>
    <n v="4848"/>
    <n v="6"/>
    <n v="1893.38"/>
    <s v="PORTOEXPRESS LOGISTICA LT"/>
    <n v="180.31"/>
    <s v="N/D"/>
    <n v="0"/>
    <s v="RODRIGO DA SILVA POLEZA"/>
    <n v="0"/>
    <n v="0"/>
    <n v="0"/>
    <n v="0"/>
    <n v="79.37"/>
    <n v="450"/>
    <n v="3750.05"/>
    <n v="1097.95"/>
    <n v="1260.48"/>
    <n v="-307.97000000000003"/>
    <n v="0"/>
    <n v="-307.97000000000003"/>
    <n v="-6.3500000000000001E-2"/>
    <m/>
  </r>
  <r>
    <x v="1"/>
    <s v="MATRIZ"/>
    <d v="2026-10-02T00:00:00"/>
    <d v="2026-10-02T00:00:00"/>
    <n v="713"/>
    <s v="3431-1"/>
    <x v="1"/>
    <s v="FRANCISCO GILAILTON/SABRI"/>
    <n v="1264.1400000000001"/>
    <x v="1"/>
    <s v="CTE NORMAL"/>
    <s v="OSASCO - SP"/>
    <n v="95.08"/>
    <n v="2"/>
    <n v="24.42"/>
    <s v="PORTOEXPRESS LOGISTICA LT"/>
    <n v="2.4700000000000002"/>
    <s v="JOSE EMILTON DA COSTA - O"/>
    <n v="40"/>
    <s v="RODRIGO DA SILVA POLEZA"/>
    <n v="0"/>
    <n v="11.41"/>
    <n v="0"/>
    <n v="0"/>
    <n v="0.51"/>
    <n v="0"/>
    <n v="114.02"/>
    <n v="-18.940000000000001"/>
    <n v="24.72"/>
    <n v="-43.66"/>
    <n v="0"/>
    <n v="-43.66"/>
    <n v="-0.459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1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8"/>
    </i>
    <i>
      <x v="468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0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1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46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0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4" s="1" nd="1"/>
        <i x="669" s="1" nd="1"/>
        <i x="94" s="1" nd="1"/>
        <i x="439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79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0" s="1" nd="1"/>
        <i x="425" s="1" nd="1"/>
        <i x="176" s="1" nd="1"/>
        <i x="366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3523</v>
      </c>
      <c r="B2" s="12" t="s">
        <v>616</v>
      </c>
      <c r="C2" s="14">
        <v>46297</v>
      </c>
      <c r="D2" s="14">
        <v>46297</v>
      </c>
      <c r="E2" s="12">
        <v>744</v>
      </c>
      <c r="F2" s="15" t="s">
        <v>617</v>
      </c>
      <c r="G2" s="15" t="s">
        <v>618</v>
      </c>
      <c r="H2" s="15" t="s">
        <v>619</v>
      </c>
      <c r="I2" s="16">
        <v>198426.32</v>
      </c>
      <c r="J2" s="15" t="s">
        <v>620</v>
      </c>
      <c r="K2" s="15" t="s">
        <v>621</v>
      </c>
      <c r="L2" s="15" t="s">
        <v>622</v>
      </c>
      <c r="M2" s="15">
        <v>4848</v>
      </c>
      <c r="N2" s="15">
        <v>6</v>
      </c>
      <c r="O2" s="16">
        <v>1893.38</v>
      </c>
      <c r="P2" s="15" t="s">
        <v>623</v>
      </c>
      <c r="Q2" s="15">
        <v>180.31</v>
      </c>
      <c r="R2" s="15" t="s">
        <v>624</v>
      </c>
      <c r="S2" s="15">
        <v>0</v>
      </c>
      <c r="T2" s="15" t="s">
        <v>625</v>
      </c>
      <c r="U2" s="15">
        <v>0</v>
      </c>
      <c r="V2" s="15">
        <v>0</v>
      </c>
      <c r="W2" s="15">
        <v>0</v>
      </c>
      <c r="X2" s="15">
        <v>0</v>
      </c>
      <c r="Y2" s="15">
        <v>79.37</v>
      </c>
      <c r="Z2" s="15">
        <v>450</v>
      </c>
      <c r="AA2" s="15">
        <v>3750.05</v>
      </c>
      <c r="AB2" s="15">
        <v>1097.95</v>
      </c>
      <c r="AC2" s="15">
        <v>1260.48</v>
      </c>
      <c r="AD2" s="15">
        <v>-307.97000000000003</v>
      </c>
      <c r="AE2" s="15">
        <v>0</v>
      </c>
      <c r="AF2" s="15">
        <v>-307.97000000000003</v>
      </c>
      <c r="AG2" s="17">
        <v>-6.3500000000000001E-2</v>
      </c>
      <c r="AH2" s="15"/>
    </row>
    <row r="3" spans="1:34" s="1" customFormat="1" ht="12" customHeight="1" x14ac:dyDescent="0.3">
      <c r="A3" s="13">
        <v>3545</v>
      </c>
      <c r="B3" s="12" t="s">
        <v>616</v>
      </c>
      <c r="C3" s="14">
        <v>46297</v>
      </c>
      <c r="D3" s="14">
        <v>46297</v>
      </c>
      <c r="E3" s="12">
        <v>713</v>
      </c>
      <c r="F3" s="15" t="s">
        <v>626</v>
      </c>
      <c r="G3" s="15" t="s">
        <v>627</v>
      </c>
      <c r="H3" s="15" t="s">
        <v>628</v>
      </c>
      <c r="I3" s="16">
        <v>1264.1400000000001</v>
      </c>
      <c r="J3" s="15" t="s">
        <v>629</v>
      </c>
      <c r="K3" s="15" t="s">
        <v>621</v>
      </c>
      <c r="L3" s="15" t="s">
        <v>630</v>
      </c>
      <c r="M3" s="16">
        <v>95.08</v>
      </c>
      <c r="N3" s="15">
        <v>2</v>
      </c>
      <c r="O3" s="16">
        <v>24.42</v>
      </c>
      <c r="P3" s="15" t="s">
        <v>623</v>
      </c>
      <c r="Q3" s="15">
        <v>2.4700000000000002</v>
      </c>
      <c r="R3" s="15" t="s">
        <v>631</v>
      </c>
      <c r="S3" s="15">
        <v>40</v>
      </c>
      <c r="T3" s="15" t="s">
        <v>625</v>
      </c>
      <c r="U3" s="15">
        <v>0</v>
      </c>
      <c r="V3" s="15">
        <v>11.41</v>
      </c>
      <c r="W3" s="15">
        <v>0</v>
      </c>
      <c r="X3" s="15">
        <v>0</v>
      </c>
      <c r="Y3" s="15">
        <v>0.51</v>
      </c>
      <c r="Z3" s="15">
        <v>0</v>
      </c>
      <c r="AA3" s="16">
        <v>114.02</v>
      </c>
      <c r="AB3" s="16">
        <v>-18.940000000000001</v>
      </c>
      <c r="AC3" s="15">
        <v>24.72</v>
      </c>
      <c r="AD3" s="15">
        <v>-43.66</v>
      </c>
      <c r="AE3" s="15">
        <v>0</v>
      </c>
      <c r="AF3" s="15">
        <v>-43.66</v>
      </c>
      <c r="AG3" s="17">
        <v>-0.4592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4943.08</v>
      </c>
      <c r="F3" s="89"/>
      <c r="G3" s="90"/>
      <c r="H3" s="133">
        <f>'Resumo Detalhado'!C2</f>
        <v>1917.8000000000002</v>
      </c>
      <c r="I3" s="134"/>
      <c r="J3" s="135">
        <f>E3/H3</f>
        <v>2.5774741891750961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0.54794285714285718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3182.78</v>
      </c>
      <c r="F7" s="112"/>
      <c r="G7" s="112"/>
      <c r="H7" s="112"/>
      <c r="I7" s="112"/>
      <c r="J7" s="112">
        <f>E7/H3</f>
        <v>1.6595995411408906</v>
      </c>
      <c r="K7" s="112"/>
      <c r="L7" s="112"/>
      <c r="M7" s="130">
        <f>E7/E3</f>
        <v>0.6438859982035493</v>
      </c>
      <c r="N7" s="130"/>
      <c r="O7" s="130"/>
      <c r="P7" s="112">
        <f>E11+K11+Q11+E15+K15+Q15+E19+H19+K19</f>
        <v>4560.4092000000001</v>
      </c>
      <c r="Q7" s="112"/>
      <c r="R7" s="112"/>
      <c r="S7" s="112">
        <f>P7/H3</f>
        <v>2.3779378454479088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3000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3000</v>
      </c>
      <c r="L11" s="90"/>
      <c r="M11" s="38"/>
      <c r="N11" s="88">
        <f>K11/H3</f>
        <v>1.5642924183960787</v>
      </c>
      <c r="O11" s="90"/>
      <c r="P11" s="38"/>
      <c r="Q11" s="88">
        <f>'Resumo Detalhado'!D2</f>
        <v>182.78</v>
      </c>
      <c r="R11" s="90"/>
      <c r="S11" s="38"/>
      <c r="T11" s="88">
        <f>Q11/H3</f>
        <v>9.5307122744811762E-2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11.41</v>
      </c>
      <c r="F15" s="119"/>
      <c r="G15" s="119"/>
      <c r="H15" s="119"/>
      <c r="I15" s="132"/>
      <c r="J15" s="38"/>
      <c r="K15" s="113">
        <f>'Resumo Detalhado'!K2+'Resumo Detalhado'!L2</f>
        <v>790.89280000000008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79.88000000000001</v>
      </c>
      <c r="F19" s="120"/>
      <c r="G19" s="38"/>
      <c r="H19" s="122">
        <v>100</v>
      </c>
      <c r="I19" s="123"/>
      <c r="J19" s="38"/>
      <c r="K19" s="122">
        <f>'Resumo Detalhado'!L2</f>
        <v>395.44640000000004</v>
      </c>
      <c r="L19" s="123"/>
      <c r="M19" s="38"/>
      <c r="N19" s="121" t="s">
        <v>329</v>
      </c>
      <c r="O19" s="119"/>
      <c r="P19" s="119"/>
      <c r="Q19" s="119"/>
      <c r="R19" s="120"/>
      <c r="S19" s="121">
        <f>_xlfn.XLOOKUP(N19,Target!C:C,Target!D:D)</f>
        <v>3200</v>
      </c>
      <c r="T19" s="119"/>
      <c r="U19" s="120"/>
      <c r="V19" s="36"/>
      <c r="W19" s="94" t="str">
        <f>IF(D11=S19,"NO TARGET",IF(D11&lt;S19,"ABAIXO DO TARGET",IF(D11&gt;S19,"FORA DO TARGET")))</f>
        <v>ABAIXO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3783.5635999999995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0.76542633337918864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9.6640625" style="4" bestFit="1" customWidth="1"/>
    <col min="10" max="10" width="10.55468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4943.08</v>
      </c>
      <c r="C2" s="29">
        <f>SUM(C6:C5000)</f>
        <v>1917.8000000000002</v>
      </c>
      <c r="D2" s="29">
        <f>SUM(D6:D5000)</f>
        <v>182.78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11.41</v>
      </c>
      <c r="I2" s="29">
        <f t="shared" si="0"/>
        <v>79.88000000000001</v>
      </c>
      <c r="J2" s="29">
        <f t="shared" si="0"/>
        <v>450</v>
      </c>
      <c r="K2" s="29">
        <f t="shared" si="0"/>
        <v>395.44640000000004</v>
      </c>
      <c r="L2" s="29">
        <f t="shared" si="0"/>
        <v>395.44640000000004</v>
      </c>
      <c r="M2" s="29">
        <f t="shared" si="0"/>
        <v>0</v>
      </c>
      <c r="N2" s="29">
        <f t="shared" si="0"/>
        <v>3783.5635999999995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3523</v>
      </c>
      <c r="B6" s="139">
        <v>4848</v>
      </c>
      <c r="C6" s="140">
        <v>1893.38</v>
      </c>
      <c r="D6" s="139">
        <v>180.31</v>
      </c>
      <c r="E6" s="139">
        <v>0</v>
      </c>
      <c r="F6" s="139">
        <v>0</v>
      </c>
      <c r="G6" s="141">
        <v>3.7192656765676568E-2</v>
      </c>
      <c r="H6" s="139">
        <v>0</v>
      </c>
      <c r="I6" s="139">
        <v>79.37</v>
      </c>
      <c r="J6" s="139">
        <v>450</v>
      </c>
      <c r="K6" s="139">
        <v>387.84000000000003</v>
      </c>
      <c r="L6" s="139">
        <v>387.84000000000003</v>
      </c>
      <c r="M6" s="139">
        <v>0</v>
      </c>
      <c r="N6" s="139">
        <v>3750.4799999999996</v>
      </c>
      <c r="O6" s="141">
        <v>0.77361386138613852</v>
      </c>
      <c r="Q6"/>
    </row>
    <row r="7" spans="1:18" s="31" customFormat="1" x14ac:dyDescent="0.3">
      <c r="A7" s="9" t="s">
        <v>627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3545</v>
      </c>
      <c r="B8" s="139">
        <v>95.08</v>
      </c>
      <c r="C8" s="140">
        <v>24.42</v>
      </c>
      <c r="D8" s="139">
        <v>2.4700000000000002</v>
      </c>
      <c r="E8" s="139">
        <v>40</v>
      </c>
      <c r="F8" s="139">
        <v>0</v>
      </c>
      <c r="G8" s="141">
        <v>0.44667648296171647</v>
      </c>
      <c r="H8" s="139">
        <v>11.41</v>
      </c>
      <c r="I8" s="139">
        <v>0.51</v>
      </c>
      <c r="J8" s="139">
        <v>0</v>
      </c>
      <c r="K8" s="139">
        <v>7.6063999999999998</v>
      </c>
      <c r="L8" s="139">
        <v>7.6063999999999998</v>
      </c>
      <c r="M8" s="139">
        <v>0</v>
      </c>
      <c r="N8" s="139">
        <v>33.083600000000004</v>
      </c>
      <c r="O8" s="141">
        <v>0.34795540597391678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95.08</v>
      </c>
      <c r="C2" s="29">
        <f>SUM(C6:C5000)</f>
        <v>33.083600000000004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4848</v>
      </c>
      <c r="C5" s="10">
        <v>3750.4799999999996</v>
      </c>
    </row>
    <row r="6" spans="1:4" x14ac:dyDescent="0.3">
      <c r="A6" s="9" t="s">
        <v>627</v>
      </c>
      <c r="B6" s="139">
        <v>95.08</v>
      </c>
      <c r="C6" s="139">
        <v>33.083600000000004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2026-10-07T16:49:08Z</dcterms:modified>
  <cp:category/>
  <cp:contentStatus/>
</cp:coreProperties>
</file>