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DDFC987-09FD-4534-A465-2E7ACEB4AF8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<sst xmlns="http://schemas.openxmlformats.org/spreadsheetml/2006/main" count="857" uniqueCount="591">
  <si>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</si>
  <si>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</si>
  <si>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</si>
  <si>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</si>
  <si>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</si>
  <si>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</si>
  <si>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</si>
  <si>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</si>
  <si>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</si>
  <si>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</si>
  <si>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</si>
  <si>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</si>
  <si>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</si>
  <si>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</si>
  <si>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</si>
  <si>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</si>
  <si>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</si>
  <si>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</si>
  <si>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</si>
  <si>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</si>
  <si>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</si>
  <si>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</si>
  <si>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</si>
  <si>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</si>
  <si>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</si>
  <si>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</si>
  <si>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</si>
  <si>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</si>
  <si>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</si>
  <si>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</si>
  <si>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</si>
  <si>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</si>
  <si>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</si>
  <si>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</si>
  <si>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</si>
  <si>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</si>
  <si>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</si>
  <si>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</si>
  <si>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</si>
  <si>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</si>
  <si>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</si>
  <si>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</si>
  <si>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</si>
  <si>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</si>
  <si>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</si>
  <si>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</si>
  <si>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</si>
  <si>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</si>
  <si>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</si>
  <si>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</si>
  <si>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</si>
  <si>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</si>
  <si>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</si>
  <si>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</si>
  <si>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</si>
  <si>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</si>
  <si>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</si>
  <si>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</si>
  <si>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</si>
  <si>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</si>
  <si>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</si>
  <si>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</si>
  <si>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</si>
  <si>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</si>
  <si>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</si>
  <si>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</si>
  <si>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</si>
  <si>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</si>
  <si>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</si>
  <si>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</si>
  <si>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</si>
  <si>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</si>
  <si>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</si>
  <si>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</si>
  <si>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</si>
  <si>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</si>
  <si>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</si>
  <si>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</si>
  <si>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</si>
  <si>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</si>
  <si>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</si>
  <si>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</si>
  <si>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</si>
  <si>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</si>
  <si>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</si>
  <si>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</si>
  <si>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</si>
  <si>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</si>
  <si>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</si>
  <si>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</si>
  <si>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</si>
  <si>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</si>
  <si>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</si>
  <si>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</si>
  <si>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</si>
  <si>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</si>
  <si>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</si>
  <si>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</si>
  <si>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</si>
  <si>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</si>
  <si>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</si>
  <si>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</si>
  <si>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</si>
  <si>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</si>
  <si>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</si>
  <si>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</si>
  <si>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</si>
  <si>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</si>
  <si>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</si>
  <si>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</si>
  <si>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</si>
  <si>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</si>
  <si>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</si>
  <si>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</si>
  <si>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</si>
  <si>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</si>
  <si>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</si>
  <si>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</si>
  <si>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</si>
  <si>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</si>
  <si>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</si>
  <si>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</si>
  <si>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</si>
  <si>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</si>
  <si>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</si>
  <si>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</si>
  <si>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</si>
  <si>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</si>
  <si>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</si>
  <si>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</si>
  <si>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</si>
  <si>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</si>
  <si>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</si>
  <si>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</si>
  <si>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</si>
  <si>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</si>
  <si>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</si>
  <si>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</si>
  <si>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</si>
  <si>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</si>
  <si>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</si>
  <si>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</si>
  <si>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</si>
  <si>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</si>
  <si>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</si>
  <si>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</si>
  <si>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</si>
  <si>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</si>
  <si>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</si>
  <si>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</si>
  <si>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</si>
  <si>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</si>
  <si>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</si>
  <si>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</si>
  <si>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</si>
  <si>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</si>
  <si>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</si>
  <si>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</si>
  <si>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</si>
  <si>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</si>
  <si>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</si>
  <si>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</si>
  <si>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</si>
  <si>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</si>
  <si>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</si>
  <si>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</si>
  <si>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</si>
  <si>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</si>
  <si>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</si>
  <si>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</si>
  <si>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</si>
  <si>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</si>
  <si>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</si>
  <si>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</si>
  <si>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</si>
  <si>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</si>
  <si>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</si>
  <si>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</si>
  <si>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</si>
  <si>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</si>
  <si>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</si>
  <si>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</si>
  <si>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</si>
  <si>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</si>
  <si>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</si>
  <si>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</si>
  <si>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</si>
  <si>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</si>
  <si>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</si>
  <si>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</si>
  <si>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</si>
  <si>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</si>
  <si>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</si>
  <si>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</si>
  <si>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</si>
  <si>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</si>
  <si>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</si>
  <si>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</si>
  <si>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</si>
  <si>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</si>
  <si>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</si>
  <si>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</si>
  <si>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</si>
  <si>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</si>
  <si>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</si>
  <si>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</si>
  <si>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</si>
  <si>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</si>
  <si>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</si>
  <si>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</si>
  <si>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</si>
  <si>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</si>
  <si>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</si>
  <si>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</si>
  <si>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</si>
  <si>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</si>
  <si>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</si>
  <si>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</si>
  <si>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</si>
  <si>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</si>
  <si>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</si>
  <si>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</si>
  <si>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</si>
  <si>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</si>
  <si>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</si>
  <si>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</si>
  <si>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</si>
  <si>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</si>
  <si>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</si>
  <si>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</si>
  <si>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</si>
  <si>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</si>
  <si>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</si>
  <si>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</si>
  <si>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</si>
  <si>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</si>
  <si>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</si>
  <si>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</si>
  <si>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</si>
  <si>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</si>
  <si>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</si>
  <si>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</si>
  <si>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</si>
  <si>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</si>
  <si>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</si>
  <si>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</si>
  <si>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</si>
  <si>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</si>
  <si>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</si>
  <si>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</si>
  <si>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</si>
  <si>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</si>
  <si>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</si>
  <si>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</si>
  <si>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</si>
  <si>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</si>
  <si>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</si>
  <si>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</si>
  <si>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</si>
  <si>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</si>
  <si>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</si>
  <si>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</si>
  <si>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</si>
  <si>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</si>
  <si>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</si>
  <si>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</si>
  <si>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</si>
  <si>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</si>
  <si>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</si>
  <si>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</si>
  <si>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</si>
  <si>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</si>
  <si>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</si>
  <si>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</si>
  <si>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</si>
  <si>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</si>
  <si>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</si>
  <si>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</si>
  <si>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</si>
  <si>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</si>
  <si>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</si>
  <si>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</si>
  <si>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</si>
  <si>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</si>
  <si>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</si>
  <si>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</si>
  <si>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</si>
  <si>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</si>
  <si>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</si>
  <si>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</si>
  <si>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</si>
  <si>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</si>
  <si>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</si>
  <si>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</si>
  <si>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</si>
  <si>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</si>
  <si>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</si>
  <si>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</si>
  <si>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</si>
  <si>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</si>
  <si>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</si>
  <si>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</si>
  <si>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</si>
  <si>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</si>
  <si>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</si>
  <si>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</si>
  <si>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</si>
  <si>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</si>
  <si>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</si>
  <si>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</si>
  <si>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</si>
  <si>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</si>
  <si>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</si>
  <si>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</si>
  <si>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</si>
  <si>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</si>
  <si>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</si>
  <si>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</si>
  <si>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</si>
  <si>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</si>
  <si>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</si>
  <si>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</si>
  <si>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</si>
  <si>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</si>
  <si>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</si>
  <si>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</si>
  <si>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</si>
  <si>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</si>
  <si>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</si>
  <si>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</si>
  <si>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</si>
  <si>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</si>
  <si>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</si>
  <si>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</si>
  <si>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</si>
  <si>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</si>
  <si>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</si>
  <si>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</si>
  <si>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</si>
  <si>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</si>
  <si>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</si>
  <si>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</si>
  <si>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</si>
  <si>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</si>
  <si>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</si>
  <si>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</si>
  <si>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</si>
  <si>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</si>
  <si>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</si>
  <si>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</si>
  <si>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</si>
  <si>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</si>
  <si>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</si>
  <si>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</si>
  <si>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</si>
  <si>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</si>
  <si>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</si>
  <si>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</si>
  <si>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</si>
  <si>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</si>
  <si>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</si>
  <si>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</si>
  <si>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</si>
  <si>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</si>
  <si>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</si>
  <si>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</si>
  <si>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</si>
  <si>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</si>
  <si>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</si>
  <si>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</si>
  <si>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</si>
  <si>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</si>
  <si>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</si>
  <si>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</si>
  <si>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</si>
  <si>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</si>
  <si>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</si>
  <si>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</si>
  <si>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</si>
  <si>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</si>
  <si>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</si>
  <si>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</si>
  <si>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</si>
  <si>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</si>
  <si>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</si>
  <si>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</si>
  <si>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</si>
  <si>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</si>
  <si>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</si>
  <si>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</si>
  <si>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</si>
  <si>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</si>
  <si>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</si>
  <si>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</si>
  <si>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</si>
  <si>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</si>
  <si>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</si>
  <si>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</si>
  <si>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</si>
  <si>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</si>
  <si>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</si>
  <si>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</si>
  <si>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</si>
  <si>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</si>
  <si>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</si>
  <si>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</si>
  <si>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</si>
  <si>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</si>
  <si>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</si>
  <si>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</si>
  <si>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</si>
  <si>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</si>
  <si>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</si>
  <si>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</si>
  <si>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</si>
  <si>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</si>
  <si>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</si>
  <si>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</si>
  <si>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</si>
  <si>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</si>
  <si>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</si>
  <si>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</si>
  <si>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</si>
  <si>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</si>
  <si>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</si>
  <si>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</si>
  <si>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</si>
  <si>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</si>
  <si>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</si>
  <si>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</si>
  <si>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</si>
  <si>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</si>
  <si>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</si>
  <si>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</si>
  <si>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</si>
  <si>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</si>
  <si>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</si>
  <si>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</si>
  <si>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</si>
  <si>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</si>
  <si>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</si>
  <si>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</si>
  <si>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</si>
  <si>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</si>
  <si>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</si>
  <si>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</si>
  <si>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</si>
  <si>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</si>
  <si>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</si>
  <si>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</si>
  <si>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</si>
  <si>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</si>
  <si>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</si>
  <si>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</si>
  <si>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</si>
  <si>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</si>
  <si>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</si>
  <si>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</si>
  <si>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</si>
  <si>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</si>
  <si>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</si>
  <si>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</si>
  <si>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</si>
  <si>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</si>
  <si>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</si>
  <si>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</si>
  <si>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</si>
  <si>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</si>
  <si>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</si>
  <si>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</si>
  <si>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</si>
  <si>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</si>
  <si>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</si>
  <si>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</si>
  <si>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</si>
  <si>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</si>
  <si>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</si>
  <si>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</si>
  <si>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</si>
  <si>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</si>
  <si>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</si>
  <si>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</si>
  <si>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</si>
  <si>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</si>
  <si>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</si>
  <si>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</si>
  <si>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</si>
  <si>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</si>
  <si>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</si>
  <si>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</si>
  <si>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</si>
  <si>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</si>
  <si>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</si>
  <si>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</si>
  <si>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</si>
  <si>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</si>
  <si>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</si>
  <si>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</si>
  <si>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</si>
  <si>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</si>
  <si>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</si>
  <si>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</si>
  <si>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</si>
  <si>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</si>
  <si>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</si>
  <si>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</si>
  <si>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</si>
  <si>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</si>
  <si>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</si>
  <si>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</si>
  <si>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</si>
  <si>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</si>
  <si>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</si>
  <si>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</si>
  <si>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</si>
  <si>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</si>
  <si>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</si>
  <si>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</si>
  <si>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</si>
  <si>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</si>
  <si>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</si>
  <si>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</si>
  <si>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</si>
  <si>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</si>
  <si>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</si>
  <si>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</si>
  <si>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</si>
  <si>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</si>
  <si>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</si>
  <si>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</si>
  <si>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</si>
  <si>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</si>
  <si>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</si>
  <si>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</si>
  <si>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</si>
  <si>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</si>
  <si>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</si>
  <si>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</si>
  <si>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</si>
  <si>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</si>
  <si>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</si>
  <si>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</si>
  <si>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</si>
  <si>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</si>
  <si>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</si>
  <si>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</si>
  <si>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</si>
  <si>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</si>
  <si>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</si>
  <si>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</si>
  <si>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</si>
  <si>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</si>
  <si>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</si>
  <si>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</si>
  <si>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</si>
  <si>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</si>
  <si>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</si>
  <si>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</si>
  <si>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</si>
  <si>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</si>
  <si>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</si>
  <si>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</si>
  <si>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</si>
  <si>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</si>
  <si>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</si>
  <si>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</si>
  <si>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</si>
  <si>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</si>
  <si>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</si>
  <si>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</si>
  <si>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</si>
  <si>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</si>
  <si>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</si>
  <si>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</si>
  <si>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</si>
  <si>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</si>
  <si>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</si>
  <si>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</si>
  <si>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</si>
  <si>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</si>
  <si>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202872-1</t>
  </si>
  <si>
    <t>SAMSONITE BRASI</t>
  </si>
  <si>
    <t>MARLON MARQUES</t>
  </si>
  <si>
    <t>PERSONALIZADO_L</t>
  </si>
  <si>
    <t>CTE NORMAL</t>
  </si>
  <si>
    <t>BARUERI - SP</t>
  </si>
  <si>
    <t>VANDERLANDE SILVA DE SOUS</t>
  </si>
  <si>
    <t>ALEMAOZINHO EXPRESS TRANS</t>
  </si>
  <si>
    <t>INDEFINIDO</t>
  </si>
  <si>
    <t>Itajai-Sc X Barueri-Sptruck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</si>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</sst>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[Analise_JORGE ALFREDO_11092026.xlsx]Resumo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SAMSONITE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6900.01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SAMSONITE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777.06920000000036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[Analise_JORGE ALFREDO_11092026.xlsx]Resumo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SAMSONITE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6900.01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SAMSONITE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777.06920000000036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1.43037337963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0240" count="8000">
        <n v="30024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9T00:00:00" maxDate="2026-09-10T00:00:00"/>
    </cacheField>
    <cacheField name="DATA" numFmtId="14">
      <sharedItems containsNonDate="0" containsDate="1" containsString="0" containsBlank="1" minDate="2026-09-09T00:00:00" maxDate="2026-09-10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AMSONITE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29061.43000000005" maxValue="629061.43000000005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6900.01" maxValue="6900.01"/>
    </cacheField>
    <cacheField name="VOLUMES" numFmtId="0">
      <sharedItems containsString="0" containsBlank="1" containsNumber="1" containsInteger="1" minValue="258" maxValue="258"/>
    </cacheField>
    <cacheField name="PESO" numFmtId="0">
      <sharedItems containsString="0" containsBlank="1" containsNumber="1" containsInteger="1" minValue="2301" maxValue="2301"/>
    </cacheField>
    <cacheField name="RESP. COLETA" numFmtId="0">
      <sharedItems containsBlank="1"/>
    </cacheField>
    <cacheField name="CUSTO COLETA" numFmtId="0">
      <sharedItems containsString="0" containsBlank="1" containsNumber="1" minValue="328.41" maxValue="328.41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4100" maxValue="41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containsInteger="1" minValue="828" maxValue="82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314.52999999999997" maxValue="314.5299999999999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5570.94" maxValue="5570.94"/>
    </cacheField>
    <cacheField name="RECEITA" numFmtId="0">
      <sharedItems containsString="0" containsBlank="1" containsNumber="1" minValue="1329.07" maxValue="1329.07"/>
    </cacheField>
    <cacheField name="IMPOSTO" numFmtId="0">
      <sharedItems containsString="0" containsBlank="1" containsNumber="1" containsInteger="1" minValue="1794" maxValue="1794"/>
    </cacheField>
    <cacheField name="RESULTADO" numFmtId="0">
      <sharedItems containsString="0" containsBlank="1" containsNumber="1" minValue="-464.93" maxValue="-464.93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464.93" maxValue="-464.93"/>
    </cacheField>
    <cacheField name="MARGEM" numFmtId="10">
      <sharedItems containsString="0" containsBlank="1" containsNumber="1" minValue="-6.7400000000000002E-2" maxValue="-6.7400000000000002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9T00:00:00"/>
    <d v="2026-09-09T00:00:00"/>
    <m/>
    <s v="202872-1"/>
    <x v="0"/>
    <s v="MARLON MARQUES"/>
    <n v="629061.43000000005"/>
    <x v="0"/>
    <s v="CTE NORMAL"/>
    <s v="BARUERI - SP"/>
    <n v="6900.01"/>
    <n v="258"/>
    <n v="2301"/>
    <s v="VANDERLANDE SILVA DE SOUS"/>
    <n v="328.41"/>
    <s v="ALEMAOZINHO EXPRESS TRANS"/>
    <n v="4100"/>
    <s v="INDEFINIDO"/>
    <n v="0"/>
    <n v="828"/>
    <n v="0"/>
    <n v="0"/>
    <n v="314.52999999999997"/>
    <n v="0"/>
    <n v="5570.94"/>
    <n v="1329.07"/>
    <n v="1794"/>
    <n v="-464.93"/>
    <n v="0"/>
    <n v="-464.93"/>
    <n v="-6.7400000000000002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m="1" x="19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3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7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5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4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6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8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0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67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m="1" x="19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3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7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5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4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6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8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0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67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3" s="1" nd="1"/>
        <i x="581" s="1" nd="1"/>
        <i x="852" s="1" nd="1"/>
        <i x="19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6" s="1" nd="1"/>
        <i x="668" s="1" nd="1"/>
        <i x="660" s="1" nd="1"/>
        <i x="468" s="1" nd="1"/>
        <i x="43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3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1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2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1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7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1" s="1" nd="1"/>
        <i x="15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2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0" s="1" nd="1"/>
        <i x="805" s="1" nd="1"/>
        <i x="486" s="1" nd="1"/>
        <i x="442" s="1" nd="1"/>
        <i x="398" s="1" nd="1"/>
        <i x="608" s="1" nd="1"/>
        <i x="152" s="1" nd="1"/>
        <i x="14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2" s="1" nd="1"/>
        <i x="35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7" s="1" nd="1"/>
        <i x="382" s="1" nd="1"/>
        <i x="589" s="1" nd="1"/>
        <i x="747" s="1" nd="1"/>
        <i x="268" s="1" nd="1"/>
        <i x="16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0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2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4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0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49" s="1" nd="1"/>
        <i x="605" s="1" nd="1"/>
        <i x="83" s="1" nd="1"/>
        <i x="325" s="1" nd="1"/>
        <i x="33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7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8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1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6" s="1" nd="1"/>
        <i x="592" s="1" nd="1"/>
        <i x="801" s="1" nd="1"/>
        <i x="583" s="1" nd="1"/>
        <i x="749" s="1" nd="1"/>
        <i x="722" s="1" nd="1"/>
        <i x="532" s="1" nd="1"/>
        <i x="45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4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0" s="1" nd="1"/>
        <i x="851" s="1" nd="1"/>
        <i x="28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39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7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6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5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29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4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8" s="1" nd="1"/>
        <i x="89" s="1" nd="1"/>
        <i x="201" s="1" nd="1"/>
        <i x="3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300240</v>
      </c>
      <c r="B2" s="12" t="s">
        <v>579</v>
      </c>
      <c r="C2" s="14">
        <v>46274</v>
      </c>
      <c r="D2" s="14">
        <v>46274</v>
      </c>
      <c r="E2" s="12"/>
      <c r="F2" s="15" t="s">
        <v>580</v>
      </c>
      <c r="G2" s="15" t="s">
        <v>581</v>
      </c>
      <c r="H2" s="15" t="s">
        <v>582</v>
      </c>
      <c r="I2" s="16">
        <v>629061.43000000005</v>
      </c>
      <c r="J2" s="15" t="s">
        <v>583</v>
      </c>
      <c r="K2" s="15" t="s">
        <v>584</v>
      </c>
      <c r="L2" s="15" t="s">
        <v>585</v>
      </c>
      <c r="M2" s="15">
        <v>6900.01</v>
      </c>
      <c r="N2" s="15">
        <v>258</v>
      </c>
      <c r="O2" s="16">
        <v>2301</v>
      </c>
      <c r="P2" s="15" t="s">
        <v>586</v>
      </c>
      <c r="Q2" s="15">
        <v>328.41</v>
      </c>
      <c r="R2" s="15" t="s">
        <v>587</v>
      </c>
      <c r="S2" s="15">
        <v>4100</v>
      </c>
      <c r="T2" s="15" t="s">
        <v>588</v>
      </c>
      <c r="U2" s="15">
        <v>0</v>
      </c>
      <c r="V2" s="15">
        <v>828</v>
      </c>
      <c r="W2" s="15">
        <v>0</v>
      </c>
      <c r="X2" s="15">
        <v>0</v>
      </c>
      <c r="Y2" s="15">
        <v>314.52999999999997</v>
      </c>
      <c r="Z2" s="15">
        <v>0</v>
      </c>
      <c r="AA2" s="15">
        <v>5570.94</v>
      </c>
      <c r="AB2" s="15">
        <v>1329.07</v>
      </c>
      <c r="AC2" s="15">
        <v>1794</v>
      </c>
      <c r="AD2" s="15">
        <v>-464.93</v>
      </c>
      <c r="AE2" s="15">
        <v>0</v>
      </c>
      <c r="AF2" s="15">
        <v>-464.93</v>
      </c>
      <c r="AG2" s="17">
        <v>-6.7400000000000002E-2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6900.01</v>
      </c>
      <c r="F3" s="93"/>
      <c r="G3" s="94"/>
      <c r="H3" s="95">
        <f>'Resumo Detalhado'!C2</f>
        <v>2301</v>
      </c>
      <c r="I3" s="96"/>
      <c r="J3" s="97">
        <f>E3/H3</f>
        <v>2.9987005649717515</v>
      </c>
      <c r="K3" s="98"/>
      <c r="L3" s="99"/>
      <c r="M3" s="138" t="s">
        <v>58</v>
      </c>
      <c r="N3" s="93"/>
      <c r="O3" s="94"/>
      <c r="P3" s="135">
        <v>11000</v>
      </c>
      <c r="Q3" s="136"/>
      <c r="R3" s="137"/>
      <c r="S3" s="103">
        <f>MIN(H3/P3,1)</f>
        <v>0.20918181818181819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4428.41</v>
      </c>
      <c r="F7" s="109"/>
      <c r="G7" s="109"/>
      <c r="H7" s="109"/>
      <c r="I7" s="109"/>
      <c r="J7" s="109">
        <f>E7/H3</f>
        <v>1.9245588874402433</v>
      </c>
      <c r="K7" s="109"/>
      <c r="L7" s="109"/>
      <c r="M7" s="110">
        <f>E7/E3</f>
        <v>0.64179762058315848</v>
      </c>
      <c r="N7" s="110"/>
      <c r="O7" s="110"/>
      <c r="P7" s="109">
        <f>E11+K11+Q11+E15+K15+Q15+E19+H19+K19</f>
        <v>7226.942399999999</v>
      </c>
      <c r="Q7" s="109"/>
      <c r="R7" s="109"/>
      <c r="S7" s="109">
        <f>P7/H3</f>
        <v>3.1407833116036503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4100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4100</v>
      </c>
      <c r="L11" s="94"/>
      <c r="M11" s="38"/>
      <c r="N11" s="92">
        <f>K11/H3</f>
        <v>1.7818339852238156</v>
      </c>
      <c r="O11" s="94"/>
      <c r="P11" s="38"/>
      <c r="Q11" s="92">
        <f>'Resumo Detalhado'!D2</f>
        <v>328.41</v>
      </c>
      <c r="R11" s="94"/>
      <c r="S11" s="38"/>
      <c r="T11" s="92">
        <f>Q11/H3</f>
        <v>0.14272490221642764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828</v>
      </c>
      <c r="F15" s="113"/>
      <c r="G15" s="113"/>
      <c r="H15" s="113"/>
      <c r="I15" s="114"/>
      <c r="J15" s="38"/>
      <c r="K15" s="116">
        <f>'Resumo Detalhado'!K2+'Resumo Detalhado'!L2</f>
        <v>1104.0016000000001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314.52999999999997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552.00080000000003</v>
      </c>
      <c r="L19" s="108"/>
      <c r="M19" s="38"/>
      <c r="N19" s="112" t="s">
        <v>589</v>
      </c>
      <c r="O19" s="113"/>
      <c r="P19" s="113"/>
      <c r="Q19" s="113"/>
      <c r="R19" s="119"/>
      <c r="S19" s="112" t="e">
        <f>_xlfn.XLOOKUP(N19,Target!C:C,Target!D:D)</f>
        <v>#N/A</v>
      </c>
      <c r="T19" s="113"/>
      <c r="U19" s="119"/>
      <c r="V19" s="36"/>
      <c r="W19" s="126" t="e">
        <f>IF(D11=S19,"NO TARGET",IF(D11&lt;S19,"ABAIXO DO TARGET",IF(D11&gt;S19,"FORA DO TARGET")))</f>
        <v>#N/A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777.06920000000036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0.11261856142237479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590</v>
      </c>
      <c r="F1" s="29"/>
    </row>
    <row r="2" spans="1:18" x14ac:dyDescent="0.3">
      <c r="B2" s="29">
        <f>SUM(B6:B5000)</f>
        <v>6900.01</v>
      </c>
      <c r="C2" s="29">
        <f>SUM(C6:C5000)</f>
        <v>2301</v>
      </c>
      <c r="D2" s="29">
        <f>SUM(D6:D5000)</f>
        <v>328.41</v>
      </c>
      <c r="E2" s="29">
        <f>SUM(E6:E5000)</f>
        <v>4100</v>
      </c>
      <c r="F2" s="29">
        <f>SUM(F6:F5000)</f>
        <v>0</v>
      </c>
      <c r="G2" s="29"/>
      <c r="H2" s="29">
        <f t="shared" ref="H2:P2" si="0">SUM(H6:H5000)</f>
        <v>828</v>
      </c>
      <c r="I2" s="29">
        <f t="shared" si="0"/>
        <v>314.52999999999997</v>
      </c>
      <c r="J2" s="29">
        <f t="shared" si="0"/>
        <v>0</v>
      </c>
      <c r="K2" s="29">
        <f t="shared" si="0"/>
        <v>552.00080000000003</v>
      </c>
      <c r="L2" s="29">
        <f t="shared" si="0"/>
        <v>552.00080000000003</v>
      </c>
      <c r="M2" s="29">
        <f t="shared" si="0"/>
        <v>0</v>
      </c>
      <c r="N2" s="29">
        <f t="shared" si="0"/>
        <v>777.06920000000036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300240</v>
      </c>
      <c r="B6" s="140">
        <v>6900.01</v>
      </c>
      <c r="C6" s="141">
        <v>2301</v>
      </c>
      <c r="D6" s="140">
        <v>328.41</v>
      </c>
      <c r="E6" s="140">
        <v>4100</v>
      </c>
      <c r="F6" s="140">
        <v>0</v>
      </c>
      <c r="G6" s="142">
        <v>0.64179762058315848</v>
      </c>
      <c r="H6" s="140">
        <v>828</v>
      </c>
      <c r="I6" s="140">
        <v>314.52999999999997</v>
      </c>
      <c r="J6" s="140">
        <v>0</v>
      </c>
      <c r="K6" s="140">
        <v>552.00080000000003</v>
      </c>
      <c r="L6" s="140">
        <v>552.00080000000003</v>
      </c>
      <c r="M6" s="140">
        <v>0</v>
      </c>
      <c r="N6" s="140">
        <v>777.06920000000036</v>
      </c>
      <c r="O6" s="142">
        <v>0.11261856142237479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590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6900.01</v>
      </c>
      <c r="C5" s="10">
        <v>777.06920000000036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2026-09-16T13:19:52Z</dcterms:modified>
  <cp:category/>
  <cp:contentStatus/>
</cp:coreProperties>
</file>