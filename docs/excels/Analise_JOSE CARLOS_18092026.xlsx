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5F33E0B-E763-45E1-9A24-A94E09B38A9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<sst xmlns="http://schemas.openxmlformats.org/spreadsheetml/2006/main" count="884" uniqueCount="610">
  <si>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</si>
  <si>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</si>
  <si>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</si>
  <si>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</si>
  <si>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</si>
  <si>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</si>
  <si>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</si>
  <si>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</si>
  <si>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</si>
  <si>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</si>
  <si>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</si>
  <si>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</si>
  <si>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</si>
  <si>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</si>
  <si>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</si>
  <si>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</si>
  <si>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</si>
  <si>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</si>
  <si>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</si>
  <si>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</si>
  <si>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</si>
  <si>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</si>
  <si>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</si>
  <si>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</si>
  <si>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</si>
  <si>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</si>
  <si>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</si>
  <si>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</si>
  <si>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</si>
  <si>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</si>
  <si>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</si>
  <si>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</si>
  <si>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</si>
  <si>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</si>
  <si>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</si>
  <si>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</si>
  <si>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</si>
  <si>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</si>
  <si>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</si>
  <si>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</si>
  <si>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</si>
  <si>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</si>
  <si>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</si>
  <si>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</si>
  <si>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</si>
  <si>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</si>
  <si>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</si>
  <si>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</si>
  <si>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</si>
  <si>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</si>
  <si>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</si>
  <si>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</si>
  <si>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</si>
  <si>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</si>
  <si>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</si>
  <si>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</si>
  <si>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</si>
  <si>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</si>
  <si>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</si>
  <si>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</si>
  <si>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</si>
  <si>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</si>
  <si>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</si>
  <si>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</si>
  <si>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</si>
  <si>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</si>
  <si>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</si>
  <si>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</si>
  <si>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</si>
  <si>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</si>
  <si>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</si>
  <si>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</si>
  <si>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</si>
  <si>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</si>
  <si>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</si>
  <si>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</si>
  <si>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</si>
  <si>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</si>
  <si>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</si>
  <si>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</si>
  <si>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</si>
  <si>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</si>
  <si>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</si>
  <si>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</si>
  <si>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</si>
  <si>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</si>
  <si>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</si>
  <si>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</si>
  <si>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</si>
  <si>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</si>
  <si>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</si>
  <si>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</si>
  <si>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</si>
  <si>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</si>
  <si>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</si>
  <si>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</si>
  <si>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</si>
  <si>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</si>
  <si>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</si>
  <si>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</si>
  <si>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</si>
  <si>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</si>
  <si>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</si>
  <si>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</si>
  <si>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</si>
  <si>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</si>
  <si>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</si>
  <si>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</si>
  <si>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</si>
  <si>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</si>
  <si>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</si>
  <si>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</si>
  <si>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</si>
  <si>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</si>
  <si>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</si>
  <si>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</si>
  <si>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</si>
  <si>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</si>
  <si>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</si>
  <si>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</si>
  <si>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</si>
  <si>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</si>
  <si>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</si>
  <si>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</si>
  <si>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</si>
  <si>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</si>
  <si>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</si>
  <si>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</si>
  <si>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</si>
  <si>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</si>
  <si>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</si>
  <si>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</si>
  <si>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</si>
  <si>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</si>
  <si>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</si>
  <si>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</si>
  <si>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</si>
  <si>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</si>
  <si>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</si>
  <si>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</si>
  <si>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</si>
  <si>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</si>
  <si>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</si>
  <si>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</si>
  <si>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</si>
  <si>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</si>
  <si>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</si>
  <si>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</si>
  <si>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</si>
  <si>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</si>
  <si>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</si>
  <si>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</si>
  <si>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</si>
  <si>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</si>
  <si>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</si>
  <si>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</si>
  <si>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</si>
  <si>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</si>
  <si>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</si>
  <si>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</si>
  <si>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</si>
  <si>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</si>
  <si>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</si>
  <si>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</si>
  <si>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</si>
  <si>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</si>
  <si>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</si>
  <si>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</si>
  <si>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</si>
  <si>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</si>
  <si>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</si>
  <si>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</si>
  <si>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</si>
  <si>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</si>
  <si>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</si>
  <si>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</si>
  <si>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</si>
  <si>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</si>
  <si>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</si>
  <si>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</si>
  <si>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</si>
  <si>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</si>
  <si>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</si>
  <si>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</si>
  <si>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</si>
  <si>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</si>
  <si>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</si>
  <si>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</si>
  <si>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</si>
  <si>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</si>
  <si>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</si>
  <si>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</si>
  <si>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</si>
  <si>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</si>
  <si>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</si>
  <si>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</si>
  <si>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</si>
  <si>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</si>
  <si>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</si>
  <si>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</si>
  <si>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</si>
  <si>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</si>
  <si>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</si>
  <si>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</si>
  <si>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</si>
  <si>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</si>
  <si>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</si>
  <si>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</si>
  <si>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</si>
  <si>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</si>
  <si>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</si>
  <si>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</si>
  <si>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</si>
  <si>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</si>
  <si>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</si>
  <si>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</si>
  <si>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</si>
  <si>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</si>
  <si>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</si>
  <si>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</si>
  <si>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</si>
  <si>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</si>
  <si>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</si>
  <si>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</si>
  <si>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</si>
  <si>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</si>
  <si>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</si>
  <si>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</si>
  <si>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</si>
  <si>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</si>
  <si>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</si>
  <si>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</si>
  <si>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</si>
  <si>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</si>
  <si>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</si>
  <si>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</si>
  <si>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</si>
  <si>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</si>
  <si>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</si>
  <si>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</si>
  <si>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</si>
  <si>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</si>
  <si>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</si>
  <si>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</si>
  <si>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</si>
  <si>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</si>
  <si>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</si>
  <si>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</si>
  <si>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</si>
  <si>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</si>
  <si>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</si>
  <si>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</si>
  <si>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</si>
  <si>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</si>
  <si>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</si>
  <si>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</si>
  <si>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</si>
  <si>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</si>
  <si>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</si>
  <si>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</si>
  <si>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</si>
  <si>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</si>
  <si>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</si>
  <si>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</si>
  <si>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</si>
  <si>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</si>
  <si>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</si>
  <si>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</si>
  <si>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</si>
  <si>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</si>
  <si>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</si>
  <si>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</si>
  <si>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</si>
  <si>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</si>
  <si>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</si>
  <si>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</si>
  <si>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</si>
  <si>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</si>
  <si>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</si>
  <si>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</si>
  <si>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</si>
  <si>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</si>
  <si>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</si>
  <si>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</si>
  <si>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</si>
  <si>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</si>
  <si>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</si>
  <si>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</si>
  <si>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</si>
  <si>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</si>
  <si>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</si>
  <si>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</si>
  <si>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</si>
  <si>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</si>
  <si>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</si>
  <si>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</si>
  <si>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</si>
  <si>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</si>
  <si>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</si>
  <si>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</si>
  <si>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</si>
  <si>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</si>
  <si>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</si>
  <si>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</si>
  <si>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</si>
  <si>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</si>
  <si>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</si>
  <si>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</si>
  <si>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</si>
  <si>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</si>
  <si>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</si>
  <si>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</si>
  <si>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</si>
  <si>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</si>
  <si>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</si>
  <si>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</si>
  <si>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</si>
  <si>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</si>
  <si>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</si>
  <si>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</si>
  <si>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</si>
  <si>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</si>
  <si>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</si>
  <si>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</si>
  <si>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</si>
  <si>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</si>
  <si>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</si>
  <si>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</si>
  <si>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</si>
  <si>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</si>
  <si>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</si>
  <si>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</si>
  <si>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</si>
  <si>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</si>
  <si>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</si>
  <si>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</si>
  <si>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</si>
  <si>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</si>
  <si>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</si>
  <si>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</si>
  <si>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</si>
  <si>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</si>
  <si>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</si>
  <si>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</si>
  <si>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</si>
  <si>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</si>
  <si>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</si>
  <si>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</si>
  <si>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</si>
  <si>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</si>
  <si>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</si>
  <si>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</si>
  <si>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</si>
  <si>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</si>
  <si>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</si>
  <si>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</si>
  <si>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</si>
  <si>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</si>
  <si>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</si>
  <si>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</si>
  <si>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</si>
  <si>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</si>
  <si>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</si>
  <si>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</si>
  <si>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</si>
  <si>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</si>
  <si>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</si>
  <si>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</si>
  <si>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</si>
  <si>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</si>
  <si>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</si>
  <si>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</si>
  <si>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</si>
  <si>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</si>
  <si>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</si>
  <si>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</si>
  <si>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</si>
  <si>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</si>
  <si>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</si>
  <si>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</si>
  <si>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</si>
  <si>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</si>
  <si>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</si>
  <si>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</si>
  <si>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</si>
  <si>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</si>
  <si>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</si>
  <si>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</si>
  <si>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</si>
  <si>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</si>
  <si>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</si>
  <si>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</si>
  <si>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</si>
  <si>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</si>
  <si>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</si>
  <si>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</si>
  <si>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</si>
  <si>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</si>
  <si>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</si>
  <si>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</si>
  <si>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</si>
  <si>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</si>
  <si>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</si>
  <si>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</si>
  <si>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</si>
  <si>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</si>
  <si>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</si>
  <si>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</si>
  <si>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</si>
  <si>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</si>
  <si>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</si>
  <si>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</si>
  <si>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</si>
  <si>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</si>
  <si>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</si>
  <si>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</si>
  <si>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</si>
  <si>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</si>
  <si>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</si>
  <si>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</si>
  <si>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</si>
  <si>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</si>
  <si>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</si>
  <si>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</si>
  <si>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</si>
  <si>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</si>
  <si>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</si>
  <si>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</si>
  <si>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</si>
  <si>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</si>
  <si>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</si>
  <si>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</si>
  <si>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</si>
  <si>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</si>
  <si>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</si>
  <si>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</si>
  <si>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</si>
  <si>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</si>
  <si>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</si>
  <si>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</si>
  <si>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</si>
  <si>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</si>
  <si>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</si>
  <si>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</si>
  <si>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</si>
  <si>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</si>
  <si>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</si>
  <si>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</si>
  <si>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</si>
  <si>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</si>
  <si>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</si>
  <si>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</si>
  <si>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</si>
  <si>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</si>
  <si>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</si>
  <si>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</si>
  <si>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</si>
  <si>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</si>
  <si>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</si>
  <si>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</si>
  <si>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</si>
  <si>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</si>
  <si>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</si>
  <si>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</si>
  <si>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</si>
  <si>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</si>
  <si>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</si>
  <si>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</si>
  <si>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</si>
  <si>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</si>
  <si>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</si>
  <si>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</si>
  <si>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</si>
  <si>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</si>
  <si>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</si>
  <si>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</si>
  <si>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</si>
  <si>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</si>
  <si>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</si>
  <si>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</si>
  <si>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</si>
  <si>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</si>
  <si>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</si>
  <si>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</si>
  <si>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</si>
  <si>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</si>
  <si>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</si>
  <si>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</si>
  <si>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</si>
  <si>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</si>
  <si>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</si>
  <si>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</si>
  <si>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</si>
  <si>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</si>
  <si>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</si>
  <si>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</si>
  <si>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</si>
  <si>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</si>
  <si>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</si>
  <si>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</si>
  <si>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</si>
  <si>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</si>
  <si>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</si>
  <si>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</si>
  <si>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</si>
  <si>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</si>
  <si>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</si>
  <si>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</si>
  <si>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</si>
  <si>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</si>
  <si>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</si>
  <si>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</si>
  <si>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</si>
  <si>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</si>
  <si>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</si>
  <si>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</si>
  <si>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</si>
  <si>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</si>
  <si>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</si>
  <si>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</si>
  <si>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</si>
  <si>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</si>
  <si>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</si>
  <si>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</si>
  <si>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</si>
  <si>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</si>
  <si>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</si>
  <si>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</si>
  <si>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</si>
  <si>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</si>
  <si>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</si>
  <si>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</si>
  <si>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</si>
  <si>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</si>
  <si>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</si>
  <si>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</si>
  <si>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</si>
  <si>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</si>
  <si>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</si>
  <si>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</si>
  <si>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</si>
  <si>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</si>
  <si>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</si>
  <si>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</si>
  <si>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</si>
  <si>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</si>
  <si>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</si>
  <si>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</si>
  <si>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</si>
  <si>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</si>
  <si>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</si>
  <si>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</si>
  <si>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</si>
  <si>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</si>
  <si>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</si>
  <si>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</si>
  <si>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</si>
  <si>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</si>
  <si>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</si>
  <si>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</si>
  <si>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</si>
  <si>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</si>
  <si>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</si>
  <si>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</si>
  <si>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</si>
  <si>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</si>
  <si>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</si>
  <si>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</si>
  <si>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</si>
  <si>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</si>
  <si>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</si>
  <si>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</si>
  <si>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</si>
  <si>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</si>
  <si>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</si>
  <si>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</si>
  <si>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</si>
  <si>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</si>
  <si>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</si>
  <si>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</si>
  <si>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</si>
  <si>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</si>
  <si>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</si>
  <si>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</si>
  <si>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</si>
  <si>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</si>
  <si>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</si>
  <si>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</si>
  <si>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</si>
  <si>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</si>
  <si>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</si>
  <si>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</si>
  <si>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MATRIZ</t>
  </si>
  <si>
    <t>203454-1</t>
  </si>
  <si>
    <t>LOJAS AVENIDA S</t>
  </si>
  <si>
    <t>SABRINA SANTOS</t>
  </si>
  <si>
    <t>PERSONALIZADO_L</t>
  </si>
  <si>
    <t>CTE NORMAL</t>
  </si>
  <si>
    <t>CAMPO GRANDE - MS</t>
  </si>
  <si>
    <t>N/D</t>
  </si>
  <si>
    <t>FRATUS &amp;AMP; FRATUS TRANSPORT</t>
  </si>
  <si>
    <t>FILIAL SP</t>
  </si>
  <si>
    <t>37438-1</t>
  </si>
  <si>
    <t>IMAGINE DECOR I</t>
  </si>
  <si>
    <t>MARCELO HOPPE</t>
  </si>
  <si>
    <t>ECONOMICO_250</t>
  </si>
  <si>
    <t>SAO PAULO - SP</t>
  </si>
  <si>
    <t>BRUNO RODRIGUES DA COSTA</t>
  </si>
  <si>
    <t>EDSON SANTOS DA SILVA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</si>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</sst>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 CARLOS_18092026.xlsx]Resumo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88.18</c:v>
                </c:pt>
                <c:pt idx="1">
                  <c:v>6521.56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24.185600000000012</c:v>
                </c:pt>
                <c:pt idx="1">
                  <c:v>4968.3152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 CARLOS_18092026.xlsx]Resumo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88.18</c:v>
                </c:pt>
                <c:pt idx="1">
                  <c:v>6521.56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24.185600000000012</c:v>
                </c:pt>
                <c:pt idx="1">
                  <c:v>4968.3152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19699074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826" count="8000">
        <n v="301731"/>
        <n v="30182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6T00:00:00" maxDate="2026-09-19T00:00:00"/>
    </cacheField>
    <cacheField name="DATA" numFmtId="14">
      <sharedItems containsNonDate="0" containsDate="1" containsString="0" containsBlank="1" minDate="2026-09-18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LOJAS AVENIDA S"/>
        <s v="IMAGINE DECOR 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60.31" maxValue="50017.440000000002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8.18" maxValue="6521.56"/>
    </cacheField>
    <cacheField name="VOLUMES" numFmtId="0">
      <sharedItems containsString="0" containsBlank="1" containsNumber="1" containsInteger="1" minValue="2" maxValue="4"/>
    </cacheField>
    <cacheField name="PESO" numFmtId="0">
      <sharedItems containsString="0" containsBlank="1" containsNumber="1" minValue="31.5" maxValue="749.12"/>
    </cacheField>
    <cacheField name="RESP. COLETA" numFmtId="0">
      <sharedItems containsBlank="1"/>
    </cacheField>
    <cacheField name="CUSTO COLETA" numFmtId="0">
      <sharedItems containsString="0" containsBlank="1" containsNumber="1" minValue="5.63" maxValue="55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.58" maxValue="456.5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73" maxValue="25.0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18.42" maxValue="7250.04"/>
    </cacheField>
    <cacheField name="RECEITA" numFmtId="0">
      <sharedItems containsString="0" containsBlank="1" containsNumber="1" minValue="-728.48" maxValue="-230.24"/>
    </cacheField>
    <cacheField name="IMPOSTO" numFmtId="0">
      <sharedItems containsString="0" containsBlank="1" containsNumber="1" minValue="22.93" maxValue="1695.61"/>
    </cacheField>
    <cacheField name="RESULTADO" numFmtId="0">
      <sharedItems containsString="0" containsBlank="1" containsNumber="1" minValue="-2424.09" maxValue="-253.1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424.09" maxValue="-253.17"/>
    </cacheField>
    <cacheField name="MARGEM" numFmtId="10">
      <sharedItems containsString="0" containsBlank="1" containsNumber="1" minValue="-2.8711000000000002" maxValue="-0.3717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8T00:00:00"/>
    <d v="2026-09-18T00:00:00"/>
    <m/>
    <s v="203454-1"/>
    <x v="0"/>
    <s v="SABRINA SANTOS"/>
    <n v="50017.440000000002"/>
    <x v="0"/>
    <s v="CTE NORMAL"/>
    <s v="CAMPO GRANDE - MS"/>
    <n v="6521.56"/>
    <n v="4"/>
    <n v="749.12"/>
    <s v="N/D"/>
    <n v="550"/>
    <s v="N/D"/>
    <n v="0"/>
    <s v="FRATUS &amp;AMP; FRATUS TRANSPORT"/>
    <n v="0"/>
    <n v="456.51"/>
    <n v="0"/>
    <n v="0"/>
    <n v="25.01"/>
    <n v="0"/>
    <n v="7250.04"/>
    <n v="-728.48"/>
    <n v="1695.61"/>
    <n v="-2424.09"/>
    <n v="0"/>
    <n v="-2424.09"/>
    <n v="-0.37170000000000003"/>
    <m/>
  </r>
  <r>
    <x v="1"/>
    <s v="FILIAL SP"/>
    <d v="2026-09-16T00:00:00"/>
    <d v="2026-09-18T00:00:00"/>
    <m/>
    <s v="37438-1"/>
    <x v="1"/>
    <s v="MARCELO HOPPE"/>
    <n v="1460.31"/>
    <x v="1"/>
    <s v="CTE NORMAL"/>
    <s v="SAO PAULO - SP"/>
    <n v="88.18"/>
    <n v="2"/>
    <n v="31.5"/>
    <s v="BRUNO RODRIGUES DA COSTA"/>
    <n v="5.63"/>
    <s v="EDSON SANTOS DA SILVA"/>
    <n v="40"/>
    <s v="FRATUS &amp;AMP; FRATUS TRANSPORT"/>
    <n v="0"/>
    <n v="10.58"/>
    <n v="0"/>
    <n v="0"/>
    <n v="0.73"/>
    <n v="0"/>
    <n v="318.42"/>
    <n v="-230.24"/>
    <n v="22.93"/>
    <n v="-253.17"/>
    <n v="0"/>
    <n v="-253.17"/>
    <n v="-2.8711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10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9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m="1" x="102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6"/>
        <item m="1" x="333"/>
        <item m="1" x="220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3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x="1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7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7"/>
        <item m="1" x="209"/>
        <item m="1" x="682"/>
        <item m="1" x="275"/>
        <item m="1" x="472"/>
        <item m="1" x="800"/>
        <item m="1" x="217"/>
        <item m="1" x="828"/>
        <item m="1" x="70"/>
        <item x="0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2"/>
        <item m="1" x="254"/>
        <item m="1" x="512"/>
        <item m="1" x="96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5"/>
        <item m="1" x="88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3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100"/>
        <item m="1" x="767"/>
        <item m="1" x="126"/>
        <item m="1" x="218"/>
        <item m="1" x="812"/>
        <item m="1" x="279"/>
        <item m="1" x="108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52"/>
    </i>
    <i r="1">
      <x v="7999"/>
    </i>
    <i>
      <x v="453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10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9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m="1" x="102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6"/>
        <item m="1" x="333"/>
        <item m="1" x="220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3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x="1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7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7"/>
        <item m="1" x="209"/>
        <item m="1" x="682"/>
        <item m="1" x="275"/>
        <item m="1" x="472"/>
        <item m="1" x="800"/>
        <item m="1" x="217"/>
        <item m="1" x="828"/>
        <item m="1" x="70"/>
        <item x="0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2"/>
        <item m="1" x="254"/>
        <item m="1" x="512"/>
        <item m="1" x="96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5"/>
        <item m="1" x="88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3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100"/>
        <item m="1" x="767"/>
        <item m="1" x="126"/>
        <item m="1" x="218"/>
        <item m="1" x="812"/>
        <item m="1" x="279"/>
        <item m="1" x="108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52"/>
    </i>
    <i>
      <x v="453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4" s="1" nd="1"/>
        <i x="271" s="1" nd="1"/>
        <i x="591" s="1" nd="1"/>
        <i x="324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10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1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9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60" s="1" nd="1"/>
        <i x="632" s="1" nd="1"/>
        <i x="531" s="1" nd="1"/>
        <i x="295" s="1" nd="1"/>
        <i x="304" s="1" nd="1"/>
        <i x="174" s="1" nd="1"/>
        <i x="102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6" s="1" nd="1"/>
        <i x="333" s="1" nd="1"/>
        <i x="220" s="1" nd="1"/>
        <i x="510" s="1" nd="1"/>
        <i x="118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7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3" s="1" nd="1"/>
        <i x="196" s="1" nd="1"/>
        <i x="832" s="1" nd="1"/>
        <i x="765" s="1" nd="1"/>
        <i x="509" s="1" nd="1"/>
        <i x="822" s="1" nd="1"/>
        <i x="341" s="1" nd="1"/>
        <i x="223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4" s="1" nd="1"/>
        <i x="123" s="1" nd="1"/>
        <i x="267" s="1" nd="1"/>
        <i x="292" s="1" nd="1"/>
        <i x="354" s="1" nd="1"/>
        <i x="99" s="1" nd="1"/>
        <i x="460" s="1" nd="1"/>
        <i x="581" s="1" nd="1"/>
        <i x="353" s="1" nd="1"/>
        <i x="104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7" s="1" nd="1"/>
        <i x="376" s="1" nd="1"/>
        <i x="719" s="1" nd="1"/>
        <i x="127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2" s="1" nd="1"/>
        <i x="573" s="1" nd="1"/>
        <i x="157" s="1" nd="1"/>
        <i x="561" s="1" nd="1"/>
        <i x="46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3" s="1" nd="1"/>
        <i x="272" s="1" nd="1"/>
        <i x="76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7" s="1" nd="1"/>
        <i x="209" s="1" nd="1"/>
        <i x="682" s="1" nd="1"/>
        <i x="275" s="1" nd="1"/>
        <i x="472" s="1" nd="1"/>
        <i x="800" s="1" nd="1"/>
        <i x="217" s="1" nd="1"/>
        <i x="828" s="1" nd="1"/>
        <i x="70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5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4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4" s="1" nd="1"/>
        <i x="718" s="1" nd="1"/>
        <i x="112" s="1" nd="1"/>
        <i x="254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5" s="1" nd="1"/>
        <i x="88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7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5" s="1" nd="1"/>
        <i x="36" s="1" nd="1"/>
        <i x="311" s="1" nd="1"/>
        <i x="826" s="1" nd="1"/>
        <i x="563" s="1" nd="1"/>
        <i x="63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3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100" s="1" nd="1"/>
        <i x="767" s="1" nd="1"/>
        <i x="126" s="1" nd="1"/>
        <i x="218" s="1" nd="1"/>
        <i x="812" s="1" nd="1"/>
        <i x="279" s="1" nd="1"/>
        <i x="108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7" s="1" nd="1"/>
        <i x="129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7" totalsRowShown="0" headerRowDxfId="92" dataDxfId="90" headerRowBorderDxfId="91" tableBorderDxfId="89" totalsRowBorderDxfId="88">
  <autoFilter ref="A1:D37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301731</v>
      </c>
      <c r="B2" s="12" t="s">
        <v>592</v>
      </c>
      <c r="C2" s="14">
        <v>46283</v>
      </c>
      <c r="D2" s="14">
        <v>46283</v>
      </c>
      <c r="E2" s="12"/>
      <c r="F2" s="15" t="s">
        <v>593</v>
      </c>
      <c r="G2" s="15" t="s">
        <v>594</v>
      </c>
      <c r="H2" s="15" t="s">
        <v>595</v>
      </c>
      <c r="I2" s="16">
        <v>50017.440000000002</v>
      </c>
      <c r="J2" s="15" t="s">
        <v>596</v>
      </c>
      <c r="K2" s="15" t="s">
        <v>597</v>
      </c>
      <c r="L2" s="15" t="s">
        <v>598</v>
      </c>
      <c r="M2" s="15">
        <v>6521.56</v>
      </c>
      <c r="N2" s="15">
        <v>4</v>
      </c>
      <c r="O2" s="16">
        <v>749.12</v>
      </c>
      <c r="P2" s="15" t="s">
        <v>599</v>
      </c>
      <c r="Q2" s="15">
        <v>550</v>
      </c>
      <c r="R2" s="15" t="s">
        <v>599</v>
      </c>
      <c r="S2" s="15">
        <v>0</v>
      </c>
      <c r="T2" s="15" t="s">
        <v>600</v>
      </c>
      <c r="U2" s="15">
        <v>0</v>
      </c>
      <c r="V2" s="15">
        <v>456.51</v>
      </c>
      <c r="W2" s="15">
        <v>0</v>
      </c>
      <c r="X2" s="15">
        <v>0</v>
      </c>
      <c r="Y2" s="15">
        <v>25.01</v>
      </c>
      <c r="Z2" s="15">
        <v>0</v>
      </c>
      <c r="AA2" s="15">
        <v>7250.04</v>
      </c>
      <c r="AB2" s="15">
        <v>-728.48</v>
      </c>
      <c r="AC2" s="15">
        <v>1695.61</v>
      </c>
      <c r="AD2" s="15">
        <v>-2424.09</v>
      </c>
      <c r="AE2" s="15">
        <v>0</v>
      </c>
      <c r="AF2" s="15">
        <v>-2424.09</v>
      </c>
      <c r="AG2" s="17">
        <v>-0.37170000000000003</v>
      </c>
      <c r="AH2" s="15"/>
    </row>
    <row r="3" spans="1:34" s="1" customFormat="1" ht="12" customHeight="1" x14ac:dyDescent="0.3">
      <c r="A3" s="13">
        <v>301826</v>
      </c>
      <c r="B3" s="12" t="s">
        <v>601</v>
      </c>
      <c r="C3" s="14">
        <v>46281</v>
      </c>
      <c r="D3" s="14">
        <v>46283</v>
      </c>
      <c r="E3" s="12"/>
      <c r="F3" s="15" t="s">
        <v>602</v>
      </c>
      <c r="G3" s="15" t="s">
        <v>603</v>
      </c>
      <c r="H3" s="15" t="s">
        <v>604</v>
      </c>
      <c r="I3" s="16">
        <v>1460.31</v>
      </c>
      <c r="J3" s="15" t="s">
        <v>605</v>
      </c>
      <c r="K3" s="15" t="s">
        <v>597</v>
      </c>
      <c r="L3" s="15" t="s">
        <v>606</v>
      </c>
      <c r="M3" s="16">
        <v>88.18</v>
      </c>
      <c r="N3" s="15">
        <v>2</v>
      </c>
      <c r="O3" s="16">
        <v>31.5</v>
      </c>
      <c r="P3" s="15" t="s">
        <v>607</v>
      </c>
      <c r="Q3" s="15">
        <v>5.63</v>
      </c>
      <c r="R3" s="15" t="s">
        <v>608</v>
      </c>
      <c r="S3" s="15">
        <v>40</v>
      </c>
      <c r="T3" s="15" t="s">
        <v>600</v>
      </c>
      <c r="U3" s="15">
        <v>0</v>
      </c>
      <c r="V3" s="15">
        <v>10.58</v>
      </c>
      <c r="W3" s="15">
        <v>0</v>
      </c>
      <c r="X3" s="15">
        <v>0</v>
      </c>
      <c r="Y3" s="15">
        <v>0.73</v>
      </c>
      <c r="Z3" s="15">
        <v>0</v>
      </c>
      <c r="AA3" s="16">
        <v>318.42</v>
      </c>
      <c r="AB3" s="16">
        <v>-230.24</v>
      </c>
      <c r="AC3" s="15">
        <v>22.93</v>
      </c>
      <c r="AD3" s="15">
        <v>-253.17</v>
      </c>
      <c r="AE3" s="15">
        <v>0</v>
      </c>
      <c r="AF3" s="15">
        <v>-253.17</v>
      </c>
      <c r="AG3" s="17">
        <v>-2.8711000000000002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6609.7400000000007</v>
      </c>
      <c r="F3" s="93"/>
      <c r="G3" s="94"/>
      <c r="H3" s="95">
        <f>'Resumo Detalhado'!C2</f>
        <v>780.62</v>
      </c>
      <c r="I3" s="96"/>
      <c r="J3" s="97">
        <f>E3/H3</f>
        <v>8.4672952268709487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3.548272727272727E-2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7035.63</v>
      </c>
      <c r="F7" s="109"/>
      <c r="G7" s="109"/>
      <c r="H7" s="109"/>
      <c r="I7" s="109"/>
      <c r="J7" s="109">
        <f>E7/H3</f>
        <v>9.0128743819015646</v>
      </c>
      <c r="K7" s="109"/>
      <c r="L7" s="109"/>
      <c r="M7" s="110">
        <f>E7/E3</f>
        <v>1.0644336993588248</v>
      </c>
      <c r="N7" s="110"/>
      <c r="O7" s="110"/>
      <c r="P7" s="109">
        <f>E11+K11+Q11+E15+K15+Q15+E19+H19+K19</f>
        <v>9114.7976000000017</v>
      </c>
      <c r="Q7" s="109"/>
      <c r="R7" s="109"/>
      <c r="S7" s="109">
        <f>P7/H3</f>
        <v>11.676356742076813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6480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6480</v>
      </c>
      <c r="L11" s="94"/>
      <c r="M11" s="38"/>
      <c r="N11" s="92">
        <f>K11/H3</f>
        <v>8.3010940022033761</v>
      </c>
      <c r="O11" s="94"/>
      <c r="P11" s="38"/>
      <c r="Q11" s="92">
        <f>'Resumo Detalhado'!D2</f>
        <v>555.63</v>
      </c>
      <c r="R11" s="94"/>
      <c r="S11" s="38"/>
      <c r="T11" s="92">
        <f>Q11/H3</f>
        <v>0.71178037969818864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467.09</v>
      </c>
      <c r="F15" s="113"/>
      <c r="G15" s="113"/>
      <c r="H15" s="113"/>
      <c r="I15" s="114"/>
      <c r="J15" s="38"/>
      <c r="K15" s="116">
        <f>'Resumo Detalhado'!K2+'Resumo Detalhado'!L2</f>
        <v>1057.5584000000001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25.740000000000002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528.77920000000006</v>
      </c>
      <c r="L19" s="108"/>
      <c r="M19" s="38"/>
      <c r="N19" s="112" t="s">
        <v>238</v>
      </c>
      <c r="O19" s="113"/>
      <c r="P19" s="113"/>
      <c r="Q19" s="113"/>
      <c r="R19" s="119"/>
      <c r="S19" s="112">
        <f>_xlfn.XLOOKUP(N19,Target!C:C,Target!D:D)</f>
        <v>10200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4992.5007999999998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0.75532483879850032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609</v>
      </c>
      <c r="F1" s="29"/>
    </row>
    <row r="2" spans="1:18" x14ac:dyDescent="0.3">
      <c r="B2" s="29">
        <f>SUM(B6:B5000)</f>
        <v>6609.7400000000007</v>
      </c>
      <c r="C2" s="29">
        <f>SUM(C6:C5000)</f>
        <v>780.62</v>
      </c>
      <c r="D2" s="29">
        <f>SUM(D6:D5000)</f>
        <v>555.63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467.09</v>
      </c>
      <c r="I2" s="29">
        <f t="shared" si="0"/>
        <v>25.740000000000002</v>
      </c>
      <c r="J2" s="29">
        <f t="shared" si="0"/>
        <v>0</v>
      </c>
      <c r="K2" s="29">
        <f t="shared" si="0"/>
        <v>528.77920000000006</v>
      </c>
      <c r="L2" s="29">
        <f t="shared" si="0"/>
        <v>528.77920000000006</v>
      </c>
      <c r="M2" s="29">
        <f t="shared" si="0"/>
        <v>0</v>
      </c>
      <c r="N2" s="29">
        <f t="shared" si="0"/>
        <v>4992.5007999999998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603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301826</v>
      </c>
      <c r="B6" s="139">
        <v>88.18</v>
      </c>
      <c r="C6" s="140">
        <v>31.5</v>
      </c>
      <c r="D6" s="139">
        <v>5.63</v>
      </c>
      <c r="E6" s="139">
        <v>40</v>
      </c>
      <c r="F6" s="139">
        <v>0</v>
      </c>
      <c r="G6" s="141">
        <v>0.5174642776139714</v>
      </c>
      <c r="H6" s="139">
        <v>10.58</v>
      </c>
      <c r="I6" s="139">
        <v>0.73</v>
      </c>
      <c r="J6" s="139">
        <v>0</v>
      </c>
      <c r="K6" s="139">
        <v>7.0544000000000011</v>
      </c>
      <c r="L6" s="139">
        <v>7.0544000000000011</v>
      </c>
      <c r="M6" s="139">
        <v>0</v>
      </c>
      <c r="N6" s="139">
        <v>24.185600000000012</v>
      </c>
      <c r="O6" s="141">
        <v>0.2742753458834204</v>
      </c>
      <c r="Q6"/>
    </row>
    <row r="7" spans="1:18" s="31" customFormat="1" x14ac:dyDescent="0.3">
      <c r="A7" s="9" t="s">
        <v>594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301731</v>
      </c>
      <c r="B8" s="139">
        <v>6521.56</v>
      </c>
      <c r="C8" s="140">
        <v>749.12</v>
      </c>
      <c r="D8" s="139">
        <v>550</v>
      </c>
      <c r="E8" s="139">
        <v>0</v>
      </c>
      <c r="F8" s="139">
        <v>0</v>
      </c>
      <c r="G8" s="141">
        <v>8.4335649752513203E-2</v>
      </c>
      <c r="H8" s="139">
        <v>456.51</v>
      </c>
      <c r="I8" s="139">
        <v>25.01</v>
      </c>
      <c r="J8" s="139">
        <v>0</v>
      </c>
      <c r="K8" s="139">
        <v>521.72480000000007</v>
      </c>
      <c r="L8" s="139">
        <v>521.72480000000007</v>
      </c>
      <c r="M8" s="139">
        <v>0</v>
      </c>
      <c r="N8" s="139">
        <v>4968.3152</v>
      </c>
      <c r="O8" s="141">
        <v>0.76182925557688641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609</v>
      </c>
    </row>
    <row r="2" spans="1:4" x14ac:dyDescent="0.3">
      <c r="B2" s="29">
        <f>SUM(B6:B5000)</f>
        <v>6521.56</v>
      </c>
      <c r="C2" s="29">
        <f>SUM(C6:C5000)</f>
        <v>4968.3152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603</v>
      </c>
      <c r="B5" s="10">
        <v>88.18</v>
      </c>
      <c r="C5" s="10">
        <v>24.185600000000012</v>
      </c>
    </row>
    <row r="6" spans="1:4" x14ac:dyDescent="0.3">
      <c r="A6" s="9" t="s">
        <v>594</v>
      </c>
      <c r="B6" s="139">
        <v>6521.56</v>
      </c>
      <c r="C6" s="139">
        <v>4968.3152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2026-09-23T13:02:19Z</dcterms:modified>
  <cp:category/>
  <cp:contentStatus/>
</cp:coreProperties>
</file>