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384C5F0-9DD9-4236-BCEB-1D5B367BE601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<sst xmlns="http://schemas.openxmlformats.org/spreadsheetml/2006/main" count="915" uniqueCount="634">
  <si>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</si>
  <si>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</si>
  <si>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</si>
  <si>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</si>
  <si>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</si>
  <si>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</si>
  <si>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</si>
  <si>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</si>
  <si>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</si>
  <si>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</si>
  <si>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</si>
  <si>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</si>
  <si>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</si>
  <si>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</si>
  <si>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</si>
  <si>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</si>
  <si>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</si>
  <si>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</si>
  <si>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</si>
  <si>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</si>
  <si>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</si>
  <si>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</si>
  <si>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</si>
  <si>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</si>
  <si>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</si>
  <si>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</si>
  <si>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</si>
  <si>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</si>
  <si>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</si>
  <si>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</si>
  <si>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</si>
  <si>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</si>
  <si>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</si>
  <si>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</si>
  <si>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</si>
  <si>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</si>
  <si>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</si>
  <si>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</si>
  <si>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</si>
  <si>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</si>
  <si>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</si>
  <si>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</si>
  <si>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</si>
  <si>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</si>
  <si>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</si>
  <si>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</si>
  <si>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</si>
  <si>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</si>
  <si>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</si>
  <si>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</si>
  <si>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</si>
  <si>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</si>
  <si>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</si>
  <si>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</si>
  <si>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</si>
  <si>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</si>
  <si>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</si>
  <si>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</si>
  <si>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</si>
  <si>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</si>
  <si>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</si>
  <si>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</si>
  <si>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</si>
  <si>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</si>
  <si>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</si>
  <si>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</si>
  <si>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</si>
  <si>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</si>
  <si>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</si>
  <si>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</si>
  <si>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</si>
  <si>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</si>
  <si>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</si>
  <si>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</si>
  <si>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</si>
  <si>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</si>
  <si>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</si>
  <si>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</si>
  <si>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</si>
  <si>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</si>
  <si>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</si>
  <si>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</si>
  <si>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</si>
  <si>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</si>
  <si>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</si>
  <si>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</si>
  <si>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</si>
  <si>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</si>
  <si>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</si>
  <si>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</si>
  <si>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</si>
  <si>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</si>
  <si>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</si>
  <si>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</si>
  <si>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</si>
  <si>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</si>
  <si>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</si>
  <si>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</si>
  <si>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</si>
  <si>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</si>
  <si>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</si>
  <si>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</si>
  <si>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</si>
  <si>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</si>
  <si>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</si>
  <si>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</si>
  <si>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</si>
  <si>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</si>
  <si>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</si>
  <si>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</si>
  <si>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</si>
  <si>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</si>
  <si>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</si>
  <si>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</si>
  <si>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</si>
  <si>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</si>
  <si>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</si>
  <si>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</si>
  <si>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</si>
  <si>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</si>
  <si>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</si>
  <si>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</si>
  <si>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</si>
  <si>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</si>
  <si>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</si>
  <si>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</si>
  <si>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</si>
  <si>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</si>
  <si>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</si>
  <si>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</si>
  <si>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</si>
  <si>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</si>
  <si>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</si>
  <si>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</si>
  <si>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</si>
  <si>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</si>
  <si>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</si>
  <si>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</si>
  <si>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</si>
  <si>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</si>
  <si>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</si>
  <si>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</si>
  <si>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</si>
  <si>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</si>
  <si>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</si>
  <si>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</si>
  <si>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</si>
  <si>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</si>
  <si>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</si>
  <si>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</si>
  <si>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</si>
  <si>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</si>
  <si>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</si>
  <si>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</si>
  <si>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</si>
  <si>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</si>
  <si>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</si>
  <si>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</si>
  <si>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</si>
  <si>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</si>
  <si>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</si>
  <si>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</si>
  <si>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</si>
  <si>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</si>
  <si>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</si>
  <si>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</si>
  <si>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</si>
  <si>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</si>
  <si>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</si>
  <si>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</si>
  <si>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</si>
  <si>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</si>
  <si>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</si>
  <si>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</si>
  <si>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</si>
  <si>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</si>
  <si>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</si>
  <si>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</si>
  <si>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</si>
  <si>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</si>
  <si>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</si>
  <si>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</si>
  <si>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</si>
  <si>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</si>
  <si>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</si>
  <si>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</si>
  <si>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</si>
  <si>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</si>
  <si>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</si>
  <si>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</si>
  <si>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</si>
  <si>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</si>
  <si>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</si>
  <si>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</si>
  <si>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</si>
  <si>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</si>
  <si>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</si>
  <si>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</si>
  <si>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</si>
  <si>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</si>
  <si>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</si>
  <si>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</si>
  <si>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</si>
  <si>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</si>
  <si>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</si>
  <si>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</si>
  <si>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</si>
  <si>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</si>
  <si>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</si>
  <si>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</si>
  <si>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</si>
  <si>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</si>
  <si>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</si>
  <si>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</si>
  <si>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</si>
  <si>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</si>
  <si>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</si>
  <si>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</si>
  <si>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</si>
  <si>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</si>
  <si>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</si>
  <si>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</si>
  <si>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</si>
  <si>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</si>
  <si>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</si>
  <si>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</si>
  <si>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</si>
  <si>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</si>
  <si>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</si>
  <si>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</si>
  <si>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</si>
  <si>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</si>
  <si>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</si>
  <si>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</si>
  <si>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</si>
  <si>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</si>
  <si>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</si>
  <si>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</si>
  <si>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</si>
  <si>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</si>
  <si>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</si>
  <si>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</si>
  <si>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</si>
  <si>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</si>
  <si>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</si>
  <si>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</si>
  <si>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</si>
  <si>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</si>
  <si>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</si>
  <si>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</si>
  <si>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</si>
  <si>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</si>
  <si>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</si>
  <si>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</si>
  <si>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</si>
  <si>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</si>
  <si>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</si>
  <si>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</si>
  <si>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</si>
  <si>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</si>
  <si>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</si>
  <si>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</si>
  <si>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</si>
  <si>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</si>
  <si>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</si>
  <si>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</si>
  <si>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</si>
  <si>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</si>
  <si>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</si>
  <si>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</si>
  <si>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</si>
  <si>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</si>
  <si>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</si>
  <si>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</si>
  <si>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</si>
  <si>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</si>
  <si>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</si>
  <si>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</si>
  <si>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</si>
  <si>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</si>
  <si>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</si>
  <si>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</si>
  <si>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</si>
  <si>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</si>
  <si>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</si>
  <si>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</si>
  <si>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</si>
  <si>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</si>
  <si>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</si>
  <si>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</si>
  <si>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</si>
  <si>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</si>
  <si>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</si>
  <si>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</si>
  <si>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</si>
  <si>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</si>
  <si>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</si>
  <si>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</si>
  <si>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</si>
  <si>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</si>
  <si>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</si>
  <si>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</si>
  <si>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</si>
  <si>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</si>
  <si>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</si>
  <si>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</si>
  <si>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</si>
  <si>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</si>
  <si>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</si>
  <si>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</si>
  <si>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</si>
  <si>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</si>
  <si>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</si>
  <si>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</si>
  <si>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</si>
  <si>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</si>
  <si>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</si>
  <si>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</si>
  <si>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</si>
  <si>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</si>
  <si>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</si>
  <si>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</si>
  <si>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</si>
  <si>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</si>
  <si>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</si>
  <si>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</si>
  <si>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</si>
  <si>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</si>
  <si>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</si>
  <si>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</si>
  <si>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</si>
  <si>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</si>
  <si>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</si>
  <si>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</si>
  <si>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</si>
  <si>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</si>
  <si>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</si>
  <si>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</si>
  <si>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</si>
  <si>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</si>
  <si>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</si>
  <si>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</si>
  <si>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</si>
  <si>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</si>
  <si>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</si>
  <si>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</si>
  <si>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</si>
  <si>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</si>
  <si>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</si>
  <si>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</si>
  <si>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</si>
  <si>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</si>
  <si>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</si>
  <si>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</si>
  <si>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</si>
  <si>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</si>
  <si>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</si>
  <si>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</si>
  <si>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</si>
  <si>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</si>
  <si>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</si>
  <si>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</si>
  <si>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</si>
  <si>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</si>
  <si>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</si>
  <si>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</si>
  <si>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</si>
  <si>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</si>
  <si>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</si>
  <si>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</si>
  <si>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</si>
  <si>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</si>
  <si>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</si>
  <si>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</si>
  <si>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</si>
  <si>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</si>
  <si>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</si>
  <si>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</si>
  <si>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</si>
  <si>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</si>
  <si>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</si>
  <si>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</si>
  <si>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</si>
  <si>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</si>
  <si>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</si>
  <si>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</si>
  <si>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</si>
  <si>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</si>
  <si>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</si>
  <si>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</si>
  <si>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</si>
  <si>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</si>
  <si>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</si>
  <si>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</si>
  <si>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</si>
  <si>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</si>
  <si>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</si>
  <si>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</si>
  <si>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</si>
  <si>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</si>
  <si>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</si>
  <si>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</si>
  <si>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</si>
  <si>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</si>
  <si>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</si>
  <si>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</si>
  <si>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</si>
  <si>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</si>
  <si>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</si>
  <si>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</si>
  <si>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</si>
  <si>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</si>
  <si>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</si>
  <si>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</si>
  <si>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</si>
  <si>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</si>
  <si>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</si>
  <si>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</si>
  <si>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</si>
  <si>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</si>
  <si>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</si>
  <si>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</si>
  <si>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</si>
  <si>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</si>
  <si>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</si>
  <si>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</si>
  <si>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</si>
  <si>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</si>
  <si>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</si>
  <si>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</si>
  <si>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</si>
  <si>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</si>
  <si>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</si>
  <si>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</si>
  <si>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</si>
  <si>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</si>
  <si>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</si>
  <si>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</si>
  <si>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</si>
  <si>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</si>
  <si>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</si>
  <si>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</si>
  <si>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</si>
  <si>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</si>
  <si>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</si>
  <si>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</si>
  <si>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</si>
  <si>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</si>
  <si>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</si>
  <si>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</si>
  <si>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</si>
  <si>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</si>
  <si>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</si>
  <si>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</si>
  <si>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</si>
  <si>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</si>
  <si>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</si>
  <si>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</si>
  <si>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</si>
  <si>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</si>
  <si>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</si>
  <si>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</si>
  <si>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</si>
  <si>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</si>
  <si>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</si>
  <si>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</si>
  <si>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</si>
  <si>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</si>
  <si>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</si>
  <si>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</si>
  <si>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</si>
  <si>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</si>
  <si>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</si>
  <si>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</si>
  <si>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</si>
  <si>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</si>
  <si>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</si>
  <si>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</si>
  <si>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</si>
  <si>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</si>
  <si>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</si>
  <si>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</si>
  <si>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</si>
  <si>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</si>
  <si>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</si>
  <si>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</si>
  <si>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</si>
  <si>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</si>
  <si>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</si>
  <si>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</si>
  <si>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</si>
  <si>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</si>
  <si>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</si>
  <si>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</si>
  <si>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</si>
  <si>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</si>
  <si>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</si>
  <si>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</si>
  <si>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</si>
  <si>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</si>
  <si>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</si>
  <si>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</si>
  <si>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</si>
  <si>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</si>
  <si>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</si>
  <si>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</si>
  <si>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</si>
  <si>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</si>
  <si>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</si>
  <si>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</si>
  <si>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</si>
  <si>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</si>
  <si>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</si>
  <si>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</si>
  <si>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</si>
  <si>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</si>
  <si>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</si>
  <si>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</si>
  <si>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</si>
  <si>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</si>
  <si>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</si>
  <si>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</si>
  <si>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</si>
  <si>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</si>
  <si>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</si>
  <si>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</si>
  <si>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</si>
  <si>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</si>
  <si>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</si>
  <si>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</si>
  <si>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</si>
  <si>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</si>
  <si>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</si>
  <si>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</si>
  <si>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</si>
  <si>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</si>
  <si>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</si>
  <si>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</si>
  <si>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</si>
  <si>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</si>
  <si>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</si>
  <si>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</si>
  <si>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</si>
  <si>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</si>
  <si>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</si>
  <si>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</si>
  <si>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</si>
  <si>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</si>
  <si>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</si>
  <si>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</si>
  <si>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</si>
  <si>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</si>
  <si>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</si>
  <si>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</si>
  <si>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</si>
  <si>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</si>
  <si>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</si>
  <si>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</si>
  <si>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</si>
  <si>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</si>
  <si>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</si>
  <si>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</si>
  <si>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</si>
  <si>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</si>
  <si>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</si>
  <si>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</si>
  <si>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</si>
  <si>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</si>
  <si>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</si>
  <si>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</si>
  <si>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</si>
  <si>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</si>
  <si>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</si>
  <si>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</si>
  <si>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</si>
  <si>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</si>
  <si>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</si>
  <si>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</si>
  <si>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</si>
  <si>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</si>
  <si>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</si>
  <si>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</si>
  <si>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</si>
  <si>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</si>
  <si>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</si>
  <si>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</si>
  <si>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</si>
  <si>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</si>
  <si>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</si>
  <si>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</si>
  <si>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</si>
  <si>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</si>
  <si>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</si>
  <si>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</si>
  <si>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</si>
  <si>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</si>
  <si>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</si>
  <si>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</si>
  <si>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</si>
  <si>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</si>
  <si>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</si>
  <si>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</si>
  <si>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</si>
  <si>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</si>
  <si>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</si>
  <si>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</si>
  <si>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</si>
  <si>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</si>
  <si>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</si>
  <si>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</si>
  <si>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</si>
  <si>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</si>
  <si>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</si>
  <si>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</si>
  <si>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</si>
  <si>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</si>
  <si>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</si>
  <si>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3478-1</t>
  </si>
  <si>
    <t>RIEL ENGENHARIA</t>
  </si>
  <si>
    <t>CAIO LUCIANO MATIAS</t>
  </si>
  <si>
    <t>PERSONALIZADO_L</t>
  </si>
  <si>
    <t>CTE NORMAL</t>
  </si>
  <si>
    <t>BELEM - PA</t>
  </si>
  <si>
    <t>N/D</t>
  </si>
  <si>
    <t>JOSE ROBERTO DE SOUSA SIL</t>
  </si>
  <si>
    <t>3479-1</t>
  </si>
  <si>
    <t>STRATUS COMERCI</t>
  </si>
  <si>
    <t>MICHELL MARQUES</t>
  </si>
  <si>
    <t>ECONOMICO_250</t>
  </si>
  <si>
    <t>SAO PAULO - SP</t>
  </si>
  <si>
    <t>LUIZ FELIPE FERNANDES DA</t>
  </si>
  <si>
    <t>SERGIO MURILO ANTUNES DE</t>
  </si>
  <si>
    <t>Rio de Janeiro-Rj X Belém-Patoco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</si>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</sst>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239733796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97"/>
        <n v="359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RIEL ENGENHARIA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7022" maxValue="300000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53.07" maxValue="25789.47"/>
    </cacheField>
    <cacheField name="VOLUMES" numFmtId="0">
      <sharedItems containsString="0" containsBlank="1" containsNumber="1" containsInteger="1" minValue="9" maxValue="73"/>
    </cacheField>
    <cacheField name="PESO" numFmtId="0">
      <sharedItems containsString="0" containsBlank="1" containsNumber="1" minValue="176.55" maxValue="3702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0.409999999999997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8.37" maxValue="1805.2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81" maxValue="12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4.85" maxValue="19322"/>
    </cacheField>
    <cacheField name="RECEITA" numFmtId="0">
      <sharedItems containsString="0" containsBlank="1" containsNumber="1" minValue="-11.78" maxValue="6467.47"/>
    </cacheField>
    <cacheField name="IMPOSTO" numFmtId="0">
      <sharedItems containsString="0" containsBlank="1" containsNumber="1" minValue="39.799999999999997" maxValue="6705.26"/>
    </cacheField>
    <cacheField name="RESULTADO" numFmtId="0">
      <sharedItems containsString="0" containsBlank="1" containsNumber="1" minValue="-957.32" maxValue="-51.5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957.32" maxValue="-51.58"/>
    </cacheField>
    <cacheField name="MARGEM" numFmtId="10">
      <sharedItems containsString="0" containsBlank="1" containsNumber="1" minValue="-0.33700000000000002" maxValue="-3.71000000000000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10-06T00:00:00"/>
    <m/>
    <s v="3478-1"/>
    <x v="0"/>
    <s v="CAIO LUCIANO MATIAS"/>
    <n v="300000"/>
    <x v="0"/>
    <s v="CTE NORMAL"/>
    <s v="BELEM - PA"/>
    <n v="25789.47"/>
    <n v="73"/>
    <n v="3702"/>
    <s v="N/D"/>
    <n v="0"/>
    <s v="N/D"/>
    <n v="0"/>
    <s v="JOSE ROBERTO DE SOUSA SIL"/>
    <n v="0"/>
    <n v="1805.26"/>
    <n v="0"/>
    <n v="0"/>
    <n v="120"/>
    <n v="0"/>
    <n v="19322"/>
    <n v="6467.47"/>
    <n v="6705.26"/>
    <n v="-957.32"/>
    <n v="0"/>
    <n v="-957.32"/>
    <n v="-3.7100000000000001E-2"/>
    <m/>
  </r>
  <r>
    <x v="1"/>
    <s v="MATRIZ"/>
    <d v="2026-10-06T00:00:00"/>
    <d v="2026-10-06T00:00:00"/>
    <m/>
    <s v="3479-1"/>
    <x v="1"/>
    <s v="MICHELL MARQUES"/>
    <n v="7022"/>
    <x v="1"/>
    <s v="CTE NORMAL"/>
    <s v="SAO PAULO - SP"/>
    <n v="153.07"/>
    <n v="9"/>
    <n v="176.55"/>
    <s v="LUIZ FELIPE FERNANDES DA"/>
    <n v="0"/>
    <s v="SERGIO MURILO ANTUNES DE"/>
    <n v="40.409999999999997"/>
    <s v="JOSE ROBERTO DE SOUSA SIL"/>
    <n v="0"/>
    <n v="18.37"/>
    <n v="0"/>
    <n v="0"/>
    <n v="2.81"/>
    <n v="0"/>
    <n v="164.85"/>
    <n v="-11.78"/>
    <n v="39.799999999999997"/>
    <n v="-51.58"/>
    <n v="0"/>
    <n v="-51.58"/>
    <n v="-0.3370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56"/>
    </i>
    <i r="1">
      <x v="7998"/>
    </i>
    <i>
      <x v="735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56"/>
    </i>
    <i>
      <x v="73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3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7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5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7" s="1" nd="1"/>
        <i x="443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9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8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5" s="1" nd="1"/>
        <i x="396" s="1" nd="1"/>
        <i x="671" s="1" nd="1"/>
        <i x="186" s="1" nd="1"/>
        <i x="410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1" s="1" nd="1"/>
        <i x="69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1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3597</v>
      </c>
      <c r="B2" s="12" t="s">
        <v>616</v>
      </c>
      <c r="C2" s="14"/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300000</v>
      </c>
      <c r="J2" s="15" t="s">
        <v>620</v>
      </c>
      <c r="K2" s="15" t="s">
        <v>621</v>
      </c>
      <c r="L2" s="15" t="s">
        <v>622</v>
      </c>
      <c r="M2" s="15">
        <v>25789.47</v>
      </c>
      <c r="N2" s="15">
        <v>73</v>
      </c>
      <c r="O2" s="16">
        <v>3702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1805.26</v>
      </c>
      <c r="W2" s="15">
        <v>0</v>
      </c>
      <c r="X2" s="15">
        <v>0</v>
      </c>
      <c r="Y2" s="15">
        <v>120</v>
      </c>
      <c r="Z2" s="15">
        <v>0</v>
      </c>
      <c r="AA2" s="15">
        <v>19322</v>
      </c>
      <c r="AB2" s="15">
        <v>6467.47</v>
      </c>
      <c r="AC2" s="15">
        <v>6705.26</v>
      </c>
      <c r="AD2" s="15">
        <v>-957.32</v>
      </c>
      <c r="AE2" s="15">
        <v>0</v>
      </c>
      <c r="AF2" s="15">
        <v>-957.32</v>
      </c>
      <c r="AG2" s="17">
        <v>-3.7100000000000001E-2</v>
      </c>
      <c r="AH2" s="15"/>
    </row>
    <row r="3" spans="1:34" s="1" customFormat="1" ht="12" customHeight="1" x14ac:dyDescent="0.3">
      <c r="A3" s="13">
        <v>3598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7022</v>
      </c>
      <c r="J3" s="15" t="s">
        <v>628</v>
      </c>
      <c r="K3" s="15" t="s">
        <v>621</v>
      </c>
      <c r="L3" s="15" t="s">
        <v>629</v>
      </c>
      <c r="M3" s="16">
        <v>153.07</v>
      </c>
      <c r="N3" s="15">
        <v>9</v>
      </c>
      <c r="O3" s="16">
        <v>176.55</v>
      </c>
      <c r="P3" s="15" t="s">
        <v>630</v>
      </c>
      <c r="Q3" s="15">
        <v>0</v>
      </c>
      <c r="R3" s="15" t="s">
        <v>631</v>
      </c>
      <c r="S3" s="15">
        <v>40.409999999999997</v>
      </c>
      <c r="T3" s="15" t="s">
        <v>624</v>
      </c>
      <c r="U3" s="15">
        <v>0</v>
      </c>
      <c r="V3" s="15">
        <v>18.37</v>
      </c>
      <c r="W3" s="15">
        <v>0</v>
      </c>
      <c r="X3" s="15">
        <v>0</v>
      </c>
      <c r="Y3" s="15">
        <v>2.81</v>
      </c>
      <c r="Z3" s="15">
        <v>0</v>
      </c>
      <c r="AA3" s="16">
        <v>164.85</v>
      </c>
      <c r="AB3" s="16">
        <v>-11.78</v>
      </c>
      <c r="AC3" s="15">
        <v>39.799999999999997</v>
      </c>
      <c r="AD3" s="15">
        <v>-51.58</v>
      </c>
      <c r="AE3" s="15">
        <v>0</v>
      </c>
      <c r="AF3" s="15">
        <v>-51.58</v>
      </c>
      <c r="AG3" s="17">
        <v>-0.33700000000000002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25942.54</v>
      </c>
      <c r="F3" s="89"/>
      <c r="G3" s="90"/>
      <c r="H3" s="133">
        <f>'Resumo Detalhado'!C2</f>
        <v>3878.55</v>
      </c>
      <c r="I3" s="134"/>
      <c r="J3" s="135">
        <f>E3/H3</f>
        <v>6.688721300486006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0.64642500000000003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17500</v>
      </c>
      <c r="F7" s="112"/>
      <c r="G7" s="112"/>
      <c r="H7" s="112"/>
      <c r="I7" s="112"/>
      <c r="J7" s="112">
        <f>E7/H3</f>
        <v>4.511995462221706</v>
      </c>
      <c r="K7" s="112"/>
      <c r="L7" s="112"/>
      <c r="M7" s="130">
        <f>E7/E3</f>
        <v>0.67456771773311319</v>
      </c>
      <c r="N7" s="130"/>
      <c r="O7" s="130"/>
      <c r="P7" s="112">
        <f>E11+K11+Q11+E15+K15+Q15+E19+H19+K19</f>
        <v>25872.649600000004</v>
      </c>
      <c r="Q7" s="112"/>
      <c r="R7" s="112"/>
      <c r="S7" s="112">
        <f>P7/H3</f>
        <v>6.6707015766201296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17500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17500</v>
      </c>
      <c r="L11" s="90"/>
      <c r="M11" s="38"/>
      <c r="N11" s="88">
        <f>K11/H3</f>
        <v>4.511995462221706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1823.6299999999999</v>
      </c>
      <c r="F15" s="119"/>
      <c r="G15" s="119"/>
      <c r="H15" s="119"/>
      <c r="I15" s="132"/>
      <c r="J15" s="38"/>
      <c r="K15" s="113">
        <f>'Resumo Detalhado'!K2+'Resumo Detalhado'!L2</f>
        <v>4150.8064000000004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122.81</v>
      </c>
      <c r="F19" s="120"/>
      <c r="G19" s="38"/>
      <c r="H19" s="122">
        <v>200</v>
      </c>
      <c r="I19" s="123"/>
      <c r="J19" s="38"/>
      <c r="K19" s="122">
        <f>'Resumo Detalhado'!L2</f>
        <v>2075.4032000000002</v>
      </c>
      <c r="L19" s="123"/>
      <c r="M19" s="38"/>
      <c r="N19" s="121" t="s">
        <v>632</v>
      </c>
      <c r="O19" s="119"/>
      <c r="P19" s="119"/>
      <c r="Q19" s="119"/>
      <c r="R19" s="120"/>
      <c r="S19" s="121">
        <v>17500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21880.286800000005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0.84341343600125529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25942.54</v>
      </c>
      <c r="C2" s="29">
        <f>SUM(C6:C5000)</f>
        <v>3878.55</v>
      </c>
      <c r="D2" s="29">
        <f>SUM(D6:D5000)</f>
        <v>0</v>
      </c>
      <c r="E2" s="29">
        <f>SUM(E6:E5000)</f>
        <v>40.409999999999997</v>
      </c>
      <c r="F2" s="29">
        <f>SUM(F6:F5000)</f>
        <v>0</v>
      </c>
      <c r="G2" s="29"/>
      <c r="H2" s="29">
        <f t="shared" ref="H2:P2" si="0">SUM(H6:H5000)</f>
        <v>1823.6299999999999</v>
      </c>
      <c r="I2" s="29">
        <f t="shared" si="0"/>
        <v>122.81</v>
      </c>
      <c r="J2" s="29">
        <f t="shared" si="0"/>
        <v>0</v>
      </c>
      <c r="K2" s="29">
        <f t="shared" si="0"/>
        <v>2075.4032000000002</v>
      </c>
      <c r="L2" s="29">
        <f t="shared" si="0"/>
        <v>2075.4032000000002</v>
      </c>
      <c r="M2" s="29">
        <f t="shared" si="0"/>
        <v>0</v>
      </c>
      <c r="N2" s="29">
        <f t="shared" si="0"/>
        <v>21880.286800000005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3597</v>
      </c>
      <c r="B6" s="140">
        <v>25789.47</v>
      </c>
      <c r="C6" s="141">
        <v>3702</v>
      </c>
      <c r="D6" s="140">
        <v>0</v>
      </c>
      <c r="E6" s="140">
        <v>0</v>
      </c>
      <c r="F6" s="140">
        <v>0</v>
      </c>
      <c r="G6" s="142">
        <v>0</v>
      </c>
      <c r="H6" s="140">
        <v>1805.26</v>
      </c>
      <c r="I6" s="140">
        <v>120</v>
      </c>
      <c r="J6" s="140">
        <v>0</v>
      </c>
      <c r="K6" s="140">
        <v>2063.1576</v>
      </c>
      <c r="L6" s="140">
        <v>2063.1576</v>
      </c>
      <c r="M6" s="140">
        <v>0</v>
      </c>
      <c r="N6" s="140">
        <v>21801.052400000004</v>
      </c>
      <c r="O6" s="142">
        <v>0.84534705055978288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3598</v>
      </c>
      <c r="B8" s="140">
        <v>153.07</v>
      </c>
      <c r="C8" s="141">
        <v>176.55</v>
      </c>
      <c r="D8" s="140">
        <v>0</v>
      </c>
      <c r="E8" s="140">
        <v>40.409999999999997</v>
      </c>
      <c r="F8" s="140">
        <v>0</v>
      </c>
      <c r="G8" s="142">
        <v>0.26399686417978702</v>
      </c>
      <c r="H8" s="140">
        <v>18.37</v>
      </c>
      <c r="I8" s="140">
        <v>2.81</v>
      </c>
      <c r="J8" s="140">
        <v>0</v>
      </c>
      <c r="K8" s="140">
        <v>12.2456</v>
      </c>
      <c r="L8" s="140">
        <v>12.2456</v>
      </c>
      <c r="M8" s="140">
        <v>0</v>
      </c>
      <c r="N8" s="140">
        <v>79.234399999999994</v>
      </c>
      <c r="O8" s="142">
        <v>0.51763506892271505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153.07</v>
      </c>
      <c r="C2" s="29">
        <f>SUM(C6:C5000)</f>
        <v>79.234399999999994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25789.47</v>
      </c>
      <c r="C5" s="10">
        <v>21801.052400000004</v>
      </c>
    </row>
    <row r="6" spans="1:4" x14ac:dyDescent="0.3">
      <c r="A6" s="139" t="s">
        <v>626</v>
      </c>
      <c r="B6" s="140">
        <v>153.07</v>
      </c>
      <c r="C6" s="140">
        <v>79.234399999999994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632</v>
      </c>
      <c r="D395" s="87">
        <v>17500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2026-10-09T16:58:49Z</dcterms:modified>
  <cp:category/>
  <cp:contentStatus/>
</cp:coreProperties>
</file>