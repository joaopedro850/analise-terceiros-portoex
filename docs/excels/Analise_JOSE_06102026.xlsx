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ACC0F1A-D3BE-4CC9-A749-CC85C38A056C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<sst xmlns="http://schemas.openxmlformats.org/spreadsheetml/2006/main" count="915" uniqueCount="634">
  <si>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</si>
  <si>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</si>
  <si>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</si>
  <si>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</si>
  <si>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</si>
  <si>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</si>
  <si>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</si>
  <si>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</si>
  <si>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</si>
  <si>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</si>
  <si>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</si>
  <si>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</si>
  <si>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</si>
  <si>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</si>
  <si>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</si>
  <si>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</si>
  <si>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</si>
  <si>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</si>
  <si>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</si>
  <si>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</si>
  <si>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</si>
  <si>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</si>
  <si>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</si>
  <si>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</si>
  <si>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</si>
  <si>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</si>
  <si>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</si>
  <si>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</si>
  <si>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</si>
  <si>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</si>
  <si>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</si>
  <si>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</si>
  <si>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</si>
  <si>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</si>
  <si>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</si>
  <si>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</si>
  <si>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</si>
  <si>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</si>
  <si>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</si>
  <si>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</si>
  <si>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</si>
  <si>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</si>
  <si>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</si>
  <si>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</si>
  <si>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</si>
  <si>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</si>
  <si>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</si>
  <si>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</si>
  <si>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</si>
  <si>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</si>
  <si>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</si>
  <si>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</si>
  <si>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</si>
  <si>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</si>
  <si>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</si>
  <si>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</si>
  <si>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</si>
  <si>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</si>
  <si>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</si>
  <si>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</si>
  <si>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</si>
  <si>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</si>
  <si>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</si>
  <si>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</si>
  <si>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</si>
  <si>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</si>
  <si>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</si>
  <si>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</si>
  <si>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</si>
  <si>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</si>
  <si>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</si>
  <si>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</si>
  <si>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</si>
  <si>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</si>
  <si>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</si>
  <si>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</si>
  <si>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</si>
  <si>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</si>
  <si>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</si>
  <si>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</si>
  <si>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</si>
  <si>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</si>
  <si>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</si>
  <si>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</si>
  <si>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</si>
  <si>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</si>
  <si>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</si>
  <si>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</si>
  <si>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</si>
  <si>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</si>
  <si>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</si>
  <si>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</si>
  <si>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</si>
  <si>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</si>
  <si>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</si>
  <si>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</si>
  <si>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</si>
  <si>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</si>
  <si>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</si>
  <si>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</si>
  <si>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</si>
  <si>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</si>
  <si>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</si>
  <si>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</si>
  <si>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</si>
  <si>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</si>
  <si>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</si>
  <si>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</si>
  <si>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</si>
  <si>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</si>
  <si>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</si>
  <si>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</si>
  <si>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</si>
  <si>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</si>
  <si>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</si>
  <si>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</si>
  <si>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</si>
  <si>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</si>
  <si>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</si>
  <si>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</si>
  <si>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</si>
  <si>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</si>
  <si>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</si>
  <si>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</si>
  <si>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</si>
  <si>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</si>
  <si>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</si>
  <si>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</si>
  <si>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</si>
  <si>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</si>
  <si>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</si>
  <si>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</si>
  <si>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</si>
  <si>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</si>
  <si>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</si>
  <si>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</si>
  <si>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</si>
  <si>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</si>
  <si>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</si>
  <si>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</si>
  <si>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</si>
  <si>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</si>
  <si>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</si>
  <si>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</si>
  <si>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</si>
  <si>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</si>
  <si>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</si>
  <si>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</si>
  <si>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</si>
  <si>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</si>
  <si>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</si>
  <si>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</si>
  <si>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</si>
  <si>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</si>
  <si>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</si>
  <si>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</si>
  <si>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</si>
  <si>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</si>
  <si>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</si>
  <si>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</si>
  <si>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</si>
  <si>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</si>
  <si>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</si>
  <si>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</si>
  <si>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</si>
  <si>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</si>
  <si>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</si>
  <si>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</si>
  <si>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</si>
  <si>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</si>
  <si>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</si>
  <si>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</si>
  <si>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</si>
  <si>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</si>
  <si>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</si>
  <si>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</si>
  <si>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</si>
  <si>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</si>
  <si>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</si>
  <si>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</si>
  <si>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</si>
  <si>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</si>
  <si>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</si>
  <si>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</si>
  <si>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</si>
  <si>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</si>
  <si>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</si>
  <si>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</si>
  <si>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</si>
  <si>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</si>
  <si>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</si>
  <si>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</si>
  <si>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</si>
  <si>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</si>
  <si>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</si>
  <si>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</si>
  <si>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</si>
  <si>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</si>
  <si>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</si>
  <si>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</si>
  <si>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</si>
  <si>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</si>
  <si>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</si>
  <si>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</si>
  <si>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</si>
  <si>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</si>
  <si>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</si>
  <si>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</si>
  <si>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</si>
  <si>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</si>
  <si>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</si>
  <si>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</si>
  <si>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</si>
  <si>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</si>
  <si>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</si>
  <si>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</si>
  <si>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</si>
  <si>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</si>
  <si>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</si>
  <si>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</si>
  <si>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</si>
  <si>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</si>
  <si>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</si>
  <si>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</si>
  <si>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</si>
  <si>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</si>
  <si>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</si>
  <si>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</si>
  <si>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</si>
  <si>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</si>
  <si>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</si>
  <si>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</si>
  <si>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</si>
  <si>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</si>
  <si>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</si>
  <si>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</si>
  <si>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</si>
  <si>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</si>
  <si>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</si>
  <si>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</si>
  <si>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</si>
  <si>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</si>
  <si>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</si>
  <si>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</si>
  <si>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</si>
  <si>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</si>
  <si>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</si>
  <si>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</si>
  <si>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</si>
  <si>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</si>
  <si>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</si>
  <si>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</si>
  <si>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</si>
  <si>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</si>
  <si>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</si>
  <si>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</si>
  <si>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</si>
  <si>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</si>
  <si>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</si>
  <si>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</si>
  <si>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</si>
  <si>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</si>
  <si>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</si>
  <si>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</si>
  <si>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</si>
  <si>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</si>
  <si>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</si>
  <si>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</si>
  <si>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</si>
  <si>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</si>
  <si>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</si>
  <si>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</si>
  <si>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</si>
  <si>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</si>
  <si>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</si>
  <si>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</si>
  <si>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</si>
  <si>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</si>
  <si>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</si>
  <si>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</si>
  <si>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</si>
  <si>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</si>
  <si>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</si>
  <si>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</si>
  <si>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</si>
  <si>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</si>
  <si>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</si>
  <si>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</si>
  <si>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</si>
  <si>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</si>
  <si>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</si>
  <si>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</si>
  <si>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</si>
  <si>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</si>
  <si>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</si>
  <si>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</si>
  <si>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</si>
  <si>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</si>
  <si>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</si>
  <si>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</si>
  <si>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</si>
  <si>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</si>
  <si>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</si>
  <si>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</si>
  <si>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</si>
  <si>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</si>
  <si>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</si>
  <si>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</si>
  <si>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</si>
  <si>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</si>
  <si>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</si>
  <si>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</si>
  <si>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</si>
  <si>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</si>
  <si>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</si>
  <si>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</si>
  <si>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</si>
  <si>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</si>
  <si>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</si>
  <si>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</si>
  <si>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</si>
  <si>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</si>
  <si>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</si>
  <si>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</si>
  <si>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</si>
  <si>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</si>
  <si>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</si>
  <si>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</si>
  <si>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</si>
  <si>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</si>
  <si>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</si>
  <si>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</si>
  <si>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</si>
  <si>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</si>
  <si>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</si>
  <si>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</si>
  <si>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</si>
  <si>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</si>
  <si>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</si>
  <si>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</si>
  <si>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</si>
  <si>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</si>
  <si>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</si>
  <si>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</si>
  <si>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</si>
  <si>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</si>
  <si>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</si>
  <si>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</si>
  <si>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</si>
  <si>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</si>
  <si>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</si>
  <si>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</si>
  <si>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</si>
  <si>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</si>
  <si>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</si>
  <si>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</si>
  <si>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</si>
  <si>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</si>
  <si>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</si>
  <si>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</si>
  <si>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</si>
  <si>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</si>
  <si>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</si>
  <si>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</si>
  <si>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</si>
  <si>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</si>
  <si>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</si>
  <si>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</si>
  <si>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</si>
  <si>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</si>
  <si>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</si>
  <si>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</si>
  <si>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</si>
  <si>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</si>
  <si>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</si>
  <si>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</si>
  <si>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</si>
  <si>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</si>
  <si>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</si>
  <si>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</si>
  <si>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</si>
  <si>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</si>
  <si>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</si>
  <si>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</si>
  <si>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</si>
  <si>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</si>
  <si>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</si>
  <si>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</si>
  <si>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</si>
  <si>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</si>
  <si>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</si>
  <si>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</si>
  <si>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</si>
  <si>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</si>
  <si>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</si>
  <si>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</si>
  <si>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</si>
  <si>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</si>
  <si>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</si>
  <si>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</si>
  <si>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</si>
  <si>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</si>
  <si>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</si>
  <si>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</si>
  <si>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</si>
  <si>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</si>
  <si>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</si>
  <si>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</si>
  <si>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</si>
  <si>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</si>
  <si>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</si>
  <si>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</si>
  <si>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</si>
  <si>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</si>
  <si>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</si>
  <si>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</si>
  <si>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</si>
  <si>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</si>
  <si>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</si>
  <si>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</si>
  <si>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</si>
  <si>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</si>
  <si>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</si>
  <si>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</si>
  <si>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</si>
  <si>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</si>
  <si>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</si>
  <si>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</si>
  <si>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</si>
  <si>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</si>
  <si>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</si>
  <si>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</si>
  <si>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</si>
  <si>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</si>
  <si>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</si>
  <si>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</si>
  <si>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</si>
  <si>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</si>
  <si>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</si>
  <si>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</si>
  <si>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</si>
  <si>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</si>
  <si>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</si>
  <si>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</si>
  <si>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</si>
  <si>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</si>
  <si>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</si>
  <si>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</si>
  <si>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</si>
  <si>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</si>
  <si>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</si>
  <si>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</si>
  <si>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</si>
  <si>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</si>
  <si>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</si>
  <si>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</si>
  <si>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</si>
  <si>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</si>
  <si>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</si>
  <si>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</si>
  <si>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</si>
  <si>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</si>
  <si>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</si>
  <si>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</si>
  <si>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</si>
  <si>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</si>
  <si>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</si>
  <si>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</si>
  <si>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</si>
  <si>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</si>
  <si>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</si>
  <si>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</si>
  <si>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</si>
  <si>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</si>
  <si>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</si>
  <si>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</si>
  <si>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</si>
  <si>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</si>
  <si>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</si>
  <si>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</si>
  <si>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</si>
  <si>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</si>
  <si>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</si>
  <si>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</si>
  <si>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</si>
  <si>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</si>
  <si>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</si>
  <si>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</si>
  <si>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</si>
  <si>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</si>
  <si>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</si>
  <si>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</si>
  <si>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</si>
  <si>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</si>
  <si>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</si>
  <si>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</si>
  <si>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</si>
  <si>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</si>
  <si>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</si>
  <si>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</si>
  <si>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</si>
  <si>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</si>
  <si>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</si>
  <si>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</si>
  <si>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</si>
  <si>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</si>
  <si>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</si>
  <si>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</si>
  <si>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</si>
  <si>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</si>
  <si>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</si>
  <si>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</si>
  <si>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</si>
  <si>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</si>
  <si>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</si>
  <si>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</si>
  <si>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</si>
  <si>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</si>
  <si>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</si>
  <si>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</si>
  <si>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</si>
  <si>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</si>
  <si>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</si>
  <si>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</si>
  <si>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</si>
  <si>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</si>
  <si>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</si>
  <si>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</si>
  <si>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</si>
  <si>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</si>
  <si>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</si>
  <si>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</si>
  <si>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</si>
  <si>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</si>
  <si>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</si>
  <si>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</si>
  <si>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</si>
  <si>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</si>
  <si>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</si>
  <si>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</si>
  <si>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</si>
  <si>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</si>
  <si>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</si>
  <si>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</si>
  <si>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</si>
  <si>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</si>
  <si>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</si>
  <si>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</si>
  <si>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</si>
  <si>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</si>
  <si>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</si>
  <si>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</si>
  <si>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</si>
  <si>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</si>
  <si>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</si>
  <si>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</si>
  <si>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</si>
  <si>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</si>
  <si>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</si>
  <si>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</si>
  <si>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</si>
  <si>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</si>
  <si>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</si>
  <si>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</si>
  <si>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</si>
  <si>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</si>
  <si>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</si>
  <si>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</si>
  <si>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</si>
  <si>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</si>
  <si>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</si>
  <si>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</si>
  <si>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</si>
  <si>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</si>
  <si>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</si>
  <si>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</si>
  <si>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</si>
  <si>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</si>
  <si>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</si>
  <si>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</si>
  <si>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</si>
  <si>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</si>
  <si>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</si>
  <si>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</si>
  <si>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</si>
  <si>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</si>
  <si>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</si>
  <si>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</si>
  <si>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</si>
  <si>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</si>
  <si>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</si>
  <si>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</si>
  <si>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</si>
  <si>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</si>
  <si>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</si>
  <si>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</si>
  <si>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</si>
  <si>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</si>
  <si>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</si>
  <si>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</si>
  <si>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</si>
  <si>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</si>
  <si>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</si>
  <si>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</si>
  <si>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</si>
  <si>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</si>
  <si>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</si>
  <si>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</si>
  <si>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</si>
  <si>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</si>
  <si>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</si>
  <si>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</si>
  <si>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</si>
  <si>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</si>
  <si>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</si>
  <si>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</si>
  <si>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</si>
  <si>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3478-1</t>
  </si>
  <si>
    <t>RIEL ENGENHARIA</t>
  </si>
  <si>
    <t>CAIO LUCIANO MATIAS</t>
  </si>
  <si>
    <t>PERSONALIZADO_L</t>
  </si>
  <si>
    <t>CTE NORMAL</t>
  </si>
  <si>
    <t>BELEM - PA</t>
  </si>
  <si>
    <t>N/D</t>
  </si>
  <si>
    <t>JOSE ROBERTO DE SOUSA SIL</t>
  </si>
  <si>
    <t>3479-1</t>
  </si>
  <si>
    <t>STRATUS COMERCI</t>
  </si>
  <si>
    <t>MICHELL MARQUES</t>
  </si>
  <si>
    <t>ECONOMICO_250</t>
  </si>
  <si>
    <t>SAO PAULO - SP</t>
  </si>
  <si>
    <t>LUIZ FELIPE FERNANDES DA</t>
  </si>
  <si>
    <t>SERGIO MURILO ANTUNES DE</t>
  </si>
  <si>
    <t>Rio de Janeiro-Rj X Belém-Patoco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</si>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</sst>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25789.47</c:v>
                </c:pt>
                <c:pt idx="1">
                  <c:v>153.07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21801.052400000004</c:v>
                </c:pt>
                <c:pt idx="1">
                  <c:v>79.234399999999994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25789.47</c:v>
                </c:pt>
                <c:pt idx="1">
                  <c:v>153.07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21801.052400000004</c:v>
                </c:pt>
                <c:pt idx="1">
                  <c:v>79.234399999999994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483697569442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97"/>
        <n v="359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7T00:00:00"/>
    </cacheField>
    <cacheField name="DATA" numFmtId="14">
      <sharedItems containsNonDate="0" containsDate="1" containsString="0" containsBlank="1" minDate="2026-10-06T00:00:00" maxDate="2026-10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RIEL ENGENHARIA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containsInteger="1" minValue="7022" maxValue="300000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53.07" maxValue="25789.47"/>
    </cacheField>
    <cacheField name="VOLUMES" numFmtId="0">
      <sharedItems containsString="0" containsBlank="1" containsNumber="1" containsInteger="1" minValue="9" maxValue="73"/>
    </cacheField>
    <cacheField name="PESO" numFmtId="0">
      <sharedItems containsString="0" containsBlank="1" containsNumber="1" minValue="176.55" maxValue="3702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40.409999999999997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8.37" maxValue="1805.2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81" maxValue="120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64.85" maxValue="19322"/>
    </cacheField>
    <cacheField name="RECEITA" numFmtId="0">
      <sharedItems containsString="0" containsBlank="1" containsNumber="1" minValue="-11.78" maxValue="6467.47"/>
    </cacheField>
    <cacheField name="IMPOSTO" numFmtId="0">
      <sharedItems containsString="0" containsBlank="1" containsNumber="1" minValue="39.799999999999997" maxValue="6705.26"/>
    </cacheField>
    <cacheField name="RESULTADO" numFmtId="0">
      <sharedItems containsString="0" containsBlank="1" containsNumber="1" minValue="-957.32" maxValue="-51.58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957.32" maxValue="-51.58"/>
    </cacheField>
    <cacheField name="MARGEM" numFmtId="10">
      <sharedItems containsString="0" containsBlank="1" containsNumber="1" minValue="-0.33700000000000002" maxValue="-3.7100000000000001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10-06T00:00:00"/>
    <m/>
    <s v="3478-1"/>
    <x v="0"/>
    <s v="CAIO LUCIANO MATIAS"/>
    <n v="300000"/>
    <x v="0"/>
    <s v="CTE NORMAL"/>
    <s v="BELEM - PA"/>
    <n v="25789.47"/>
    <n v="73"/>
    <n v="3702"/>
    <s v="N/D"/>
    <n v="0"/>
    <s v="N/D"/>
    <n v="0"/>
    <s v="JOSE ROBERTO DE SOUSA SIL"/>
    <n v="0"/>
    <n v="1805.26"/>
    <n v="0"/>
    <n v="0"/>
    <n v="120"/>
    <n v="0"/>
    <n v="19322"/>
    <n v="6467.47"/>
    <n v="6705.26"/>
    <n v="-957.32"/>
    <n v="0"/>
    <n v="-957.32"/>
    <n v="-3.7100000000000001E-2"/>
    <m/>
  </r>
  <r>
    <x v="1"/>
    <s v="MATRIZ"/>
    <d v="2026-10-06T00:00:00"/>
    <d v="2026-10-06T00:00:00"/>
    <m/>
    <s v="3479-1"/>
    <x v="1"/>
    <s v="MICHELL MARQUES"/>
    <n v="7022"/>
    <x v="1"/>
    <s v="CTE NORMAL"/>
    <s v="SAO PAULO - SP"/>
    <n v="153.07"/>
    <n v="9"/>
    <n v="176.55"/>
    <s v="LUIZ FELIPE FERNANDES DA"/>
    <n v="0"/>
    <s v="SERGIO MURILO ANTUNES DE"/>
    <n v="40.409999999999997"/>
    <s v="JOSE ROBERTO DE SOUSA SIL"/>
    <n v="0"/>
    <n v="18.37"/>
    <n v="0"/>
    <n v="0"/>
    <n v="2.81"/>
    <n v="0"/>
    <n v="164.85"/>
    <n v="-11.78"/>
    <n v="39.799999999999997"/>
    <n v="-51.58"/>
    <n v="0"/>
    <n v="-51.58"/>
    <n v="-0.3370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3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9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8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x="0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5"/>
        <item m="1" x="396"/>
        <item m="1" x="671"/>
        <item m="1" x="186"/>
        <item sd="0" m="1" x="410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1"/>
        <item m="1" x="693"/>
        <item x="1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56"/>
    </i>
    <i r="1">
      <x v="7998"/>
    </i>
    <i>
      <x v="735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3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sd="0"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9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8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x="0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5"/>
        <item m="1" x="396"/>
        <item m="1" x="671"/>
        <item m="1" x="186"/>
        <item sd="0" m="1" x="410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1"/>
        <item m="1" x="693"/>
        <item x="1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56"/>
    </i>
    <i>
      <x v="735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2" s="1"/>
        <i x="819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3" s="1" nd="1"/>
        <i x="713" s="1" nd="1"/>
        <i x="297" s="1" nd="1"/>
        <i x="114" s="1" nd="1"/>
        <i x="272" s="1" nd="1"/>
        <i x="591" s="1" nd="1"/>
        <i x="325" s="1" nd="1"/>
        <i x="676" s="1" nd="1"/>
        <i x="502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1" s="1" nd="1"/>
        <i x="479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7" s="1" nd="1"/>
        <i x="476" s="1" nd="1"/>
        <i x="634" s="1" nd="1"/>
        <i x="446" s="1" nd="1"/>
        <i x="810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1" s="1" nd="1"/>
        <i x="323" s="1" nd="1"/>
        <i x="461" s="1" nd="1"/>
        <i x="506" s="1" nd="1"/>
        <i x="554" s="1" nd="1"/>
        <i x="477" s="1" nd="1"/>
        <i x="245" s="1" nd="1"/>
        <i x="849" s="1" nd="1"/>
        <i x="833" s="1" nd="1"/>
        <i x="743" s="1" nd="1"/>
        <i x="241" s="1" nd="1"/>
        <i x="240" s="1" nd="1"/>
        <i x="462" s="1" nd="1"/>
        <i x="287" s="1" nd="1"/>
        <i x="550" s="1" nd="1"/>
        <i x="846" s="1" nd="1"/>
        <i x="445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3" s="1" nd="1"/>
        <i x="409" s="1" nd="1"/>
        <i x="516" s="1" nd="1"/>
        <i x="319" s="1" nd="1"/>
        <i x="592" s="1" nd="1"/>
        <i x="596" s="1" nd="1"/>
        <i x="733" s="1" nd="1"/>
        <i x="786" s="1" nd="1"/>
        <i x="184" s="1" nd="1"/>
        <i x="836" s="1" nd="1"/>
        <i x="712" s="1" nd="1"/>
        <i x="379" s="1" nd="1"/>
        <i x="208" s="1" nd="1"/>
        <i x="522" s="1" nd="1"/>
        <i x="463" s="1" nd="1"/>
        <i x="139" s="1" nd="1"/>
        <i x="662" s="1" nd="1"/>
        <i x="373" s="1" nd="1"/>
        <i x="155" s="1" nd="1"/>
        <i x="252" s="1" nd="1"/>
        <i x="629" s="1" nd="1"/>
        <i x="737" s="1" nd="1"/>
        <i x="422" s="1" nd="1"/>
        <i x="81" s="1" nd="1"/>
        <i x="697" s="1" nd="1"/>
        <i x="285" s="1" nd="1"/>
        <i x="847" s="1" nd="1"/>
        <i x="249" s="1" nd="1"/>
        <i x="764" s="1" nd="1"/>
        <i x="426" s="1" nd="1"/>
        <i x="437" s="1" nd="1"/>
        <i x="168" s="1" nd="1"/>
        <i x="543" s="1" nd="1"/>
        <i x="807" s="1" nd="1"/>
        <i x="621" s="1" nd="1"/>
        <i x="5" s="1" nd="1"/>
        <i x="771" s="1" nd="1"/>
        <i x="15" s="1" nd="1"/>
        <i x="740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3" s="1" nd="1"/>
        <i x="53" s="1" nd="1"/>
        <i x="650" s="1" nd="1"/>
        <i x="470" s="1" nd="1"/>
        <i x="250" s="1" nd="1"/>
        <i x="329" s="1" nd="1"/>
        <i x="438" s="1" nd="1"/>
        <i x="353" s="1" nd="1"/>
        <i x="572" s="1" nd="1"/>
        <i x="568" s="1" nd="1"/>
        <i x="734" s="1" nd="1"/>
        <i x="756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8" s="1" nd="1"/>
        <i x="854" s="1" nd="1"/>
        <i x="830" s="1" nd="1"/>
        <i x="107" s="1" nd="1"/>
        <i x="402" s="1" nd="1"/>
        <i x="115" s="1" nd="1"/>
        <i x="653" s="1" nd="1"/>
        <i x="657" s="1" nd="1"/>
        <i x="796" s="1" nd="1"/>
        <i x="696" s="1" nd="1"/>
        <i x="455" s="1" nd="1"/>
        <i x="382" s="1" nd="1"/>
        <i x="448" s="1" nd="1"/>
        <i x="160" s="1" nd="1"/>
        <i x="278" s="1" nd="1"/>
        <i x="204" s="1" nd="1"/>
        <i x="494" s="1" nd="1"/>
        <i x="290" s="1" nd="1"/>
        <i x="527" s="1" nd="1"/>
        <i x="258" s="1" nd="1"/>
        <i x="407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8" s="1" nd="1"/>
        <i x="735" s="1" nd="1"/>
        <i x="814" s="1" nd="1"/>
        <i x="562" s="1" nd="1"/>
        <i x="559" s="1" nd="1"/>
        <i x="430" s="1" nd="1"/>
        <i x="715" s="1" nd="1"/>
        <i x="505" s="1" nd="1"/>
        <i x="174" s="1" nd="1"/>
        <i x="628" s="1" nd="1"/>
        <i x="376" s="1" nd="1"/>
        <i x="808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3" s="1" nd="1"/>
        <i x="450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709" s="1" nd="1"/>
        <i x="211" s="1" nd="1"/>
        <i x="440" s="1" nd="1"/>
        <i x="103" s="1" nd="1"/>
        <i x="197" s="1" nd="1"/>
        <i x="832" s="1" nd="1"/>
        <i x="765" s="1" nd="1"/>
        <i x="509" s="1" nd="1"/>
        <i x="822" s="1" nd="1"/>
        <i x="342" s="1" nd="1"/>
        <i x="224" s="1" nd="1"/>
        <i x="65" s="1" nd="1"/>
        <i x="636" s="1" nd="1"/>
        <i x="458" s="1" nd="1"/>
        <i x="791" s="1" nd="1"/>
        <i x="704" s="1" nd="1"/>
        <i x="235" s="1" nd="1"/>
        <i x="598" s="1" nd="1"/>
        <i x="44" s="1" nd="1"/>
        <i x="844" s="1" nd="1"/>
        <i x="124" s="1" nd="1"/>
        <i x="268" s="1" nd="1"/>
        <i x="293" s="1" nd="1"/>
        <i x="355" s="1" nd="1"/>
        <i x="99" s="1" nd="1"/>
        <i x="460" s="1" nd="1"/>
        <i x="581" s="1" nd="1"/>
        <i x="354" s="1" nd="1"/>
        <i x="104" s="1" nd="1"/>
        <i x="539" s="1" nd="1"/>
        <i x="209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7" s="1" nd="1"/>
        <i x="546" s="1" nd="1"/>
        <i x="214" s="1" nd="1"/>
        <i x="416" s="1" nd="1"/>
        <i x="420" s="1" nd="1"/>
        <i x="803" s="1" nd="1"/>
        <i x="42" s="1" nd="1"/>
        <i x="806" s="1" nd="1"/>
        <i x="487" s="1" nd="1"/>
        <i x="443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0" s="1" nd="1"/>
        <i x="315" s="1" nd="1"/>
        <i x="340" s="1" nd="1"/>
        <i x="772" s="1" nd="1"/>
        <i x="144" s="1" nd="1"/>
        <i x="667" s="1" nd="1"/>
        <i x="840" s="1" nd="1"/>
        <i x="39" s="1" nd="1"/>
        <i x="384" s="1" nd="1"/>
        <i x="590" s="1" nd="1"/>
        <i x="748" s="1" nd="1"/>
        <i x="270" s="1" nd="1"/>
        <i x="18" s="1" nd="1"/>
        <i x="638" s="1" nd="1"/>
        <i x="390" s="1" nd="1"/>
        <i x="480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9" s="1" nd="1"/>
        <i x="816" s="1" nd="1"/>
        <i x="777" s="1" nd="1"/>
        <i x="145" s="1" nd="1"/>
        <i x="498" s="1" nd="1"/>
        <i x="467" s="1" nd="1"/>
        <i x="141" s="1" nd="1"/>
        <i x="757" s="1" nd="1"/>
        <i x="149" s="1" nd="1"/>
        <i x="225" s="1" nd="1"/>
        <i x="721" s="1" nd="1"/>
        <i x="556" s="1" nd="1"/>
        <i x="117" s="1" nd="1"/>
        <i x="377" s="1" nd="1"/>
        <i x="719" s="1" nd="1"/>
        <i x="128" s="1" nd="1"/>
        <i x="34" s="1" nd="1"/>
        <i x="303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3" s="1" nd="1"/>
        <i x="405" s="1" nd="1"/>
        <i x="742" s="1" nd="1"/>
        <i x="195" s="1" nd="1"/>
        <i x="747" s="1" nd="1"/>
        <i x="385" s="1" nd="1"/>
        <i x="138" s="1" nd="1"/>
        <i x="659" s="1" nd="1"/>
        <i x="431" s="1" nd="1"/>
        <i x="665" s="1" nd="1"/>
        <i x="493" s="1" nd="1"/>
        <i x="686" s="1" nd="1"/>
        <i x="328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8" s="1" nd="1"/>
        <i x="125" s="1" nd="1"/>
        <i x="465" s="1" nd="1"/>
        <i x="701" s="1" nd="1"/>
        <i x="429" s="1" nd="1"/>
        <i x="364" s="1" nd="1"/>
        <i x="101" s="1" nd="1"/>
        <i x="481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1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4" s="1" nd="1"/>
        <i x="736" s="1" nd="1"/>
        <i x="133" s="1" nd="1"/>
        <i x="87" s="1" nd="1"/>
        <i x="210" s="1" nd="1"/>
        <i x="682" s="1" nd="1"/>
        <i x="276" s="1" nd="1"/>
        <i x="472" s="1" nd="1"/>
        <i x="800" s="1" nd="1"/>
        <i x="218" s="1" nd="1"/>
        <i x="828" s="1" nd="1"/>
        <i x="70" s="1" nd="1"/>
        <i x="119" s="1" nd="1"/>
        <i x="646" s="1" nd="1"/>
        <i x="412" s="1" nd="1"/>
        <i x="855" s="1" nd="1"/>
        <i x="433" s="1" nd="1"/>
        <i x="570" s="1" nd="1"/>
        <i x="488" s="1" nd="1"/>
        <i x="183" s="1" nd="1"/>
        <i x="375" s="1" nd="1"/>
        <i x="243" s="1" nd="1"/>
        <i x="338" s="1" nd="1"/>
        <i x="528" s="1" nd="1"/>
        <i x="424" s="1" nd="1"/>
        <i x="789" s="1" nd="1"/>
        <i x="302" s="1" nd="1"/>
        <i x="310" s="1" nd="1"/>
        <i x="368" s="1" nd="1"/>
        <i x="491" s="1" nd="1"/>
        <i x="663" s="1" nd="1"/>
        <i x="189" s="1" nd="1"/>
        <i x="660" s="1" nd="1"/>
        <i x="222" s="1" nd="1"/>
        <i x="449" s="1" nd="1"/>
        <i x="148" s="1" nd="1"/>
        <i x="363" s="1" nd="1"/>
        <i x="264" s="1" nd="1"/>
        <i x="292" s="1" nd="1"/>
        <i x="541" s="1" nd="1"/>
        <i x="811" s="1" nd="1"/>
        <i x="604" s="1" nd="1"/>
        <i x="32" s="1" nd="1"/>
        <i x="269" s="1" nd="1"/>
        <i x="752" s="1" nd="1"/>
        <i x="372" s="1" nd="1"/>
        <i x="247" s="1" nd="1"/>
        <i x="399" s="1" nd="1"/>
        <i x="482" s="1" nd="1"/>
        <i x="339" s="1" nd="1"/>
        <i x="613" s="1" nd="1"/>
        <i x="673" s="1" nd="1"/>
        <i x="839" s="1" nd="1"/>
        <i x="51" s="1" nd="1"/>
        <i x="606" s="1" nd="1"/>
        <i x="85" s="1" nd="1"/>
        <i x="327" s="1" nd="1"/>
        <i x="35" s="1" nd="1"/>
        <i x="496" s="1" nd="1"/>
        <i x="507" s="1" nd="1"/>
        <i x="447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5" s="1" nd="1"/>
        <i x="499" s="1" nd="1"/>
        <i x="62" s="1" nd="1"/>
        <i x="456" s="1" nd="1"/>
        <i x="83" s="1" nd="1"/>
        <i x="326" s="1" nd="1"/>
        <i x="169" s="1" nd="1"/>
        <i x="333" s="1" nd="1"/>
        <i x="565" s="1" nd="1"/>
        <i x="504" s="1" nd="1"/>
        <i x="229" s="1" nd="1"/>
        <i x="282" s="1" nd="1"/>
        <i x="94" s="1" nd="1"/>
        <i x="408" s="1" nd="1"/>
        <i x="321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4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4" s="1" nd="1"/>
        <i x="337" s="1" nd="1"/>
        <i x="524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5" s="1" nd="1"/>
        <i x="599" s="1" nd="1"/>
        <i x="318" s="1" nd="1"/>
        <i x="782" s="1" nd="1"/>
        <i x="484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5" s="1" nd="1"/>
        <i x="804" s="1" nd="1"/>
        <i x="792" s="1" nd="1"/>
        <i x="201" s="1" nd="1"/>
        <i x="152" s="1" nd="1"/>
        <i x="237" s="1" nd="1"/>
        <i x="503" s="1" nd="1"/>
        <i x="787" s="1" nd="1"/>
        <i x="260" s="1" nd="1"/>
        <i x="753" s="1" nd="1"/>
        <i x="129" s="1" nd="1"/>
        <i x="212" s="1" nd="1"/>
        <i x="834" s="1" nd="1"/>
        <i x="586" s="1" nd="1"/>
        <i x="797" s="1" nd="1"/>
        <i x="727" s="1" nd="1"/>
        <i x="413" s="1" nd="1"/>
        <i x="26" s="1" nd="1"/>
        <i x="343" s="1" nd="1"/>
        <i x="490" s="1" nd="1"/>
        <i x="511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8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6" s="1" nd="1"/>
        <i x="707" s="1" nd="1"/>
        <i x="620" s="1" nd="1"/>
        <i x="732" s="1" nd="1"/>
        <i x="471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2" s="1" nd="1"/>
        <i x="444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8" s="1" nd="1"/>
        <i x="395" s="1" nd="1"/>
        <i x="401" s="1" nd="1"/>
        <i x="705" s="1" nd="1"/>
        <i x="404" s="1" nd="1"/>
        <i x="831" s="1" nd="1"/>
        <i x="495" s="1" nd="1"/>
        <i x="396" s="1" nd="1"/>
        <i x="671" s="1" nd="1"/>
        <i x="186" s="1" nd="1"/>
        <i x="410" s="1" nd="1"/>
        <i x="474" s="1" nd="1"/>
        <i x="838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6" s="1" nd="1"/>
        <i x="745" s="1" nd="1"/>
        <i x="80" s="1" nd="1"/>
        <i x="52" s="1" nd="1"/>
        <i x="852" s="1" nd="1"/>
        <i x="30" s="1" nd="1"/>
        <i x="571" s="1" nd="1"/>
        <i x="513" s="1" nd="1"/>
        <i x="414" s="1" nd="1"/>
        <i x="703" s="1" nd="1"/>
        <i x="205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5" s="1" nd="1"/>
        <i x="411" s="1" nd="1"/>
        <i x="69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6" s="1" nd="1"/>
        <i x="577" s="1" nd="1"/>
        <i x="361" s="1" nd="1"/>
        <i x="451" s="1" nd="1"/>
        <i x="514" s="1" nd="1"/>
        <i x="123" s="1" nd="1"/>
        <i x="647" s="1" nd="1"/>
        <i x="49" s="1" nd="1"/>
        <i x="417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6" s="1" nd="1"/>
        <i x="415" s="1" nd="1"/>
        <i x="553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3" s="1" nd="1"/>
        <i x="825" s="1" nd="1"/>
        <i x="36" s="1" nd="1"/>
        <i x="312" s="1" nd="1"/>
        <i x="826" s="1" nd="1"/>
        <i x="563" s="1" nd="1"/>
        <i x="63" s="1" nd="1"/>
        <i x="569" s="1" nd="1"/>
        <i x="432" s="1" nd="1"/>
        <i x="427" s="1" nd="1"/>
        <i x="177" s="1" nd="1"/>
        <i x="367" s="1" nd="1"/>
        <i x="759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3" s="1" nd="1"/>
        <i x="837" s="1" nd="1"/>
        <i x="492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3597</v>
      </c>
      <c r="B2" s="12" t="s">
        <v>616</v>
      </c>
      <c r="C2" s="14"/>
      <c r="D2" s="14">
        <v>46301</v>
      </c>
      <c r="E2" s="12"/>
      <c r="F2" s="15" t="s">
        <v>617</v>
      </c>
      <c r="G2" s="15" t="s">
        <v>618</v>
      </c>
      <c r="H2" s="15" t="s">
        <v>619</v>
      </c>
      <c r="I2" s="16">
        <v>300000</v>
      </c>
      <c r="J2" s="15" t="s">
        <v>620</v>
      </c>
      <c r="K2" s="15" t="s">
        <v>621</v>
      </c>
      <c r="L2" s="15" t="s">
        <v>622</v>
      </c>
      <c r="M2" s="15">
        <v>25789.47</v>
      </c>
      <c r="N2" s="15">
        <v>73</v>
      </c>
      <c r="O2" s="16">
        <v>3702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1805.26</v>
      </c>
      <c r="W2" s="15">
        <v>0</v>
      </c>
      <c r="X2" s="15">
        <v>0</v>
      </c>
      <c r="Y2" s="15">
        <v>120</v>
      </c>
      <c r="Z2" s="15">
        <v>0</v>
      </c>
      <c r="AA2" s="15">
        <v>19322</v>
      </c>
      <c r="AB2" s="15">
        <v>6467.47</v>
      </c>
      <c r="AC2" s="15">
        <v>6705.26</v>
      </c>
      <c r="AD2" s="15">
        <v>-957.32</v>
      </c>
      <c r="AE2" s="15">
        <v>0</v>
      </c>
      <c r="AF2" s="15">
        <v>-957.32</v>
      </c>
      <c r="AG2" s="17">
        <v>-3.7100000000000001E-2</v>
      </c>
      <c r="AH2" s="15"/>
    </row>
    <row r="3" spans="1:34" s="1" customFormat="1" ht="12" customHeight="1" x14ac:dyDescent="0.3">
      <c r="A3" s="13">
        <v>3598</v>
      </c>
      <c r="B3" s="12" t="s">
        <v>616</v>
      </c>
      <c r="C3" s="14">
        <v>46301</v>
      </c>
      <c r="D3" s="14">
        <v>46301</v>
      </c>
      <c r="E3" s="12"/>
      <c r="F3" s="15" t="s">
        <v>625</v>
      </c>
      <c r="G3" s="15" t="s">
        <v>626</v>
      </c>
      <c r="H3" s="15" t="s">
        <v>627</v>
      </c>
      <c r="I3" s="16">
        <v>7022</v>
      </c>
      <c r="J3" s="15" t="s">
        <v>628</v>
      </c>
      <c r="K3" s="15" t="s">
        <v>621</v>
      </c>
      <c r="L3" s="15" t="s">
        <v>629</v>
      </c>
      <c r="M3" s="16">
        <v>153.07</v>
      </c>
      <c r="N3" s="15">
        <v>9</v>
      </c>
      <c r="O3" s="16">
        <v>176.55</v>
      </c>
      <c r="P3" s="15" t="s">
        <v>630</v>
      </c>
      <c r="Q3" s="15">
        <v>0</v>
      </c>
      <c r="R3" s="15" t="s">
        <v>631</v>
      </c>
      <c r="S3" s="15">
        <v>40.409999999999997</v>
      </c>
      <c r="T3" s="15" t="s">
        <v>624</v>
      </c>
      <c r="U3" s="15">
        <v>0</v>
      </c>
      <c r="V3" s="15">
        <v>18.37</v>
      </c>
      <c r="W3" s="15">
        <v>0</v>
      </c>
      <c r="X3" s="15">
        <v>0</v>
      </c>
      <c r="Y3" s="15">
        <v>2.81</v>
      </c>
      <c r="Z3" s="15">
        <v>0</v>
      </c>
      <c r="AA3" s="16">
        <v>164.85</v>
      </c>
      <c r="AB3" s="16">
        <v>-11.78</v>
      </c>
      <c r="AC3" s="15">
        <v>39.799999999999997</v>
      </c>
      <c r="AD3" s="15">
        <v>-51.58</v>
      </c>
      <c r="AE3" s="15">
        <v>0</v>
      </c>
      <c r="AF3" s="15">
        <v>-51.58</v>
      </c>
      <c r="AG3" s="17">
        <v>-0.33700000000000002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25942.54</v>
      </c>
      <c r="F3" s="89"/>
      <c r="G3" s="90"/>
      <c r="H3" s="133">
        <f>'Resumo Detalhado'!C2</f>
        <v>3878.55</v>
      </c>
      <c r="I3" s="134"/>
      <c r="J3" s="135">
        <f>E3/H3</f>
        <v>6.688721300486006</v>
      </c>
      <c r="K3" s="136"/>
      <c r="L3" s="137"/>
      <c r="M3" s="138" t="s">
        <v>60</v>
      </c>
      <c r="N3" s="89"/>
      <c r="O3" s="90"/>
      <c r="P3" s="106">
        <v>6000</v>
      </c>
      <c r="Q3" s="107"/>
      <c r="R3" s="108"/>
      <c r="S3" s="103">
        <f>MIN(H3/P3,1)</f>
        <v>0.64642500000000003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17500</v>
      </c>
      <c r="F7" s="112"/>
      <c r="G7" s="112"/>
      <c r="H7" s="112"/>
      <c r="I7" s="112"/>
      <c r="J7" s="112">
        <f>E7/H3</f>
        <v>4.511995462221706</v>
      </c>
      <c r="K7" s="112"/>
      <c r="L7" s="112"/>
      <c r="M7" s="130">
        <f>E7/E3</f>
        <v>0.67456771773311319</v>
      </c>
      <c r="N7" s="130"/>
      <c r="O7" s="130"/>
      <c r="P7" s="112">
        <f>E11+K11+Q11+E15+K15+Q15+E19+H19+K19</f>
        <v>25672.649600000004</v>
      </c>
      <c r="Q7" s="112"/>
      <c r="R7" s="112"/>
      <c r="S7" s="112">
        <f>P7/H3</f>
        <v>6.6191359141947386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17500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17500</v>
      </c>
      <c r="L11" s="90"/>
      <c r="M11" s="38"/>
      <c r="N11" s="88">
        <f>K11/H3</f>
        <v>4.511995462221706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1823.6299999999999</v>
      </c>
      <c r="F15" s="119"/>
      <c r="G15" s="119"/>
      <c r="H15" s="119"/>
      <c r="I15" s="132"/>
      <c r="J15" s="38"/>
      <c r="K15" s="113">
        <f>'Resumo Detalhado'!K2+'Resumo Detalhado'!L2</f>
        <v>4150.8064000000004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122.81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2075.4032000000002</v>
      </c>
      <c r="L19" s="123"/>
      <c r="M19" s="38"/>
      <c r="N19" s="121" t="s">
        <v>632</v>
      </c>
      <c r="O19" s="119"/>
      <c r="P19" s="119"/>
      <c r="Q19" s="119"/>
      <c r="R19" s="120"/>
      <c r="S19" s="121">
        <v>17500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21880.286800000005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0.84341343600125529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2" width="12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25942.54</v>
      </c>
      <c r="C2" s="29">
        <f>SUM(C6:C5000)</f>
        <v>3878.55</v>
      </c>
      <c r="D2" s="29">
        <f>SUM(D6:D5000)</f>
        <v>0</v>
      </c>
      <c r="E2" s="29">
        <f>SUM(E6:E5000)</f>
        <v>40.409999999999997</v>
      </c>
      <c r="F2" s="29">
        <f>SUM(F6:F5000)</f>
        <v>0</v>
      </c>
      <c r="G2" s="29"/>
      <c r="H2" s="29">
        <f t="shared" ref="H2:P2" si="0">SUM(H6:H5000)</f>
        <v>1823.6299999999999</v>
      </c>
      <c r="I2" s="29">
        <f t="shared" si="0"/>
        <v>122.81</v>
      </c>
      <c r="J2" s="29">
        <f t="shared" si="0"/>
        <v>0</v>
      </c>
      <c r="K2" s="29">
        <f t="shared" si="0"/>
        <v>2075.4032000000002</v>
      </c>
      <c r="L2" s="29">
        <f t="shared" si="0"/>
        <v>2075.4032000000002</v>
      </c>
      <c r="M2" s="29">
        <f t="shared" si="0"/>
        <v>0</v>
      </c>
      <c r="N2" s="29">
        <f t="shared" si="0"/>
        <v>21880.286800000005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3597</v>
      </c>
      <c r="B6" s="140">
        <v>25789.47</v>
      </c>
      <c r="C6" s="141">
        <v>3702</v>
      </c>
      <c r="D6" s="140">
        <v>0</v>
      </c>
      <c r="E6" s="140">
        <v>0</v>
      </c>
      <c r="F6" s="140">
        <v>0</v>
      </c>
      <c r="G6" s="142">
        <v>0</v>
      </c>
      <c r="H6" s="140">
        <v>1805.26</v>
      </c>
      <c r="I6" s="140">
        <v>120</v>
      </c>
      <c r="J6" s="140">
        <v>0</v>
      </c>
      <c r="K6" s="140">
        <v>2063.1576</v>
      </c>
      <c r="L6" s="140">
        <v>2063.1576</v>
      </c>
      <c r="M6" s="140">
        <v>0</v>
      </c>
      <c r="N6" s="140">
        <v>21801.052400000004</v>
      </c>
      <c r="O6" s="142">
        <v>0.84534705055978288</v>
      </c>
      <c r="Q6"/>
    </row>
    <row r="7" spans="1:18" s="31" customFormat="1" x14ac:dyDescent="0.3">
      <c r="A7" s="139" t="s">
        <v>626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3598</v>
      </c>
      <c r="B8" s="140">
        <v>153.07</v>
      </c>
      <c r="C8" s="141">
        <v>176.55</v>
      </c>
      <c r="D8" s="140">
        <v>0</v>
      </c>
      <c r="E8" s="140">
        <v>40.409999999999997</v>
      </c>
      <c r="F8" s="140">
        <v>0</v>
      </c>
      <c r="G8" s="142">
        <v>0.26399686417978702</v>
      </c>
      <c r="H8" s="140">
        <v>18.37</v>
      </c>
      <c r="I8" s="140">
        <v>2.81</v>
      </c>
      <c r="J8" s="140">
        <v>0</v>
      </c>
      <c r="K8" s="140">
        <v>12.2456</v>
      </c>
      <c r="L8" s="140">
        <v>12.2456</v>
      </c>
      <c r="M8" s="140">
        <v>0</v>
      </c>
      <c r="N8" s="140">
        <v>79.234399999999994</v>
      </c>
      <c r="O8" s="142">
        <v>0.51763506892271505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153.07</v>
      </c>
      <c r="C2" s="29">
        <f>SUM(C6:C5000)</f>
        <v>79.234399999999994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25789.47</v>
      </c>
      <c r="C5" s="10">
        <v>21801.052400000004</v>
      </c>
    </row>
    <row r="6" spans="1:4" x14ac:dyDescent="0.3">
      <c r="A6" s="139" t="s">
        <v>626</v>
      </c>
      <c r="B6" s="140">
        <v>153.07</v>
      </c>
      <c r="C6" s="140">
        <v>79.234399999999994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3" t="s">
        <v>632</v>
      </c>
      <c r="D395" s="87">
        <v>17500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2026-10-09T14:36:41Z</dcterms:modified>
  <cp:category/>
  <cp:contentStatus/>
</cp:coreProperties>
</file>