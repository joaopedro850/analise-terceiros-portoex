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D707BFF-66A6-4F27-8CAA-647052B2081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<sst xmlns="http://schemas.openxmlformats.org/spreadsheetml/2006/main" count="874" uniqueCount="601">
  <si>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</si>
  <si>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</si>
  <si>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</si>
  <si>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</si>
  <si>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</si>
  <si>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</si>
  <si>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</si>
  <si>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</si>
  <si>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</si>
  <si>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</si>
  <si>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</si>
  <si>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</si>
  <si>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</si>
  <si>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</si>
  <si>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</si>
  <si>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</si>
  <si>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</si>
  <si>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</si>
  <si>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</si>
  <si>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</si>
  <si>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</si>
  <si>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</si>
  <si>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</si>
  <si>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</si>
  <si>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</si>
  <si>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</si>
  <si>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</si>
  <si>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</si>
  <si>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</si>
  <si>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</si>
  <si>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</si>
  <si>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</si>
  <si>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</si>
  <si>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</si>
  <si>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</si>
  <si>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</si>
  <si>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</si>
  <si>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</si>
  <si>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</si>
  <si>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</si>
  <si>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</si>
  <si>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</si>
  <si>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</si>
  <si>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</si>
  <si>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</si>
  <si>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</si>
  <si>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</si>
  <si>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</si>
  <si>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</si>
  <si>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</si>
  <si>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</si>
  <si>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</si>
  <si>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</si>
  <si>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</si>
  <si>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</si>
  <si>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</si>
  <si>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</si>
  <si>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</si>
  <si>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</si>
  <si>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</si>
  <si>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</si>
  <si>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</si>
  <si>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</si>
  <si>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</si>
  <si>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</si>
  <si>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</si>
  <si>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</si>
  <si>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</si>
  <si>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</si>
  <si>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</si>
  <si>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</si>
  <si>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</si>
  <si>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</si>
  <si>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</si>
  <si>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</si>
  <si>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</si>
  <si>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</si>
  <si>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</si>
  <si>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</si>
  <si>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</si>
  <si>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</si>
  <si>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</si>
  <si>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</si>
  <si>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</si>
  <si>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</si>
  <si>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</si>
  <si>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</si>
  <si>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</si>
  <si>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</si>
  <si>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</si>
  <si>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</si>
  <si>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</si>
  <si>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</si>
  <si>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</si>
  <si>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</si>
  <si>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</si>
  <si>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</si>
  <si>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</si>
  <si>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</si>
  <si>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</si>
  <si>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</si>
  <si>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</si>
  <si>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</si>
  <si>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</si>
  <si>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</si>
  <si>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</si>
  <si>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</si>
  <si>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</si>
  <si>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</si>
  <si>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</si>
  <si>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</si>
  <si>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</si>
  <si>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</si>
  <si>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</si>
  <si>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</si>
  <si>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</si>
  <si>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</si>
  <si>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</si>
  <si>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</si>
  <si>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</si>
  <si>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</si>
  <si>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</si>
  <si>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</si>
  <si>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</si>
  <si>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</si>
  <si>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</si>
  <si>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</si>
  <si>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</si>
  <si>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</si>
  <si>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</si>
  <si>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</si>
  <si>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</si>
  <si>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</si>
  <si>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</si>
  <si>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</si>
  <si>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</si>
  <si>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</si>
  <si>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</si>
  <si>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</si>
  <si>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</si>
  <si>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</si>
  <si>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</si>
  <si>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</si>
  <si>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</si>
  <si>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</si>
  <si>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</si>
  <si>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</si>
  <si>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</si>
  <si>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</si>
  <si>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</si>
  <si>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</si>
  <si>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</si>
  <si>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</si>
  <si>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</si>
  <si>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</si>
  <si>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</si>
  <si>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</si>
  <si>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</si>
  <si>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</si>
  <si>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</si>
  <si>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</si>
  <si>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</si>
  <si>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</si>
  <si>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</si>
  <si>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</si>
  <si>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</si>
  <si>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</si>
  <si>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</si>
  <si>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</si>
  <si>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</si>
  <si>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</si>
  <si>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</si>
  <si>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</si>
  <si>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</si>
  <si>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</si>
  <si>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</si>
  <si>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</si>
  <si>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</si>
  <si>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</si>
  <si>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</si>
  <si>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</si>
  <si>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</si>
  <si>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</si>
  <si>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</si>
  <si>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</si>
  <si>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</si>
  <si>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</si>
  <si>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</si>
  <si>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</si>
  <si>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</si>
  <si>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</si>
  <si>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</si>
  <si>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</si>
  <si>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</si>
  <si>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</si>
  <si>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</si>
  <si>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</si>
  <si>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</si>
  <si>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</si>
  <si>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</si>
  <si>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</si>
  <si>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</si>
  <si>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</si>
  <si>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</si>
  <si>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</si>
  <si>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</si>
  <si>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</si>
  <si>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</si>
  <si>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</si>
  <si>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</si>
  <si>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</si>
  <si>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</si>
  <si>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</si>
  <si>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</si>
  <si>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</si>
  <si>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</si>
  <si>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</si>
  <si>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</si>
  <si>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</si>
  <si>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</si>
  <si>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</si>
  <si>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</si>
  <si>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</si>
  <si>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</si>
  <si>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</si>
  <si>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</si>
  <si>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</si>
  <si>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</si>
  <si>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</si>
  <si>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</si>
  <si>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</si>
  <si>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</si>
  <si>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</si>
  <si>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</si>
  <si>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</si>
  <si>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</si>
  <si>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</si>
  <si>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</si>
  <si>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</si>
  <si>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</si>
  <si>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</si>
  <si>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</si>
  <si>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</si>
  <si>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</si>
  <si>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</si>
  <si>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</si>
  <si>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</si>
  <si>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</si>
  <si>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</si>
  <si>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</si>
  <si>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</si>
  <si>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</si>
  <si>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</si>
  <si>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</si>
  <si>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</si>
  <si>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</si>
  <si>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</si>
  <si>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</si>
  <si>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</si>
  <si>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</si>
  <si>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</si>
  <si>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</si>
  <si>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</si>
  <si>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</si>
  <si>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</si>
  <si>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</si>
  <si>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</si>
  <si>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</si>
  <si>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</si>
  <si>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</si>
  <si>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</si>
  <si>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</si>
  <si>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</si>
  <si>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</si>
  <si>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</si>
  <si>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</si>
  <si>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</si>
  <si>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</si>
  <si>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</si>
  <si>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</si>
  <si>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</si>
  <si>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</si>
  <si>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</si>
  <si>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</si>
  <si>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</si>
  <si>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</si>
  <si>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</si>
  <si>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</si>
  <si>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</si>
  <si>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</si>
  <si>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</si>
  <si>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</si>
  <si>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</si>
  <si>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</si>
  <si>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</si>
  <si>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</si>
  <si>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</si>
  <si>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</si>
  <si>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</si>
  <si>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</si>
  <si>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</si>
  <si>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</si>
  <si>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</si>
  <si>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</si>
  <si>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</si>
  <si>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</si>
  <si>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</si>
  <si>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</si>
  <si>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</si>
  <si>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</si>
  <si>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</si>
  <si>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</si>
  <si>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</si>
  <si>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</si>
  <si>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</si>
  <si>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</si>
  <si>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</si>
  <si>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</si>
  <si>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</si>
  <si>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</si>
  <si>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</si>
  <si>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</si>
  <si>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</si>
  <si>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</si>
  <si>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</si>
  <si>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</si>
  <si>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</si>
  <si>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</si>
  <si>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</si>
  <si>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</si>
  <si>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</si>
  <si>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</si>
  <si>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</si>
  <si>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</si>
  <si>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</si>
  <si>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</si>
  <si>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</si>
  <si>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</si>
  <si>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</si>
  <si>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</si>
  <si>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</si>
  <si>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</si>
  <si>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</si>
  <si>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</si>
  <si>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</si>
  <si>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</si>
  <si>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</si>
  <si>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</si>
  <si>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</si>
  <si>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</si>
  <si>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</si>
  <si>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</si>
  <si>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</si>
  <si>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</si>
  <si>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</si>
  <si>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</si>
  <si>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</si>
  <si>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</si>
  <si>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</si>
  <si>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</si>
  <si>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</si>
  <si>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</si>
  <si>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</si>
  <si>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</si>
  <si>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</si>
  <si>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</si>
  <si>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</si>
  <si>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</si>
  <si>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</si>
  <si>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</si>
  <si>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</si>
  <si>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</si>
  <si>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</si>
  <si>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</si>
  <si>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</si>
  <si>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</si>
  <si>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</si>
  <si>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</si>
  <si>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</si>
  <si>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</si>
  <si>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</si>
  <si>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</si>
  <si>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</si>
  <si>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</si>
  <si>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</si>
  <si>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</si>
  <si>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</si>
  <si>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</si>
  <si>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</si>
  <si>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</si>
  <si>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</si>
  <si>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</si>
  <si>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</si>
  <si>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</si>
  <si>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</si>
  <si>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</si>
  <si>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</si>
  <si>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</si>
  <si>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</si>
  <si>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</si>
  <si>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</si>
  <si>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</si>
  <si>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</si>
  <si>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</si>
  <si>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</si>
  <si>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</si>
  <si>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</si>
  <si>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</si>
  <si>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</si>
  <si>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</si>
  <si>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</si>
  <si>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</si>
  <si>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</si>
  <si>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</si>
  <si>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</si>
  <si>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</si>
  <si>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</si>
  <si>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</si>
  <si>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</si>
  <si>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</si>
  <si>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</si>
  <si>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</si>
  <si>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</si>
  <si>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</si>
  <si>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</si>
  <si>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</si>
  <si>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</si>
  <si>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</si>
  <si>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</si>
  <si>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</si>
  <si>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</si>
  <si>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</si>
  <si>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</si>
  <si>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</si>
  <si>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</si>
  <si>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</si>
  <si>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</si>
  <si>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</si>
  <si>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</si>
  <si>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</si>
  <si>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</si>
  <si>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</si>
  <si>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</si>
  <si>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</si>
  <si>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</si>
  <si>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</si>
  <si>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</si>
  <si>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</si>
  <si>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</si>
  <si>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</si>
  <si>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</si>
  <si>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</si>
  <si>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</si>
  <si>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</si>
  <si>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</si>
  <si>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</si>
  <si>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</si>
  <si>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</si>
  <si>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</si>
  <si>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</si>
  <si>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</si>
  <si>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</si>
  <si>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</si>
  <si>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</si>
  <si>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</si>
  <si>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</si>
  <si>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</si>
  <si>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</si>
  <si>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</si>
  <si>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</si>
  <si>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</si>
  <si>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</si>
  <si>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</si>
  <si>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</si>
  <si>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</si>
  <si>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</si>
  <si>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</si>
  <si>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</si>
  <si>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</si>
  <si>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</si>
  <si>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</si>
  <si>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</si>
  <si>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</si>
  <si>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</si>
  <si>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</si>
  <si>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</si>
  <si>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</si>
  <si>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</si>
  <si>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</si>
  <si>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</si>
  <si>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</si>
  <si>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</si>
  <si>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</si>
  <si>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</si>
  <si>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</si>
  <si>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</si>
  <si>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</si>
  <si>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</si>
  <si>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</si>
  <si>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</si>
  <si>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</si>
  <si>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</si>
  <si>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</si>
  <si>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</si>
  <si>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</si>
  <si>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</si>
  <si>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</si>
  <si>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</si>
  <si>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</si>
  <si>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</si>
  <si>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</si>
  <si>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</si>
  <si>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</si>
  <si>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</si>
  <si>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</si>
  <si>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</si>
  <si>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</si>
  <si>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</si>
  <si>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</si>
  <si>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</si>
  <si>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</si>
  <si>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</si>
  <si>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</si>
  <si>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</si>
  <si>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</si>
  <si>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</si>
  <si>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</si>
  <si>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</si>
  <si>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</si>
  <si>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</si>
  <si>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</si>
  <si>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</si>
  <si>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</si>
  <si>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</si>
  <si>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</si>
  <si>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</si>
  <si>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</si>
  <si>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</si>
  <si>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</si>
  <si>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</si>
  <si>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</si>
  <si>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</si>
  <si>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</si>
  <si>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</si>
  <si>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</si>
  <si>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</si>
  <si>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</si>
  <si>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</si>
  <si>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</si>
  <si>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</si>
  <si>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</si>
  <si>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</si>
  <si>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</si>
  <si>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</si>
  <si>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</si>
  <si>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</si>
  <si>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</si>
  <si>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</si>
  <si>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</si>
  <si>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</si>
  <si>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</si>
  <si>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</si>
  <si>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</si>
  <si>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</si>
  <si>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</si>
  <si>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</si>
  <si>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</si>
  <si>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</si>
  <si>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</si>
  <si>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</si>
  <si>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</si>
  <si>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</si>
  <si>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</si>
  <si>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</si>
  <si>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</si>
  <si>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</si>
  <si>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</si>
  <si>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</si>
  <si>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</si>
  <si>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</si>
  <si>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</si>
  <si>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</si>
  <si>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</si>
  <si>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</si>
  <si>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MATRIZ</t>
  </si>
  <si>
    <t>3050-1</t>
  </si>
  <si>
    <t>AC COMERCIAL IM</t>
  </si>
  <si>
    <t>TIAGO SANTANA</t>
  </si>
  <si>
    <t>PERSONALIZADO</t>
  </si>
  <si>
    <t>CTE NORMAL</t>
  </si>
  <si>
    <t>GUARULHOS - SP</t>
  </si>
  <si>
    <t>N/D</t>
  </si>
  <si>
    <t>TPR TRANSPORTES LTDA</t>
  </si>
  <si>
    <t>3054-1</t>
  </si>
  <si>
    <t>MAC FER INDUSTR</t>
  </si>
  <si>
    <t>FRANCISCO GILAILTON/SABRI</t>
  </si>
  <si>
    <t>ECONOMICO_250</t>
  </si>
  <si>
    <t>SAO PAULO - SP</t>
  </si>
  <si>
    <t>SILVIO DA COSTA SOLANO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</si>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</sst>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[Analise_JUDSON_15092026.xlsx]Resumo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6061.17</c:v>
                </c:pt>
                <c:pt idx="1">
                  <c:v>106.66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4742.0663999999997</c:v>
                </c:pt>
                <c:pt idx="1">
                  <c:v>39.107199999999999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[Analise_JUDSON_15092026.xlsx]Resumo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6061.17</c:v>
                </c:pt>
                <c:pt idx="1">
                  <c:v>106.66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4742.0663999999997</c:v>
                </c:pt>
                <c:pt idx="1">
                  <c:v>39.107199999999999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4746527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50"/>
        <n v="315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6T00:00:00"/>
    </cacheField>
    <cacheField name="DATA" numFmtId="14">
      <sharedItems containsNonDate="0" containsDate="1" containsString="0" containsBlank="1" minDate="2026-09-15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s v="MAC FER INDUST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81.24" maxValue="133827.01"/>
    </cacheField>
    <cacheField name="SERVICO" numFmtId="0">
      <sharedItems containsBlank="1" count="27">
        <s v="PERSONALIZADO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6.66" maxValue="6061.17"/>
    </cacheField>
    <cacheField name="VOLUMES" numFmtId="0">
      <sharedItems containsString="0" containsBlank="1" containsNumber="1" containsInteger="1" minValue="3" maxValue="7"/>
    </cacheField>
    <cacheField name="PESO" numFmtId="0">
      <sharedItems containsString="0" containsBlank="1" containsNumber="1" minValue="58.75" maxValue="2492.6999999999998"/>
    </cacheField>
    <cacheField name="RESP. COLETA" numFmtId="0">
      <sharedItems containsBlank="1"/>
    </cacheField>
    <cacheField name="CUSTO COLETA" numFmtId="0">
      <sharedItems containsString="0" containsBlank="1" containsNumber="1" minValue="0" maxValue="5.7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8" maxValue="727.3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7" maxValue="53.5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24.73" maxValue="4515.16"/>
    </cacheField>
    <cacheField name="RECEITA" numFmtId="0">
      <sharedItems containsString="0" containsBlank="1" containsNumber="1" minValue="-18.07" maxValue="1546.01"/>
    </cacheField>
    <cacheField name="IMPOSTO" numFmtId="0">
      <sharedItems containsString="0" containsBlank="1" containsNumber="1" minValue="17.07" maxValue="969.79"/>
    </cacheField>
    <cacheField name="RESULTADO" numFmtId="0">
      <sharedItems containsString="0" containsBlank="1" containsNumber="1" minValue="-35.14" maxValue="576.22"/>
    </cacheField>
    <cacheField name="COMIS" numFmtId="0">
      <sharedItems containsString="0" containsBlank="1" containsNumber="1" minValue="0" maxValue="53.34"/>
    </cacheField>
    <cacheField name="LUCRO LIQ" numFmtId="0">
      <sharedItems containsString="0" containsBlank="1" containsNumber="1" minValue="-35.14" maxValue="522.88"/>
    </cacheField>
    <cacheField name="MARGEM" numFmtId="10">
      <sharedItems containsString="0" containsBlank="1" containsNumber="1" minValue="-0.32950000000000002" maxValue="8.6300000000000002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5T00:00:00"/>
    <d v="2026-09-15T00:00:00"/>
    <m/>
    <s v="3050-1"/>
    <x v="0"/>
    <s v="TIAGO SANTANA"/>
    <n v="133827.01"/>
    <x v="0"/>
    <s v="CTE NORMAL"/>
    <s v="GUARULHOS - SP"/>
    <n v="6061.17"/>
    <n v="7"/>
    <n v="2492.6999999999998"/>
    <s v="MATRIZ"/>
    <n v="0"/>
    <s v="N/D"/>
    <n v="0"/>
    <s v="TPR TRANSPORTES LTDA"/>
    <n v="0"/>
    <n v="727.34"/>
    <n v="0"/>
    <n v="0"/>
    <n v="53.53"/>
    <n v="0"/>
    <n v="4515.16"/>
    <n v="1546.01"/>
    <n v="969.79"/>
    <n v="576.22"/>
    <n v="53.34"/>
    <n v="522.88"/>
    <n v="8.6300000000000002E-2"/>
    <m/>
  </r>
  <r>
    <x v="1"/>
    <s v="MATRIZ"/>
    <d v="2026-09-15T00:00:00"/>
    <d v="2026-09-15T00:00:00"/>
    <m/>
    <s v="3054-1"/>
    <x v="1"/>
    <s v="FRANCISCO GILAILTON/SABRI"/>
    <n v="1181.24"/>
    <x v="1"/>
    <s v="CTE NORMAL"/>
    <s v="SAO PAULO - SP"/>
    <n v="106.66"/>
    <n v="3"/>
    <n v="58.75"/>
    <s v="SILVIO DA COSTA SOLANO"/>
    <n v="5.75"/>
    <s v="JOSE EMILTON DA COSTA - O"/>
    <n v="40"/>
    <s v="TPR TRANSPORTES LTDA"/>
    <n v="0"/>
    <n v="12.8"/>
    <n v="0"/>
    <n v="0"/>
    <n v="0.47"/>
    <n v="0"/>
    <n v="124.73"/>
    <n v="-18.07"/>
    <n v="17.07"/>
    <n v="-35.14"/>
    <n v="0"/>
    <n v="-35.14"/>
    <n v="-0.3295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8"/>
    </i>
    <i>
      <x v="46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1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2" totalsRowShown="0" headerRowDxfId="92" dataDxfId="90" headerRowBorderDxfId="91" tableBorderDxfId="89" totalsRowBorderDxfId="88">
  <autoFilter ref="A1:D372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3150</v>
      </c>
      <c r="B2" s="12" t="s">
        <v>584</v>
      </c>
      <c r="C2" s="14">
        <v>46280</v>
      </c>
      <c r="D2" s="14">
        <v>46280</v>
      </c>
      <c r="E2" s="12"/>
      <c r="F2" s="15" t="s">
        <v>585</v>
      </c>
      <c r="G2" s="15" t="s">
        <v>586</v>
      </c>
      <c r="H2" s="15" t="s">
        <v>587</v>
      </c>
      <c r="I2" s="16">
        <v>133827.01</v>
      </c>
      <c r="J2" s="15" t="s">
        <v>588</v>
      </c>
      <c r="K2" s="15" t="s">
        <v>589</v>
      </c>
      <c r="L2" s="15" t="s">
        <v>590</v>
      </c>
      <c r="M2" s="15">
        <v>6061.17</v>
      </c>
      <c r="N2" s="15">
        <v>7</v>
      </c>
      <c r="O2" s="16">
        <v>2492.6999999999998</v>
      </c>
      <c r="P2" s="15" t="s">
        <v>584</v>
      </c>
      <c r="Q2" s="15">
        <v>0</v>
      </c>
      <c r="R2" s="15" t="s">
        <v>591</v>
      </c>
      <c r="S2" s="15">
        <v>0</v>
      </c>
      <c r="T2" s="15" t="s">
        <v>592</v>
      </c>
      <c r="U2" s="15">
        <v>0</v>
      </c>
      <c r="V2" s="15">
        <v>727.34</v>
      </c>
      <c r="W2" s="15">
        <v>0</v>
      </c>
      <c r="X2" s="15">
        <v>0</v>
      </c>
      <c r="Y2" s="15">
        <v>53.53</v>
      </c>
      <c r="Z2" s="15">
        <v>0</v>
      </c>
      <c r="AA2" s="15">
        <v>4515.16</v>
      </c>
      <c r="AB2" s="15">
        <v>1546.01</v>
      </c>
      <c r="AC2" s="15">
        <v>969.79</v>
      </c>
      <c r="AD2" s="15">
        <v>576.22</v>
      </c>
      <c r="AE2" s="15">
        <v>53.34</v>
      </c>
      <c r="AF2" s="15">
        <v>522.88</v>
      </c>
      <c r="AG2" s="17">
        <v>8.6300000000000002E-2</v>
      </c>
      <c r="AH2" s="15"/>
    </row>
    <row r="3" spans="1:34" s="1" customFormat="1" ht="12" customHeight="1" x14ac:dyDescent="0.3">
      <c r="A3" s="13">
        <v>3156</v>
      </c>
      <c r="B3" s="12" t="s">
        <v>584</v>
      </c>
      <c r="C3" s="14">
        <v>46280</v>
      </c>
      <c r="D3" s="14">
        <v>46280</v>
      </c>
      <c r="E3" s="12"/>
      <c r="F3" s="15" t="s">
        <v>593</v>
      </c>
      <c r="G3" s="15" t="s">
        <v>594</v>
      </c>
      <c r="H3" s="15" t="s">
        <v>595</v>
      </c>
      <c r="I3" s="16">
        <v>1181.24</v>
      </c>
      <c r="J3" s="15" t="s">
        <v>596</v>
      </c>
      <c r="K3" s="15" t="s">
        <v>589</v>
      </c>
      <c r="L3" s="15" t="s">
        <v>597</v>
      </c>
      <c r="M3" s="16">
        <v>106.66</v>
      </c>
      <c r="N3" s="15">
        <v>3</v>
      </c>
      <c r="O3" s="16">
        <v>58.75</v>
      </c>
      <c r="P3" s="15" t="s">
        <v>598</v>
      </c>
      <c r="Q3" s="15">
        <v>5.75</v>
      </c>
      <c r="R3" s="15" t="s">
        <v>599</v>
      </c>
      <c r="S3" s="15">
        <v>40</v>
      </c>
      <c r="T3" s="15" t="s">
        <v>592</v>
      </c>
      <c r="U3" s="15">
        <v>0</v>
      </c>
      <c r="V3" s="15">
        <v>12.8</v>
      </c>
      <c r="W3" s="15">
        <v>0</v>
      </c>
      <c r="X3" s="15">
        <v>0</v>
      </c>
      <c r="Y3" s="15">
        <v>0.47</v>
      </c>
      <c r="Z3" s="15">
        <v>0</v>
      </c>
      <c r="AA3" s="16">
        <v>124.73</v>
      </c>
      <c r="AB3" s="16">
        <v>-18.07</v>
      </c>
      <c r="AC3" s="15">
        <v>17.07</v>
      </c>
      <c r="AD3" s="15">
        <v>-35.14</v>
      </c>
      <c r="AE3" s="15">
        <v>0</v>
      </c>
      <c r="AF3" s="15">
        <v>-35.14</v>
      </c>
      <c r="AG3" s="17">
        <v>-0.32950000000000002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6167.83</v>
      </c>
      <c r="F3" s="89"/>
      <c r="G3" s="90"/>
      <c r="H3" s="133">
        <f>'Resumo Detalhado'!C2</f>
        <v>2551.4499999999998</v>
      </c>
      <c r="I3" s="134"/>
      <c r="J3" s="135">
        <f>E3/H3</f>
        <v>2.4173822728252565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0.42524166666666663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3805.75</v>
      </c>
      <c r="F7" s="112"/>
      <c r="G7" s="112"/>
      <c r="H7" s="112"/>
      <c r="I7" s="112"/>
      <c r="J7" s="112">
        <f>E7/H3</f>
        <v>1.491602814086108</v>
      </c>
      <c r="K7" s="112"/>
      <c r="L7" s="112"/>
      <c r="M7" s="130">
        <f>E7/E3</f>
        <v>0.61703224634920228</v>
      </c>
      <c r="N7" s="130"/>
      <c r="O7" s="130"/>
      <c r="P7" s="112">
        <f>E11+K11+Q11+E15+K15+Q15+E19+H19+K19</f>
        <v>6080.1692000000003</v>
      </c>
      <c r="Q7" s="112"/>
      <c r="R7" s="112"/>
      <c r="S7" s="112">
        <f>P7/H3</f>
        <v>2.3830250249857925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3800</v>
      </c>
      <c r="L11" s="90"/>
      <c r="M11" s="38"/>
      <c r="N11" s="88">
        <f>K11/H3</f>
        <v>1.4893491935957985</v>
      </c>
      <c r="O11" s="90"/>
      <c r="P11" s="38"/>
      <c r="Q11" s="88">
        <f>'Resumo Detalhado'!D2</f>
        <v>5.75</v>
      </c>
      <c r="R11" s="90"/>
      <c r="S11" s="38"/>
      <c r="T11" s="88">
        <f>Q11/H3</f>
        <v>2.253620490309432E-3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740.14</v>
      </c>
      <c r="F15" s="119"/>
      <c r="G15" s="119"/>
      <c r="H15" s="119"/>
      <c r="I15" s="132"/>
      <c r="J15" s="38"/>
      <c r="K15" s="113">
        <f>'Resumo Detalhado'!K2+'Resumo Detalhado'!L2</f>
        <v>986.8528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54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493.4264</v>
      </c>
      <c r="L19" s="123"/>
      <c r="M19" s="38"/>
      <c r="N19" s="121" t="s">
        <v>583</v>
      </c>
      <c r="O19" s="119"/>
      <c r="P19" s="119"/>
      <c r="Q19" s="119"/>
      <c r="R19" s="120"/>
      <c r="S19" s="121">
        <f>_xlfn.XLOOKUP(N19,Target!C:C,Target!D:D)</f>
        <v>3800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4781.1736000000001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0.77517921213781837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600</v>
      </c>
      <c r="F1" s="29"/>
    </row>
    <row r="2" spans="1:18" x14ac:dyDescent="0.3">
      <c r="B2" s="29">
        <f>SUM(B6:B5000)</f>
        <v>6167.83</v>
      </c>
      <c r="C2" s="29">
        <f>SUM(C6:C5000)</f>
        <v>2551.4499999999998</v>
      </c>
      <c r="D2" s="29">
        <f>SUM(D6:D5000)</f>
        <v>5.75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740.14</v>
      </c>
      <c r="I2" s="29">
        <f t="shared" si="0"/>
        <v>54</v>
      </c>
      <c r="J2" s="29">
        <f t="shared" si="0"/>
        <v>0</v>
      </c>
      <c r="K2" s="29">
        <f t="shared" si="0"/>
        <v>493.4264</v>
      </c>
      <c r="L2" s="29">
        <f t="shared" si="0"/>
        <v>493.4264</v>
      </c>
      <c r="M2" s="29">
        <f t="shared" si="0"/>
        <v>53.34</v>
      </c>
      <c r="N2" s="29">
        <f t="shared" si="0"/>
        <v>4781.1736000000001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3150</v>
      </c>
      <c r="B6" s="140">
        <v>6061.17</v>
      </c>
      <c r="C6" s="141">
        <v>2492.6999999999998</v>
      </c>
      <c r="D6" s="140">
        <v>0</v>
      </c>
      <c r="E6" s="140">
        <v>0</v>
      </c>
      <c r="F6" s="140">
        <v>0</v>
      </c>
      <c r="G6" s="142">
        <v>0</v>
      </c>
      <c r="H6" s="140">
        <v>727.34</v>
      </c>
      <c r="I6" s="140">
        <v>53.53</v>
      </c>
      <c r="J6" s="140">
        <v>0</v>
      </c>
      <c r="K6" s="140">
        <v>484.89359999999999</v>
      </c>
      <c r="L6" s="140">
        <v>484.89359999999999</v>
      </c>
      <c r="M6" s="140">
        <v>53.34</v>
      </c>
      <c r="N6" s="140">
        <v>4742.0663999999997</v>
      </c>
      <c r="O6" s="142">
        <v>0.78236815664302428</v>
      </c>
      <c r="Q6"/>
    </row>
    <row r="7" spans="1:18" s="31" customFormat="1" x14ac:dyDescent="0.3">
      <c r="A7" s="9" t="s">
        <v>594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3156</v>
      </c>
      <c r="B8" s="140">
        <v>106.66</v>
      </c>
      <c r="C8" s="141">
        <v>58.75</v>
      </c>
      <c r="D8" s="140">
        <v>5.75</v>
      </c>
      <c r="E8" s="140">
        <v>40</v>
      </c>
      <c r="F8" s="140">
        <v>0</v>
      </c>
      <c r="G8" s="142">
        <v>0.42893305831614476</v>
      </c>
      <c r="H8" s="140">
        <v>12.8</v>
      </c>
      <c r="I8" s="140">
        <v>0.47</v>
      </c>
      <c r="J8" s="140">
        <v>0</v>
      </c>
      <c r="K8" s="140">
        <v>8.5327999999999999</v>
      </c>
      <c r="L8" s="140">
        <v>8.5327999999999999</v>
      </c>
      <c r="M8" s="140">
        <v>0</v>
      </c>
      <c r="N8" s="140">
        <v>39.107199999999999</v>
      </c>
      <c r="O8" s="142">
        <v>0.36665291580723797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600</v>
      </c>
    </row>
    <row r="2" spans="1:4" x14ac:dyDescent="0.3">
      <c r="B2" s="29">
        <f>SUM(B6:B5000)</f>
        <v>106.66</v>
      </c>
      <c r="C2" s="29">
        <f>SUM(C6:C5000)</f>
        <v>39.107199999999999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586</v>
      </c>
      <c r="B5" s="10">
        <v>6061.17</v>
      </c>
      <c r="C5" s="10">
        <v>4742.0663999999997</v>
      </c>
    </row>
    <row r="6" spans="1:4" x14ac:dyDescent="0.3">
      <c r="A6" s="9" t="s">
        <v>594</v>
      </c>
      <c r="B6" s="140">
        <v>106.66</v>
      </c>
      <c r="C6" s="140">
        <v>39.107199999999999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2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2026-09-18T14:01:45Z</dcterms:modified>
  <cp:category/>
  <cp:contentStatus/>
</cp:coreProperties>
</file>