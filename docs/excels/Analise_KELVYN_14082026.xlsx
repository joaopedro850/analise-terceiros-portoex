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DC29EDC-0D03-4341-BC42-ADF71496A1B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<sst xmlns="http://schemas.openxmlformats.org/spreadsheetml/2006/main" count="866" uniqueCount="593">
  <si>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</si>
  <si>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</si>
  <si>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</si>
  <si>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</si>
  <si>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</si>
  <si>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</si>
  <si>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</si>
  <si>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</si>
  <si>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</si>
  <si>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</si>
  <si>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</si>
  <si>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</si>
  <si>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</si>
  <si>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</si>
  <si>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</si>
  <si>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</si>
  <si>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</si>
  <si>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</si>
  <si>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</si>
  <si>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</si>
  <si>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</si>
  <si>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</si>
  <si>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</si>
  <si>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</si>
  <si>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</si>
  <si>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</si>
  <si>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</si>
  <si>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</si>
  <si>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</si>
  <si>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</si>
  <si>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</si>
  <si>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</si>
  <si>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</si>
  <si>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</si>
  <si>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</si>
  <si>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</si>
  <si>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</si>
  <si>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</si>
  <si>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</si>
  <si>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</si>
  <si>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</si>
  <si>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</si>
  <si>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</si>
  <si>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</si>
  <si>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</si>
  <si>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</si>
  <si>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</si>
  <si>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</si>
  <si>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</si>
  <si>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</si>
  <si>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</si>
  <si>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</si>
  <si>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</si>
  <si>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</si>
  <si>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</si>
  <si>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</si>
  <si>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</si>
  <si>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</si>
  <si>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</si>
  <si>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</si>
  <si>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</si>
  <si>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</si>
  <si>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</si>
  <si>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</si>
  <si>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</si>
  <si>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</si>
  <si>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</si>
  <si>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</si>
  <si>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</si>
  <si>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</si>
  <si>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</si>
  <si>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</si>
  <si>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</si>
  <si>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</si>
  <si>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</si>
  <si>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</si>
  <si>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</si>
  <si>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</si>
  <si>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</si>
  <si>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</si>
  <si>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</si>
  <si>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</si>
  <si>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</si>
  <si>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</si>
  <si>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</si>
  <si>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</si>
  <si>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</si>
  <si>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</si>
  <si>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</si>
  <si>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</si>
  <si>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</si>
  <si>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</si>
  <si>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</si>
  <si>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</si>
  <si>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</si>
  <si>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</si>
  <si>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</si>
  <si>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</si>
  <si>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</si>
  <si>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</si>
  <si>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</si>
  <si>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</si>
  <si>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</si>
  <si>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</si>
  <si>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</si>
  <si>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</si>
  <si>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</si>
  <si>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</si>
  <si>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</si>
  <si>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</si>
  <si>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</si>
  <si>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</si>
  <si>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</si>
  <si>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</si>
  <si>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</si>
  <si>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</si>
  <si>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</si>
  <si>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</si>
  <si>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</si>
  <si>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</si>
  <si>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</si>
  <si>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</si>
  <si>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</si>
  <si>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</si>
  <si>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</si>
  <si>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</si>
  <si>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</si>
  <si>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</si>
  <si>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</si>
  <si>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</si>
  <si>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</si>
  <si>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</si>
  <si>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</si>
  <si>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</si>
  <si>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</si>
  <si>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</si>
  <si>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</si>
  <si>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</si>
  <si>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</si>
  <si>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</si>
  <si>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</si>
  <si>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</si>
  <si>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</si>
  <si>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</si>
  <si>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</si>
  <si>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</si>
  <si>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</si>
  <si>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</si>
  <si>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</si>
  <si>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</si>
  <si>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</si>
  <si>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</si>
  <si>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</si>
  <si>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</si>
  <si>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</si>
  <si>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</si>
  <si>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</si>
  <si>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</si>
  <si>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</si>
  <si>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</si>
  <si>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</si>
  <si>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</si>
  <si>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</si>
  <si>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</si>
  <si>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</si>
  <si>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</si>
  <si>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</si>
  <si>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</si>
  <si>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</si>
  <si>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</si>
  <si>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</si>
  <si>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</si>
  <si>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</si>
  <si>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</si>
  <si>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</si>
  <si>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</si>
  <si>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</si>
  <si>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</si>
  <si>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</si>
  <si>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</si>
  <si>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</si>
  <si>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</si>
  <si>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</si>
  <si>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</si>
  <si>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</si>
  <si>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</si>
  <si>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</si>
  <si>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</si>
  <si>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</si>
  <si>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</si>
  <si>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</si>
  <si>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</si>
  <si>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</si>
  <si>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</si>
  <si>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</si>
  <si>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</si>
  <si>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</si>
  <si>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</si>
  <si>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</si>
  <si>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</si>
  <si>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</si>
  <si>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</si>
  <si>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</si>
  <si>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</si>
  <si>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</si>
  <si>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</si>
  <si>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</si>
  <si>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</si>
  <si>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</si>
  <si>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</si>
  <si>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</si>
  <si>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</si>
  <si>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</si>
  <si>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</si>
  <si>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</si>
  <si>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</si>
  <si>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</si>
  <si>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</si>
  <si>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</si>
  <si>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</si>
  <si>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</si>
  <si>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</si>
  <si>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</si>
  <si>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</si>
  <si>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</si>
  <si>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</si>
  <si>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</si>
  <si>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</si>
  <si>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</si>
  <si>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</si>
  <si>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</si>
  <si>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</si>
  <si>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</si>
  <si>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</si>
  <si>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</si>
  <si>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</si>
  <si>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</si>
  <si>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</si>
  <si>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</si>
  <si>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</si>
  <si>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</si>
  <si>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</si>
  <si>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</si>
  <si>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</si>
  <si>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</si>
  <si>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</si>
  <si>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</si>
  <si>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</si>
  <si>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</si>
  <si>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</si>
  <si>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</si>
  <si>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</si>
  <si>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</si>
  <si>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</si>
  <si>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</si>
  <si>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</si>
  <si>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</si>
  <si>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</si>
  <si>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</si>
  <si>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</si>
  <si>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</si>
  <si>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</si>
  <si>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</si>
  <si>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</si>
  <si>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</si>
  <si>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</si>
  <si>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</si>
  <si>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</si>
  <si>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</si>
  <si>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</si>
  <si>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</si>
  <si>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</si>
  <si>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</si>
  <si>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</si>
  <si>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</si>
  <si>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</si>
  <si>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</si>
  <si>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</si>
  <si>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</si>
  <si>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</si>
  <si>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</si>
  <si>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</si>
  <si>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</si>
  <si>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</si>
  <si>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</si>
  <si>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</si>
  <si>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</si>
  <si>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</si>
  <si>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</si>
  <si>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</si>
  <si>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</si>
  <si>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</si>
  <si>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</si>
  <si>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</si>
  <si>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</si>
  <si>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</si>
  <si>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</si>
  <si>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</si>
  <si>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</si>
  <si>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</si>
  <si>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</si>
  <si>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</si>
  <si>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</si>
  <si>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</si>
  <si>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</si>
  <si>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</si>
  <si>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</si>
  <si>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</si>
  <si>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</si>
  <si>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</si>
  <si>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</si>
  <si>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</si>
  <si>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</si>
  <si>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</si>
  <si>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</si>
  <si>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</si>
  <si>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</si>
  <si>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</si>
  <si>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</si>
  <si>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</si>
  <si>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</si>
  <si>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</si>
  <si>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</si>
  <si>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</si>
  <si>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</si>
  <si>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</si>
  <si>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</si>
  <si>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</si>
  <si>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</si>
  <si>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</si>
  <si>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</si>
  <si>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</si>
  <si>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</si>
  <si>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</si>
  <si>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</si>
  <si>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</si>
  <si>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</si>
  <si>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</si>
  <si>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</si>
  <si>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</si>
  <si>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</si>
  <si>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</si>
  <si>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</si>
  <si>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</si>
  <si>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</si>
  <si>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</si>
  <si>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</si>
  <si>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</si>
  <si>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</si>
  <si>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</si>
  <si>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</si>
  <si>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</si>
  <si>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</si>
  <si>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</si>
  <si>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</si>
  <si>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</si>
  <si>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</si>
  <si>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</si>
  <si>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</si>
  <si>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</si>
  <si>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</si>
  <si>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</si>
  <si>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</si>
  <si>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</si>
  <si>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</si>
  <si>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</si>
  <si>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</si>
  <si>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</si>
  <si>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</si>
  <si>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</si>
  <si>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</si>
  <si>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</si>
  <si>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</si>
  <si>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</si>
  <si>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</si>
  <si>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</si>
  <si>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</si>
  <si>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</si>
  <si>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</si>
  <si>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</si>
  <si>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</si>
  <si>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</si>
  <si>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</si>
  <si>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</si>
  <si>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</si>
  <si>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</si>
  <si>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</si>
  <si>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</si>
  <si>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</si>
  <si>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</si>
  <si>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</si>
  <si>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</si>
  <si>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</si>
  <si>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</si>
  <si>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</si>
  <si>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</si>
  <si>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</si>
  <si>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</si>
  <si>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</si>
  <si>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</si>
  <si>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</si>
  <si>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</si>
  <si>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</si>
  <si>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</si>
  <si>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</si>
  <si>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</si>
  <si>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</si>
  <si>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</si>
  <si>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</si>
  <si>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</si>
  <si>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</si>
  <si>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</si>
  <si>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</si>
  <si>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</si>
  <si>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</si>
  <si>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</si>
  <si>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</si>
  <si>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</si>
  <si>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</si>
  <si>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</si>
  <si>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</si>
  <si>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</si>
  <si>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</si>
  <si>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</si>
  <si>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</si>
  <si>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</si>
  <si>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</si>
  <si>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</si>
  <si>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</si>
  <si>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</si>
  <si>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</si>
  <si>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</si>
  <si>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</si>
  <si>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</si>
  <si>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</si>
  <si>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</si>
  <si>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</si>
  <si>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</si>
  <si>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</si>
  <si>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</si>
  <si>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</si>
  <si>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</si>
  <si>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</si>
  <si>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</si>
  <si>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</si>
  <si>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</si>
  <si>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</si>
  <si>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</si>
  <si>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</si>
  <si>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</si>
  <si>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</si>
  <si>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</si>
  <si>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</si>
  <si>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</si>
  <si>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</si>
  <si>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</si>
  <si>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</si>
  <si>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</si>
  <si>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</si>
  <si>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</si>
  <si>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</si>
  <si>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</si>
  <si>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</si>
  <si>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</si>
  <si>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</si>
  <si>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</si>
  <si>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</si>
  <si>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</si>
  <si>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</si>
  <si>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</si>
  <si>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</si>
  <si>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</si>
  <si>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</si>
  <si>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</si>
  <si>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</si>
  <si>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</si>
  <si>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</si>
  <si>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</si>
  <si>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</si>
  <si>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</si>
  <si>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</si>
  <si>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</si>
  <si>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</si>
  <si>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</si>
  <si>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</si>
  <si>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</si>
  <si>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</si>
  <si>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</si>
  <si>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</si>
  <si>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</si>
  <si>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</si>
  <si>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</si>
  <si>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</si>
  <si>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</si>
  <si>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</si>
  <si>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</si>
  <si>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</si>
  <si>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</si>
  <si>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</si>
  <si>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</si>
  <si>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</si>
  <si>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</si>
  <si>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</si>
  <si>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</si>
  <si>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</si>
  <si>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</si>
  <si>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</si>
  <si>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</si>
  <si>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</si>
  <si>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</si>
  <si>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</si>
  <si>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</si>
  <si>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</si>
  <si>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</si>
  <si>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</si>
  <si>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</si>
  <si>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</si>
  <si>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</si>
  <si>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</si>
  <si>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</si>
  <si>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</si>
  <si>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</si>
  <si>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</si>
  <si>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</si>
  <si>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</si>
  <si>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</si>
  <si>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</si>
  <si>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</si>
  <si>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</si>
  <si>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</si>
  <si>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</si>
  <si>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</si>
  <si>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</si>
  <si>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</si>
  <si>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</si>
  <si>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</si>
  <si>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</si>
  <si>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</si>
  <si>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</si>
  <si>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</si>
  <si>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</si>
  <si>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</si>
  <si>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</si>
  <si>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</si>
  <si>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</si>
  <si>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</si>
  <si>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</si>
  <si>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</si>
  <si>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</si>
  <si>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</si>
  <si>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</si>
  <si>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</si>
  <si>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</si>
  <si>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</si>
  <si>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</si>
  <si>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</si>
  <si>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</si>
  <si>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</si>
  <si>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</si>
  <si>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</si>
  <si>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</si>
  <si>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</si>
  <si>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</si>
  <si>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</si>
  <si>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</si>
  <si>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</si>
  <si>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</si>
  <si>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</si>
  <si>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</si>
  <si>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</si>
  <si>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</si>
  <si>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</si>
  <si>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</si>
  <si>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</si>
  <si>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</si>
  <si>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</si>
  <si>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</si>
  <si>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201201-1</t>
  </si>
  <si>
    <t>ITACORDA INDUST</t>
  </si>
  <si>
    <t>TIAGO SANTANA</t>
  </si>
  <si>
    <t>EXPRESSO_250</t>
  </si>
  <si>
    <t>CTE NORMAL</t>
  </si>
  <si>
    <t>SUZANO - SP</t>
  </si>
  <si>
    <t>ANTONIO CARLOS DA SILVA</t>
  </si>
  <si>
    <t>MARCO ANTONIO RIBEIRO DA</t>
  </si>
  <si>
    <t>JOHNNY RIBEIRO DE ALMEIDA</t>
  </si>
  <si>
    <t>201275-1</t>
  </si>
  <si>
    <t>TOTALITY COMERC</t>
  </si>
  <si>
    <t>URIEL CORREA</t>
  </si>
  <si>
    <t>PERSONALIZADO_L</t>
  </si>
  <si>
    <t>EXTREMA - MG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</si>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</sst>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[Analise_KELVYN_14082026.xlsx]Resumo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555.36</c:v>
                </c:pt>
                <c:pt idx="1">
                  <c:v>6096.35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198.5424000000001</c:v>
                </c:pt>
                <c:pt idx="1">
                  <c:v>3499.1140000000005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[Analise_KELVYN_14082026.xlsx]Resumo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555.36</c:v>
                </c:pt>
                <c:pt idx="1">
                  <c:v>6096.35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198.5424000000001</c:v>
                </c:pt>
                <c:pt idx="1">
                  <c:v>3499.1140000000005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3.45137858796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6546" count="8000">
        <n v="296302"/>
        <n v="29654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3T00:00:00" maxDate="2026-08-14T00:00:00"/>
    </cacheField>
    <cacheField name="DATA" numFmtId="14">
      <sharedItems containsNonDate="0" containsDate="1" containsString="0" containsBlank="1" minDate="2026-08-13T00:00:00" maxDate="2026-08-15T00:00:00"/>
    </cacheField>
    <cacheField name="FAT" numFmtId="0">
      <sharedItems containsString="0" containsBlank="1" containsNumber="1" containsInteger="1" minValue="64496" maxValue="64496"/>
    </cacheField>
    <cacheField name="CT-E" numFmtId="0">
      <sharedItems containsBlank="1"/>
    </cacheField>
    <cacheField name="CLIENTE TOMADOR" numFmtId="0">
      <sharedItems containsBlank="1" count="855">
        <s v="ITACORDA INDUST"/>
        <s v="TOTALITY COMER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89.03" maxValue="716339.22"/>
    </cacheField>
    <cacheField name="SERVICO" numFmtId="0">
      <sharedItems containsBlank="1" count="27"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55.36" maxValue="6096.35"/>
    </cacheField>
    <cacheField name="VOLUMES" numFmtId="0">
      <sharedItems containsString="0" containsBlank="1" containsNumber="1" containsInteger="1" minValue="3" maxValue="3"/>
    </cacheField>
    <cacheField name="PESO" numFmtId="0">
      <sharedItems containsString="0" containsBlank="1" containsNumber="1" minValue="5.85" maxValue="1710"/>
    </cacheField>
    <cacheField name="RESP. COLETA" numFmtId="0">
      <sharedItems containsBlank="1"/>
    </cacheField>
    <cacheField name="CUSTO COLETA" numFmtId="0">
      <sharedItems containsString="0" containsBlank="1" containsNumber="1" minValue="0" maxValue="0.6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95.49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66.64" maxValue="1097.339999999999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9" maxValue="358.17"/>
    </cacheField>
    <cacheField name="OUTROS" numFmtId="0">
      <sharedItems containsString="0" containsBlank="1" containsNumber="1" minValue="0.21" maxValue="16.34"/>
    </cacheField>
    <cacheField name="C.TOTAL" numFmtId="0">
      <sharedItems containsString="0" containsBlank="1" containsNumber="1" minValue="266.82" maxValue="2568.1"/>
    </cacheField>
    <cacheField name="RECEITA" numFmtId="0">
      <sharedItems containsString="0" containsBlank="1" containsNumber="1" minValue="288.54000000000002" maxValue="3528.25"/>
    </cacheField>
    <cacheField name="IMPOSTO" numFmtId="0">
      <sharedItems containsString="0" containsBlank="1" containsNumber="1" minValue="144.38999999999999" maxValue="1585.05"/>
    </cacheField>
    <cacheField name="RESULTADO" numFmtId="0">
      <sharedItems containsString="0" containsBlank="1" containsNumber="1" minValue="144.14999999999998" maxValue="1943.2"/>
    </cacheField>
    <cacheField name="COMIS" numFmtId="0">
      <sharedItems containsString="0" containsBlank="1" containsNumber="1" minValue="4.8899999999999997" maxValue="149.97"/>
    </cacheField>
    <cacheField name="LUCRO LIQ" numFmtId="0">
      <sharedItems containsString="0" containsBlank="1" containsNumber="1" minValue="139.26" maxValue="1793.23"/>
    </cacheField>
    <cacheField name="MARGEM" numFmtId="10">
      <sharedItems containsString="0" containsBlank="1" containsNumber="1" minValue="0.25079999999999997" maxValue="0.2941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3T00:00:00"/>
    <d v="2026-08-13T00:00:00"/>
    <n v="64496"/>
    <s v="201201-1"/>
    <x v="0"/>
    <s v="TIAGO SANTANA"/>
    <n v="189.03"/>
    <x v="0"/>
    <s v="CTE NORMAL"/>
    <s v="SUZANO - SP"/>
    <n v="555.36"/>
    <n v="3"/>
    <n v="5.85"/>
    <s v="ANTONIO CARLOS DA SILVA"/>
    <n v="0.64"/>
    <s v="MARCO ANTONIO RIBEIRO DA"/>
    <n v="195.49"/>
    <s v="JOHNNY RIBEIRO DE ALMEIDA"/>
    <n v="0"/>
    <n v="66.64"/>
    <n v="0"/>
    <n v="0"/>
    <n v="0.09"/>
    <n v="0.21"/>
    <n v="266.82"/>
    <n v="288.54000000000002"/>
    <n v="144.38999999999999"/>
    <n v="144.14999999999998"/>
    <n v="4.8899999999999997"/>
    <n v="139.26"/>
    <n v="0.25079999999999997"/>
    <m/>
  </r>
  <r>
    <x v="1"/>
    <s v="MATRIZ"/>
    <d v="2026-08-13T00:00:00"/>
    <d v="2026-08-14T00:00:00"/>
    <m/>
    <s v="201275-1"/>
    <x v="1"/>
    <s v="URIEL CORREA"/>
    <n v="716339.22"/>
    <x v="1"/>
    <s v="CTE NORMAL"/>
    <s v="EXTREMA - MG"/>
    <n v="6096.35"/>
    <n v="3"/>
    <n v="1710"/>
    <s v="JOHNNY RIBEIRO DE ALMEIDA"/>
    <n v="0"/>
    <s v="N/D"/>
    <n v="0"/>
    <s v="JOHNNY RIBEIRO DE ALMEIDA"/>
    <n v="0"/>
    <n v="1097.3399999999999"/>
    <n v="0"/>
    <n v="0"/>
    <n v="358.17"/>
    <n v="16.34"/>
    <n v="2568.1"/>
    <n v="3528.25"/>
    <n v="1585.05"/>
    <n v="1943.2"/>
    <n v="149.97"/>
    <n v="1793.23"/>
    <n v="0.2941000000000000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1"/>
        <item m="1" x="773"/>
        <item m="1" x="579"/>
        <item m="1" x="518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60"/>
        <item m="1" x="580"/>
        <item m="1" x="353"/>
        <item m="1" x="104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4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4"/>
        <item m="1" x="302"/>
        <item x="0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6"/>
        <item m="1" x="330"/>
        <item m="1" x="536"/>
        <item sd="0" m="1" x="237"/>
        <item m="1" x="557"/>
        <item m="1" x="547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m="1" x="119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8"/>
        <item m="1" x="362"/>
        <item m="1" x="263"/>
        <item m="1" x="291"/>
        <item m="1" x="541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3"/>
        <item m="1" x="789"/>
        <item m="1" x="20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0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3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3"/>
        <item m="1" x="646"/>
        <item m="1" x="49"/>
        <item m="1" x="416"/>
        <item m="1" x="146"/>
        <item sd="0" m="1" x="728"/>
        <item m="1" x="164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x="1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1"/>
        <item m="1" x="157"/>
        <item m="1" x="56"/>
        <item m="1" x="548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81"/>
    </i>
    <i r="1">
      <x v="7998"/>
    </i>
    <i>
      <x v="77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1"/>
        <item m="1" x="773"/>
        <item m="1" x="579"/>
        <item m="1" x="518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60"/>
        <item m="1" x="580"/>
        <item m="1" x="353"/>
        <item m="1" x="104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4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4"/>
        <item m="1" x="302"/>
        <item x="0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6"/>
        <item m="1" x="330"/>
        <item m="1" x="536"/>
        <item sd="0" m="1" x="237"/>
        <item m="1" x="557"/>
        <item m="1" x="547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m="1" x="119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8"/>
        <item m="1" x="362"/>
        <item m="1" x="263"/>
        <item m="1" x="291"/>
        <item m="1" x="541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3"/>
        <item m="1" x="789"/>
        <item m="1" x="20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0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3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3"/>
        <item m="1" x="646"/>
        <item m="1" x="49"/>
        <item m="1" x="416"/>
        <item m="1" x="146"/>
        <item sd="0" m="1" x="728"/>
        <item m="1" x="164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x="1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1"/>
        <item m="1" x="157"/>
        <item m="1" x="56"/>
        <item m="1" x="548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1"/>
    </i>
    <i>
      <x v="77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7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50" s="1" nd="1"/>
        <i x="187" s="1" nd="1"/>
        <i x="273" s="1" nd="1"/>
        <i x="12" s="1" nd="1"/>
        <i x="761" s="1" nd="1"/>
        <i x="392" s="1" nd="1"/>
        <i x="712" s="1" nd="1"/>
        <i x="296" s="1" nd="1"/>
        <i x="114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3" s="1" nd="1"/>
        <i x="545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2" s="1" nd="1"/>
        <i x="222" s="1" nd="1"/>
        <i x="159" s="1" nd="1"/>
        <i x="230" s="1" nd="1"/>
        <i x="110" s="1" nd="1"/>
        <i x="621" s="1" nd="1"/>
        <i x="142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30" s="1" nd="1"/>
        <i x="665" s="1" nd="1"/>
        <i x="519" s="1" nd="1"/>
        <i x="792" s="1" nd="1"/>
        <i x="178" s="1" nd="1"/>
        <i x="59" s="1" nd="1"/>
        <i x="356" s="1" nd="1"/>
        <i x="686" s="1" nd="1"/>
        <i x="312" s="1" nd="1"/>
        <i x="137" s="1" nd="1"/>
        <i x="294" s="1" nd="1"/>
        <i x="601" s="1" nd="1"/>
        <i x="206" s="1" nd="1"/>
        <i x="674" s="1" nd="1"/>
        <i x="140" s="1" nd="1"/>
        <i x="688" s="1" nd="1"/>
        <i x="453" s="1" nd="1"/>
        <i x="408" s="1" nd="1"/>
        <i x="516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9" s="1" nd="1"/>
        <i x="661" s="1" nd="1"/>
        <i x="372" s="1" nd="1"/>
        <i x="155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1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5" s="1" nd="1"/>
        <i x="381" s="1" nd="1"/>
        <i x="448" s="1" nd="1"/>
        <i x="160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1" s="1" nd="1"/>
        <i x="295" s="1" nd="1"/>
        <i x="304" s="1" nd="1"/>
        <i x="174" s="1" nd="1"/>
        <i x="102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6" s="1" nd="1"/>
        <i x="333" s="1" nd="1"/>
        <i x="220" s="1" nd="1"/>
        <i x="510" s="1" nd="1"/>
        <i x="118" s="1" nd="1"/>
        <i x="537" s="1" nd="1"/>
        <i x="84" s="1" nd="1"/>
        <i x="602" s="1" nd="1"/>
        <i x="450" s="1" nd="1"/>
        <i x="349" s="1" nd="1"/>
        <i x="79" s="1" nd="1"/>
        <i x="582" s="1" nd="1"/>
        <i x="19" s="1" nd="1"/>
        <i x="161" s="1" nd="1"/>
        <i x="773" s="1" nd="1"/>
        <i x="579" s="1" nd="1"/>
        <i x="518" s="1" nd="1"/>
        <i x="797" s="1" nd="1"/>
        <i x="165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3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4" s="1" nd="1"/>
        <i x="267" s="1" nd="1"/>
        <i x="292" s="1" nd="1"/>
        <i x="354" s="1" nd="1"/>
        <i x="99" s="1" nd="1"/>
        <i x="460" s="1" nd="1"/>
        <i x="580" s="1" nd="1"/>
        <i x="353" s="1" nd="1"/>
        <i x="104" s="1" nd="1"/>
        <i x="539" s="1" nd="1"/>
        <i x="208" s="1" nd="1"/>
        <i x="671" s="1" nd="1"/>
        <i x="486" s="1" nd="1"/>
        <i x="640" s="1" nd="1"/>
        <i x="606" s="1" nd="1"/>
        <i x="532" s="1" nd="1"/>
        <i x="563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4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40" s="1" nd="1"/>
        <i x="314" s="1" nd="1"/>
        <i x="339" s="1" nd="1"/>
        <i x="771" s="1" nd="1"/>
        <i x="144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2" s="1" nd="1"/>
        <i x="315" s="1" nd="1"/>
        <i x="698" s="1" nd="1"/>
        <i x="331" s="1" nd="1"/>
        <i x="625" s="1" nd="1"/>
        <i x="542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1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5" s="1" nd="1"/>
        <i x="498" s="1" nd="1"/>
        <i x="467" s="1" nd="1"/>
        <i x="141" s="1" nd="1"/>
        <i x="756" s="1" nd="1"/>
        <i x="149" s="1" nd="1"/>
        <i x="224" s="1" nd="1"/>
        <i x="720" s="1" nd="1"/>
        <i x="555" s="1" nd="1"/>
        <i x="117" s="1" nd="1"/>
        <i x="376" s="1" nd="1"/>
        <i x="718" s="1" nd="1"/>
        <i x="128" s="1" nd="1"/>
        <i x="34" s="1" nd="1"/>
        <i x="302" s="1" nd="1"/>
        <i x="61" s="1" nd="1"/>
        <i x="452" s="1" nd="1"/>
        <i x="774" s="1" nd="1"/>
        <i x="485" s="1" nd="1"/>
        <i x="740" s="1" nd="1"/>
        <i x="454" s="1" nd="1"/>
        <i x="521" s="1" nd="1"/>
        <i x="163" s="1" nd="1"/>
        <i x="404" s="1" nd="1"/>
        <i x="741" s="1" nd="1"/>
        <i x="194" s="1" nd="1"/>
        <i x="746" s="1" nd="1"/>
        <i x="384" s="1" nd="1"/>
        <i x="138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5" s="1" nd="1"/>
        <i x="700" s="1" nd="1"/>
        <i x="428" s="1" nd="1"/>
        <i x="363" s="1" nd="1"/>
        <i x="101" s="1" nd="1"/>
        <i x="481" s="1" nd="1"/>
        <i x="607" s="1" nd="1"/>
        <i x="715" s="1" nd="1"/>
        <i x="55" s="1" nd="1"/>
        <i x="298" s="1" nd="1"/>
        <i x="682" s="1" nd="1"/>
        <i x="136" s="1" nd="1"/>
        <i x="330" s="1" nd="1"/>
        <i x="536" s="1" nd="1"/>
        <i x="237" s="1" nd="1"/>
        <i x="557" s="1" nd="1"/>
        <i x="547" s="1" nd="1"/>
        <i x="850" s="1" nd="1"/>
        <i x="3" s="1" nd="1"/>
        <i x="272" s="1" nd="1"/>
        <i x="76" s="1" nd="1"/>
        <i x="131" s="1" nd="1"/>
        <i x="654" s="1" nd="1"/>
        <i x="721" s="1" nd="1"/>
        <i x="641" s="1" nd="1"/>
        <i x="231" s="1" nd="1"/>
        <i x="373" s="1" nd="1"/>
        <i x="735" s="1" nd="1"/>
        <i x="133" s="1" nd="1"/>
        <i x="87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9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8" s="1" nd="1"/>
        <i x="362" s="1" nd="1"/>
        <i x="263" s="1" nd="1"/>
        <i x="291" s="1" nd="1"/>
        <i x="541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85" s="1" nd="1"/>
        <i x="326" s="1" nd="1"/>
        <i x="35" s="1" nd="1"/>
        <i x="496" s="1" nd="1"/>
        <i x="507" s="1" nd="1"/>
        <i x="447" s="1" nd="1"/>
        <i x="166" s="1" nd="1"/>
        <i x="134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5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4" s="1" nd="1"/>
        <i x="407" s="1" nd="1"/>
        <i x="320" s="1" nd="1"/>
        <i x="710" s="1" nd="1"/>
        <i x="535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2" s="1" nd="1"/>
        <i x="254" s="1" nd="1"/>
        <i x="512" s="1" nd="1"/>
        <i x="96" s="1" nd="1"/>
        <i x="523" s="1" nd="1"/>
        <i x="789" s="1" nd="1"/>
        <i x="20" s="1" nd="1"/>
        <i x="538" s="1" nd="1"/>
        <i x="636" s="1" nd="1"/>
        <i x="575" s="1" nd="1"/>
        <i x="197" s="1" nd="1"/>
        <i x="574" s="1" nd="1"/>
        <i x="365" s="1" nd="1"/>
        <i x="823" s="1" nd="1"/>
        <i x="336" s="1" nd="1"/>
        <i x="524" s="1" nd="1"/>
        <i x="247" s="1" nd="1"/>
        <i x="11" s="1" nd="1"/>
        <i x="143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9" s="1" nd="1"/>
        <i x="566" s="1" nd="1"/>
        <i x="687" s="1" nd="1"/>
        <i x="280" s="1" nd="1"/>
        <i x="525" s="1" nd="1"/>
        <i x="526" s="1" nd="1"/>
        <i x="38" s="1" nd="1"/>
        <i x="592" s="1" nd="1"/>
        <i x="801" s="1" nd="1"/>
        <i x="583" s="1" nd="1"/>
        <i x="749" s="1" nd="1"/>
        <i x="722" s="1" nd="1"/>
        <i x="533" s="1" nd="1"/>
        <i x="47" s="1" nd="1"/>
        <i x="554" s="1" nd="1"/>
        <i x="109" s="1" nd="1"/>
        <i x="235" s="1" nd="1"/>
        <i x="359" s="1" nd="1"/>
        <i x="260" s="1" nd="1"/>
        <i x="364" s="1" nd="1"/>
        <i x="501" s="1" nd="1"/>
        <i x="147" s="1" nd="1"/>
        <i x="170" s="1" nd="1"/>
        <i x="584" s="1" nd="1"/>
        <i x="803" s="1" nd="1"/>
        <i x="791" s="1" nd="1"/>
        <i x="200" s="1" nd="1"/>
        <i x="152" s="1" nd="1"/>
        <i x="236" s="1" nd="1"/>
        <i x="503" s="1" nd="1"/>
        <i x="786" s="1" nd="1"/>
        <i x="259" s="1" nd="1"/>
        <i x="752" s="1" nd="1"/>
        <i x="129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20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5" s="1" nd="1"/>
        <i x="88" s="1" nd="1"/>
        <i x="754" s="1" nd="1"/>
        <i x="156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7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6" s="1" nd="1"/>
        <i x="153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5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3" s="1" nd="1"/>
        <i x="646" s="1" nd="1"/>
        <i x="49" s="1" nd="1"/>
        <i x="416" s="1" nd="1"/>
        <i x="146" s="1" nd="1"/>
        <i x="728" s="1" nd="1"/>
        <i x="164" s="1" nd="1"/>
        <i x="346" s="1" nd="1"/>
        <i x="120" s="1" nd="1"/>
        <i x="290" s="1" nd="1"/>
        <i x="199" s="1" nd="1"/>
        <i x="205" s="1" nd="1"/>
        <i x="90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3" s="1" nd="1"/>
        <i x="195" s="1" nd="1"/>
        <i x="497" s="1" nd="1"/>
        <i x="262" s="1" nd="1"/>
        <i x="31" s="1" nd="1"/>
        <i x="106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3" s="1" nd="1"/>
        <i x="438" s="1" nd="1"/>
        <i x="434" s="1" nd="1"/>
        <i x="122" s="1" nd="1"/>
        <i x="630" s="1" nd="1"/>
        <i x="201" s="1" nd="1"/>
        <i x="157" s="1" nd="1"/>
        <i x="56" s="1" nd="1"/>
        <i x="548" s="1" nd="1"/>
        <i x="618" s="1" nd="1"/>
        <i x="100" s="1" nd="1"/>
        <i x="766" s="1" nd="1"/>
        <i x="127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30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92" dataDxfId="90" headerRowBorderDxfId="91" tableBorderDxfId="89" totalsRowBorderDxfId="88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296302</v>
      </c>
      <c r="B2" s="12" t="s">
        <v>576</v>
      </c>
      <c r="C2" s="14">
        <v>46247</v>
      </c>
      <c r="D2" s="14">
        <v>46247</v>
      </c>
      <c r="E2" s="12">
        <v>64496</v>
      </c>
      <c r="F2" s="15" t="s">
        <v>577</v>
      </c>
      <c r="G2" s="15" t="s">
        <v>578</v>
      </c>
      <c r="H2" s="15" t="s">
        <v>579</v>
      </c>
      <c r="I2" s="16">
        <v>189.03</v>
      </c>
      <c r="J2" s="15" t="s">
        <v>580</v>
      </c>
      <c r="K2" s="15" t="s">
        <v>581</v>
      </c>
      <c r="L2" s="15" t="s">
        <v>582</v>
      </c>
      <c r="M2" s="15">
        <v>555.36</v>
      </c>
      <c r="N2" s="15">
        <v>3</v>
      </c>
      <c r="O2" s="16">
        <v>5.85</v>
      </c>
      <c r="P2" s="15" t="s">
        <v>583</v>
      </c>
      <c r="Q2" s="15">
        <v>0.64</v>
      </c>
      <c r="R2" s="15" t="s">
        <v>584</v>
      </c>
      <c r="S2" s="15">
        <v>195.49</v>
      </c>
      <c r="T2" s="15" t="s">
        <v>585</v>
      </c>
      <c r="U2" s="15">
        <v>0</v>
      </c>
      <c r="V2" s="15">
        <v>66.64</v>
      </c>
      <c r="W2" s="15">
        <v>0</v>
      </c>
      <c r="X2" s="15">
        <v>0</v>
      </c>
      <c r="Y2" s="15">
        <v>0.09</v>
      </c>
      <c r="Z2" s="15">
        <v>0.21</v>
      </c>
      <c r="AA2" s="15">
        <v>266.82</v>
      </c>
      <c r="AB2" s="15">
        <v>288.54000000000002</v>
      </c>
      <c r="AC2" s="15">
        <v>144.38999999999999</v>
      </c>
      <c r="AD2" s="15">
        <v>144.14999999999998</v>
      </c>
      <c r="AE2" s="15">
        <v>4.8899999999999997</v>
      </c>
      <c r="AF2" s="15">
        <v>139.26</v>
      </c>
      <c r="AG2" s="17">
        <v>0.25079999999999997</v>
      </c>
      <c r="AH2" s="15"/>
    </row>
    <row r="3" spans="1:34" s="1" customFormat="1" ht="12" customHeight="1" x14ac:dyDescent="0.3">
      <c r="A3" s="13">
        <v>296546</v>
      </c>
      <c r="B3" s="12" t="s">
        <v>576</v>
      </c>
      <c r="C3" s="14">
        <v>46247</v>
      </c>
      <c r="D3" s="14">
        <v>46248</v>
      </c>
      <c r="E3" s="12"/>
      <c r="F3" s="15" t="s">
        <v>586</v>
      </c>
      <c r="G3" s="15" t="s">
        <v>587</v>
      </c>
      <c r="H3" s="15" t="s">
        <v>588</v>
      </c>
      <c r="I3" s="16">
        <v>716339.22</v>
      </c>
      <c r="J3" s="15" t="s">
        <v>589</v>
      </c>
      <c r="K3" s="15" t="s">
        <v>581</v>
      </c>
      <c r="L3" s="15" t="s">
        <v>590</v>
      </c>
      <c r="M3" s="16">
        <v>6096.35</v>
      </c>
      <c r="N3" s="15">
        <v>3</v>
      </c>
      <c r="O3" s="16">
        <v>1710</v>
      </c>
      <c r="P3" s="15" t="s">
        <v>585</v>
      </c>
      <c r="Q3" s="15">
        <v>0</v>
      </c>
      <c r="R3" s="15" t="s">
        <v>591</v>
      </c>
      <c r="S3" s="15">
        <v>0</v>
      </c>
      <c r="T3" s="15" t="s">
        <v>585</v>
      </c>
      <c r="U3" s="15">
        <v>0</v>
      </c>
      <c r="V3" s="15">
        <v>1097.3399999999999</v>
      </c>
      <c r="W3" s="15">
        <v>0</v>
      </c>
      <c r="X3" s="15">
        <v>0</v>
      </c>
      <c r="Y3" s="15">
        <v>358.17</v>
      </c>
      <c r="Z3" s="15">
        <v>16.34</v>
      </c>
      <c r="AA3" s="16">
        <v>2568.1</v>
      </c>
      <c r="AB3" s="16">
        <v>3528.25</v>
      </c>
      <c r="AC3" s="15">
        <v>1585.05</v>
      </c>
      <c r="AD3" s="15">
        <v>1943.2</v>
      </c>
      <c r="AE3" s="15">
        <v>149.97</v>
      </c>
      <c r="AF3" s="15">
        <v>1793.23</v>
      </c>
      <c r="AG3" s="17">
        <v>0.29410000000000003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6651.71</v>
      </c>
      <c r="F3" s="89"/>
      <c r="G3" s="90"/>
      <c r="H3" s="133">
        <f>'Resumo Detalhado'!C2</f>
        <v>1715.85</v>
      </c>
      <c r="I3" s="134"/>
      <c r="J3" s="135">
        <f>E3/H3</f>
        <v>3.8766267447620715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1100.6400000000001</v>
      </c>
      <c r="F7" s="112"/>
      <c r="G7" s="112"/>
      <c r="H7" s="112"/>
      <c r="I7" s="112"/>
      <c r="J7" s="112">
        <f>E7/H3</f>
        <v>0.64145467261124234</v>
      </c>
      <c r="K7" s="112"/>
      <c r="L7" s="112"/>
      <c r="M7" s="130">
        <f>E7/E3</f>
        <v>0.16546722572090486</v>
      </c>
      <c r="N7" s="130"/>
      <c r="O7" s="130"/>
      <c r="P7" s="112">
        <f>E11+K11+Q11+E15+K15+Q15+E19+H19+K19</f>
        <v>4235.8404</v>
      </c>
      <c r="Q7" s="112"/>
      <c r="R7" s="112"/>
      <c r="S7" s="112">
        <f>P7/H3</f>
        <v>2.4686542529941429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1100</v>
      </c>
      <c r="L11" s="90"/>
      <c r="M11" s="38"/>
      <c r="N11" s="88">
        <f>K11/H3</f>
        <v>0.64108167963400065</v>
      </c>
      <c r="O11" s="90"/>
      <c r="P11" s="38"/>
      <c r="Q11" s="88">
        <f>'Resumo Detalhado'!D2</f>
        <v>0.64</v>
      </c>
      <c r="R11" s="90"/>
      <c r="S11" s="38"/>
      <c r="T11" s="88">
        <f>Q11/H3</f>
        <v>3.7299297724160041E-4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1163.98</v>
      </c>
      <c r="F15" s="119"/>
      <c r="G15" s="119"/>
      <c r="H15" s="119"/>
      <c r="I15" s="132"/>
      <c r="J15" s="38"/>
      <c r="K15" s="113">
        <f>'Resumo Detalhado'!K2+'Resumo Detalhado'!L2</f>
        <v>1064.2736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358.26</v>
      </c>
      <c r="F19" s="120"/>
      <c r="G19" s="38"/>
      <c r="H19" s="122">
        <f>'Resumo Detalhado'!J2</f>
        <v>16.55</v>
      </c>
      <c r="I19" s="123"/>
      <c r="J19" s="38"/>
      <c r="K19" s="122">
        <f>'Resumo Detalhado'!L2</f>
        <v>532.13679999999999</v>
      </c>
      <c r="L19" s="123"/>
      <c r="M19" s="38"/>
      <c r="N19" s="121" t="s">
        <v>272</v>
      </c>
      <c r="O19" s="119"/>
      <c r="P19" s="119"/>
      <c r="Q19" s="119"/>
      <c r="R19" s="120"/>
      <c r="S19" s="121">
        <f>_xlfn.XLOOKUP(N19,Target!C:C,Target!D:D)</f>
        <v>900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3697.6564000000008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0.55589561180508484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592</v>
      </c>
      <c r="F1" s="29"/>
    </row>
    <row r="2" spans="1:18" x14ac:dyDescent="0.3">
      <c r="B2" s="29">
        <f>SUM(B6:B5000)</f>
        <v>6651.71</v>
      </c>
      <c r="C2" s="29">
        <f>SUM(C6:C5000)</f>
        <v>1715.85</v>
      </c>
      <c r="D2" s="29">
        <f>SUM(D6:D5000)</f>
        <v>0.64</v>
      </c>
      <c r="E2" s="29">
        <f>SUM(E6:E5000)</f>
        <v>195.49</v>
      </c>
      <c r="F2" s="29">
        <f>SUM(F6:F5000)</f>
        <v>0</v>
      </c>
      <c r="G2" s="29"/>
      <c r="H2" s="29">
        <f t="shared" ref="H2:P2" si="0">SUM(H6:H5000)</f>
        <v>1163.98</v>
      </c>
      <c r="I2" s="29">
        <f t="shared" si="0"/>
        <v>358.26</v>
      </c>
      <c r="J2" s="29">
        <f t="shared" si="0"/>
        <v>16.55</v>
      </c>
      <c r="K2" s="29">
        <f t="shared" si="0"/>
        <v>532.13679999999999</v>
      </c>
      <c r="L2" s="29">
        <f t="shared" si="0"/>
        <v>532.13679999999999</v>
      </c>
      <c r="M2" s="29">
        <f t="shared" si="0"/>
        <v>154.85999999999999</v>
      </c>
      <c r="N2" s="29">
        <f t="shared" si="0"/>
        <v>3697.6564000000008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296302</v>
      </c>
      <c r="B6" s="140">
        <v>555.36</v>
      </c>
      <c r="C6" s="141">
        <v>5.85</v>
      </c>
      <c r="D6" s="140">
        <v>0.64</v>
      </c>
      <c r="E6" s="140">
        <v>195.49</v>
      </c>
      <c r="F6" s="140">
        <v>0</v>
      </c>
      <c r="G6" s="142">
        <v>0.35315831172572743</v>
      </c>
      <c r="H6" s="140">
        <v>66.64</v>
      </c>
      <c r="I6" s="140">
        <v>0.09</v>
      </c>
      <c r="J6" s="140">
        <v>0.21</v>
      </c>
      <c r="K6" s="140">
        <v>44.428800000000003</v>
      </c>
      <c r="L6" s="140">
        <v>44.428800000000003</v>
      </c>
      <c r="M6" s="140">
        <v>4.8899999999999997</v>
      </c>
      <c r="N6" s="140">
        <v>198.5424000000001</v>
      </c>
      <c r="O6" s="142">
        <v>0.35750216076058788</v>
      </c>
      <c r="Q6"/>
    </row>
    <row r="7" spans="1:18" s="31" customFormat="1" x14ac:dyDescent="0.3">
      <c r="A7" s="139" t="s">
        <v>587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296546</v>
      </c>
      <c r="B8" s="140">
        <v>6096.35</v>
      </c>
      <c r="C8" s="141">
        <v>1710</v>
      </c>
      <c r="D8" s="140">
        <v>0</v>
      </c>
      <c r="E8" s="140">
        <v>0</v>
      </c>
      <c r="F8" s="140">
        <v>0</v>
      </c>
      <c r="G8" s="142">
        <v>0</v>
      </c>
      <c r="H8" s="140">
        <v>1097.3399999999999</v>
      </c>
      <c r="I8" s="140">
        <v>358.17</v>
      </c>
      <c r="J8" s="140">
        <v>16.34</v>
      </c>
      <c r="K8" s="140">
        <v>487.70800000000003</v>
      </c>
      <c r="L8" s="140">
        <v>487.70800000000003</v>
      </c>
      <c r="M8" s="140">
        <v>149.97</v>
      </c>
      <c r="N8" s="140">
        <v>3499.1140000000005</v>
      </c>
      <c r="O8" s="142">
        <v>0.57396868618107566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592</v>
      </c>
    </row>
    <row r="2" spans="1:4" x14ac:dyDescent="0.3">
      <c r="B2" s="29">
        <f>SUM(B6:B5000)</f>
        <v>6096.35</v>
      </c>
      <c r="C2" s="29">
        <f>SUM(C6:C5000)</f>
        <v>3499.1140000000005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578</v>
      </c>
      <c r="B5" s="10">
        <v>555.36</v>
      </c>
      <c r="C5" s="10">
        <v>198.5424000000001</v>
      </c>
    </row>
    <row r="6" spans="1:4" x14ac:dyDescent="0.3">
      <c r="A6" s="139" t="s">
        <v>587</v>
      </c>
      <c r="B6" s="140">
        <v>6096.35</v>
      </c>
      <c r="C6" s="140">
        <v>3499.1140000000005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2026-08-19T13:50:06Z</dcterms:modified>
  <cp:category/>
  <cp:contentStatus/>
</cp:coreProperties>
</file>