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A3B3C1A6-65B2-4112-BCA9-A9D55595D49A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<sst xmlns="http://schemas.openxmlformats.org/spreadsheetml/2006/main" count="903" uniqueCount="627">
  <si>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</si>
  <si>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</si>
  <si>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</si>
  <si>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</si>
  <si>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</si>
  <si>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</si>
  <si>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</si>
  <si>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</si>
  <si>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</si>
  <si>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</si>
  <si>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</si>
  <si>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</si>
  <si>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</si>
  <si>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</si>
  <si>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</si>
  <si>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</si>
  <si>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</si>
  <si>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</si>
  <si>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</si>
  <si>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</si>
  <si>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</si>
  <si>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</si>
  <si>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</si>
  <si>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</si>
  <si>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</si>
  <si>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</si>
  <si>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</si>
  <si>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</si>
  <si>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</si>
  <si>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</si>
  <si>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</si>
  <si>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</si>
  <si>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</si>
  <si>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</si>
  <si>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</si>
  <si>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</si>
  <si>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</si>
  <si>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</si>
  <si>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</si>
  <si>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</si>
  <si>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</si>
  <si>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</si>
  <si>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</si>
  <si>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</si>
  <si>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</si>
  <si>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</si>
  <si>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</si>
  <si>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</si>
  <si>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</si>
  <si>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</si>
  <si>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</si>
  <si>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</si>
  <si>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</si>
  <si>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</si>
  <si>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</si>
  <si>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</si>
  <si>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</si>
  <si>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</si>
  <si>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</si>
  <si>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</si>
  <si>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</si>
  <si>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</si>
  <si>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</si>
  <si>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</si>
  <si>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</si>
  <si>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</si>
  <si>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</si>
  <si>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</si>
  <si>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</si>
  <si>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</si>
  <si>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</si>
  <si>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</si>
  <si>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</si>
  <si>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</si>
  <si>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</si>
  <si>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</si>
  <si>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</si>
  <si>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</si>
  <si>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</si>
  <si>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</si>
  <si>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</si>
  <si>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</si>
  <si>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</si>
  <si>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</si>
  <si>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</si>
  <si>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</si>
  <si>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</si>
  <si>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</si>
  <si>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</si>
  <si>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</si>
  <si>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</si>
  <si>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</si>
  <si>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</si>
  <si>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</si>
  <si>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</si>
  <si>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</si>
  <si>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</si>
  <si>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</si>
  <si>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</si>
  <si>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</si>
  <si>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</si>
  <si>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</si>
  <si>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</si>
  <si>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</si>
  <si>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</si>
  <si>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</si>
  <si>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</si>
  <si>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</si>
  <si>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</si>
  <si>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</si>
  <si>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</si>
  <si>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</si>
  <si>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</si>
  <si>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</si>
  <si>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</si>
  <si>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</si>
  <si>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</si>
  <si>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</si>
  <si>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</si>
  <si>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</si>
  <si>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</si>
  <si>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</si>
  <si>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</si>
  <si>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</si>
  <si>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</si>
  <si>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</si>
  <si>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</si>
  <si>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</si>
  <si>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</si>
  <si>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</si>
  <si>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</si>
  <si>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</si>
  <si>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</si>
  <si>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</si>
  <si>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</si>
  <si>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</si>
  <si>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</si>
  <si>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</si>
  <si>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</si>
  <si>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</si>
  <si>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</si>
  <si>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</si>
  <si>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</si>
  <si>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</si>
  <si>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</si>
  <si>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</si>
  <si>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</si>
  <si>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</si>
  <si>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</si>
  <si>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</si>
  <si>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</si>
  <si>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</si>
  <si>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</si>
  <si>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</si>
  <si>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</si>
  <si>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</si>
  <si>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</si>
  <si>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</si>
  <si>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</si>
  <si>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</si>
  <si>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</si>
  <si>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</si>
  <si>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</si>
  <si>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</si>
  <si>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</si>
  <si>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</si>
  <si>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</si>
  <si>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</si>
  <si>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</si>
  <si>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</si>
  <si>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</si>
  <si>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</si>
  <si>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</si>
  <si>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</si>
  <si>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</si>
  <si>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</si>
  <si>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</si>
  <si>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</si>
  <si>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</si>
  <si>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</si>
  <si>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</si>
  <si>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</si>
  <si>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</si>
  <si>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</si>
  <si>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</si>
  <si>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</si>
  <si>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</si>
  <si>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</si>
  <si>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</si>
  <si>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</si>
  <si>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</si>
  <si>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</si>
  <si>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</si>
  <si>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</si>
  <si>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</si>
  <si>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</si>
  <si>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</si>
  <si>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</si>
  <si>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</si>
  <si>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</si>
  <si>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</si>
  <si>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</si>
  <si>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</si>
  <si>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</si>
  <si>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</si>
  <si>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</si>
  <si>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</si>
  <si>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</si>
  <si>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</si>
  <si>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</si>
  <si>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</si>
  <si>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</si>
  <si>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</si>
  <si>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</si>
  <si>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</si>
  <si>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</si>
  <si>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</si>
  <si>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</si>
  <si>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</si>
  <si>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</si>
  <si>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</si>
  <si>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</si>
  <si>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</si>
  <si>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</si>
  <si>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</si>
  <si>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</si>
  <si>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</si>
  <si>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</si>
  <si>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</si>
  <si>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</si>
  <si>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</si>
  <si>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</si>
  <si>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</si>
  <si>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</si>
  <si>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</si>
  <si>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</si>
  <si>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</si>
  <si>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</si>
  <si>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</si>
  <si>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</si>
  <si>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</si>
  <si>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</si>
  <si>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</si>
  <si>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</si>
  <si>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</si>
  <si>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</si>
  <si>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</si>
  <si>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</si>
  <si>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</si>
  <si>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</si>
  <si>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</si>
  <si>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</si>
  <si>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</si>
  <si>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</si>
  <si>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</si>
  <si>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</si>
  <si>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</si>
  <si>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</si>
  <si>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</si>
  <si>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</si>
  <si>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</si>
  <si>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</si>
  <si>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</si>
  <si>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</si>
  <si>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</si>
  <si>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</si>
  <si>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</si>
  <si>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</si>
  <si>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</si>
  <si>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</si>
  <si>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</si>
  <si>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</si>
  <si>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</si>
  <si>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</si>
  <si>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</si>
  <si>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</si>
  <si>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</si>
  <si>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</si>
  <si>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</si>
  <si>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</si>
  <si>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</si>
  <si>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</si>
  <si>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</si>
  <si>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</si>
  <si>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</si>
  <si>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</si>
  <si>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</si>
  <si>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</si>
  <si>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</si>
  <si>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</si>
  <si>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</si>
  <si>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</si>
  <si>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</si>
  <si>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</si>
  <si>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</si>
  <si>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</si>
  <si>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</si>
  <si>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</si>
  <si>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</si>
  <si>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</si>
  <si>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</si>
  <si>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</si>
  <si>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</si>
  <si>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</si>
  <si>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</si>
  <si>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</si>
  <si>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</si>
  <si>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</si>
  <si>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</si>
  <si>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</si>
  <si>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</si>
  <si>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</si>
  <si>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</si>
  <si>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</si>
  <si>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</si>
  <si>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</si>
  <si>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</si>
  <si>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</si>
  <si>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</si>
  <si>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</si>
  <si>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</si>
  <si>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</si>
  <si>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</si>
  <si>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</si>
  <si>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</si>
  <si>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</si>
  <si>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</si>
  <si>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</si>
  <si>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</si>
  <si>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</si>
  <si>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</si>
  <si>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</si>
  <si>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</si>
  <si>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</si>
  <si>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</si>
  <si>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</si>
  <si>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</si>
  <si>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</si>
  <si>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</si>
  <si>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</si>
  <si>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</si>
  <si>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</si>
  <si>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</si>
  <si>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</si>
  <si>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</si>
  <si>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</si>
  <si>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</si>
  <si>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</si>
  <si>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</si>
  <si>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</si>
  <si>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</si>
  <si>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</si>
  <si>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</si>
  <si>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</si>
  <si>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</si>
  <si>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</si>
  <si>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</si>
  <si>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</si>
  <si>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</si>
  <si>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</si>
  <si>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</si>
  <si>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</si>
  <si>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</si>
  <si>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</si>
  <si>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</si>
  <si>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</si>
  <si>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</si>
  <si>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</si>
  <si>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</si>
  <si>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</si>
  <si>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</si>
  <si>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</si>
  <si>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</si>
  <si>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</si>
  <si>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</si>
  <si>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</si>
  <si>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</si>
  <si>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</si>
  <si>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</si>
  <si>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</si>
  <si>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</si>
  <si>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</si>
  <si>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</si>
  <si>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</si>
  <si>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</si>
  <si>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</si>
  <si>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</si>
  <si>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</si>
  <si>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</si>
  <si>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</si>
  <si>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</si>
  <si>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</si>
  <si>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</si>
  <si>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</si>
  <si>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</si>
  <si>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</si>
  <si>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</si>
  <si>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</si>
  <si>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</si>
  <si>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</si>
  <si>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</si>
  <si>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</si>
  <si>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</si>
  <si>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</si>
  <si>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</si>
  <si>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</si>
  <si>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</si>
  <si>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</si>
  <si>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</si>
  <si>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</si>
  <si>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</si>
  <si>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</si>
  <si>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</si>
  <si>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</si>
  <si>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</si>
  <si>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</si>
  <si>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</si>
  <si>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</si>
  <si>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</si>
  <si>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</si>
  <si>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</si>
  <si>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</si>
  <si>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</si>
  <si>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</si>
  <si>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</si>
  <si>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</si>
  <si>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</si>
  <si>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</si>
  <si>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</si>
  <si>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</si>
  <si>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</si>
  <si>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</si>
  <si>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</si>
  <si>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</si>
  <si>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</si>
  <si>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</si>
  <si>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</si>
  <si>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</si>
  <si>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</si>
  <si>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</si>
  <si>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</si>
  <si>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</si>
  <si>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</si>
  <si>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</si>
  <si>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</si>
  <si>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</si>
  <si>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</si>
  <si>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</si>
  <si>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</si>
  <si>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</si>
  <si>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</si>
  <si>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</si>
  <si>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</si>
  <si>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</si>
  <si>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</si>
  <si>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</si>
  <si>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</si>
  <si>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</si>
  <si>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</si>
  <si>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</si>
  <si>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</si>
  <si>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</si>
  <si>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</si>
  <si>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</si>
  <si>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</si>
  <si>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</si>
  <si>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</si>
  <si>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</si>
  <si>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</si>
  <si>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</si>
  <si>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</si>
  <si>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</si>
  <si>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</si>
  <si>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</si>
  <si>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</si>
  <si>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</si>
  <si>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</si>
  <si>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</si>
  <si>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</si>
  <si>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</si>
  <si>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</si>
  <si>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</si>
  <si>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</si>
  <si>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</si>
  <si>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</si>
  <si>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</si>
  <si>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</si>
  <si>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</si>
  <si>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</si>
  <si>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</si>
  <si>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</si>
  <si>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</si>
  <si>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</si>
  <si>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</si>
  <si>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</si>
  <si>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</si>
  <si>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</si>
  <si>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</si>
  <si>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</si>
  <si>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</si>
  <si>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</si>
  <si>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</si>
  <si>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</si>
  <si>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</si>
  <si>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</si>
  <si>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</si>
  <si>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</si>
  <si>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</si>
  <si>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</si>
  <si>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</si>
  <si>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</si>
  <si>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</si>
  <si>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</si>
  <si>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</si>
  <si>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</si>
  <si>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</si>
  <si>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</si>
  <si>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</si>
  <si>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</si>
  <si>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</si>
  <si>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</si>
  <si>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</si>
  <si>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</si>
  <si>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</si>
  <si>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</si>
  <si>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</si>
  <si>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</si>
  <si>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</si>
  <si>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</si>
  <si>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</si>
  <si>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</si>
  <si>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</si>
  <si>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</si>
  <si>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</si>
  <si>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</si>
  <si>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</si>
  <si>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</si>
  <si>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</si>
  <si>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</si>
  <si>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</si>
  <si>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</si>
  <si>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</si>
  <si>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</si>
  <si>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</si>
  <si>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</si>
  <si>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</si>
  <si>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</si>
  <si>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</si>
  <si>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</si>
  <si>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</si>
  <si>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</si>
  <si>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</si>
  <si>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</si>
  <si>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</si>
  <si>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</si>
  <si>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</si>
  <si>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</si>
  <si>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</si>
  <si>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</si>
  <si>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</si>
  <si>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</si>
  <si>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</si>
  <si>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</si>
  <si>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</si>
  <si>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</si>
  <si>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</si>
  <si>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</si>
  <si>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</si>
  <si>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</si>
  <si>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</si>
  <si>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</si>
  <si>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</si>
  <si>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</si>
  <si>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</si>
  <si>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</si>
  <si>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</si>
  <si>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</si>
  <si>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</si>
  <si>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</si>
  <si>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</si>
  <si>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</si>
  <si>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</si>
  <si>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</si>
  <si>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</si>
  <si>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</si>
  <si>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</si>
  <si>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</si>
  <si>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</si>
  <si>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</si>
  <si>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</si>
  <si>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</si>
  <si>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</si>
  <si>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</si>
  <si>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</si>
  <si>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</si>
  <si>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</si>
  <si>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</si>
  <si>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</si>
  <si>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</si>
  <si>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</si>
  <si>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</si>
  <si>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</si>
  <si>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</si>
  <si>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</si>
  <si>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</si>
  <si>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</si>
  <si>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</si>
  <si>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</si>
  <si>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</si>
  <si>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MATRIZ</t>
  </si>
  <si>
    <t>3270-1</t>
  </si>
  <si>
    <t>SKO COMERCIO, I</t>
  </si>
  <si>
    <t>URIEL CORREA</t>
  </si>
  <si>
    <t>PERSONALIZADO_L</t>
  </si>
  <si>
    <t>CTE NORMAL</t>
  </si>
  <si>
    <t>EXTREMA - MG</t>
  </si>
  <si>
    <t>N/D</t>
  </si>
  <si>
    <t>UILIAN PRAZITO RODRIGUES</t>
  </si>
  <si>
    <t>3273-1</t>
  </si>
  <si>
    <t>STRATUS COMERCI</t>
  </si>
  <si>
    <t>MICHELL MARQUES</t>
  </si>
  <si>
    <t>ECONOMICO_250</t>
  </si>
  <si>
    <t>SAO PAULO - SP</t>
  </si>
  <si>
    <t>PORTOEXPRESS LOGISTICA LT</t>
  </si>
  <si>
    <t>DANILO SANTOS DE OLIVEIRA</t>
  </si>
  <si>
    <t>Itajai-Sc X Extrema-Mg3/4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</si>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</sst>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5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0" fontId="5" fillId="35" borderId="32" xfId="0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[Analise_LUCAS VINICIUS_25092026.xlsx]Resumo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SKO COMERCIO, I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8100</c:v>
                </c:pt>
                <c:pt idx="1">
                  <c:v>143.15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SKO COMERCIO, I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6061.24</c:v>
                </c:pt>
                <c:pt idx="1">
                  <c:v>105.928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[Analise_LUCAS VINICIUS_25092026.xlsx]Resumo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SKO COMERCIO, I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8100</c:v>
                </c:pt>
                <c:pt idx="1">
                  <c:v>143.15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SKO COMERCIO, I</c:v>
                </c:pt>
                <c:pt idx="1">
                  <c:v>STRATUS COMERCI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6061.24</c:v>
                </c:pt>
                <c:pt idx="1">
                  <c:v>105.928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5.419192361114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378"/>
        <n v="3380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5T00:00:00" maxDate="2026-09-26T00:00:00"/>
    </cacheField>
    <cacheField name="DATA" numFmtId="14">
      <sharedItems containsNonDate="0" containsDate="1" containsString="0" containsBlank="1" minDate="2026-09-25T00:00:00" maxDate="2026-09-26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SKO COMERCIO, I"/>
        <s v="STRATUS COMERC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885.8" maxValue="377821.76"/>
    </cacheField>
    <cacheField name="SERVICO" numFmtId="0">
      <sharedItems containsBlank="1" count="27">
        <s v="PERSONALIZADO_L"/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43.15" maxValue="8100"/>
    </cacheField>
    <cacheField name="VOLUMES" numFmtId="0">
      <sharedItems containsString="0" containsBlank="1" containsNumber="1" containsInteger="1" minValue="2" maxValue="278"/>
    </cacheField>
    <cacheField name="PESO" numFmtId="0">
      <sharedItems containsString="0" containsBlank="1" containsNumber="1" minValue="65.599999999999994" maxValue="2258.87"/>
    </cacheField>
    <cacheField name="RESP. COLETA" numFmtId="0">
      <sharedItems containsBlank="1"/>
    </cacheField>
    <cacheField name="CUSTO COLETA" numFmtId="0">
      <sharedItems containsString="0" containsBlank="1" containsNumber="1" minValue="0" maxValue="6.27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7.18" maxValue="97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75" maxValue="151.13"/>
    </cacheField>
    <cacheField name="OUTROS" numFmtId="0">
      <sharedItems containsString="0" containsBlank="1" containsNumber="1" minValue="1.57" maxValue="53.79"/>
    </cacheField>
    <cacheField name="C.TOTAL" numFmtId="0">
      <sharedItems containsString="0" containsBlank="1" containsNumber="1" minValue="96.97" maxValue="5205.72"/>
    </cacheField>
    <cacheField name="RECEITA" numFmtId="0">
      <sharedItems containsString="0" containsBlank="1" containsNumber="1" minValue="46.18" maxValue="2894.28"/>
    </cacheField>
    <cacheField name="IMPOSTO" numFmtId="0">
      <sharedItems containsString="0" containsBlank="1" containsNumber="1" minValue="37.22" maxValue="2106"/>
    </cacheField>
    <cacheField name="RESULTADO" numFmtId="0">
      <sharedItems containsString="0" containsBlank="1" containsNumber="1" minValue="8.9600000000000009" maxValue="788.28000000000009"/>
    </cacheField>
    <cacheField name="COMIS" numFmtId="0">
      <sharedItems containsString="0" containsBlank="1" containsNumber="1" minValue="0" maxValue="213.84"/>
    </cacheField>
    <cacheField name="LUCRO LIQ" numFmtId="0">
      <sharedItems containsString="0" containsBlank="1" containsNumber="1" minValue="8.9600000000000009" maxValue="574.44000000000005"/>
    </cacheField>
    <cacheField name="MARGEM" numFmtId="10">
      <sharedItems containsString="0" containsBlank="1" containsNumber="1" minValue="6.2600000000000003E-2" maxValue="7.0900000000000005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25T00:00:00"/>
    <d v="2026-09-25T00:00:00"/>
    <m/>
    <s v="3270-1"/>
    <x v="0"/>
    <s v="URIEL CORREA"/>
    <n v="377821.76"/>
    <x v="0"/>
    <s v="CTE NORMAL"/>
    <s v="EXTREMA - MG"/>
    <n v="8100"/>
    <n v="278"/>
    <n v="2258.87"/>
    <s v="N/D"/>
    <n v="0"/>
    <s v="N/D"/>
    <n v="0"/>
    <s v="UILIAN PRAZITO RODRIGUES"/>
    <n v="0"/>
    <n v="972"/>
    <n v="0"/>
    <n v="0"/>
    <n v="151.13"/>
    <n v="53.79"/>
    <n v="5205.72"/>
    <n v="2894.28"/>
    <n v="2106"/>
    <n v="788.28000000000009"/>
    <n v="213.84"/>
    <n v="574.44000000000005"/>
    <n v="7.0900000000000005E-2"/>
    <m/>
  </r>
  <r>
    <x v="1"/>
    <s v="MATRIZ"/>
    <d v="2026-09-25T00:00:00"/>
    <d v="2026-09-25T00:00:00"/>
    <m/>
    <s v="3273-1"/>
    <x v="1"/>
    <s v="MICHELL MARQUES"/>
    <n v="1885.8"/>
    <x v="1"/>
    <s v="CTE NORMAL"/>
    <s v="SAO PAULO - SP"/>
    <n v="143.15"/>
    <n v="2"/>
    <n v="65.599999999999994"/>
    <s v="PORTOEXPRESS LOGISTICA LT"/>
    <n v="6.27"/>
    <s v="DANILO SANTOS DE OLIVEIRA"/>
    <n v="0"/>
    <s v="UILIAN PRAZITO RODRIGUES"/>
    <n v="0"/>
    <n v="17.18"/>
    <n v="0"/>
    <n v="0"/>
    <n v="0.75"/>
    <n v="1.57"/>
    <n v="96.97"/>
    <n v="46.18"/>
    <n v="37.22"/>
    <n v="8.9600000000000009"/>
    <n v="0"/>
    <n v="8.9600000000000009"/>
    <n v="6.2600000000000003E-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2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4"/>
        <item m="1" x="381"/>
        <item m="1" x="447"/>
        <item m="1" x="159"/>
        <item m="1" x="277"/>
        <item sd="0" m="1" x="203"/>
        <item m="1" x="493"/>
        <item m="1" x="289"/>
        <item m="1" x="526"/>
        <item m="1" x="257"/>
        <item m="1" x="406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3"/>
        <item m="1" x="627"/>
        <item m="1" x="375"/>
        <item m="1" x="807"/>
        <item m="1" x="60"/>
        <item m="1" x="631"/>
        <item m="1" x="530"/>
        <item m="1" x="295"/>
        <item m="1" x="304"/>
        <item m="1" x="174"/>
        <item m="1" x="101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9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5"/>
        <item m="1" x="635"/>
        <item m="1" x="457"/>
        <item m="1" x="790"/>
        <item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6"/>
        <item m="1" x="442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1"/>
        <item m="1" x="451"/>
        <item m="1" x="774"/>
        <item m="1" x="484"/>
        <item m="1" x="740"/>
        <item sd="0" m="1" x="453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8"/>
        <item m="1" x="363"/>
        <item m="1" x="100"/>
        <item m="1" x="480"/>
        <item m="1" x="607"/>
        <item sd="0" m="1" x="715"/>
        <item sd="0" m="1" x="55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70"/>
        <item m="1" x="118"/>
        <item m="1" x="645"/>
        <item m="1" x="411"/>
        <item m="1" x="854"/>
        <item m="1" x="432"/>
        <item m="1" x="569"/>
        <item m="1" x="487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1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4"/>
        <item m="1" x="440"/>
        <item sd="0" m="1" x="351"/>
        <item m="1" x="784"/>
        <item m="1" x="498"/>
        <item m="1" x="62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5"/>
        <item sd="0" m="1" x="409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x="0"/>
        <item m="1" x="52"/>
        <item m="1" x="851"/>
        <item m="1" x="30"/>
        <item sd="0" m="1" x="570"/>
        <item m="1" x="512"/>
        <item m="1" x="413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10"/>
        <item m="1" x="692"/>
        <item x="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0"/>
        <item m="1" x="513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9"/>
        <item m="1" x="679"/>
        <item m="1" x="81"/>
        <item m="1" x="634"/>
        <item m="1" x="67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6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711"/>
    </i>
    <i r="1">
      <x v="7998"/>
    </i>
    <i>
      <x v="734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5"/>
        <item m="1" x="581"/>
        <item m="1" x="852"/>
        <item m="1" x="2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8"/>
        <item m="1" x="45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2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3"/>
        <item m="1" x="649"/>
        <item m="1" x="469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4"/>
        <item m="1" x="381"/>
        <item m="1" x="447"/>
        <item m="1" x="159"/>
        <item m="1" x="277"/>
        <item sd="0" m="1" x="203"/>
        <item m="1" x="493"/>
        <item m="1" x="289"/>
        <item m="1" x="526"/>
        <item m="1" x="257"/>
        <item m="1" x="406"/>
        <item m="1" x="840"/>
        <item m="1" x="456"/>
        <item sd="0" m="1" x="477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4"/>
        <item m="1" x="173"/>
        <item m="1" x="627"/>
        <item m="1" x="375"/>
        <item m="1" x="807"/>
        <item m="1" x="60"/>
        <item m="1" x="631"/>
        <item m="1" x="530"/>
        <item m="1" x="295"/>
        <item m="1" x="304"/>
        <item m="1" x="174"/>
        <item m="1" x="101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9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5"/>
        <item m="1" x="635"/>
        <item m="1" x="457"/>
        <item m="1" x="790"/>
        <item sd="0"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6"/>
        <item m="1" x="442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4"/>
        <item m="1" x="302"/>
        <item m="1" x="548"/>
        <item m="1" x="61"/>
        <item m="1" x="451"/>
        <item m="1" x="774"/>
        <item m="1" x="484"/>
        <item m="1" x="740"/>
        <item sd="0" m="1" x="453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4"/>
        <item m="1" x="700"/>
        <item m="1" x="428"/>
        <item m="1" x="363"/>
        <item m="1" x="100"/>
        <item m="1" x="480"/>
        <item m="1" x="607"/>
        <item sd="0" m="1" x="715"/>
        <item sd="0" m="1" x="55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70"/>
        <item m="1" x="118"/>
        <item m="1" x="645"/>
        <item m="1" x="411"/>
        <item m="1" x="854"/>
        <item m="1" x="432"/>
        <item m="1" x="569"/>
        <item m="1" x="487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1"/>
        <item m="1" x="338"/>
        <item m="1" x="612"/>
        <item m="1" x="672"/>
        <item m="1" x="838"/>
        <item m="1" x="51"/>
        <item m="1" x="605"/>
        <item m="1" x="84"/>
        <item m="1" x="326"/>
        <item m="1" x="35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4"/>
        <item m="1" x="440"/>
        <item sd="0" m="1" x="351"/>
        <item m="1" x="784"/>
        <item m="1" x="498"/>
        <item m="1" x="62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4"/>
        <item m="1" x="812"/>
        <item m="1" x="463"/>
        <item m="1" x="745"/>
        <item m="1" x="648"/>
        <item m="1" x="775"/>
        <item sd="0" m="1" x="72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4"/>
        <item m="1" x="395"/>
        <item m="1" x="670"/>
        <item m="1" x="185"/>
        <item sd="0" m="1" x="409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x="0"/>
        <item m="1" x="52"/>
        <item m="1" x="851"/>
        <item m="1" x="30"/>
        <item sd="0" m="1" x="570"/>
        <item m="1" x="512"/>
        <item m="1" x="413"/>
        <item m="1" x="702"/>
        <item m="1" x="204"/>
        <item sd="0" m="1" x="643"/>
        <item m="1" x="779"/>
        <item sd="0" m="1" x="467"/>
        <item sd="0" m="1" x="41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10"/>
        <item m="1" x="692"/>
        <item x="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0"/>
        <item m="1" x="513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8"/>
        <item m="1" x="278"/>
        <item m="1" x="507"/>
        <item sd="0" m="1" x="499"/>
        <item m="1" x="69"/>
        <item m="1" x="679"/>
        <item m="1" x="81"/>
        <item m="1" x="634"/>
        <item m="1" x="67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7"/>
        <item m="1" x="85"/>
        <item sd="0" m="1" x="293"/>
        <item m="1" x="195"/>
        <item sd="0" m="1" x="496"/>
        <item m="1" x="262"/>
        <item m="1" x="31"/>
        <item m="1" x="105"/>
        <item m="1" x="533"/>
        <item sd="0" m="1" x="297"/>
        <item sd="0" m="1" x="397"/>
        <item sd="0" m="1" x="229"/>
        <item sd="0" m="1" x="8"/>
        <item m="1" x="472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6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7"/>
        <item m="1" x="129"/>
        <item m="1" x="4"/>
        <item m="1" x="50"/>
        <item m="1" x="90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711"/>
    </i>
    <i>
      <x v="734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734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5" s="1" nd="1"/>
        <i x="581" s="1" nd="1"/>
        <i x="852" s="1" nd="1"/>
        <i x="21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7" s="1" nd="1"/>
        <i x="48" s="1" nd="1"/>
        <i x="668" s="1" nd="1"/>
        <i x="660" s="1" nd="1"/>
        <i x="468" s="1" nd="1"/>
        <i x="45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9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8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1" s="1" nd="1"/>
        <i x="462" s="1" nd="1"/>
        <i x="138" s="1" nd="1"/>
        <i x="661" s="1" nd="1"/>
        <i x="372" s="1" nd="1"/>
        <i x="154" s="1" nd="1"/>
        <i x="251" s="1" nd="1"/>
        <i x="628" s="1" nd="1"/>
        <i x="736" s="1" nd="1"/>
        <i x="421" s="1" nd="1"/>
        <i x="80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3" s="1" nd="1"/>
        <i x="276" s="1" nd="1"/>
        <i x="66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3" s="1" nd="1"/>
        <i x="649" s="1" nd="1"/>
        <i x="469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6" s="1" nd="1"/>
        <i x="401" s="1" nd="1"/>
        <i x="114" s="1" nd="1"/>
        <i x="652" s="1" nd="1"/>
        <i x="656" s="1" nd="1"/>
        <i x="795" s="1" nd="1"/>
        <i x="695" s="1" nd="1"/>
        <i x="454" s="1" nd="1"/>
        <i x="381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6" s="1" nd="1"/>
        <i x="840" s="1" nd="1"/>
        <i x="456" s="1" nd="1"/>
        <i x="477" s="1" nd="1"/>
        <i x="750" s="1" nd="1"/>
        <i x="638" s="1" nd="1"/>
        <i x="54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4" s="1" nd="1"/>
        <i x="173" s="1" nd="1"/>
        <i x="627" s="1" nd="1"/>
        <i x="375" s="1" nd="1"/>
        <i x="807" s="1" nd="1"/>
        <i x="60" s="1" nd="1"/>
        <i x="631" s="1" nd="1"/>
        <i x="530" s="1" nd="1"/>
        <i x="295" s="1" nd="1"/>
        <i x="304" s="1" nd="1"/>
        <i x="174" s="1" nd="1"/>
        <i x="101" s="1" nd="1"/>
        <i x="71" s="1" nd="1"/>
        <i x="578" s="1" nd="1"/>
        <i x="798" s="1" nd="1"/>
        <i x="33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9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2" s="1" nd="1"/>
        <i x="427" s="1" nd="1"/>
        <i x="10" s="1" nd="1"/>
        <i x="43" s="1" nd="1"/>
        <i x="17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5" s="1" nd="1"/>
        <i x="635" s="1" nd="1"/>
        <i x="457" s="1" nd="1"/>
        <i x="790" s="1" nd="1"/>
        <i x="703" s="1" nd="1"/>
        <i x="234" s="1" nd="1"/>
        <i x="597" s="1" nd="1"/>
        <i x="44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6" s="1" nd="1"/>
        <i x="545" s="1" nd="1"/>
        <i x="213" s="1" nd="1"/>
        <i x="415" s="1" nd="1"/>
        <i x="419" s="1" nd="1"/>
        <i x="802" s="1" nd="1"/>
        <i x="42" s="1" nd="1"/>
        <i x="805" s="1" nd="1"/>
        <i x="486" s="1" nd="1"/>
        <i x="442" s="1" nd="1"/>
        <i x="399" s="1" nd="1"/>
        <i x="608" s="1" nd="1"/>
        <i x="153" s="1" nd="1"/>
        <i x="16" s="1" nd="1"/>
        <i x="232" s="1" nd="1"/>
        <i x="241" s="1" nd="1"/>
        <i x="6" s="1" nd="1"/>
        <i x="388" s="1" nd="1"/>
        <i x="370" s="1" nd="1"/>
        <i x="615" s="1" nd="1"/>
        <i x="58" s="1" nd="1"/>
        <i x="707" s="1" nd="1"/>
        <i x="24" s="1" nd="1"/>
        <i x="37" s="1" nd="1"/>
        <i x="9" s="1" nd="1"/>
        <i x="418" s="1" nd="1"/>
        <i x="683" s="1" nd="1"/>
        <i x="285" s="1" nd="1"/>
        <i x="316" s="1" nd="1"/>
        <i x="380" s="1" nd="1"/>
        <i x="539" s="1" nd="1"/>
        <i x="314" s="1" nd="1"/>
        <i x="339" s="1" nd="1"/>
        <i x="771" s="1" nd="1"/>
        <i x="143" s="1" nd="1"/>
        <i x="666" s="1" nd="1"/>
        <i x="839" s="1" nd="1"/>
        <i x="39" s="1" nd="1"/>
        <i x="383" s="1" nd="1"/>
        <i x="589" s="1" nd="1"/>
        <i x="747" s="1" nd="1"/>
        <i x="269" s="1" nd="1"/>
        <i x="18" s="1" nd="1"/>
        <i x="637" s="1" nd="1"/>
        <i x="389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8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6" s="1" nd="1"/>
        <i x="718" s="1" nd="1"/>
        <i x="127" s="1" nd="1"/>
        <i x="34" s="1" nd="1"/>
        <i x="302" s="1" nd="1"/>
        <i x="548" s="1" nd="1"/>
        <i x="61" s="1" nd="1"/>
        <i x="451" s="1" nd="1"/>
        <i x="774" s="1" nd="1"/>
        <i x="484" s="1" nd="1"/>
        <i x="740" s="1" nd="1"/>
        <i x="453" s="1" nd="1"/>
        <i x="520" s="1" nd="1"/>
        <i x="162" s="1" nd="1"/>
        <i x="404" s="1" nd="1"/>
        <i x="741" s="1" nd="1"/>
        <i x="194" s="1" nd="1"/>
        <i x="746" s="1" nd="1"/>
        <i x="384" s="1" nd="1"/>
        <i x="137" s="1" nd="1"/>
        <i x="658" s="1" nd="1"/>
        <i x="430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4" s="1" nd="1"/>
        <i x="700" s="1" nd="1"/>
        <i x="428" s="1" nd="1"/>
        <i x="363" s="1" nd="1"/>
        <i x="100" s="1" nd="1"/>
        <i x="480" s="1" nd="1"/>
        <i x="607" s="1" nd="1"/>
        <i x="715" s="1" nd="1"/>
        <i x="55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6" s="1" nd="1"/>
        <i x="130" s="1" nd="1"/>
        <i x="654" s="1" nd="1"/>
        <i x="721" s="1" nd="1"/>
        <i x="641" s="1" nd="1"/>
        <i x="231" s="1" nd="1"/>
        <i x="373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70" s="1" nd="1"/>
        <i x="118" s="1" nd="1"/>
        <i x="645" s="1" nd="1"/>
        <i x="411" s="1" nd="1"/>
        <i x="854" s="1" nd="1"/>
        <i x="432" s="1" nd="1"/>
        <i x="569" s="1" nd="1"/>
        <i x="487" s="1" nd="1"/>
        <i x="182" s="1" nd="1"/>
        <i x="374" s="1" nd="1"/>
        <i x="242" s="1" nd="1"/>
        <i x="337" s="1" nd="1"/>
        <i x="527" s="1" nd="1"/>
        <i x="423" s="1" nd="1"/>
        <i x="788" s="1" nd="1"/>
        <i x="301" s="1" nd="1"/>
        <i x="309" s="1" nd="1"/>
        <i x="367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1" s="1" nd="1"/>
        <i x="246" s="1" nd="1"/>
        <i x="398" s="1" nd="1"/>
        <i x="481" s="1" nd="1"/>
        <i x="338" s="1" nd="1"/>
        <i x="612" s="1" nd="1"/>
        <i x="672" s="1" nd="1"/>
        <i x="838" s="1" nd="1"/>
        <i x="51" s="1" nd="1"/>
        <i x="605" s="1" nd="1"/>
        <i x="84" s="1" nd="1"/>
        <i x="326" s="1" nd="1"/>
        <i x="35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5" s="1" nd="1"/>
        <i x="669" s="1" nd="1"/>
        <i x="94" s="1" nd="1"/>
        <i x="440" s="1" nd="1"/>
        <i x="351" s="1" nd="1"/>
        <i x="784" s="1" nd="1"/>
        <i x="498" s="1" nd="1"/>
        <i x="62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7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2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1" s="1" nd="1"/>
        <i x="23" s="1" nd="1"/>
        <i x="594" s="1" nd="1"/>
        <i x="435" s="1" nd="1"/>
        <i x="68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7" s="1" nd="1"/>
        <i x="73" s="1" nd="1"/>
        <i x="78" s="1" nd="1"/>
        <i x="528" s="1" nd="1"/>
        <i x="566" s="1" nd="1"/>
        <i x="687" s="1" nd="1"/>
        <i x="280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2" s="1" nd="1"/>
        <i x="26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4" s="1" nd="1"/>
        <i x="395" s="1" nd="1"/>
        <i x="670" s="1" nd="1"/>
        <i x="185" s="1" nd="1"/>
        <i x="409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52" s="1" nd="1"/>
        <i x="851" s="1" nd="1"/>
        <i x="30" s="1" nd="1"/>
        <i x="570" s="1" nd="1"/>
        <i x="512" s="1" nd="1"/>
        <i x="413" s="1" nd="1"/>
        <i x="702" s="1" nd="1"/>
        <i x="204" s="1" nd="1"/>
        <i x="643" s="1" nd="1"/>
        <i x="779" s="1" nd="1"/>
        <i x="467" s="1" nd="1"/>
        <i x="41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10" s="1" nd="1"/>
        <i x="69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0" s="1" nd="1"/>
        <i x="513" s="1" nd="1"/>
        <i x="122" s="1" nd="1"/>
        <i x="646" s="1" nd="1"/>
        <i x="49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8" s="1" nd="1"/>
        <i x="278" s="1" nd="1"/>
        <i x="507" s="1" nd="1"/>
        <i x="499" s="1" nd="1"/>
        <i x="69" s="1" nd="1"/>
        <i x="679" s="1" nd="1"/>
        <i x="81" s="1" nd="1"/>
        <i x="634" s="1" nd="1"/>
        <i x="67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4" s="1" nd="1"/>
        <i x="424" s="1" nd="1"/>
        <i x="27" s="1" nd="1"/>
        <i x="765" s="1" nd="1"/>
        <i x="414" s="1" nd="1"/>
        <i x="552" s="1" nd="1"/>
        <i x="97" s="1" nd="1"/>
        <i x="85" s="1" nd="1"/>
        <i x="293" s="1" nd="1"/>
        <i x="195" s="1" nd="1"/>
        <i x="496" s="1" nd="1"/>
        <i x="262" s="1" nd="1"/>
        <i x="31" s="1" nd="1"/>
        <i x="105" s="1" nd="1"/>
        <i x="533" s="1" nd="1"/>
        <i x="297" s="1" nd="1"/>
        <i x="397" s="1" nd="1"/>
        <i x="229" s="1" nd="1"/>
        <i x="8" s="1" nd="1"/>
        <i x="472" s="1" nd="1"/>
        <i x="824" s="1" nd="1"/>
        <i x="36" s="1" nd="1"/>
        <i x="311" s="1" nd="1"/>
        <i x="825" s="1" nd="1"/>
        <i x="562" s="1" nd="1"/>
        <i x="63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2" s="1" nd="1"/>
        <i x="438" s="1" nd="1"/>
        <i x="434" s="1" nd="1"/>
        <i x="121" s="1" nd="1"/>
        <i x="630" s="1" nd="1"/>
        <i x="201" s="1" nd="1"/>
        <i x="156" s="1" nd="1"/>
        <i x="56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4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7" s="1" nd="1"/>
        <i x="129" s="1" nd="1"/>
        <i x="4" s="1" nd="1"/>
        <i x="50" s="1" nd="1"/>
        <i x="90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0" totalsRowShown="0" headerRowDxfId="92" dataDxfId="90" headerRowBorderDxfId="91" tableBorderDxfId="89" totalsRowBorderDxfId="88">
  <autoFilter ref="A1:D390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3378</v>
      </c>
      <c r="B2" s="12" t="s">
        <v>609</v>
      </c>
      <c r="C2" s="14">
        <v>46290</v>
      </c>
      <c r="D2" s="14">
        <v>46290</v>
      </c>
      <c r="E2" s="12"/>
      <c r="F2" s="15" t="s">
        <v>610</v>
      </c>
      <c r="G2" s="15" t="s">
        <v>611</v>
      </c>
      <c r="H2" s="15" t="s">
        <v>612</v>
      </c>
      <c r="I2" s="16">
        <v>377821.76</v>
      </c>
      <c r="J2" s="15" t="s">
        <v>613</v>
      </c>
      <c r="K2" s="15" t="s">
        <v>614</v>
      </c>
      <c r="L2" s="15" t="s">
        <v>615</v>
      </c>
      <c r="M2" s="15">
        <v>8100</v>
      </c>
      <c r="N2" s="15">
        <v>278</v>
      </c>
      <c r="O2" s="16">
        <v>2258.87</v>
      </c>
      <c r="P2" s="15" t="s">
        <v>616</v>
      </c>
      <c r="Q2" s="15">
        <v>0</v>
      </c>
      <c r="R2" s="15" t="s">
        <v>616</v>
      </c>
      <c r="S2" s="15">
        <v>0</v>
      </c>
      <c r="T2" s="15" t="s">
        <v>617</v>
      </c>
      <c r="U2" s="15">
        <v>0</v>
      </c>
      <c r="V2" s="15">
        <v>972</v>
      </c>
      <c r="W2" s="15">
        <v>0</v>
      </c>
      <c r="X2" s="15">
        <v>0</v>
      </c>
      <c r="Y2" s="15">
        <v>151.13</v>
      </c>
      <c r="Z2" s="15">
        <v>53.79</v>
      </c>
      <c r="AA2" s="15">
        <v>5205.72</v>
      </c>
      <c r="AB2" s="15">
        <v>2894.28</v>
      </c>
      <c r="AC2" s="15">
        <v>2106</v>
      </c>
      <c r="AD2" s="15">
        <v>788.28000000000009</v>
      </c>
      <c r="AE2" s="15">
        <v>213.84</v>
      </c>
      <c r="AF2" s="15">
        <v>574.44000000000005</v>
      </c>
      <c r="AG2" s="17">
        <v>7.0900000000000005E-2</v>
      </c>
      <c r="AH2" s="15"/>
    </row>
    <row r="3" spans="1:34" s="1" customFormat="1" ht="12" customHeight="1" x14ac:dyDescent="0.3">
      <c r="A3" s="13">
        <v>3380</v>
      </c>
      <c r="B3" s="12" t="s">
        <v>609</v>
      </c>
      <c r="C3" s="14">
        <v>46290</v>
      </c>
      <c r="D3" s="14">
        <v>46290</v>
      </c>
      <c r="E3" s="12"/>
      <c r="F3" s="15" t="s">
        <v>618</v>
      </c>
      <c r="G3" s="15" t="s">
        <v>619</v>
      </c>
      <c r="H3" s="15" t="s">
        <v>620</v>
      </c>
      <c r="I3" s="16">
        <v>1885.8</v>
      </c>
      <c r="J3" s="15" t="s">
        <v>621</v>
      </c>
      <c r="K3" s="15" t="s">
        <v>614</v>
      </c>
      <c r="L3" s="15" t="s">
        <v>622</v>
      </c>
      <c r="M3" s="16">
        <v>143.15</v>
      </c>
      <c r="N3" s="15">
        <v>2</v>
      </c>
      <c r="O3" s="16">
        <v>65.599999999999994</v>
      </c>
      <c r="P3" s="15" t="s">
        <v>623</v>
      </c>
      <c r="Q3" s="15">
        <v>6.27</v>
      </c>
      <c r="R3" s="15" t="s">
        <v>624</v>
      </c>
      <c r="S3" s="15">
        <v>0</v>
      </c>
      <c r="T3" s="15" t="s">
        <v>617</v>
      </c>
      <c r="U3" s="15">
        <v>0</v>
      </c>
      <c r="V3" s="15">
        <v>17.18</v>
      </c>
      <c r="W3" s="15">
        <v>0</v>
      </c>
      <c r="X3" s="15">
        <v>0</v>
      </c>
      <c r="Y3" s="15">
        <v>0.75</v>
      </c>
      <c r="Z3" s="15">
        <v>1.57</v>
      </c>
      <c r="AA3" s="16">
        <v>96.97</v>
      </c>
      <c r="AB3" s="16">
        <v>46.18</v>
      </c>
      <c r="AC3" s="15">
        <v>37.22</v>
      </c>
      <c r="AD3" s="15">
        <v>8.9600000000000009</v>
      </c>
      <c r="AE3" s="15">
        <v>0</v>
      </c>
      <c r="AF3" s="15">
        <v>8.9600000000000009</v>
      </c>
      <c r="AG3" s="17">
        <v>6.2600000000000003E-2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89" t="s">
        <v>34</v>
      </c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1"/>
      <c r="V1" s="34"/>
    </row>
    <row r="2" spans="4:25" ht="15" thickBot="1" x14ac:dyDescent="0.35">
      <c r="D2" s="55"/>
      <c r="E2" s="89" t="s">
        <v>35</v>
      </c>
      <c r="F2" s="90"/>
      <c r="G2" s="91"/>
      <c r="H2" s="89" t="s">
        <v>36</v>
      </c>
      <c r="I2" s="90"/>
      <c r="J2" s="89" t="s">
        <v>37</v>
      </c>
      <c r="K2" s="90"/>
      <c r="L2" s="91"/>
      <c r="M2" s="89" t="s">
        <v>38</v>
      </c>
      <c r="N2" s="90"/>
      <c r="O2" s="91"/>
      <c r="P2" s="89" t="s">
        <v>39</v>
      </c>
      <c r="Q2" s="90"/>
      <c r="R2" s="91"/>
      <c r="S2" s="89" t="s">
        <v>40</v>
      </c>
      <c r="T2" s="90"/>
      <c r="U2" s="91"/>
      <c r="V2" s="36"/>
    </row>
    <row r="3" spans="4:25" ht="15" thickBot="1" x14ac:dyDescent="0.35">
      <c r="D3" s="55"/>
      <c r="E3" s="92">
        <f>'Resumo Detalhado'!B2</f>
        <v>8243.15</v>
      </c>
      <c r="F3" s="93"/>
      <c r="G3" s="94"/>
      <c r="H3" s="95">
        <f>'Resumo Detalhado'!C2</f>
        <v>2324.4699999999998</v>
      </c>
      <c r="I3" s="96"/>
      <c r="J3" s="97">
        <f>E3/H3</f>
        <v>3.5462492525177782</v>
      </c>
      <c r="K3" s="98"/>
      <c r="L3" s="99"/>
      <c r="M3" s="138" t="s">
        <v>236</v>
      </c>
      <c r="N3" s="93"/>
      <c r="O3" s="94"/>
      <c r="P3" s="135">
        <v>3500</v>
      </c>
      <c r="Q3" s="136"/>
      <c r="R3" s="137"/>
      <c r="S3" s="103">
        <f>MIN(H3/P3,1)</f>
        <v>0.66413428571428568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89" t="s">
        <v>42</v>
      </c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1"/>
      <c r="V5" s="36"/>
    </row>
    <row r="6" spans="4:25" ht="15" thickBot="1" x14ac:dyDescent="0.35">
      <c r="D6" s="55"/>
      <c r="E6" s="88" t="s">
        <v>43</v>
      </c>
      <c r="F6" s="88"/>
      <c r="G6" s="88"/>
      <c r="H6" s="88"/>
      <c r="I6" s="88"/>
      <c r="J6" s="88" t="s">
        <v>44</v>
      </c>
      <c r="K6" s="88"/>
      <c r="L6" s="88"/>
      <c r="M6" s="88" t="s">
        <v>45</v>
      </c>
      <c r="N6" s="88"/>
      <c r="O6" s="88"/>
      <c r="P6" s="88" t="s">
        <v>46</v>
      </c>
      <c r="Q6" s="88"/>
      <c r="R6" s="88"/>
      <c r="S6" s="88" t="s">
        <v>47</v>
      </c>
      <c r="T6" s="88"/>
      <c r="U6" s="88"/>
      <c r="V6" s="36"/>
    </row>
    <row r="7" spans="4:25" ht="15" thickBot="1" x14ac:dyDescent="0.35">
      <c r="D7" s="55"/>
      <c r="E7" s="109">
        <f>E11+K11+Q11</f>
        <v>4106.2700000000004</v>
      </c>
      <c r="F7" s="109"/>
      <c r="G7" s="109"/>
      <c r="H7" s="109"/>
      <c r="I7" s="109"/>
      <c r="J7" s="109">
        <f>E7/H3</f>
        <v>1.7665403296235274</v>
      </c>
      <c r="K7" s="109"/>
      <c r="L7" s="109"/>
      <c r="M7" s="110">
        <f>E7/E3</f>
        <v>0.49814330686691383</v>
      </c>
      <c r="N7" s="110"/>
      <c r="O7" s="110"/>
      <c r="P7" s="109">
        <f>E11+K11+Q11+E15+K15+Q15+E19+H19+K19</f>
        <v>7281.0460000000012</v>
      </c>
      <c r="Q7" s="109"/>
      <c r="R7" s="109"/>
      <c r="S7" s="109">
        <f>P7/H3</f>
        <v>3.1323467285015516</v>
      </c>
      <c r="T7" s="109"/>
      <c r="U7" s="109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89" t="s">
        <v>48</v>
      </c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1"/>
      <c r="V9" s="36"/>
    </row>
    <row r="10" spans="4:25" ht="15" thickBot="1" x14ac:dyDescent="0.35">
      <c r="D10" s="55"/>
      <c r="E10" s="100" t="s">
        <v>49</v>
      </c>
      <c r="F10" s="102"/>
      <c r="H10" s="100" t="s">
        <v>50</v>
      </c>
      <c r="I10" s="102"/>
      <c r="K10" s="100" t="s">
        <v>51</v>
      </c>
      <c r="L10" s="102"/>
      <c r="N10" s="100" t="s">
        <v>52</v>
      </c>
      <c r="O10" s="102"/>
      <c r="Q10" s="100" t="s">
        <v>53</v>
      </c>
      <c r="R10" s="102"/>
      <c r="T10" s="100" t="s">
        <v>54</v>
      </c>
      <c r="U10" s="102"/>
      <c r="V10" s="36"/>
    </row>
    <row r="11" spans="4:25" ht="15" thickBot="1" x14ac:dyDescent="0.35">
      <c r="D11" s="55">
        <f>IF(E11=0,K11,E11)</f>
        <v>4100</v>
      </c>
      <c r="E11" s="125">
        <f>ROUNDUP('Resumo Detalhado'!F2,0)</f>
        <v>0</v>
      </c>
      <c r="F11" s="94"/>
      <c r="G11" s="38"/>
      <c r="H11" s="92">
        <f>E11/H3</f>
        <v>0</v>
      </c>
      <c r="I11" s="94"/>
      <c r="J11" s="38"/>
      <c r="K11" s="92">
        <v>4100</v>
      </c>
      <c r="L11" s="94"/>
      <c r="M11" s="38"/>
      <c r="N11" s="92">
        <f>K11/H3</f>
        <v>1.7638429405412848</v>
      </c>
      <c r="O11" s="94"/>
      <c r="P11" s="38"/>
      <c r="Q11" s="92">
        <f>'Resumo Detalhado'!D2</f>
        <v>6.27</v>
      </c>
      <c r="R11" s="94"/>
      <c r="S11" s="38"/>
      <c r="T11" s="92">
        <f>Q11/H3</f>
        <v>2.6973890822424035E-3</v>
      </c>
      <c r="U11" s="94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89" t="s">
        <v>57</v>
      </c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1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0" t="s">
        <v>59</v>
      </c>
      <c r="F14" s="101"/>
      <c r="G14" s="101"/>
      <c r="H14" s="101"/>
      <c r="I14" s="111"/>
      <c r="K14" s="115" t="s">
        <v>128</v>
      </c>
      <c r="L14" s="101"/>
      <c r="M14" s="101"/>
      <c r="N14" s="101"/>
      <c r="O14" s="111"/>
      <c r="Q14" s="115"/>
      <c r="R14" s="101"/>
      <c r="S14" s="101"/>
      <c r="T14" s="101"/>
      <c r="U14" s="102"/>
      <c r="V14" s="36"/>
      <c r="W14" s="35" t="s">
        <v>60</v>
      </c>
      <c r="Y14" s="46">
        <v>6000</v>
      </c>
    </row>
    <row r="15" spans="4:25" ht="15" thickBot="1" x14ac:dyDescent="0.35">
      <c r="D15" s="55"/>
      <c r="E15" s="112">
        <f>'Resumo Detalhado'!H2</f>
        <v>989.18</v>
      </c>
      <c r="F15" s="113"/>
      <c r="G15" s="113"/>
      <c r="H15" s="113"/>
      <c r="I15" s="114"/>
      <c r="J15" s="38"/>
      <c r="K15" s="116">
        <f>'Resumo Detalhado'!K2+'Resumo Detalhado'!L2</f>
        <v>1318.904</v>
      </c>
      <c r="L15" s="107"/>
      <c r="M15" s="107"/>
      <c r="N15" s="107"/>
      <c r="O15" s="117"/>
      <c r="P15" s="38"/>
      <c r="Q15" s="118"/>
      <c r="R15" s="113"/>
      <c r="S15" s="113"/>
      <c r="T15" s="113"/>
      <c r="U15" s="119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89" t="s">
        <v>63</v>
      </c>
      <c r="F17" s="90"/>
      <c r="G17" s="90"/>
      <c r="H17" s="90"/>
      <c r="I17" s="90"/>
      <c r="J17" s="90"/>
      <c r="K17" s="90"/>
      <c r="L17" s="90"/>
      <c r="M17" s="50"/>
      <c r="N17" s="50"/>
      <c r="O17" s="90" t="s">
        <v>64</v>
      </c>
      <c r="P17" s="90"/>
      <c r="Q17" s="90"/>
      <c r="R17" s="90"/>
      <c r="S17" s="90"/>
      <c r="T17" s="90"/>
      <c r="U17" s="91"/>
      <c r="V17" s="36"/>
    </row>
    <row r="18" spans="4:25" ht="15" thickBot="1" x14ac:dyDescent="0.35">
      <c r="D18" s="55"/>
      <c r="E18" s="120" t="s">
        <v>65</v>
      </c>
      <c r="F18" s="121"/>
      <c r="H18" s="120" t="s">
        <v>66</v>
      </c>
      <c r="I18" s="121"/>
      <c r="K18" s="120" t="s">
        <v>67</v>
      </c>
      <c r="L18" s="121"/>
      <c r="N18" s="122" t="s">
        <v>68</v>
      </c>
      <c r="O18" s="123"/>
      <c r="P18" s="123"/>
      <c r="Q18" s="123"/>
      <c r="R18" s="124"/>
      <c r="S18" s="122" t="s">
        <v>69</v>
      </c>
      <c r="T18" s="123"/>
      <c r="U18" s="124"/>
      <c r="V18" s="36"/>
      <c r="W18" s="92" t="s">
        <v>70</v>
      </c>
      <c r="X18" s="93"/>
      <c r="Y18" s="94"/>
    </row>
    <row r="19" spans="4:25" ht="15" thickBot="1" x14ac:dyDescent="0.35">
      <c r="D19" s="55"/>
      <c r="E19" s="112">
        <f>'Resumo Detalhado'!I2</f>
        <v>151.88</v>
      </c>
      <c r="F19" s="119"/>
      <c r="G19" s="38"/>
      <c r="H19" s="106">
        <f>'Resumo Detalhado'!J2</f>
        <v>55.36</v>
      </c>
      <c r="I19" s="108"/>
      <c r="J19" s="38"/>
      <c r="K19" s="106">
        <f>'Resumo Detalhado'!L2</f>
        <v>659.452</v>
      </c>
      <c r="L19" s="108"/>
      <c r="M19" s="38"/>
      <c r="N19" s="112" t="s">
        <v>625</v>
      </c>
      <c r="O19" s="113"/>
      <c r="P19" s="113"/>
      <c r="Q19" s="113"/>
      <c r="R19" s="119"/>
      <c r="S19" s="112">
        <f>_xlfn.XLOOKUP(N19,Target!C:C,Target!D:D)</f>
        <v>4100</v>
      </c>
      <c r="T19" s="113"/>
      <c r="U19" s="119"/>
      <c r="V19" s="36"/>
      <c r="W19" s="126" t="str">
        <f>IF(D11=S19,"NO TARGET",IF(D11&lt;S19,"ABAIXO DO TARGET",IF(D11&gt;S19,"FORA DO TARGET")))</f>
        <v>NO TARGET</v>
      </c>
      <c r="X19" s="127"/>
      <c r="Y19" s="128"/>
    </row>
    <row r="20" spans="4:25" ht="15" thickBot="1" x14ac:dyDescent="0.35">
      <c r="D20" s="55"/>
      <c r="V20" s="36"/>
      <c r="W20" s="129"/>
      <c r="X20" s="130"/>
      <c r="Y20" s="131"/>
    </row>
    <row r="21" spans="4:25" ht="15" thickBot="1" x14ac:dyDescent="0.35">
      <c r="D21" s="55"/>
      <c r="E21" s="89" t="s">
        <v>29</v>
      </c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1"/>
      <c r="V21" s="36"/>
      <c r="W21" s="129"/>
      <c r="X21" s="130"/>
      <c r="Y21" s="131"/>
    </row>
    <row r="22" spans="4:25" ht="15" thickBot="1" x14ac:dyDescent="0.35">
      <c r="D22" s="55"/>
      <c r="E22" s="100" t="s">
        <v>71</v>
      </c>
      <c r="F22" s="101"/>
      <c r="G22" s="101"/>
      <c r="H22" s="101"/>
      <c r="I22" s="101"/>
      <c r="J22" s="101"/>
      <c r="K22" s="101"/>
      <c r="L22" s="102"/>
      <c r="N22" s="100" t="s">
        <v>72</v>
      </c>
      <c r="O22" s="101"/>
      <c r="P22" s="101"/>
      <c r="Q22" s="101"/>
      <c r="R22" s="101"/>
      <c r="S22" s="101"/>
      <c r="T22" s="101"/>
      <c r="U22" s="102"/>
      <c r="V22" s="36"/>
      <c r="W22" s="129"/>
      <c r="X22" s="130"/>
      <c r="Y22" s="131"/>
    </row>
    <row r="23" spans="4:25" ht="15" thickBot="1" x14ac:dyDescent="0.35">
      <c r="D23" s="55"/>
      <c r="E23" s="106">
        <f>'Resumo Detalhado'!N2</f>
        <v>6167.1679999999997</v>
      </c>
      <c r="F23" s="107"/>
      <c r="G23" s="107"/>
      <c r="H23" s="107"/>
      <c r="I23" s="107"/>
      <c r="J23" s="107"/>
      <c r="K23" s="107"/>
      <c r="L23" s="108"/>
      <c r="M23" s="38"/>
      <c r="N23" s="103">
        <f>E23/E3</f>
        <v>0.74815671193657762</v>
      </c>
      <c r="O23" s="104"/>
      <c r="P23" s="104"/>
      <c r="Q23" s="104"/>
      <c r="R23" s="104"/>
      <c r="S23" s="104"/>
      <c r="T23" s="104"/>
      <c r="U23" s="105"/>
      <c r="V23" s="36"/>
      <c r="W23" s="132"/>
      <c r="X23" s="133"/>
      <c r="Y23" s="134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3320312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3" width="10.554687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626</v>
      </c>
      <c r="F1" s="29"/>
    </row>
    <row r="2" spans="1:18" x14ac:dyDescent="0.3">
      <c r="B2" s="29">
        <f>SUM(B6:B5000)</f>
        <v>8243.15</v>
      </c>
      <c r="C2" s="29">
        <f>SUM(C6:C5000)</f>
        <v>2324.4699999999998</v>
      </c>
      <c r="D2" s="29">
        <f>SUM(D6:D5000)</f>
        <v>6.27</v>
      </c>
      <c r="E2" s="29">
        <f>SUM(E6:E5000)</f>
        <v>0</v>
      </c>
      <c r="F2" s="29">
        <f>SUM(F6:F5000)</f>
        <v>0</v>
      </c>
      <c r="G2" s="29"/>
      <c r="H2" s="29">
        <f t="shared" ref="H2:P2" si="0">SUM(H6:H5000)</f>
        <v>989.18</v>
      </c>
      <c r="I2" s="29">
        <f t="shared" si="0"/>
        <v>151.88</v>
      </c>
      <c r="J2" s="29">
        <f t="shared" si="0"/>
        <v>55.36</v>
      </c>
      <c r="K2" s="29">
        <f t="shared" si="0"/>
        <v>659.452</v>
      </c>
      <c r="L2" s="29">
        <f t="shared" si="0"/>
        <v>659.452</v>
      </c>
      <c r="M2" s="29">
        <f t="shared" si="0"/>
        <v>213.84</v>
      </c>
      <c r="N2" s="29">
        <f t="shared" si="0"/>
        <v>6167.1679999999997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611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3378</v>
      </c>
      <c r="B6" s="140">
        <v>8100</v>
      </c>
      <c r="C6" s="141">
        <v>2258.87</v>
      </c>
      <c r="D6" s="140">
        <v>0</v>
      </c>
      <c r="E6" s="140">
        <v>0</v>
      </c>
      <c r="F6" s="140">
        <v>0</v>
      </c>
      <c r="G6" s="142">
        <v>0</v>
      </c>
      <c r="H6" s="140">
        <v>972</v>
      </c>
      <c r="I6" s="140">
        <v>151.13</v>
      </c>
      <c r="J6" s="140">
        <v>53.79</v>
      </c>
      <c r="K6" s="140">
        <v>648</v>
      </c>
      <c r="L6" s="140">
        <v>648</v>
      </c>
      <c r="M6" s="140">
        <v>213.84</v>
      </c>
      <c r="N6" s="140">
        <v>6061.24</v>
      </c>
      <c r="O6" s="142">
        <v>0.74830123456790121</v>
      </c>
      <c r="Q6"/>
    </row>
    <row r="7" spans="1:18" s="31" customFormat="1" x14ac:dyDescent="0.3">
      <c r="A7" s="139" t="s">
        <v>619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3380</v>
      </c>
      <c r="B8" s="140">
        <v>143.15</v>
      </c>
      <c r="C8" s="141">
        <v>65.599999999999994</v>
      </c>
      <c r="D8" s="140">
        <v>6.27</v>
      </c>
      <c r="E8" s="140">
        <v>0</v>
      </c>
      <c r="F8" s="140">
        <v>0</v>
      </c>
      <c r="G8" s="142">
        <v>4.3800209570380715E-2</v>
      </c>
      <c r="H8" s="140">
        <v>17.18</v>
      </c>
      <c r="I8" s="140">
        <v>0.75</v>
      </c>
      <c r="J8" s="140">
        <v>1.57</v>
      </c>
      <c r="K8" s="140">
        <v>11.452</v>
      </c>
      <c r="L8" s="140">
        <v>11.452</v>
      </c>
      <c r="M8" s="140">
        <v>0</v>
      </c>
      <c r="N8" s="140">
        <v>105.928</v>
      </c>
      <c r="O8" s="142">
        <v>0.73997904296192796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626</v>
      </c>
    </row>
    <row r="2" spans="1:4" x14ac:dyDescent="0.3">
      <c r="B2" s="29">
        <f>SUM(B6:B5000)</f>
        <v>143.15</v>
      </c>
      <c r="C2" s="29">
        <f>SUM(C6:C5000)</f>
        <v>105.928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43" t="s">
        <v>611</v>
      </c>
      <c r="B5" s="10">
        <v>8100</v>
      </c>
      <c r="C5" s="10">
        <v>6061.24</v>
      </c>
    </row>
    <row r="6" spans="1:4" x14ac:dyDescent="0.3">
      <c r="A6" s="144" t="s">
        <v>619</v>
      </c>
      <c r="B6" s="140">
        <v>143.15</v>
      </c>
      <c r="C6" s="140">
        <v>105.928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0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2026-09-30T13:03:45Z</dcterms:modified>
  <cp:category/>
  <cp:contentStatus/>
</cp:coreProperties>
</file>