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A10A67E-2FCD-4C26-844A-949457CC9134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<sst xmlns="http://schemas.openxmlformats.org/spreadsheetml/2006/main" count="924" uniqueCount="633">
  <si>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</si>
  <si>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</si>
  <si>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</si>
  <si>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</si>
  <si>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</si>
  <si>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</si>
  <si>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</si>
  <si>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</si>
  <si>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</si>
  <si>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</si>
  <si>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</si>
  <si>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</si>
  <si>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</si>
  <si>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</si>
  <si>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</si>
  <si>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</si>
  <si>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</si>
  <si>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</si>
  <si>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</si>
  <si>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</si>
  <si>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</si>
  <si>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</si>
  <si>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</si>
  <si>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</si>
  <si>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</si>
  <si>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</si>
  <si>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</si>
  <si>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</si>
  <si>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</si>
  <si>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</si>
  <si>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</si>
  <si>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</si>
  <si>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</si>
  <si>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</si>
  <si>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</si>
  <si>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</si>
  <si>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</si>
  <si>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</si>
  <si>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</si>
  <si>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</si>
  <si>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</si>
  <si>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</si>
  <si>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</si>
  <si>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</si>
  <si>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</si>
  <si>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</si>
  <si>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</si>
  <si>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</si>
  <si>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</si>
  <si>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</si>
  <si>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</si>
  <si>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</si>
  <si>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</si>
  <si>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</si>
  <si>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</si>
  <si>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</si>
  <si>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</si>
  <si>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</si>
  <si>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</si>
  <si>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</si>
  <si>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</si>
  <si>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</si>
  <si>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</si>
  <si>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</si>
  <si>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</si>
  <si>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</si>
  <si>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</si>
  <si>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</si>
  <si>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</si>
  <si>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</si>
  <si>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</si>
  <si>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</si>
  <si>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</si>
  <si>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</si>
  <si>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</si>
  <si>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</si>
  <si>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</si>
  <si>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</si>
  <si>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</si>
  <si>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</si>
  <si>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</si>
  <si>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</si>
  <si>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</si>
  <si>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</si>
  <si>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</si>
  <si>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</si>
  <si>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</si>
  <si>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</si>
  <si>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</si>
  <si>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</si>
  <si>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</si>
  <si>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</si>
  <si>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</si>
  <si>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</si>
  <si>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</si>
  <si>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</si>
  <si>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</si>
  <si>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</si>
  <si>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</si>
  <si>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</si>
  <si>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</si>
  <si>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</si>
  <si>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</si>
  <si>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</si>
  <si>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</si>
  <si>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</si>
  <si>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</si>
  <si>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</si>
  <si>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</si>
  <si>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</si>
  <si>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</si>
  <si>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</si>
  <si>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</si>
  <si>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</si>
  <si>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</si>
  <si>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</si>
  <si>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</si>
  <si>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</si>
  <si>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</si>
  <si>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</si>
  <si>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</si>
  <si>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</si>
  <si>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</si>
  <si>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</si>
  <si>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</si>
  <si>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</si>
  <si>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</si>
  <si>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</si>
  <si>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</si>
  <si>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</si>
  <si>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</si>
  <si>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</si>
  <si>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</si>
  <si>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</si>
  <si>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</si>
  <si>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</si>
  <si>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</si>
  <si>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</si>
  <si>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</si>
  <si>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</si>
  <si>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</si>
  <si>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</si>
  <si>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</si>
  <si>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</si>
  <si>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</si>
  <si>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</si>
  <si>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</si>
  <si>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</si>
  <si>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</si>
  <si>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</si>
  <si>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</si>
  <si>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</si>
  <si>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</si>
  <si>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</si>
  <si>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</si>
  <si>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</si>
  <si>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</si>
  <si>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</si>
  <si>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</si>
  <si>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</si>
  <si>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</si>
  <si>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</si>
  <si>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</si>
  <si>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</si>
  <si>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</si>
  <si>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</si>
  <si>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</si>
  <si>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</si>
  <si>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</si>
  <si>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</si>
  <si>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</si>
  <si>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</si>
  <si>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</si>
  <si>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</si>
  <si>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</si>
  <si>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</si>
  <si>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</si>
  <si>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</si>
  <si>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</si>
  <si>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</si>
  <si>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</si>
  <si>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</si>
  <si>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</si>
  <si>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</si>
  <si>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</si>
  <si>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</si>
  <si>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</si>
  <si>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</si>
  <si>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</si>
  <si>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</si>
  <si>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</si>
  <si>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</si>
  <si>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</si>
  <si>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</si>
  <si>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</si>
  <si>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</si>
  <si>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</si>
  <si>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</si>
  <si>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</si>
  <si>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</si>
  <si>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</si>
  <si>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</si>
  <si>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</si>
  <si>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</si>
  <si>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</si>
  <si>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</si>
  <si>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</si>
  <si>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</si>
  <si>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</si>
  <si>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</si>
  <si>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</si>
  <si>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</si>
  <si>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</si>
  <si>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</si>
  <si>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</si>
  <si>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</si>
  <si>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</si>
  <si>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</si>
  <si>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</si>
  <si>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</si>
  <si>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</si>
  <si>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</si>
  <si>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</si>
  <si>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</si>
  <si>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</si>
  <si>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</si>
  <si>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</si>
  <si>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</si>
  <si>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</si>
  <si>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</si>
  <si>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</si>
  <si>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</si>
  <si>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</si>
  <si>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</si>
  <si>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</si>
  <si>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</si>
  <si>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</si>
  <si>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</si>
  <si>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</si>
  <si>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</si>
  <si>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</si>
  <si>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</si>
  <si>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</si>
  <si>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</si>
  <si>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</si>
  <si>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</si>
  <si>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</si>
  <si>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</si>
  <si>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</si>
  <si>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</si>
  <si>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</si>
  <si>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</si>
  <si>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</si>
  <si>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</si>
  <si>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</si>
  <si>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</si>
  <si>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</si>
  <si>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</si>
  <si>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</si>
  <si>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</si>
  <si>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</si>
  <si>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</si>
  <si>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</si>
  <si>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</si>
  <si>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</si>
  <si>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</si>
  <si>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</si>
  <si>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</si>
  <si>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</si>
  <si>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</si>
  <si>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</si>
  <si>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</si>
  <si>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</si>
  <si>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</si>
  <si>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</si>
  <si>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</si>
  <si>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</si>
  <si>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</si>
  <si>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</si>
  <si>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</si>
  <si>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</si>
  <si>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</si>
  <si>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</si>
  <si>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</si>
  <si>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</si>
  <si>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</si>
  <si>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</si>
  <si>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</si>
  <si>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</si>
  <si>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</si>
  <si>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</si>
  <si>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</si>
  <si>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</si>
  <si>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</si>
  <si>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</si>
  <si>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</si>
  <si>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</si>
  <si>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</si>
  <si>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</si>
  <si>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</si>
  <si>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</si>
  <si>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</si>
  <si>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</si>
  <si>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</si>
  <si>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</si>
  <si>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</si>
  <si>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</si>
  <si>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</si>
  <si>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</si>
  <si>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</si>
  <si>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</si>
  <si>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</si>
  <si>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</si>
  <si>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</si>
  <si>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</si>
  <si>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</si>
  <si>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</si>
  <si>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</si>
  <si>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</si>
  <si>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</si>
  <si>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</si>
  <si>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</si>
  <si>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</si>
  <si>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</si>
  <si>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</si>
  <si>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</si>
  <si>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</si>
  <si>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</si>
  <si>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</si>
  <si>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</si>
  <si>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</si>
  <si>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</si>
  <si>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</si>
  <si>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</si>
  <si>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</si>
  <si>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</si>
  <si>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</si>
  <si>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</si>
  <si>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</si>
  <si>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</si>
  <si>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</si>
  <si>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</si>
  <si>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</si>
  <si>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</si>
  <si>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</si>
  <si>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</si>
  <si>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</si>
  <si>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</si>
  <si>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</si>
  <si>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</si>
  <si>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</si>
  <si>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</si>
  <si>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</si>
  <si>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</si>
  <si>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</si>
  <si>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</si>
  <si>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</si>
  <si>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</si>
  <si>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</si>
  <si>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</si>
  <si>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</si>
  <si>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</si>
  <si>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</si>
  <si>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</si>
  <si>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</si>
  <si>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</si>
  <si>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</si>
  <si>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</si>
  <si>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</si>
  <si>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</si>
  <si>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</si>
  <si>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</si>
  <si>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</si>
  <si>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</si>
  <si>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</si>
  <si>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</si>
  <si>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</si>
  <si>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</si>
  <si>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</si>
  <si>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</si>
  <si>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</si>
  <si>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</si>
  <si>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</si>
  <si>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</si>
  <si>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</si>
  <si>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</si>
  <si>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</si>
  <si>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</si>
  <si>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</si>
  <si>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</si>
  <si>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</si>
  <si>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</si>
  <si>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</si>
  <si>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</si>
  <si>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</si>
  <si>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</si>
  <si>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</si>
  <si>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</si>
  <si>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</si>
  <si>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</si>
  <si>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</si>
  <si>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</si>
  <si>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</si>
  <si>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</si>
  <si>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</si>
  <si>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</si>
  <si>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</si>
  <si>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</si>
  <si>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</si>
  <si>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</si>
  <si>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</si>
  <si>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</si>
  <si>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</si>
  <si>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</si>
  <si>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</si>
  <si>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</si>
  <si>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</si>
  <si>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</si>
  <si>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</si>
  <si>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</si>
  <si>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</si>
  <si>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</si>
  <si>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</si>
  <si>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</si>
  <si>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</si>
  <si>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</si>
  <si>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</si>
  <si>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</si>
  <si>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</si>
  <si>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</si>
  <si>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</si>
  <si>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</si>
  <si>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</si>
  <si>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</si>
  <si>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</si>
  <si>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</si>
  <si>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</si>
  <si>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</si>
  <si>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</si>
  <si>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</si>
  <si>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</si>
  <si>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</si>
  <si>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</si>
  <si>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</si>
  <si>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</si>
  <si>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</si>
  <si>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</si>
  <si>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</si>
  <si>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</si>
  <si>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</si>
  <si>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</si>
  <si>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</si>
  <si>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</si>
  <si>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</si>
  <si>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</si>
  <si>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</si>
  <si>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</si>
  <si>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</si>
  <si>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</si>
  <si>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</si>
  <si>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</si>
  <si>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</si>
  <si>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</si>
  <si>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</si>
  <si>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</si>
  <si>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</si>
  <si>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</si>
  <si>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</si>
  <si>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</si>
  <si>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</si>
  <si>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</si>
  <si>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</si>
  <si>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</si>
  <si>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</si>
  <si>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</si>
  <si>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</si>
  <si>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</si>
  <si>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</si>
  <si>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</si>
  <si>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</si>
  <si>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</si>
  <si>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</si>
  <si>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</si>
  <si>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</si>
  <si>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</si>
  <si>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</si>
  <si>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</si>
  <si>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</si>
  <si>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</si>
  <si>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</si>
  <si>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</si>
  <si>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</si>
  <si>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</si>
  <si>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</si>
  <si>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</si>
  <si>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</si>
  <si>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</si>
  <si>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</si>
  <si>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</si>
  <si>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</si>
  <si>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</si>
  <si>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</si>
  <si>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</si>
  <si>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</si>
  <si>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</si>
  <si>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</si>
  <si>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</si>
  <si>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</si>
  <si>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</si>
  <si>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</si>
  <si>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</si>
  <si>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</si>
  <si>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</si>
  <si>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</si>
  <si>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</si>
  <si>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</si>
  <si>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</si>
  <si>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</si>
  <si>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</si>
  <si>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</si>
  <si>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</si>
  <si>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</si>
  <si>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</si>
  <si>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</si>
  <si>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</si>
  <si>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</si>
  <si>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</si>
  <si>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</si>
  <si>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</si>
  <si>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</si>
  <si>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</si>
  <si>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</si>
  <si>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</si>
  <si>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</si>
  <si>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</si>
  <si>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</si>
  <si>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</si>
  <si>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</si>
  <si>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</si>
  <si>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</si>
  <si>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</si>
  <si>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</si>
  <si>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</si>
  <si>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</si>
  <si>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</si>
  <si>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</si>
  <si>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</si>
  <si>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</si>
  <si>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</si>
  <si>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</si>
  <si>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</si>
  <si>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</si>
  <si>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</si>
  <si>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</si>
  <si>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</si>
  <si>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</si>
  <si>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</si>
  <si>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</si>
  <si>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</si>
  <si>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</si>
  <si>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</si>
  <si>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</si>
  <si>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</si>
  <si>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</si>
  <si>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</si>
  <si>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</si>
  <si>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</si>
  <si>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</si>
  <si>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</si>
  <si>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</si>
  <si>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</si>
  <si>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</si>
  <si>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</si>
  <si>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</si>
  <si>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</si>
  <si>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</si>
  <si>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</si>
  <si>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</si>
  <si>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</si>
  <si>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</si>
  <si>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</si>
  <si>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</si>
  <si>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</si>
  <si>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</si>
  <si>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</si>
  <si>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</si>
  <si>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</si>
  <si>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</si>
  <si>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</si>
  <si>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</si>
  <si>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</si>
  <si>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</si>
  <si>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</si>
  <si>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</si>
  <si>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</si>
  <si>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</si>
  <si>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</si>
  <si>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</si>
  <si>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</si>
  <si>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</si>
  <si>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</si>
  <si>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</si>
  <si>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</si>
  <si>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</si>
  <si>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</si>
  <si>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</si>
  <si>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</si>
  <si>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</si>
  <si>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</si>
  <si>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</si>
  <si>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</si>
  <si>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</si>
  <si>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</si>
  <si>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</si>
  <si>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</si>
  <si>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</si>
  <si>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</si>
  <si>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204200-1</t>
  </si>
  <si>
    <t>ITACORDA INDUST</t>
  </si>
  <si>
    <t>TIAGO SANTANA</t>
  </si>
  <si>
    <t>EXPRESSO_250</t>
  </si>
  <si>
    <t>CTE NORMAL</t>
  </si>
  <si>
    <t>SAO PAULO - SP</t>
  </si>
  <si>
    <t>DARLILSON DOS SANTOS OLIV</t>
  </si>
  <si>
    <t>N/D</t>
  </si>
  <si>
    <t>A. H. F. TRANSPORTES</t>
  </si>
  <si>
    <t>204304-1</t>
  </si>
  <si>
    <t>HGS GAS E AGUA</t>
  </si>
  <si>
    <t>MICHELL MARQUES</t>
  </si>
  <si>
    <t>PERSONALIZADO_L</t>
  </si>
  <si>
    <t>RIO DE JANEIRO - RJ</t>
  </si>
  <si>
    <t>204303-1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</si>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</sst>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8544.880000000001</c:v>
                </c:pt>
                <c:pt idx="1">
                  <c:v>722.09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6157.419600000002</c:v>
                </c:pt>
                <c:pt idx="1">
                  <c:v>558.46280000000002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8544.880000000001</c:v>
                </c:pt>
                <c:pt idx="1">
                  <c:v>722.09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ITACORDA INDUST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6157.419600000002</c:v>
                </c:pt>
                <c:pt idx="1">
                  <c:v>558.46280000000002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504814814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081" count="8000">
        <n v="303724"/>
        <n v="304058"/>
        <n v="30408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2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ITACORDA INDUST"/>
        <s v="HGS GAS E AGU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177.12" maxValue="832572.2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22.09" maxValue="5242.83"/>
    </cacheField>
    <cacheField name="VOLUMES" numFmtId="0">
      <sharedItems containsString="0" containsBlank="1" containsNumber="1" containsInteger="1" minValue="13" maxValue="41"/>
    </cacheField>
    <cacheField name="PESO" numFmtId="0">
      <sharedItems containsString="0" containsBlank="1" containsNumber="1" minValue="285.45999999999998" maxValue="5168"/>
    </cacheField>
    <cacheField name="RESP. COLETA" numFmtId="0">
      <sharedItems containsBlank="1"/>
    </cacheField>
    <cacheField name="CUSTO COLETA" numFmtId="0">
      <sharedItems containsString="0" containsBlank="1" containsNumber="1" minValue="0" maxValue="9.2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86.65" maxValue="629.1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.59" maxValue="416.2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17.39" maxValue="2893.4"/>
    </cacheField>
    <cacheField name="RECEITA" numFmtId="0">
      <sharedItems containsString="0" containsBlank="1" containsNumber="1" minValue="504.7" maxValue="2349.4299999999998"/>
    </cacheField>
    <cacheField name="IMPOSTO" numFmtId="0">
      <sharedItems containsString="0" containsBlank="1" containsNumber="1" minValue="187.74" maxValue="1363.14"/>
    </cacheField>
    <cacheField name="RESULTADO" numFmtId="0">
      <sharedItems containsString="0" containsBlank="1" containsNumber="1" minValue="-349.07" maxValue="986.29"/>
    </cacheField>
    <cacheField name="COMIS" numFmtId="0">
      <sharedItems containsString="0" containsBlank="1" containsNumber="1" minValue="0" maxValue="6.35"/>
    </cacheField>
    <cacheField name="LUCRO LIQ" numFmtId="0">
      <sharedItems containsString="0" containsBlank="1" containsNumber="1" minValue="-349.07" maxValue="986.29"/>
    </cacheField>
    <cacheField name="MARGEM" numFmtId="10">
      <sharedItems containsString="0" containsBlank="1" containsNumber="1" minValue="-0.1057" maxValue="0.4302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1T00:00:00"/>
    <d v="2026-10-01T00:00:00"/>
    <m/>
    <s v="204200-1"/>
    <x v="0"/>
    <s v="TIAGO SANTANA"/>
    <n v="7177.12"/>
    <x v="0"/>
    <s v="CTE NORMAL"/>
    <s v="SAO PAULO - SP"/>
    <n v="722.09"/>
    <n v="41"/>
    <n v="285.45999999999998"/>
    <s v="DARLILSON DOS SANTOS OLIV"/>
    <n v="9.27"/>
    <s v="N/D"/>
    <n v="0"/>
    <s v="A. H. F. TRANSPORTES"/>
    <n v="0"/>
    <n v="86.65"/>
    <n v="0"/>
    <n v="0"/>
    <n v="3.59"/>
    <n v="0"/>
    <n v="217.39"/>
    <n v="504.7"/>
    <n v="187.74"/>
    <n v="316.96000000000004"/>
    <n v="6.35"/>
    <n v="310.61"/>
    <n v="0.43020000000000003"/>
    <m/>
  </r>
  <r>
    <x v="1"/>
    <s v="MATRIZ"/>
    <m/>
    <d v="2026-10-02T00:00:00"/>
    <m/>
    <s v="204304-1"/>
    <x v="1"/>
    <s v="MICHELL MARQUES"/>
    <n v="524371.19999999995"/>
    <x v="1"/>
    <s v="CTE NORMAL"/>
    <s v="RIO DE JANEIRO - RJ"/>
    <n v="3302.05"/>
    <n v="13"/>
    <n v="5168"/>
    <s v="N/D"/>
    <n v="0"/>
    <s v="N/D"/>
    <n v="0"/>
    <s v="A. H. F. TRANSPORTES"/>
    <n v="0"/>
    <n v="396.25"/>
    <n v="0"/>
    <n v="0"/>
    <n v="262.19"/>
    <n v="0"/>
    <n v="2792.59"/>
    <n v="509.46"/>
    <n v="858.53"/>
    <n v="-349.07"/>
    <n v="0"/>
    <n v="-349.07"/>
    <n v="-0.1057"/>
    <m/>
  </r>
  <r>
    <x v="2"/>
    <s v="MATRIZ"/>
    <m/>
    <d v="2026-10-02T00:00:00"/>
    <m/>
    <s v="204303-1"/>
    <x v="1"/>
    <s v="MICHELL MARQUES"/>
    <n v="832572.2"/>
    <x v="1"/>
    <s v="CTE NORMAL"/>
    <s v="SAO PAULO - SP"/>
    <n v="5242.83"/>
    <n v="13"/>
    <n v="4475"/>
    <s v="N/D"/>
    <n v="0"/>
    <s v="N/D"/>
    <n v="0"/>
    <s v="A. H. F. TRANSPORTES"/>
    <n v="0"/>
    <n v="629.14"/>
    <n v="0"/>
    <n v="0"/>
    <n v="416.29"/>
    <n v="0"/>
    <n v="2893.4"/>
    <n v="2349.4299999999998"/>
    <n v="1363.14"/>
    <n v="986.29"/>
    <n v="0"/>
    <n v="986.29"/>
    <n v="0.18809999999999999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79"/>
        <item m="1" x="772"/>
        <item m="1" x="267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30"/>
        <item m="1" x="665"/>
        <item m="1" x="519"/>
        <item m="1" x="792"/>
        <item sd="0" m="1" x="179"/>
        <item sd="0" m="1" x="59"/>
        <item m="1" x="356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2"/>
        <item m="1" x="463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3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4"/>
        <item m="1" x="627"/>
        <item m="1" x="375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3"/>
        <item m="1" x="221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9"/>
        <item m="1" x="821"/>
        <item m="1" x="341"/>
        <item m="1" x="224"/>
        <item m="1" x="65"/>
        <item m="1" x="635"/>
        <item m="1" x="458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4"/>
        <item m="1" x="99"/>
        <item m="1" x="460"/>
        <item m="1" x="580"/>
        <item m="1" x="353"/>
        <item m="1" x="104"/>
        <item sd="0" m="1" x="539"/>
        <item m="1" x="209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4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6"/>
        <item m="1" x="380"/>
        <item m="1" x="540"/>
        <item m="1" x="315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80"/>
        <item m="1" x="344"/>
        <item m="1" x="737"/>
        <item m="1" x="246"/>
        <item m="1" x="262"/>
        <item sd="0" m="1" x="275"/>
        <item sd="0" m="1" x="822"/>
        <item m="1" x="7"/>
        <item m="1" x="350"/>
        <item m="1" x="577"/>
        <item m="1" x="162"/>
        <item x="1"/>
        <item sd="0" m="1" x="698"/>
        <item m="1" x="331"/>
        <item m="1" x="625"/>
        <item m="1" x="542"/>
        <item sd="0" m="1" x="369"/>
        <item sd="0" m="1" x="335"/>
        <item sd="0" m="1" x="176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0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3"/>
        <item sd="0" m="1" x="374"/>
        <item m="1" x="243"/>
        <item m="1" x="337"/>
        <item m="1" x="528"/>
        <item m="1" x="423"/>
        <item m="1" x="788"/>
        <item m="1" x="302"/>
        <item m="1" x="310"/>
        <item m="1" x="367"/>
        <item m="1" x="491"/>
        <item m="1" x="662"/>
        <item m="1" x="189"/>
        <item m="1" x="659"/>
        <item m="1" x="222"/>
        <item m="1" x="449"/>
        <item m="1" x="148"/>
        <item m="1" x="362"/>
        <item m="1" x="264"/>
        <item m="1" x="292"/>
        <item m="1" x="541"/>
        <item m="1" x="810"/>
        <item m="1" x="603"/>
        <item m="1" x="32"/>
        <item m="1" x="269"/>
        <item m="1" x="751"/>
        <item m="1" x="371"/>
        <item m="1" x="247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9"/>
        <item m="1" x="332"/>
        <item m="1" x="564"/>
        <item m="1" x="504"/>
        <item m="1" x="229"/>
        <item m="1" x="282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5"/>
        <item m="1" x="823"/>
        <item m="1" x="336"/>
        <item m="1" x="524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4"/>
        <item m="1" x="347"/>
        <item m="1" x="283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9"/>
        <item m="1" x="181"/>
        <item m="1" x="334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7"/>
        <item m="1" x="14"/>
        <item m="1" x="226"/>
        <item m="1" x="783"/>
        <item m="1" x="724"/>
        <item m="1" x="841"/>
        <item m="1" x="444"/>
        <item m="1" x="194"/>
        <item m="1" x="307"/>
        <item m="1" x="340"/>
        <item sd="0" m="1" x="97"/>
        <item m="1" x="694"/>
        <item m="1" x="306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6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4"/>
        <item m="1" x="190"/>
        <item m="1" x="680"/>
        <item sd="0" m="1" x="284"/>
        <item m="1" x="220"/>
        <item m="1" x="319"/>
        <item m="1" x="256"/>
        <item sd="0" m="1" x="193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342"/>
    </i>
    <i r="1">
      <x v="7998"/>
    </i>
    <i r="1">
      <x v="7999"/>
    </i>
    <i>
      <x v="381"/>
    </i>
    <i r="1">
      <x v="7997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5"/>
        <item m="1" x="828"/>
        <item m="1" x="271"/>
        <item m="1" x="479"/>
        <item m="1" x="772"/>
        <item m="1" x="267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7"/>
        <item sd="0" m="1" x="476"/>
        <item m="1" x="633"/>
        <item m="1" x="446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5"/>
        <item m="1" x="848"/>
        <item m="1" x="832"/>
        <item m="1" x="742"/>
        <item m="1" x="241"/>
        <item m="1" x="240"/>
        <item m="1" x="462"/>
        <item m="1" x="287"/>
        <item m="1" x="549"/>
        <item m="1" x="845"/>
        <item m="1" x="445"/>
        <item m="1" x="530"/>
        <item m="1" x="665"/>
        <item m="1" x="519"/>
        <item m="1" x="792"/>
        <item sd="0" m="1" x="179"/>
        <item sd="0" m="1" x="59"/>
        <item m="1" x="356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2"/>
        <item m="1" x="463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3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3"/>
        <item m="1" x="53"/>
        <item m="1" x="649"/>
        <item m="1" x="470"/>
        <item m="1" x="250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4"/>
        <item m="1" x="627"/>
        <item m="1" x="375"/>
        <item m="1" x="807"/>
        <item m="1" x="60"/>
        <item m="1" x="631"/>
        <item m="1" x="531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3"/>
        <item m="1" x="221"/>
        <item m="1" x="510"/>
        <item m="1" x="118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1"/>
        <item m="1" x="773"/>
        <item m="1" x="579"/>
        <item m="1" x="518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9"/>
        <item m="1" x="821"/>
        <item m="1" x="341"/>
        <item m="1" x="224"/>
        <item m="1" x="65"/>
        <item m="1" x="635"/>
        <item m="1" x="458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4"/>
        <item m="1" x="99"/>
        <item m="1" x="460"/>
        <item m="1" x="580"/>
        <item m="1" x="353"/>
        <item m="1" x="104"/>
        <item sd="0" m="1" x="539"/>
        <item m="1" x="209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4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6"/>
        <item m="1" x="380"/>
        <item m="1" x="540"/>
        <item m="1" x="315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80"/>
        <item m="1" x="344"/>
        <item m="1" x="737"/>
        <item m="1" x="246"/>
        <item m="1" x="262"/>
        <item sd="0" m="1" x="275"/>
        <item sd="0" m="1" x="822"/>
        <item m="1" x="7"/>
        <item m="1" x="350"/>
        <item m="1" x="577"/>
        <item m="1" x="162"/>
        <item x="1"/>
        <item sd="0" m="1" x="698"/>
        <item m="1" x="331"/>
        <item m="1" x="625"/>
        <item m="1" x="542"/>
        <item sd="0" m="1" x="369"/>
        <item sd="0" m="1" x="335"/>
        <item sd="0" m="1" x="176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x="0"/>
        <item m="1" x="61"/>
        <item m="1" x="452"/>
        <item m="1" x="774"/>
        <item m="1" x="485"/>
        <item m="1" x="740"/>
        <item sd="0" m="1" x="454"/>
        <item m="1" x="521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9"/>
        <item m="1" x="682"/>
        <item m="1" x="136"/>
        <item m="1" x="330"/>
        <item m="1" x="536"/>
        <item sd="0" m="1" x="238"/>
        <item m="1" x="557"/>
        <item m="1" x="547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2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8"/>
        <item m="1" x="183"/>
        <item sd="0" m="1" x="374"/>
        <item m="1" x="243"/>
        <item m="1" x="337"/>
        <item m="1" x="528"/>
        <item m="1" x="423"/>
        <item m="1" x="788"/>
        <item m="1" x="302"/>
        <item m="1" x="310"/>
        <item m="1" x="367"/>
        <item m="1" x="491"/>
        <item m="1" x="662"/>
        <item m="1" x="189"/>
        <item m="1" x="659"/>
        <item m="1" x="222"/>
        <item m="1" x="449"/>
        <item m="1" x="148"/>
        <item m="1" x="362"/>
        <item m="1" x="264"/>
        <item m="1" x="292"/>
        <item m="1" x="541"/>
        <item m="1" x="810"/>
        <item m="1" x="603"/>
        <item m="1" x="32"/>
        <item m="1" x="269"/>
        <item m="1" x="751"/>
        <item m="1" x="371"/>
        <item m="1" x="247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9"/>
        <item m="1" x="332"/>
        <item m="1" x="564"/>
        <item m="1" x="504"/>
        <item m="1" x="229"/>
        <item m="1" x="282"/>
        <item m="1" x="94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4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2"/>
        <item m="1" x="96"/>
        <item m="1" x="523"/>
        <item m="1" x="789"/>
        <item m="1" x="20"/>
        <item m="1" x="538"/>
        <item m="1" x="636"/>
        <item m="1" x="575"/>
        <item sd="0" m="1" x="198"/>
        <item m="1" x="574"/>
        <item m="1" x="365"/>
        <item m="1" x="823"/>
        <item m="1" x="336"/>
        <item m="1" x="524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4"/>
        <item m="1" x="347"/>
        <item m="1" x="283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1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3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9"/>
        <item m="1" x="181"/>
        <item m="1" x="334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6"/>
        <item m="1" x="706"/>
        <item m="1" x="619"/>
        <item m="1" x="731"/>
        <item m="1" x="471"/>
        <item m="1" x="551"/>
        <item m="1" x="265"/>
        <item m="1" x="251"/>
        <item m="1" x="632"/>
        <item m="1" x="699"/>
        <item m="1" x="357"/>
        <item m="1" x="14"/>
        <item m="1" x="226"/>
        <item m="1" x="783"/>
        <item m="1" x="724"/>
        <item m="1" x="841"/>
        <item m="1" x="444"/>
        <item m="1" x="194"/>
        <item m="1" x="307"/>
        <item m="1" x="340"/>
        <item sd="0" m="1" x="97"/>
        <item m="1" x="694"/>
        <item m="1" x="306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6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5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4"/>
        <item m="1" x="190"/>
        <item m="1" x="680"/>
        <item sd="0" m="1" x="284"/>
        <item m="1" x="220"/>
        <item m="1" x="319"/>
        <item m="1" x="256"/>
        <item sd="0" m="1" x="193"/>
        <item m="1" x="729"/>
        <item m="1" x="385"/>
        <item m="1" x="576"/>
        <item m="1" x="360"/>
        <item m="1" x="451"/>
        <item m="1" x="514"/>
        <item m="1" x="123"/>
        <item m="1" x="646"/>
        <item m="1" x="49"/>
        <item m="1" x="416"/>
        <item m="1" x="146"/>
        <item sd="0" m="1" x="728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8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2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42"/>
    </i>
    <i>
      <x v="38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2" s="1" nd="1"/>
        <i x="712" s="1" nd="1"/>
        <i x="297" s="1" nd="1"/>
        <i x="114" s="1" nd="1"/>
        <i x="272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5" s="1" nd="1"/>
        <i x="828" s="1" nd="1"/>
        <i x="271" s="1" nd="1"/>
        <i x="479" s="1" nd="1"/>
        <i x="772" s="1" nd="1"/>
        <i x="267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7" s="1" nd="1"/>
        <i x="476" s="1" nd="1"/>
        <i x="633" s="1" nd="1"/>
        <i x="446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5" s="1" nd="1"/>
        <i x="848" s="1" nd="1"/>
        <i x="832" s="1" nd="1"/>
        <i x="742" s="1" nd="1"/>
        <i x="241" s="1" nd="1"/>
        <i x="240" s="1" nd="1"/>
        <i x="462" s="1" nd="1"/>
        <i x="287" s="1" nd="1"/>
        <i x="549" s="1" nd="1"/>
        <i x="845" s="1" nd="1"/>
        <i x="445" s="1" nd="1"/>
        <i x="530" s="1" nd="1"/>
        <i x="665" s="1" nd="1"/>
        <i x="519" s="1" nd="1"/>
        <i x="792" s="1" nd="1"/>
        <i x="179" s="1" nd="1"/>
        <i x="59" s="1" nd="1"/>
        <i x="356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4" s="1" nd="1"/>
        <i x="835" s="1" nd="1"/>
        <i x="711" s="1" nd="1"/>
        <i x="378" s="1" nd="1"/>
        <i x="208" s="1" nd="1"/>
        <i x="522" s="1" nd="1"/>
        <i x="463" s="1" nd="1"/>
        <i x="139" s="1" nd="1"/>
        <i x="661" s="1" nd="1"/>
        <i x="372" s="1" nd="1"/>
        <i x="155" s="1" nd="1"/>
        <i x="252" s="1" nd="1"/>
        <i x="628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3" s="1" nd="1"/>
        <i x="806" s="1" nd="1"/>
        <i x="620" s="1" nd="1"/>
        <i x="5" s="1" nd="1"/>
        <i x="770" s="1" nd="1"/>
        <i x="15" s="1" nd="1"/>
        <i x="739" s="1" nd="1"/>
        <i x="393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3" s="1" nd="1"/>
        <i x="53" s="1" nd="1"/>
        <i x="649" s="1" nd="1"/>
        <i x="470" s="1" nd="1"/>
        <i x="250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4" s="1" nd="1"/>
        <i x="627" s="1" nd="1"/>
        <i x="375" s="1" nd="1"/>
        <i x="807" s="1" nd="1"/>
        <i x="60" s="1" nd="1"/>
        <i x="631" s="1" nd="1"/>
        <i x="531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3" s="1" nd="1"/>
        <i x="221" s="1" nd="1"/>
        <i x="510" s="1" nd="1"/>
        <i x="118" s="1" nd="1"/>
        <i x="537" s="1" nd="1"/>
        <i x="84" s="1" nd="1"/>
        <i x="602" s="1" nd="1"/>
        <i x="450" s="1" nd="1"/>
        <i x="349" s="1" nd="1"/>
        <i x="79" s="1" nd="1"/>
        <i x="582" s="1" nd="1"/>
        <i x="19" s="1" nd="1"/>
        <i x="161" s="1" nd="1"/>
        <i x="773" s="1" nd="1"/>
        <i x="579" s="1" nd="1"/>
        <i x="518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9" s="1" nd="1"/>
        <i x="821" s="1" nd="1"/>
        <i x="341" s="1" nd="1"/>
        <i x="224" s="1" nd="1"/>
        <i x="65" s="1" nd="1"/>
        <i x="635" s="1" nd="1"/>
        <i x="458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4" s="1" nd="1"/>
        <i x="99" s="1" nd="1"/>
        <i x="460" s="1" nd="1"/>
        <i x="580" s="1" nd="1"/>
        <i x="353" s="1" nd="1"/>
        <i x="104" s="1" nd="1"/>
        <i x="539" s="1" nd="1"/>
        <i x="209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4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4" s="1" nd="1"/>
        <i x="16" s="1" nd="1"/>
        <i x="233" s="1" nd="1"/>
        <i x="242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6" s="1" nd="1"/>
        <i x="316" s="1" nd="1"/>
        <i x="380" s="1" nd="1"/>
        <i x="540" s="1" nd="1"/>
        <i x="315" s="1" nd="1"/>
        <i x="339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70" s="1" nd="1"/>
        <i x="18" s="1" nd="1"/>
        <i x="637" s="1" nd="1"/>
        <i x="389" s="1" nd="1"/>
        <i x="480" s="1" nd="1"/>
        <i x="344" s="1" nd="1"/>
        <i x="737" s="1" nd="1"/>
        <i x="246" s="1" nd="1"/>
        <i x="262" s="1" nd="1"/>
        <i x="275" s="1" nd="1"/>
        <i x="822" s="1" nd="1"/>
        <i x="7" s="1" nd="1"/>
        <i x="350" s="1" nd="1"/>
        <i x="577" s="1" nd="1"/>
        <i x="162" s="1" nd="1"/>
        <i x="698" s="1" nd="1"/>
        <i x="331" s="1" nd="1"/>
        <i x="625" s="1" nd="1"/>
        <i x="542" s="1" nd="1"/>
        <i x="369" s="1" nd="1"/>
        <i x="335" s="1" nd="1"/>
        <i x="176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5" s="1" nd="1"/>
        <i x="720" s="1" nd="1"/>
        <i x="555" s="1" nd="1"/>
        <i x="117" s="1" nd="1"/>
        <i x="376" s="1" nd="1"/>
        <i x="718" s="1" nd="1"/>
        <i x="128" s="1" nd="1"/>
        <i x="34" s="1" nd="1"/>
        <i x="303" s="1" nd="1"/>
        <i x="61" s="1" nd="1"/>
        <i x="452" s="1" nd="1"/>
        <i x="774" s="1" nd="1"/>
        <i x="485" s="1" nd="1"/>
        <i x="740" s="1" nd="1"/>
        <i x="454" s="1" nd="1"/>
        <i x="521" s="1" nd="1"/>
        <i x="163" s="1" nd="1"/>
        <i x="404" s="1" nd="1"/>
        <i x="741" s="1" nd="1"/>
        <i x="195" s="1" nd="1"/>
        <i x="746" s="1" nd="1"/>
        <i x="384" s="1" nd="1"/>
        <i x="138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9" s="1" nd="1"/>
        <i x="682" s="1" nd="1"/>
        <i x="136" s="1" nd="1"/>
        <i x="330" s="1" nd="1"/>
        <i x="536" s="1" nd="1"/>
        <i x="238" s="1" nd="1"/>
        <i x="557" s="1" nd="1"/>
        <i x="547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3" s="1" nd="1"/>
        <i x="735" s="1" nd="1"/>
        <i x="133" s="1" nd="1"/>
        <i x="87" s="1" nd="1"/>
        <i x="210" s="1" nd="1"/>
        <i x="681" s="1" nd="1"/>
        <i x="276" s="1" nd="1"/>
        <i x="472" s="1" nd="1"/>
        <i x="799" s="1" nd="1"/>
        <i x="218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8" s="1" nd="1"/>
        <i x="183" s="1" nd="1"/>
        <i x="374" s="1" nd="1"/>
        <i x="243" s="1" nd="1"/>
        <i x="337" s="1" nd="1"/>
        <i x="528" s="1" nd="1"/>
        <i x="423" s="1" nd="1"/>
        <i x="788" s="1" nd="1"/>
        <i x="302" s="1" nd="1"/>
        <i x="310" s="1" nd="1"/>
        <i x="367" s="1" nd="1"/>
        <i x="491" s="1" nd="1"/>
        <i x="662" s="1" nd="1"/>
        <i x="189" s="1" nd="1"/>
        <i x="659" s="1" nd="1"/>
        <i x="222" s="1" nd="1"/>
        <i x="449" s="1" nd="1"/>
        <i x="148" s="1" nd="1"/>
        <i x="362" s="1" nd="1"/>
        <i x="264" s="1" nd="1"/>
        <i x="292" s="1" nd="1"/>
        <i x="541" s="1" nd="1"/>
        <i x="810" s="1" nd="1"/>
        <i x="603" s="1" nd="1"/>
        <i x="32" s="1" nd="1"/>
        <i x="269" s="1" nd="1"/>
        <i x="751" s="1" nd="1"/>
        <i x="371" s="1" nd="1"/>
        <i x="247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1" s="1" nd="1"/>
        <i x="657" s="1" nd="1"/>
        <i x="311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9" s="1" nd="1"/>
        <i x="332" s="1" nd="1"/>
        <i x="564" s="1" nd="1"/>
        <i x="504" s="1" nd="1"/>
        <i x="229" s="1" nd="1"/>
        <i x="282" s="1" nd="1"/>
        <i x="94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4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2" s="1" nd="1"/>
        <i x="96" s="1" nd="1"/>
        <i x="523" s="1" nd="1"/>
        <i x="789" s="1" nd="1"/>
        <i x="20" s="1" nd="1"/>
        <i x="538" s="1" nd="1"/>
        <i x="636" s="1" nd="1"/>
        <i x="575" s="1" nd="1"/>
        <i x="198" s="1" nd="1"/>
        <i x="574" s="1" nd="1"/>
        <i x="365" s="1" nd="1"/>
        <i x="823" s="1" nd="1"/>
        <i x="336" s="1" nd="1"/>
        <i x="524" s="1" nd="1"/>
        <i x="248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4" s="1" nd="1"/>
        <i x="347" s="1" nd="1"/>
        <i x="283" s="1" nd="1"/>
        <i x="323" s="1" nd="1"/>
        <i x="844" s="1" nd="1"/>
        <i x="358" s="1" nd="1"/>
        <i x="387" s="1" nd="1"/>
        <i x="73" s="1" nd="1"/>
        <i x="78" s="1" nd="1"/>
        <i x="529" s="1" nd="1"/>
        <i x="566" s="1" nd="1"/>
        <i x="687" s="1" nd="1"/>
        <i x="281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9" s="1" nd="1"/>
        <i x="236" s="1" nd="1"/>
        <i x="359" s="1" nd="1"/>
        <i x="261" s="1" nd="1"/>
        <i x="364" s="1" nd="1"/>
        <i x="501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3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9" s="1" nd="1"/>
        <i x="181" s="1" nd="1"/>
        <i x="334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6" s="1" nd="1"/>
        <i x="706" s="1" nd="1"/>
        <i x="619" s="1" nd="1"/>
        <i x="731" s="1" nd="1"/>
        <i x="471" s="1" nd="1"/>
        <i x="551" s="1" nd="1"/>
        <i x="265" s="1" nd="1"/>
        <i x="251" s="1" nd="1"/>
        <i x="632" s="1" nd="1"/>
        <i x="699" s="1" nd="1"/>
        <i x="357" s="1" nd="1"/>
        <i x="14" s="1" nd="1"/>
        <i x="226" s="1" nd="1"/>
        <i x="783" s="1" nd="1"/>
        <i x="724" s="1" nd="1"/>
        <i x="841" s="1" nd="1"/>
        <i x="444" s="1" nd="1"/>
        <i x="194" s="1" nd="1"/>
        <i x="307" s="1" nd="1"/>
        <i x="340" s="1" nd="1"/>
        <i x="97" s="1" nd="1"/>
        <i x="694" s="1" nd="1"/>
        <i x="306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6" s="1" nd="1"/>
        <i x="409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5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0" s="1" nd="1"/>
        <i x="692" s="1" nd="1"/>
        <i x="442" s="1" nd="1"/>
        <i x="361" s="1" nd="1"/>
        <i x="705" s="1" nd="1"/>
        <i x="304" s="1" nd="1"/>
        <i x="190" s="1" nd="1"/>
        <i x="680" s="1" nd="1"/>
        <i x="284" s="1" nd="1"/>
        <i x="220" s="1" nd="1"/>
        <i x="319" s="1" nd="1"/>
        <i x="256" s="1" nd="1"/>
        <i x="193" s="1" nd="1"/>
        <i x="729" s="1" nd="1"/>
        <i x="385" s="1" nd="1"/>
        <i x="576" s="1" nd="1"/>
        <i x="360" s="1" nd="1"/>
        <i x="451" s="1" nd="1"/>
        <i x="514" s="1" nd="1"/>
        <i x="123" s="1" nd="1"/>
        <i x="646" s="1" nd="1"/>
        <i x="49" s="1" nd="1"/>
        <i x="416" s="1" nd="1"/>
        <i x="146" s="1" nd="1"/>
        <i x="728" s="1" nd="1"/>
        <i x="165" s="1" nd="1"/>
        <i x="346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4" s="1" nd="1"/>
        <i x="36" s="1" nd="1"/>
        <i x="312" s="1" nd="1"/>
        <i x="825" s="1" nd="1"/>
        <i x="562" s="1" nd="1"/>
        <i x="63" s="1" nd="1"/>
        <i x="568" s="1" nd="1"/>
        <i x="431" s="1" nd="1"/>
        <i x="426" s="1" nd="1"/>
        <i x="177" s="1" nd="1"/>
        <i x="366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2" s="1" nd="1"/>
        <i x="157" s="1" nd="1"/>
        <i x="56" s="1" nd="1"/>
        <i x="548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2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303724</v>
      </c>
      <c r="B2" s="12" t="s">
        <v>616</v>
      </c>
      <c r="C2" s="14">
        <v>46296</v>
      </c>
      <c r="D2" s="14">
        <v>46296</v>
      </c>
      <c r="E2" s="12"/>
      <c r="F2" s="15" t="s">
        <v>617</v>
      </c>
      <c r="G2" s="15" t="s">
        <v>618</v>
      </c>
      <c r="H2" s="15" t="s">
        <v>619</v>
      </c>
      <c r="I2" s="16">
        <v>7177.12</v>
      </c>
      <c r="J2" s="15" t="s">
        <v>620</v>
      </c>
      <c r="K2" s="15" t="s">
        <v>621</v>
      </c>
      <c r="L2" s="15" t="s">
        <v>622</v>
      </c>
      <c r="M2" s="15">
        <v>722.09</v>
      </c>
      <c r="N2" s="15">
        <v>41</v>
      </c>
      <c r="O2" s="16">
        <v>285.45999999999998</v>
      </c>
      <c r="P2" s="15" t="s">
        <v>623</v>
      </c>
      <c r="Q2" s="15">
        <v>9.27</v>
      </c>
      <c r="R2" s="15" t="s">
        <v>624</v>
      </c>
      <c r="S2" s="15">
        <v>0</v>
      </c>
      <c r="T2" s="15" t="s">
        <v>625</v>
      </c>
      <c r="U2" s="15">
        <v>0</v>
      </c>
      <c r="V2" s="15">
        <v>86.65</v>
      </c>
      <c r="W2" s="15">
        <v>0</v>
      </c>
      <c r="X2" s="15">
        <v>0</v>
      </c>
      <c r="Y2" s="15">
        <v>3.59</v>
      </c>
      <c r="Z2" s="15">
        <v>0</v>
      </c>
      <c r="AA2" s="15">
        <v>217.39</v>
      </c>
      <c r="AB2" s="15">
        <v>504.7</v>
      </c>
      <c r="AC2" s="15">
        <v>187.74</v>
      </c>
      <c r="AD2" s="15">
        <v>316.96000000000004</v>
      </c>
      <c r="AE2" s="15">
        <v>6.35</v>
      </c>
      <c r="AF2" s="15">
        <v>310.61</v>
      </c>
      <c r="AG2" s="17">
        <v>0.43020000000000003</v>
      </c>
      <c r="AH2" s="15"/>
    </row>
    <row r="3" spans="1:34" s="1" customFormat="1" ht="12" customHeight="1" x14ac:dyDescent="0.3">
      <c r="A3" s="13">
        <v>304058</v>
      </c>
      <c r="B3" s="12" t="s">
        <v>616</v>
      </c>
      <c r="C3" s="14"/>
      <c r="D3" s="14">
        <v>46297</v>
      </c>
      <c r="E3" s="12"/>
      <c r="F3" s="15" t="s">
        <v>626</v>
      </c>
      <c r="G3" s="15" t="s">
        <v>627</v>
      </c>
      <c r="H3" s="15" t="s">
        <v>628</v>
      </c>
      <c r="I3" s="16">
        <v>524371.19999999995</v>
      </c>
      <c r="J3" s="15" t="s">
        <v>629</v>
      </c>
      <c r="K3" s="15" t="s">
        <v>621</v>
      </c>
      <c r="L3" s="15" t="s">
        <v>630</v>
      </c>
      <c r="M3" s="16">
        <v>3302.05</v>
      </c>
      <c r="N3" s="15">
        <v>13</v>
      </c>
      <c r="O3" s="16">
        <v>5168</v>
      </c>
      <c r="P3" s="15" t="s">
        <v>624</v>
      </c>
      <c r="Q3" s="15">
        <v>0</v>
      </c>
      <c r="R3" s="15" t="s">
        <v>624</v>
      </c>
      <c r="S3" s="15">
        <v>0</v>
      </c>
      <c r="T3" s="15" t="s">
        <v>625</v>
      </c>
      <c r="U3" s="15">
        <v>0</v>
      </c>
      <c r="V3" s="15">
        <v>396.25</v>
      </c>
      <c r="W3" s="15">
        <v>0</v>
      </c>
      <c r="X3" s="15">
        <v>0</v>
      </c>
      <c r="Y3" s="15">
        <v>262.19</v>
      </c>
      <c r="Z3" s="15">
        <v>0</v>
      </c>
      <c r="AA3" s="16">
        <v>2792.59</v>
      </c>
      <c r="AB3" s="16">
        <v>509.46</v>
      </c>
      <c r="AC3" s="15">
        <v>858.53</v>
      </c>
      <c r="AD3" s="15">
        <v>-349.07</v>
      </c>
      <c r="AE3" s="15">
        <v>0</v>
      </c>
      <c r="AF3" s="15">
        <v>-349.07</v>
      </c>
      <c r="AG3" s="17">
        <v>-0.1057</v>
      </c>
      <c r="AH3" s="15"/>
    </row>
    <row r="4" spans="1:34" s="1" customFormat="1" ht="12" customHeight="1" x14ac:dyDescent="0.3">
      <c r="A4" s="13">
        <v>304081</v>
      </c>
      <c r="B4" s="12" t="s">
        <v>616</v>
      </c>
      <c r="C4" s="14"/>
      <c r="D4" s="14">
        <v>46297</v>
      </c>
      <c r="E4" s="12"/>
      <c r="F4" s="15" t="s">
        <v>631</v>
      </c>
      <c r="G4" s="15" t="s">
        <v>627</v>
      </c>
      <c r="H4" s="15" t="s">
        <v>628</v>
      </c>
      <c r="I4" s="15">
        <v>832572.2</v>
      </c>
      <c r="J4" s="15" t="s">
        <v>629</v>
      </c>
      <c r="K4" s="15" t="s">
        <v>621</v>
      </c>
      <c r="L4" s="15" t="s">
        <v>622</v>
      </c>
      <c r="M4" s="16">
        <v>5242.83</v>
      </c>
      <c r="N4" s="15">
        <v>13</v>
      </c>
      <c r="O4" s="15">
        <v>4475</v>
      </c>
      <c r="P4" s="15" t="s">
        <v>624</v>
      </c>
      <c r="Q4" s="15">
        <v>0</v>
      </c>
      <c r="R4" s="15" t="s">
        <v>624</v>
      </c>
      <c r="S4" s="15">
        <v>0</v>
      </c>
      <c r="T4" s="15" t="s">
        <v>625</v>
      </c>
      <c r="U4" s="15">
        <v>0</v>
      </c>
      <c r="V4" s="15">
        <v>629.14</v>
      </c>
      <c r="W4" s="15">
        <v>0</v>
      </c>
      <c r="X4" s="15">
        <v>0</v>
      </c>
      <c r="Y4" s="15">
        <v>416.29</v>
      </c>
      <c r="Z4" s="15">
        <v>0</v>
      </c>
      <c r="AA4" s="15">
        <v>2893.4</v>
      </c>
      <c r="AB4" s="16">
        <v>2349.4299999999998</v>
      </c>
      <c r="AC4" s="15">
        <v>1363.14</v>
      </c>
      <c r="AD4" s="16">
        <v>986.29</v>
      </c>
      <c r="AE4" s="15">
        <v>0</v>
      </c>
      <c r="AF4" s="16">
        <v>986.29</v>
      </c>
      <c r="AG4" s="17">
        <v>0.18809999999999999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9266.9700000000012</v>
      </c>
      <c r="F3" s="89"/>
      <c r="G3" s="90"/>
      <c r="H3" s="133">
        <f>'Resumo Detalhado'!C2</f>
        <v>9928.4599999999991</v>
      </c>
      <c r="I3" s="134"/>
      <c r="J3" s="135">
        <f>E3/H3</f>
        <v>0.9333743601726755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0.90258727272727268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4109.2700000000004</v>
      </c>
      <c r="F7" s="112"/>
      <c r="G7" s="112"/>
      <c r="H7" s="112"/>
      <c r="I7" s="112"/>
      <c r="J7" s="112">
        <f>E7/H3</f>
        <v>0.41388795442596343</v>
      </c>
      <c r="K7" s="112"/>
      <c r="L7" s="112"/>
      <c r="M7" s="130">
        <f>E7/E3</f>
        <v>0.44343188766123121</v>
      </c>
      <c r="N7" s="130"/>
      <c r="O7" s="130"/>
      <c r="P7" s="112">
        <f>E11+K11+Q11+E15+K15+Q15+E19+H19+K19</f>
        <v>8127.4528</v>
      </c>
      <c r="Q7" s="112"/>
      <c r="R7" s="112"/>
      <c r="S7" s="112">
        <f>P7/H3</f>
        <v>0.8186015555282492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0.41295427488250952</v>
      </c>
      <c r="O11" s="90"/>
      <c r="P11" s="38"/>
      <c r="Q11" s="88">
        <f>'Resumo Detalhado'!D2</f>
        <v>9.27</v>
      </c>
      <c r="R11" s="90"/>
      <c r="S11" s="38"/>
      <c r="T11" s="88">
        <f>Q11/H3</f>
        <v>9.3367954345386901E-4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1112.04</v>
      </c>
      <c r="F15" s="119"/>
      <c r="G15" s="119"/>
      <c r="H15" s="119"/>
      <c r="I15" s="132"/>
      <c r="J15" s="38"/>
      <c r="K15" s="113">
        <f>'Resumo Detalhado'!K2+'Resumo Detalhado'!L2</f>
        <v>1482.7152000000001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682.07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741.35760000000005</v>
      </c>
      <c r="L19" s="123"/>
      <c r="M19" s="38"/>
      <c r="N19" s="121" t="s">
        <v>217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6715.8823999999995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0.72471178821124904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9266.9700000000012</v>
      </c>
      <c r="C2" s="29">
        <f>SUM(C6:C5000)</f>
        <v>9928.4599999999991</v>
      </c>
      <c r="D2" s="29">
        <f>SUM(D6:D5000)</f>
        <v>9.27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1112.04</v>
      </c>
      <c r="I2" s="29">
        <f t="shared" si="0"/>
        <v>682.07</v>
      </c>
      <c r="J2" s="29">
        <f t="shared" si="0"/>
        <v>0</v>
      </c>
      <c r="K2" s="29">
        <f t="shared" si="0"/>
        <v>741.35760000000005</v>
      </c>
      <c r="L2" s="29">
        <f t="shared" si="0"/>
        <v>741.35760000000005</v>
      </c>
      <c r="M2" s="29">
        <f t="shared" si="0"/>
        <v>6.35</v>
      </c>
      <c r="N2" s="29">
        <f t="shared" si="0"/>
        <v>6715.8823999999995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304058</v>
      </c>
      <c r="B6" s="140">
        <v>3302.05</v>
      </c>
      <c r="C6" s="141">
        <v>5168</v>
      </c>
      <c r="D6" s="140">
        <v>0</v>
      </c>
      <c r="E6" s="140">
        <v>0</v>
      </c>
      <c r="F6" s="140">
        <v>0</v>
      </c>
      <c r="G6" s="142">
        <v>0</v>
      </c>
      <c r="H6" s="140">
        <v>396.25</v>
      </c>
      <c r="I6" s="140">
        <v>262.19</v>
      </c>
      <c r="J6" s="140">
        <v>0</v>
      </c>
      <c r="K6" s="140">
        <v>264.16400000000004</v>
      </c>
      <c r="L6" s="140">
        <v>264.16400000000004</v>
      </c>
      <c r="M6" s="140">
        <v>0</v>
      </c>
      <c r="N6" s="140">
        <v>2379.4459999999999</v>
      </c>
      <c r="O6" s="142">
        <v>0.72059659908238816</v>
      </c>
      <c r="Q6"/>
    </row>
    <row r="7" spans="1:18" s="31" customFormat="1" x14ac:dyDescent="0.3">
      <c r="A7" s="62">
        <v>304081</v>
      </c>
      <c r="B7" s="140">
        <v>5242.83</v>
      </c>
      <c r="C7" s="141">
        <v>4475</v>
      </c>
      <c r="D7" s="140">
        <v>0</v>
      </c>
      <c r="E7" s="140">
        <v>0</v>
      </c>
      <c r="F7" s="140">
        <v>0</v>
      </c>
      <c r="G7" s="142">
        <v>0</v>
      </c>
      <c r="H7" s="140">
        <v>629.14</v>
      </c>
      <c r="I7" s="140">
        <v>416.29</v>
      </c>
      <c r="J7" s="140">
        <v>0</v>
      </c>
      <c r="K7" s="140">
        <v>419.4264</v>
      </c>
      <c r="L7" s="140">
        <v>419.4264</v>
      </c>
      <c r="M7" s="140">
        <v>0</v>
      </c>
      <c r="N7" s="140">
        <v>3777.9735999999998</v>
      </c>
      <c r="O7" s="142">
        <v>0.7205981502356551</v>
      </c>
      <c r="P7"/>
    </row>
    <row r="8" spans="1:18" s="31" customFormat="1" x14ac:dyDescent="0.3">
      <c r="A8" s="9" t="s">
        <v>618</v>
      </c>
      <c r="B8" s="140"/>
      <c r="C8" s="141"/>
      <c r="D8" s="140"/>
      <c r="E8" s="140"/>
      <c r="F8" s="140"/>
      <c r="G8" s="142"/>
      <c r="H8" s="140"/>
      <c r="I8" s="140"/>
      <c r="J8" s="140"/>
      <c r="K8" s="140"/>
      <c r="L8" s="140"/>
      <c r="M8" s="140"/>
      <c r="N8" s="140"/>
      <c r="O8" s="142"/>
      <c r="P8"/>
    </row>
    <row r="9" spans="1:18" s="31" customFormat="1" x14ac:dyDescent="0.3">
      <c r="A9" s="62">
        <v>303724</v>
      </c>
      <c r="B9" s="140">
        <v>722.09</v>
      </c>
      <c r="C9" s="141">
        <v>285.45999999999998</v>
      </c>
      <c r="D9" s="140">
        <v>9.27</v>
      </c>
      <c r="E9" s="140">
        <v>0</v>
      </c>
      <c r="F9" s="140">
        <v>0</v>
      </c>
      <c r="G9" s="142">
        <v>1.283773490839092E-2</v>
      </c>
      <c r="H9" s="140">
        <v>86.65</v>
      </c>
      <c r="I9" s="140">
        <v>3.59</v>
      </c>
      <c r="J9" s="140">
        <v>0</v>
      </c>
      <c r="K9" s="140">
        <v>57.767200000000003</v>
      </c>
      <c r="L9" s="140">
        <v>57.767200000000003</v>
      </c>
      <c r="M9" s="140">
        <v>6.35</v>
      </c>
      <c r="N9" s="140">
        <v>558.46280000000002</v>
      </c>
      <c r="O9" s="142">
        <v>0.77339777590051095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722.09</v>
      </c>
      <c r="C2" s="29">
        <f>SUM(C6:C5000)</f>
        <v>558.46280000000002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627</v>
      </c>
      <c r="B5" s="10">
        <v>8544.880000000001</v>
      </c>
      <c r="C5" s="10">
        <v>6157.419600000002</v>
      </c>
    </row>
    <row r="6" spans="1:4" x14ac:dyDescent="0.3">
      <c r="A6" s="9" t="s">
        <v>618</v>
      </c>
      <c r="B6" s="140">
        <v>722.09</v>
      </c>
      <c r="C6" s="140">
        <v>558.46280000000002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2026-10-07T15:21:47Z</dcterms:modified>
  <cp:category/>
  <cp:contentStatus/>
</cp:coreProperties>
</file>