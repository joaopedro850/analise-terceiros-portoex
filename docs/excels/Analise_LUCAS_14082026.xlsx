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7361041-3655-41A9-928C-4678558A3EE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<sst xmlns="http://schemas.openxmlformats.org/spreadsheetml/2006/main" count="854" uniqueCount="588">
  <si>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</si>
  <si>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</si>
  <si>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</si>
  <si>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</si>
  <si>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</si>
  <si>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</si>
  <si>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</si>
  <si>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</si>
  <si>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</si>
  <si>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</si>
  <si>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</si>
  <si>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</si>
  <si>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</si>
  <si>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</si>
  <si>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</si>
  <si>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</si>
  <si>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</si>
  <si>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</si>
  <si>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</si>
  <si>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</si>
  <si>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</si>
  <si>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</si>
  <si>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</si>
  <si>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</si>
  <si>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</si>
  <si>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</si>
  <si>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</si>
  <si>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</si>
  <si>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</si>
  <si>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</si>
  <si>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</si>
  <si>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</si>
  <si>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</si>
  <si>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</si>
  <si>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</si>
  <si>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</si>
  <si>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</si>
  <si>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</si>
  <si>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</si>
  <si>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</si>
  <si>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</si>
  <si>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</si>
  <si>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</si>
  <si>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</si>
  <si>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</si>
  <si>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</si>
  <si>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</si>
  <si>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</si>
  <si>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</si>
  <si>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</si>
  <si>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</si>
  <si>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</si>
  <si>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</si>
  <si>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</si>
  <si>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</si>
  <si>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</si>
  <si>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</si>
  <si>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</si>
  <si>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</si>
  <si>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</si>
  <si>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</si>
  <si>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</si>
  <si>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</si>
  <si>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</si>
  <si>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</si>
  <si>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</si>
  <si>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</si>
  <si>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</si>
  <si>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</si>
  <si>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</si>
  <si>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</si>
  <si>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</si>
  <si>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</si>
  <si>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</si>
  <si>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</si>
  <si>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</si>
  <si>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</si>
  <si>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</si>
  <si>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</si>
  <si>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</si>
  <si>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</si>
  <si>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</si>
  <si>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</si>
  <si>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</si>
  <si>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</si>
  <si>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</si>
  <si>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</si>
  <si>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</si>
  <si>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</si>
  <si>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</si>
  <si>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</si>
  <si>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</si>
  <si>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</si>
  <si>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</si>
  <si>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</si>
  <si>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</si>
  <si>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</si>
  <si>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</si>
  <si>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</si>
  <si>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</si>
  <si>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</si>
  <si>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</si>
  <si>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</si>
  <si>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</si>
  <si>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</si>
  <si>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</si>
  <si>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</si>
  <si>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</si>
  <si>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</si>
  <si>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</si>
  <si>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</si>
  <si>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</si>
  <si>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</si>
  <si>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</si>
  <si>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</si>
  <si>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</si>
  <si>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</si>
  <si>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</si>
  <si>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</si>
  <si>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</si>
  <si>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</si>
  <si>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</si>
  <si>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</si>
  <si>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</si>
  <si>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</si>
  <si>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</si>
  <si>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</si>
  <si>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</si>
  <si>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</si>
  <si>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</si>
  <si>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</si>
  <si>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</si>
  <si>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</si>
  <si>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</si>
  <si>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</si>
  <si>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</si>
  <si>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</si>
  <si>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</si>
  <si>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</si>
  <si>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</si>
  <si>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</si>
  <si>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</si>
  <si>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</si>
  <si>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</si>
  <si>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</si>
  <si>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</si>
  <si>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</si>
  <si>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</si>
  <si>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</si>
  <si>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</si>
  <si>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</si>
  <si>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</si>
  <si>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</si>
  <si>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</si>
  <si>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</si>
  <si>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</si>
  <si>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</si>
  <si>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</si>
  <si>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</si>
  <si>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</si>
  <si>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</si>
  <si>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</si>
  <si>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</si>
  <si>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</si>
  <si>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</si>
  <si>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</si>
  <si>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</si>
  <si>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</si>
  <si>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</si>
  <si>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</si>
  <si>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</si>
  <si>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</si>
  <si>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</si>
  <si>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</si>
  <si>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</si>
  <si>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</si>
  <si>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</si>
  <si>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</si>
  <si>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</si>
  <si>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</si>
  <si>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</si>
  <si>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</si>
  <si>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</si>
  <si>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</si>
  <si>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</si>
  <si>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</si>
  <si>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</si>
  <si>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</si>
  <si>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</si>
  <si>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</si>
  <si>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</si>
  <si>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</si>
  <si>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</si>
  <si>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</si>
  <si>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</si>
  <si>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</si>
  <si>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</si>
  <si>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</si>
  <si>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</si>
  <si>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</si>
  <si>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</si>
  <si>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</si>
  <si>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</si>
  <si>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</si>
  <si>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</si>
  <si>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</si>
  <si>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</si>
  <si>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</si>
  <si>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</si>
  <si>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</si>
  <si>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</si>
  <si>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</si>
  <si>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</si>
  <si>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</si>
  <si>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</si>
  <si>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</si>
  <si>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</si>
  <si>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</si>
  <si>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</si>
  <si>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</si>
  <si>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</si>
  <si>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</si>
  <si>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</si>
  <si>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</si>
  <si>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</si>
  <si>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</si>
  <si>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</si>
  <si>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</si>
  <si>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</si>
  <si>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</si>
  <si>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</si>
  <si>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</si>
  <si>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</si>
  <si>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</si>
  <si>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</si>
  <si>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</si>
  <si>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</si>
  <si>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</si>
  <si>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</si>
  <si>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</si>
  <si>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</si>
  <si>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</si>
  <si>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</si>
  <si>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</si>
  <si>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</si>
  <si>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</si>
  <si>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</si>
  <si>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</si>
  <si>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</si>
  <si>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</si>
  <si>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</si>
  <si>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</si>
  <si>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</si>
  <si>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</si>
  <si>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</si>
  <si>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</si>
  <si>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</si>
  <si>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</si>
  <si>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</si>
  <si>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</si>
  <si>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</si>
  <si>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</si>
  <si>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</si>
  <si>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</si>
  <si>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</si>
  <si>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</si>
  <si>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</si>
  <si>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</si>
  <si>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</si>
  <si>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</si>
  <si>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</si>
  <si>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</si>
  <si>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</si>
  <si>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</si>
  <si>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</si>
  <si>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</si>
  <si>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</si>
  <si>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</si>
  <si>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</si>
  <si>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</si>
  <si>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</si>
  <si>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</si>
  <si>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</si>
  <si>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</si>
  <si>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</si>
  <si>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</si>
  <si>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</si>
  <si>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</si>
  <si>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</si>
  <si>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</si>
  <si>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</si>
  <si>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</si>
  <si>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</si>
  <si>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</si>
  <si>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</si>
  <si>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</si>
  <si>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</si>
  <si>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</si>
  <si>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</si>
  <si>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</si>
  <si>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</si>
  <si>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</si>
  <si>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</si>
  <si>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</si>
  <si>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</si>
  <si>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</si>
  <si>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</si>
  <si>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</si>
  <si>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</si>
  <si>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</si>
  <si>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</si>
  <si>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</si>
  <si>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</si>
  <si>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</si>
  <si>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</si>
  <si>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</si>
  <si>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</si>
  <si>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</si>
  <si>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</si>
  <si>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</si>
  <si>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</si>
  <si>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</si>
  <si>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</si>
  <si>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</si>
  <si>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</si>
  <si>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</si>
  <si>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</si>
  <si>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</si>
  <si>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</si>
  <si>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</si>
  <si>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</si>
  <si>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</si>
  <si>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</si>
  <si>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</si>
  <si>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</si>
  <si>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</si>
  <si>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</si>
  <si>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</si>
  <si>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</si>
  <si>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</si>
  <si>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</si>
  <si>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</si>
  <si>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</si>
  <si>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</si>
  <si>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</si>
  <si>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</si>
  <si>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</si>
  <si>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</si>
  <si>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</si>
  <si>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</si>
  <si>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</si>
  <si>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</si>
  <si>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</si>
  <si>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</si>
  <si>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</si>
  <si>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</si>
  <si>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</si>
  <si>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</si>
  <si>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</si>
  <si>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</si>
  <si>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</si>
  <si>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</si>
  <si>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</si>
  <si>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</si>
  <si>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</si>
  <si>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</si>
  <si>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</si>
  <si>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</si>
  <si>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</si>
  <si>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</si>
  <si>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</si>
  <si>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</si>
  <si>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</si>
  <si>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</si>
  <si>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</si>
  <si>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</si>
  <si>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</si>
  <si>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</si>
  <si>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</si>
  <si>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</si>
  <si>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</si>
  <si>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</si>
  <si>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</si>
  <si>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</si>
  <si>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</si>
  <si>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</si>
  <si>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</si>
  <si>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</si>
  <si>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</si>
  <si>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</si>
  <si>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</si>
  <si>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</si>
  <si>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</si>
  <si>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</si>
  <si>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</si>
  <si>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</si>
  <si>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</si>
  <si>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</si>
  <si>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</si>
  <si>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</si>
  <si>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</si>
  <si>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</si>
  <si>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</si>
  <si>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</si>
  <si>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</si>
  <si>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</si>
  <si>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</si>
  <si>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</si>
  <si>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</si>
  <si>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</si>
  <si>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</si>
  <si>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</si>
  <si>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</si>
  <si>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</si>
  <si>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</si>
  <si>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</si>
  <si>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</si>
  <si>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</si>
  <si>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</si>
  <si>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</si>
  <si>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</si>
  <si>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</si>
  <si>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</si>
  <si>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</si>
  <si>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</si>
  <si>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</si>
  <si>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</si>
  <si>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</si>
  <si>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</si>
  <si>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</si>
  <si>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</si>
  <si>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</si>
  <si>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</si>
  <si>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</si>
  <si>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</si>
  <si>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</si>
  <si>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</si>
  <si>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</si>
  <si>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</si>
  <si>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</si>
  <si>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</si>
  <si>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</si>
  <si>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</si>
  <si>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</si>
  <si>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</si>
  <si>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</si>
  <si>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</si>
  <si>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</si>
  <si>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</si>
  <si>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</si>
  <si>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</si>
  <si>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</si>
  <si>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</si>
  <si>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</si>
  <si>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</si>
  <si>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</si>
  <si>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</si>
  <si>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</si>
  <si>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</si>
  <si>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</si>
  <si>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</si>
  <si>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</si>
  <si>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</si>
  <si>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</si>
  <si>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</si>
  <si>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</si>
  <si>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</si>
  <si>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</si>
  <si>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</si>
  <si>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</si>
  <si>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</si>
  <si>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</si>
  <si>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</si>
  <si>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</si>
  <si>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</si>
  <si>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</si>
  <si>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</si>
  <si>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</si>
  <si>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</si>
  <si>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</si>
  <si>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</si>
  <si>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</si>
  <si>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</si>
  <si>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</si>
  <si>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</si>
  <si>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</si>
  <si>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</si>
  <si>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</si>
  <si>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</si>
  <si>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</si>
  <si>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</si>
  <si>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</si>
  <si>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</si>
  <si>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</si>
  <si>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</si>
  <si>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</si>
  <si>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</si>
  <si>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</si>
  <si>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</si>
  <si>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</si>
  <si>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</si>
  <si>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</si>
  <si>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</si>
  <si>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</si>
  <si>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</si>
  <si>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</si>
  <si>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</si>
  <si>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</si>
  <si>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</si>
  <si>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</si>
  <si>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</si>
  <si>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</si>
  <si>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</si>
  <si>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</si>
  <si>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</si>
  <si>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</si>
  <si>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</si>
  <si>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</si>
  <si>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</si>
  <si>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</si>
  <si>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</si>
  <si>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</si>
  <si>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</si>
  <si>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</si>
  <si>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</si>
  <si>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</si>
  <si>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</si>
  <si>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</si>
  <si>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</si>
  <si>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</si>
  <si>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</si>
  <si>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</si>
  <si>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</si>
  <si>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</si>
  <si>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</si>
  <si>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</si>
  <si>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</si>
  <si>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</si>
  <si>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</si>
  <si>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</si>
  <si>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</si>
  <si>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</si>
  <si>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</si>
  <si>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</si>
  <si>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</si>
  <si>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</si>
  <si>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</si>
  <si>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</si>
  <si>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</si>
  <si>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</si>
  <si>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</si>
  <si>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</si>
  <si>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</si>
  <si>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</si>
  <si>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</si>
  <si>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</si>
  <si>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</si>
  <si>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</si>
  <si>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</si>
  <si>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</si>
  <si>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</si>
  <si>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</si>
  <si>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</si>
  <si>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</si>
  <si>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</si>
  <si>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</si>
  <si>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</si>
  <si>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</si>
  <si>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</si>
  <si>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</si>
  <si>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</si>
  <si>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</si>
  <si>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</si>
  <si>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</si>
  <si>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</si>
  <si>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</si>
  <si>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</si>
  <si>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2373-1</t>
  </si>
  <si>
    <t>VENTUNO PRODUTO</t>
  </si>
  <si>
    <t>MARLON MARQUES</t>
  </si>
  <si>
    <t>PERSONALIZADO_L</t>
  </si>
  <si>
    <t>CTE NORMAL</t>
  </si>
  <si>
    <t>VARZEA PAULISTA - SP</t>
  </si>
  <si>
    <t>UILIAN PRAZITO RODRIGUES</t>
  </si>
  <si>
    <t>NHC TRANSPORTES LTDA</t>
  </si>
  <si>
    <t>INDEFINIDO</t>
  </si>
  <si>
    <t>Itajai-Sc X Várzea Paulista-Sptruck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</si>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</sst>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[Analise_LUCAS_14082026.xlsx]Resumo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7800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927.25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[Analise_LUCAS_14082026.xlsx]Resumo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7800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927.25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3.45125775462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454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4T00:00:00" maxDate="2026-08-15T00:00:00"/>
    </cacheField>
    <cacheField name="DATA" numFmtId="14">
      <sharedItems containsNonDate="0" containsDate="1" containsString="0" containsBlank="1" minDate="2026-08-14T00:00:00" maxDate="2026-08-15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VENTUNO PRODUT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containsInteger="1" minValue="272160" maxValue="272160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containsInteger="1" minValue="7800" maxValue="7800"/>
    </cacheField>
    <cacheField name="VOLUMES" numFmtId="0">
      <sharedItems containsString="0" containsBlank="1" containsNumber="1" containsInteger="1" minValue="420" maxValue="420"/>
    </cacheField>
    <cacheField name="PESO" numFmtId="0">
      <sharedItems containsString="0" containsBlank="1" containsNumber="1" containsInteger="1" minValue="12474" maxValue="12474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4500" maxValue="45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containsInteger="1" minValue="936" maxValue="93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08.86" maxValue="108.86"/>
    </cacheField>
    <cacheField name="OUTROS" numFmtId="0">
      <sharedItems containsString="0" containsBlank="1" containsNumber="1" minValue="79.89" maxValue="79.89"/>
    </cacheField>
    <cacheField name="C.TOTAL" numFmtId="0">
      <sharedItems containsString="0" containsBlank="1" containsNumber="1" minValue="5624.75" maxValue="5624.75"/>
    </cacheField>
    <cacheField name="RECEITA" numFmtId="0">
      <sharedItems containsString="0" containsBlank="1" containsNumber="1" minValue="2175.25" maxValue="2175.25"/>
    </cacheField>
    <cacheField name="IMPOSTO" numFmtId="0">
      <sharedItems containsString="0" containsBlank="1" containsNumber="1" containsInteger="1" minValue="1248" maxValue="1248"/>
    </cacheField>
    <cacheField name="RESULTADO" numFmtId="0">
      <sharedItems containsString="0" containsBlank="1" containsNumber="1" minValue="927.25" maxValue="927.25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927.25" maxValue="927.25"/>
    </cacheField>
    <cacheField name="MARGEM" numFmtId="10">
      <sharedItems containsString="0" containsBlank="1" containsNumber="1" minValue="0.11890000000000001" maxValue="0.1189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4T00:00:00"/>
    <d v="2026-08-14T00:00:00"/>
    <m/>
    <s v="2373-1"/>
    <x v="0"/>
    <s v="MARLON MARQUES"/>
    <n v="272160"/>
    <x v="0"/>
    <s v="CTE NORMAL"/>
    <s v="VARZEA PAULISTA - SP"/>
    <n v="7800"/>
    <n v="420"/>
    <n v="12474"/>
    <s v="UILIAN PRAZITO RODRIGUES"/>
    <n v="0"/>
    <s v="NHC TRANSPORTES LTDA"/>
    <n v="4500"/>
    <s v="INDEFINIDO"/>
    <n v="0"/>
    <n v="936"/>
    <n v="0"/>
    <n v="0"/>
    <n v="108.86"/>
    <n v="79.89"/>
    <n v="5624.75"/>
    <n v="2175.25"/>
    <n v="1248"/>
    <n v="927.25"/>
    <n v="0"/>
    <n v="927.25"/>
    <n v="0.11890000000000001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1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2"/>
        <item m="1" x="241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7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2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m="1" x="366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3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7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x="0"/>
        <item m="1" x="758"/>
        <item m="1" x="600"/>
        <item m="1" x="12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813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1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2"/>
        <item m="1" x="241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7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2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m="1" x="366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3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7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x="0"/>
        <item m="1" x="758"/>
        <item m="1" x="600"/>
        <item m="1" x="12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813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9" s="1" nd="1"/>
        <i x="187" s="1" nd="1"/>
        <i x="273" s="1" nd="1"/>
        <i x="11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4" s="1" nd="1"/>
        <i x="581" s="1" nd="1"/>
        <i x="852" s="1" nd="1"/>
        <i x="20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8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3" s="1" nd="1"/>
        <i x="15" s="1" nd="1"/>
        <i x="232" s="1" nd="1"/>
        <i x="241" s="1" nd="1"/>
        <i x="5" s="1" nd="1"/>
        <i x="387" s="1" nd="1"/>
        <i x="369" s="1" nd="1"/>
        <i x="615" s="1" nd="1"/>
        <i x="57" s="1" nd="1"/>
        <i x="707" s="1" nd="1"/>
        <i x="23" s="1" nd="1"/>
        <i x="36" s="1" nd="1"/>
        <i x="8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2" s="1" nd="1"/>
        <i x="589" s="1" nd="1"/>
        <i x="747" s="1" nd="1"/>
        <i x="269" s="1" nd="1"/>
        <i x="17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6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3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2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366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19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0" s="1" nd="1"/>
        <i x="142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5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3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8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0" s="1" nd="1"/>
        <i x="105" s="1" nd="1"/>
        <i x="533" s="1" nd="1"/>
        <i x="297" s="1" nd="1"/>
        <i x="396" s="1" nd="1"/>
        <i x="229" s="1" nd="1"/>
        <i x="7" s="1" nd="1"/>
        <i x="472" s="1" nd="1"/>
        <i x="824" s="1" nd="1"/>
        <i x="35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758" s="1" nd="1"/>
        <i x="600" s="1" nd="1"/>
        <i x="12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92" dataDxfId="90" headerRowBorderDxfId="91" tableBorderDxfId="89" totalsRowBorderDxfId="88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2454</v>
      </c>
      <c r="B2" s="12" t="s">
        <v>576</v>
      </c>
      <c r="C2" s="14">
        <v>46248</v>
      </c>
      <c r="D2" s="14">
        <v>46248</v>
      </c>
      <c r="E2" s="12"/>
      <c r="F2" s="15" t="s">
        <v>577</v>
      </c>
      <c r="G2" s="15" t="s">
        <v>578</v>
      </c>
      <c r="H2" s="15" t="s">
        <v>579</v>
      </c>
      <c r="I2" s="16">
        <v>272160</v>
      </c>
      <c r="J2" s="15" t="s">
        <v>580</v>
      </c>
      <c r="K2" s="15" t="s">
        <v>581</v>
      </c>
      <c r="L2" s="15" t="s">
        <v>582</v>
      </c>
      <c r="M2" s="15">
        <v>7800</v>
      </c>
      <c r="N2" s="15">
        <v>420</v>
      </c>
      <c r="O2" s="16">
        <v>12474</v>
      </c>
      <c r="P2" s="15" t="s">
        <v>583</v>
      </c>
      <c r="Q2" s="15">
        <v>0</v>
      </c>
      <c r="R2" s="15" t="s">
        <v>584</v>
      </c>
      <c r="S2" s="15">
        <v>4500</v>
      </c>
      <c r="T2" s="15" t="s">
        <v>585</v>
      </c>
      <c r="U2" s="15">
        <v>0</v>
      </c>
      <c r="V2" s="15">
        <v>936</v>
      </c>
      <c r="W2" s="15">
        <v>0</v>
      </c>
      <c r="X2" s="15">
        <v>0</v>
      </c>
      <c r="Y2" s="15">
        <v>108.86</v>
      </c>
      <c r="Z2" s="15">
        <v>79.89</v>
      </c>
      <c r="AA2" s="15">
        <v>5624.75</v>
      </c>
      <c r="AB2" s="15">
        <v>2175.25</v>
      </c>
      <c r="AC2" s="15">
        <v>1248</v>
      </c>
      <c r="AD2" s="15">
        <v>927.25</v>
      </c>
      <c r="AE2" s="15">
        <v>0</v>
      </c>
      <c r="AF2" s="15">
        <v>927.25</v>
      </c>
      <c r="AG2" s="17">
        <v>0.11890000000000001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7800</v>
      </c>
      <c r="F3" s="89"/>
      <c r="G3" s="90"/>
      <c r="H3" s="133">
        <f>'Resumo Detalhado'!C2</f>
        <v>12474</v>
      </c>
      <c r="I3" s="134"/>
      <c r="J3" s="135">
        <f>E3/H3</f>
        <v>0.62530062530062525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4500</v>
      </c>
      <c r="F7" s="112"/>
      <c r="G7" s="112"/>
      <c r="H7" s="112"/>
      <c r="I7" s="112"/>
      <c r="J7" s="112">
        <f>E7/H3</f>
        <v>0.36075036075036077</v>
      </c>
      <c r="K7" s="112"/>
      <c r="L7" s="112"/>
      <c r="M7" s="130">
        <f>E7/E3</f>
        <v>0.57692307692307687</v>
      </c>
      <c r="N7" s="130"/>
      <c r="O7" s="130"/>
      <c r="P7" s="112">
        <f>E11+K11+Q11+E15+K15+Q15+E19+H19+K19</f>
        <v>7496.75</v>
      </c>
      <c r="Q7" s="112"/>
      <c r="R7" s="112"/>
      <c r="S7" s="112">
        <f>P7/H3</f>
        <v>0.60099005932339267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4500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4500</v>
      </c>
      <c r="L11" s="90"/>
      <c r="M11" s="38"/>
      <c r="N11" s="88">
        <f>K11/H3</f>
        <v>0.36075036075036077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936</v>
      </c>
      <c r="F15" s="119"/>
      <c r="G15" s="119"/>
      <c r="H15" s="119"/>
      <c r="I15" s="132"/>
      <c r="J15" s="38"/>
      <c r="K15" s="113">
        <f>'Resumo Detalhado'!K2+'Resumo Detalhado'!L2</f>
        <v>1248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108.86</v>
      </c>
      <c r="F19" s="120"/>
      <c r="G19" s="38"/>
      <c r="H19" s="122">
        <f>'Resumo Detalhado'!J2</f>
        <v>79.89</v>
      </c>
      <c r="I19" s="123"/>
      <c r="J19" s="38"/>
      <c r="K19" s="122">
        <f>'Resumo Detalhado'!L2</f>
        <v>624</v>
      </c>
      <c r="L19" s="123"/>
      <c r="M19" s="38"/>
      <c r="N19" s="121" t="s">
        <v>586</v>
      </c>
      <c r="O19" s="119"/>
      <c r="P19" s="119"/>
      <c r="Q19" s="119"/>
      <c r="R19" s="120"/>
      <c r="S19" s="121">
        <v>4500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927.25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0.11887820512820513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587</v>
      </c>
      <c r="F1" s="29"/>
    </row>
    <row r="2" spans="1:18" x14ac:dyDescent="0.3">
      <c r="B2" s="29">
        <f>SUM(B6:B5000)</f>
        <v>7800</v>
      </c>
      <c r="C2" s="29">
        <f>SUM(C6:C5000)</f>
        <v>12474</v>
      </c>
      <c r="D2" s="29">
        <f>SUM(D6:D5000)</f>
        <v>0</v>
      </c>
      <c r="E2" s="29">
        <f>SUM(E6:E5000)</f>
        <v>4500</v>
      </c>
      <c r="F2" s="29">
        <f>SUM(F6:F5000)</f>
        <v>0</v>
      </c>
      <c r="G2" s="29"/>
      <c r="H2" s="29">
        <f t="shared" ref="H2:P2" si="0">SUM(H6:H5000)</f>
        <v>936</v>
      </c>
      <c r="I2" s="29">
        <f t="shared" si="0"/>
        <v>108.86</v>
      </c>
      <c r="J2" s="29">
        <f t="shared" si="0"/>
        <v>79.89</v>
      </c>
      <c r="K2" s="29">
        <f t="shared" si="0"/>
        <v>624</v>
      </c>
      <c r="L2" s="29">
        <f t="shared" si="0"/>
        <v>624</v>
      </c>
      <c r="M2" s="29">
        <f t="shared" si="0"/>
        <v>0</v>
      </c>
      <c r="N2" s="29">
        <f t="shared" si="0"/>
        <v>927.25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578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2454</v>
      </c>
      <c r="B6" s="140">
        <v>7800</v>
      </c>
      <c r="C6" s="141">
        <v>12474</v>
      </c>
      <c r="D6" s="140">
        <v>0</v>
      </c>
      <c r="E6" s="140">
        <v>4500</v>
      </c>
      <c r="F6" s="140">
        <v>0</v>
      </c>
      <c r="G6" s="142">
        <v>0.57692307692307687</v>
      </c>
      <c r="H6" s="140">
        <v>936</v>
      </c>
      <c r="I6" s="140">
        <v>108.86</v>
      </c>
      <c r="J6" s="140">
        <v>79.89</v>
      </c>
      <c r="K6" s="140">
        <v>624</v>
      </c>
      <c r="L6" s="140">
        <v>624</v>
      </c>
      <c r="M6" s="140">
        <v>0</v>
      </c>
      <c r="N6" s="140">
        <v>927.25</v>
      </c>
      <c r="O6" s="142">
        <v>0.11887820512820513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587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578</v>
      </c>
      <c r="B5" s="10">
        <v>7800</v>
      </c>
      <c r="C5" s="10">
        <v>927.25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4500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2026-08-19T13:49:58Z</dcterms:modified>
  <cp:category/>
  <cp:contentStatus/>
</cp:coreProperties>
</file>