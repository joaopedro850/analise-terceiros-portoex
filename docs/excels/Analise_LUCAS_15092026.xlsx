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ABD5FA2-2B89-4BF4-869E-AD5D5B657BC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<sst xmlns="http://schemas.openxmlformats.org/spreadsheetml/2006/main" count="874" uniqueCount="601">
  <si>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</si>
  <si>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</si>
  <si>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</si>
  <si>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</si>
  <si>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</si>
  <si>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</si>
  <si>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</si>
  <si>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</si>
  <si>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</si>
  <si>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</si>
  <si>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</si>
  <si>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</si>
  <si>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</si>
  <si>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</si>
  <si>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</si>
  <si>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</si>
  <si>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</si>
  <si>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</si>
  <si>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</si>
  <si>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</si>
  <si>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</si>
  <si>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</si>
  <si>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</si>
  <si>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</si>
  <si>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</si>
  <si>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</si>
  <si>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</si>
  <si>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</si>
  <si>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</si>
  <si>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</si>
  <si>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</si>
  <si>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</si>
  <si>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</si>
  <si>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</si>
  <si>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</si>
  <si>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</si>
  <si>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</si>
  <si>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</si>
  <si>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</si>
  <si>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</si>
  <si>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</si>
  <si>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</si>
  <si>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</si>
  <si>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</si>
  <si>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</si>
  <si>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</si>
  <si>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</si>
  <si>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</si>
  <si>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</si>
  <si>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</si>
  <si>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</si>
  <si>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</si>
  <si>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</si>
  <si>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</si>
  <si>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</si>
  <si>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</si>
  <si>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</si>
  <si>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</si>
  <si>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</si>
  <si>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</si>
  <si>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</si>
  <si>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</si>
  <si>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</si>
  <si>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</si>
  <si>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</si>
  <si>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</si>
  <si>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</si>
  <si>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</si>
  <si>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</si>
  <si>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</si>
  <si>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</si>
  <si>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</si>
  <si>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</si>
  <si>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</si>
  <si>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</si>
  <si>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</si>
  <si>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</si>
  <si>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</si>
  <si>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</si>
  <si>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</si>
  <si>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</si>
  <si>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</si>
  <si>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</si>
  <si>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</si>
  <si>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</si>
  <si>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</si>
  <si>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</si>
  <si>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</si>
  <si>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</si>
  <si>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</si>
  <si>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</si>
  <si>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</si>
  <si>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</si>
  <si>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</si>
  <si>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</si>
  <si>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</si>
  <si>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</si>
  <si>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</si>
  <si>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</si>
  <si>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</si>
  <si>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</si>
  <si>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</si>
  <si>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</si>
  <si>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</si>
  <si>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</si>
  <si>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</si>
  <si>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</si>
  <si>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</si>
  <si>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</si>
  <si>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</si>
  <si>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</si>
  <si>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</si>
  <si>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</si>
  <si>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</si>
  <si>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</si>
  <si>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</si>
  <si>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</si>
  <si>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</si>
  <si>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</si>
  <si>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</si>
  <si>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</si>
  <si>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</si>
  <si>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</si>
  <si>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</si>
  <si>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</si>
  <si>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</si>
  <si>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</si>
  <si>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</si>
  <si>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</si>
  <si>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</si>
  <si>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</si>
  <si>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</si>
  <si>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</si>
  <si>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</si>
  <si>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</si>
  <si>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</si>
  <si>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</si>
  <si>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</si>
  <si>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</si>
  <si>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</si>
  <si>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</si>
  <si>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</si>
  <si>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</si>
  <si>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</si>
  <si>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</si>
  <si>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</si>
  <si>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</si>
  <si>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</si>
  <si>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</si>
  <si>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</si>
  <si>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</si>
  <si>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</si>
  <si>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</si>
  <si>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</si>
  <si>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</si>
  <si>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</si>
  <si>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</si>
  <si>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</si>
  <si>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</si>
  <si>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</si>
  <si>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</si>
  <si>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</si>
  <si>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</si>
  <si>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</si>
  <si>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</si>
  <si>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</si>
  <si>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</si>
  <si>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</si>
  <si>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</si>
  <si>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</si>
  <si>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</si>
  <si>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</si>
  <si>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</si>
  <si>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</si>
  <si>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</si>
  <si>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</si>
  <si>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</si>
  <si>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</si>
  <si>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</si>
  <si>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</si>
  <si>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</si>
  <si>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</si>
  <si>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</si>
  <si>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</si>
  <si>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</si>
  <si>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</si>
  <si>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</si>
  <si>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</si>
  <si>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</si>
  <si>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</si>
  <si>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</si>
  <si>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</si>
  <si>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</si>
  <si>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</si>
  <si>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</si>
  <si>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</si>
  <si>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</si>
  <si>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</si>
  <si>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</si>
  <si>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</si>
  <si>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</si>
  <si>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</si>
  <si>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</si>
  <si>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</si>
  <si>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</si>
  <si>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</si>
  <si>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</si>
  <si>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</si>
  <si>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</si>
  <si>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</si>
  <si>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</si>
  <si>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</si>
  <si>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</si>
  <si>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</si>
  <si>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</si>
  <si>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</si>
  <si>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</si>
  <si>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</si>
  <si>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</si>
  <si>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</si>
  <si>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</si>
  <si>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</si>
  <si>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</si>
  <si>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</si>
  <si>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</si>
  <si>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</si>
  <si>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</si>
  <si>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</si>
  <si>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</si>
  <si>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</si>
  <si>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</si>
  <si>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</si>
  <si>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</si>
  <si>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</si>
  <si>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</si>
  <si>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</si>
  <si>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</si>
  <si>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</si>
  <si>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</si>
  <si>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</si>
  <si>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</si>
  <si>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</si>
  <si>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</si>
  <si>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</si>
  <si>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</si>
  <si>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</si>
  <si>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</si>
  <si>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</si>
  <si>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</si>
  <si>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</si>
  <si>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</si>
  <si>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</si>
  <si>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</si>
  <si>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</si>
  <si>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</si>
  <si>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</si>
  <si>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</si>
  <si>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</si>
  <si>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</si>
  <si>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</si>
  <si>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</si>
  <si>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</si>
  <si>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</si>
  <si>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</si>
  <si>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</si>
  <si>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</si>
  <si>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</si>
  <si>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</si>
  <si>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</si>
  <si>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</si>
  <si>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</si>
  <si>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</si>
  <si>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</si>
  <si>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</si>
  <si>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</si>
  <si>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</si>
  <si>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</si>
  <si>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</si>
  <si>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</si>
  <si>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</si>
  <si>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</si>
  <si>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</si>
  <si>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</si>
  <si>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</si>
  <si>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</si>
  <si>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</si>
  <si>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</si>
  <si>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</si>
  <si>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</si>
  <si>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</si>
  <si>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</si>
  <si>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</si>
  <si>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</si>
  <si>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</si>
  <si>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</si>
  <si>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</si>
  <si>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</si>
  <si>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</si>
  <si>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</si>
  <si>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</si>
  <si>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</si>
  <si>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</si>
  <si>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</si>
  <si>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</si>
  <si>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</si>
  <si>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</si>
  <si>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</si>
  <si>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</si>
  <si>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</si>
  <si>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</si>
  <si>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</si>
  <si>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</si>
  <si>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</si>
  <si>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</si>
  <si>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</si>
  <si>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</si>
  <si>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</si>
  <si>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</si>
  <si>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</si>
  <si>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</si>
  <si>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</si>
  <si>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</si>
  <si>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</si>
  <si>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</si>
  <si>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</si>
  <si>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</si>
  <si>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</si>
  <si>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</si>
  <si>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</si>
  <si>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</si>
  <si>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</si>
  <si>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</si>
  <si>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</si>
  <si>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</si>
  <si>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</si>
  <si>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</si>
  <si>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</si>
  <si>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</si>
  <si>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</si>
  <si>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</si>
  <si>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</si>
  <si>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</si>
  <si>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</si>
  <si>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</si>
  <si>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</si>
  <si>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</si>
  <si>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</si>
  <si>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</si>
  <si>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</si>
  <si>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</si>
  <si>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</si>
  <si>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</si>
  <si>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</si>
  <si>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</si>
  <si>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</si>
  <si>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</si>
  <si>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</si>
  <si>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</si>
  <si>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</si>
  <si>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</si>
  <si>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</si>
  <si>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</si>
  <si>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</si>
  <si>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</si>
  <si>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</si>
  <si>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</si>
  <si>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</si>
  <si>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</si>
  <si>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</si>
  <si>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</si>
  <si>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</si>
  <si>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</si>
  <si>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</si>
  <si>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</si>
  <si>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</si>
  <si>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</si>
  <si>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</si>
  <si>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</si>
  <si>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</si>
  <si>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</si>
  <si>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</si>
  <si>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</si>
  <si>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</si>
  <si>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</si>
  <si>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</si>
  <si>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</si>
  <si>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</si>
  <si>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</si>
  <si>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</si>
  <si>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</si>
  <si>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</si>
  <si>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</si>
  <si>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</si>
  <si>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</si>
  <si>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</si>
  <si>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</si>
  <si>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</si>
  <si>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</si>
  <si>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</si>
  <si>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</si>
  <si>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</si>
  <si>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</si>
  <si>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</si>
  <si>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</si>
  <si>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</si>
  <si>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</si>
  <si>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</si>
  <si>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</si>
  <si>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</si>
  <si>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</si>
  <si>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</si>
  <si>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</si>
  <si>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</si>
  <si>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</si>
  <si>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</si>
  <si>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</si>
  <si>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</si>
  <si>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</si>
  <si>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</si>
  <si>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</si>
  <si>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</si>
  <si>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</si>
  <si>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</si>
  <si>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</si>
  <si>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</si>
  <si>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</si>
  <si>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</si>
  <si>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</si>
  <si>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</si>
  <si>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</si>
  <si>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</si>
  <si>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</si>
  <si>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</si>
  <si>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</si>
  <si>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</si>
  <si>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</si>
  <si>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</si>
  <si>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</si>
  <si>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</si>
  <si>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</si>
  <si>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</si>
  <si>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</si>
  <si>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</si>
  <si>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</si>
  <si>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</si>
  <si>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</si>
  <si>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</si>
  <si>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</si>
  <si>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</si>
  <si>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</si>
  <si>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</si>
  <si>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</si>
  <si>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</si>
  <si>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</si>
  <si>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</si>
  <si>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</si>
  <si>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</si>
  <si>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</si>
  <si>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</si>
  <si>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</si>
  <si>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</si>
  <si>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</si>
  <si>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</si>
  <si>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</si>
  <si>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</si>
  <si>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</si>
  <si>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</si>
  <si>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</si>
  <si>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</si>
  <si>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</si>
  <si>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</si>
  <si>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</si>
  <si>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</si>
  <si>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</si>
  <si>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</si>
  <si>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</si>
  <si>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</si>
  <si>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</si>
  <si>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</si>
  <si>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</si>
  <si>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</si>
  <si>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</si>
  <si>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</si>
  <si>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</si>
  <si>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</si>
  <si>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</si>
  <si>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</si>
  <si>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</si>
  <si>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</si>
  <si>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</si>
  <si>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</si>
  <si>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</si>
  <si>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</si>
  <si>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</si>
  <si>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</si>
  <si>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</si>
  <si>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</si>
  <si>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</si>
  <si>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</si>
  <si>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</si>
  <si>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</si>
  <si>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</si>
  <si>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</si>
  <si>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</si>
  <si>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</si>
  <si>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</si>
  <si>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</si>
  <si>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</si>
  <si>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</si>
  <si>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</si>
  <si>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</si>
  <si>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</si>
  <si>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</si>
  <si>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</si>
  <si>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</si>
  <si>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</si>
  <si>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</si>
  <si>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</si>
  <si>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</si>
  <si>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</si>
  <si>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</si>
  <si>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</si>
  <si>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</si>
  <si>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</si>
  <si>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</si>
  <si>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</si>
  <si>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</si>
  <si>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</si>
  <si>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</si>
  <si>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</si>
  <si>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</si>
  <si>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</si>
  <si>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</si>
  <si>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</si>
  <si>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</si>
  <si>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</si>
  <si>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</si>
  <si>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</si>
  <si>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</si>
  <si>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</si>
  <si>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</si>
  <si>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</si>
  <si>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</si>
  <si>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</si>
  <si>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</si>
  <si>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</si>
  <si>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</si>
  <si>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</si>
  <si>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</si>
  <si>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</si>
  <si>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</si>
  <si>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</si>
  <si>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</si>
  <si>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</si>
  <si>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</si>
  <si>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</si>
  <si>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</si>
  <si>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</si>
  <si>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</si>
  <si>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</si>
  <si>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</si>
  <si>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</si>
  <si>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</si>
  <si>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</si>
  <si>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</si>
  <si>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</si>
  <si>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</si>
  <si>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</si>
  <si>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</si>
  <si>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</si>
  <si>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</si>
  <si>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</si>
  <si>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</si>
  <si>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</si>
  <si>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</si>
  <si>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</si>
  <si>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</si>
  <si>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</si>
  <si>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</si>
  <si>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</si>
  <si>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</si>
  <si>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</si>
  <si>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</si>
  <si>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</si>
  <si>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MATRIZ</t>
  </si>
  <si>
    <t>3019-1</t>
  </si>
  <si>
    <t>STRATUS COMERCI</t>
  </si>
  <si>
    <t>MICHELL MARQUES</t>
  </si>
  <si>
    <t>ECONOMICO_250</t>
  </si>
  <si>
    <t>CTE NORMAL</t>
  </si>
  <si>
    <t>SAO PAULO - SP</t>
  </si>
  <si>
    <t>PEX LOGISTICA INTEGRADA L</t>
  </si>
  <si>
    <t>NICKSON DOS SANTOS MONTEI</t>
  </si>
  <si>
    <t>NHC TRANSPORTES LTDA</t>
  </si>
  <si>
    <t>3048-1</t>
  </si>
  <si>
    <t>AC COMERCIAL IM</t>
  </si>
  <si>
    <t>TIAGO SANTANA</t>
  </si>
  <si>
    <t>PERSONALIZADO</t>
  </si>
  <si>
    <t>SAO BERNARDO DO CAMPO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</si>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</sst>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6122.81</c:v>
                </c:pt>
                <c:pt idx="1">
                  <c:v>141.63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4769.1352000000006</c:v>
                </c:pt>
                <c:pt idx="1">
                  <c:v>71.329600000000013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6122.81</c:v>
                </c:pt>
                <c:pt idx="1">
                  <c:v>141.63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4769.1352000000006</c:v>
                </c:pt>
                <c:pt idx="1">
                  <c:v>71.329600000000013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21388889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19"/>
        <n v="314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4T00:00:00" maxDate="2026-09-16T00:00:00"/>
    </cacheField>
    <cacheField name="DATA" numFmtId="14">
      <sharedItems containsNonDate="0" containsDate="1" containsString="0" containsBlank="1" minDate="2026-09-14T00:00:00" maxDate="2026-09-1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TRATUS COMERCI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99.53" maxValue="188072.88"/>
    </cacheField>
    <cacheField name="SERVICO" numFmtId="0">
      <sharedItems containsBlank="1" count="27">
        <s v="ECONOMICO_250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1.63" maxValue="6122.81"/>
    </cacheField>
    <cacheField name="VOLUMES" numFmtId="0">
      <sharedItems containsString="0" containsBlank="1" containsNumber="1" containsInteger="1" minValue="1" maxValue="10"/>
    </cacheField>
    <cacheField name="PESO" numFmtId="0">
      <sharedItems containsString="0" containsBlank="1" containsNumber="1" minValue="20.48" maxValue="3561"/>
    </cacheField>
    <cacheField name="RESP. COLETA" numFmtId="0">
      <sharedItems containsBlank="1"/>
    </cacheField>
    <cacheField name="CUSTO COLETA" numFmtId="0">
      <sharedItems containsString="0" containsBlank="1" containsNumber="1" minValue="0" maxValue="1.5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6.989999999999998" maxValue="734.7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4" maxValue="75.2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4.88" maxValue="4524.0600000000004"/>
    </cacheField>
    <cacheField name="RECEITA" numFmtId="0">
      <sharedItems containsString="0" containsBlank="1" containsNumber="1" minValue="-3.25" maxValue="1598.75"/>
    </cacheField>
    <cacheField name="IMPOSTO" numFmtId="0">
      <sharedItems containsString="0" containsBlank="1" containsNumber="1" minValue="22.66" maxValue="979.65"/>
    </cacheField>
    <cacheField name="RESULTADO" numFmtId="0">
      <sharedItems containsString="0" containsBlank="1" containsNumber="1" minValue="-25.91" maxValue="619.1"/>
    </cacheField>
    <cacheField name="COMIS" numFmtId="0">
      <sharedItems containsString="0" containsBlank="1" containsNumber="1" minValue="0" maxValue="53.88"/>
    </cacheField>
    <cacheField name="LUCRO LIQ" numFmtId="0">
      <sharedItems containsString="0" containsBlank="1" containsNumber="1" minValue="-25.91" maxValue="565.22"/>
    </cacheField>
    <cacheField name="MARGEM" numFmtId="10">
      <sharedItems containsString="0" containsBlank="1" containsNumber="1" minValue="-0.18289999999999998" maxValue="9.2300000000000007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4T00:00:00"/>
    <d v="2026-09-14T00:00:00"/>
    <m/>
    <s v="3019-1"/>
    <x v="0"/>
    <s v="MICHELL MARQUES"/>
    <n v="1099.53"/>
    <x v="0"/>
    <s v="CTE NORMAL"/>
    <s v="SAO PAULO - SP"/>
    <n v="141.63"/>
    <n v="1"/>
    <n v="20.48"/>
    <s v="PEX LOGISTICA INTEGRADA L"/>
    <n v="1.54"/>
    <s v="NICKSON DOS SANTOS MONTEI"/>
    <n v="40"/>
    <s v="NHC TRANSPORTES LTDA"/>
    <n v="0"/>
    <n v="16.989999999999998"/>
    <n v="0"/>
    <n v="0"/>
    <n v="0.44"/>
    <n v="0"/>
    <n v="144.88"/>
    <n v="-3.25"/>
    <n v="22.66"/>
    <n v="-25.91"/>
    <n v="0"/>
    <n v="-25.91"/>
    <n v="-0.18289999999999998"/>
    <m/>
  </r>
  <r>
    <x v="1"/>
    <s v="MATRIZ"/>
    <d v="2026-09-15T00:00:00"/>
    <d v="2026-09-15T00:00:00"/>
    <m/>
    <s v="3048-1"/>
    <x v="1"/>
    <s v="TIAGO SANTANA"/>
    <n v="188072.88"/>
    <x v="1"/>
    <s v="CTE NORMAL"/>
    <s v="SAO BERNARDO DO CAMPO - SP"/>
    <n v="6122.81"/>
    <n v="10"/>
    <n v="3561"/>
    <s v="MATRIZ"/>
    <n v="0"/>
    <s v="N/D"/>
    <n v="0"/>
    <s v="NHC TRANSPORTES LTDA"/>
    <n v="0"/>
    <n v="734.74"/>
    <n v="0"/>
    <n v="0"/>
    <n v="75.23"/>
    <n v="0"/>
    <n v="4524.0600000000004"/>
    <n v="1598.75"/>
    <n v="979.65"/>
    <n v="619.1"/>
    <n v="53.88"/>
    <n v="565.22"/>
    <n v="9.2300000000000007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734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1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3" s="1" nd="1"/>
        <i x="36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2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29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6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2" totalsRowShown="0" headerRowDxfId="92" dataDxfId="90" headerRowBorderDxfId="91" tableBorderDxfId="89" totalsRowBorderDxfId="88">
  <autoFilter ref="A1:D372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3119</v>
      </c>
      <c r="B2" s="12" t="s">
        <v>584</v>
      </c>
      <c r="C2" s="14">
        <v>46279</v>
      </c>
      <c r="D2" s="14">
        <v>46279</v>
      </c>
      <c r="E2" s="12"/>
      <c r="F2" s="15" t="s">
        <v>585</v>
      </c>
      <c r="G2" s="15" t="s">
        <v>586</v>
      </c>
      <c r="H2" s="15" t="s">
        <v>587</v>
      </c>
      <c r="I2" s="16">
        <v>1099.53</v>
      </c>
      <c r="J2" s="15" t="s">
        <v>588</v>
      </c>
      <c r="K2" s="15" t="s">
        <v>589</v>
      </c>
      <c r="L2" s="15" t="s">
        <v>590</v>
      </c>
      <c r="M2" s="15">
        <v>141.63</v>
      </c>
      <c r="N2" s="15">
        <v>1</v>
      </c>
      <c r="O2" s="16">
        <v>20.48</v>
      </c>
      <c r="P2" s="15" t="s">
        <v>591</v>
      </c>
      <c r="Q2" s="15">
        <v>1.54</v>
      </c>
      <c r="R2" s="15" t="s">
        <v>592</v>
      </c>
      <c r="S2" s="15">
        <v>40</v>
      </c>
      <c r="T2" s="15" t="s">
        <v>593</v>
      </c>
      <c r="U2" s="15">
        <v>0</v>
      </c>
      <c r="V2" s="15">
        <v>16.989999999999998</v>
      </c>
      <c r="W2" s="15">
        <v>0</v>
      </c>
      <c r="X2" s="15">
        <v>0</v>
      </c>
      <c r="Y2" s="15">
        <v>0.44</v>
      </c>
      <c r="Z2" s="15">
        <v>0</v>
      </c>
      <c r="AA2" s="15">
        <v>144.88</v>
      </c>
      <c r="AB2" s="15">
        <v>-3.25</v>
      </c>
      <c r="AC2" s="15">
        <v>22.66</v>
      </c>
      <c r="AD2" s="15">
        <v>-25.91</v>
      </c>
      <c r="AE2" s="15">
        <v>0</v>
      </c>
      <c r="AF2" s="15">
        <v>-25.91</v>
      </c>
      <c r="AG2" s="17">
        <v>-0.18289999999999998</v>
      </c>
      <c r="AH2" s="15"/>
    </row>
    <row r="3" spans="1:34" s="1" customFormat="1" ht="12" customHeight="1" x14ac:dyDescent="0.3">
      <c r="A3" s="13">
        <v>3147</v>
      </c>
      <c r="B3" s="12" t="s">
        <v>584</v>
      </c>
      <c r="C3" s="14">
        <v>46280</v>
      </c>
      <c r="D3" s="14">
        <v>46280</v>
      </c>
      <c r="E3" s="12"/>
      <c r="F3" s="15" t="s">
        <v>594</v>
      </c>
      <c r="G3" s="15" t="s">
        <v>595</v>
      </c>
      <c r="H3" s="15" t="s">
        <v>596</v>
      </c>
      <c r="I3" s="16">
        <v>188072.88</v>
      </c>
      <c r="J3" s="15" t="s">
        <v>597</v>
      </c>
      <c r="K3" s="15" t="s">
        <v>589</v>
      </c>
      <c r="L3" s="15" t="s">
        <v>598</v>
      </c>
      <c r="M3" s="16">
        <v>6122.81</v>
      </c>
      <c r="N3" s="15">
        <v>10</v>
      </c>
      <c r="O3" s="16">
        <v>3561</v>
      </c>
      <c r="P3" s="15" t="s">
        <v>584</v>
      </c>
      <c r="Q3" s="15">
        <v>0</v>
      </c>
      <c r="R3" s="15" t="s">
        <v>599</v>
      </c>
      <c r="S3" s="15">
        <v>0</v>
      </c>
      <c r="T3" s="15" t="s">
        <v>593</v>
      </c>
      <c r="U3" s="15">
        <v>0</v>
      </c>
      <c r="V3" s="15">
        <v>734.74</v>
      </c>
      <c r="W3" s="15">
        <v>0</v>
      </c>
      <c r="X3" s="15">
        <v>0</v>
      </c>
      <c r="Y3" s="15">
        <v>75.23</v>
      </c>
      <c r="Z3" s="15">
        <v>0</v>
      </c>
      <c r="AA3" s="16">
        <v>4524.0600000000004</v>
      </c>
      <c r="AB3" s="16">
        <v>1598.75</v>
      </c>
      <c r="AC3" s="15">
        <v>979.65</v>
      </c>
      <c r="AD3" s="15">
        <v>619.1</v>
      </c>
      <c r="AE3" s="15">
        <v>53.88</v>
      </c>
      <c r="AF3" s="15">
        <v>565.22</v>
      </c>
      <c r="AG3" s="17">
        <v>9.2300000000000007E-2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6264.4400000000005</v>
      </c>
      <c r="F3" s="89"/>
      <c r="G3" s="90"/>
      <c r="H3" s="133">
        <f>'Resumo Detalhado'!C2</f>
        <v>3581.48</v>
      </c>
      <c r="I3" s="134"/>
      <c r="J3" s="135">
        <f>E3/H3</f>
        <v>1.7491204753342195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0.5969133333333333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3801.54</v>
      </c>
      <c r="F7" s="112"/>
      <c r="G7" s="112"/>
      <c r="H7" s="112"/>
      <c r="I7" s="112"/>
      <c r="J7" s="112">
        <f>E7/H3</f>
        <v>1.0614438723656141</v>
      </c>
      <c r="K7" s="112"/>
      <c r="L7" s="112"/>
      <c r="M7" s="130">
        <f>E7/E3</f>
        <v>0.60684434682110444</v>
      </c>
      <c r="N7" s="130"/>
      <c r="O7" s="130"/>
      <c r="P7" s="112">
        <f>E11+K11+Q11+E15+K15+Q15+E19+H19+K19</f>
        <v>6132.405600000001</v>
      </c>
      <c r="Q7" s="112"/>
      <c r="R7" s="112"/>
      <c r="S7" s="112">
        <f>P7/H3</f>
        <v>1.7122545986575384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3800</v>
      </c>
      <c r="L11" s="90"/>
      <c r="M11" s="38"/>
      <c r="N11" s="88">
        <f>K11/H3</f>
        <v>1.0610138825290103</v>
      </c>
      <c r="O11" s="90"/>
      <c r="P11" s="38"/>
      <c r="Q11" s="88">
        <f>'Resumo Detalhado'!D2</f>
        <v>1.54</v>
      </c>
      <c r="R11" s="90"/>
      <c r="S11" s="38"/>
      <c r="T11" s="88">
        <f>Q11/H3</f>
        <v>4.2998983660386212E-4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751.73</v>
      </c>
      <c r="F15" s="119"/>
      <c r="G15" s="119"/>
      <c r="H15" s="119"/>
      <c r="I15" s="132"/>
      <c r="J15" s="38"/>
      <c r="K15" s="113">
        <f>'Resumo Detalhado'!K2+'Resumo Detalhado'!L2</f>
        <v>1002.3104000000001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75.67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501.15520000000004</v>
      </c>
      <c r="L19" s="123"/>
      <c r="M19" s="38"/>
      <c r="N19" s="121" t="s">
        <v>580</v>
      </c>
      <c r="O19" s="119"/>
      <c r="P19" s="119"/>
      <c r="Q19" s="119"/>
      <c r="R19" s="120"/>
      <c r="S19" s="121">
        <f>_xlfn.XLOOKUP(N19,Target!C:C,Target!D:D)</f>
        <v>3800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4840.4648000000007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0.7726891469947833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600</v>
      </c>
      <c r="F1" s="29"/>
    </row>
    <row r="2" spans="1:18" x14ac:dyDescent="0.3">
      <c r="B2" s="29">
        <f>SUM(B6:B5000)</f>
        <v>6264.4400000000005</v>
      </c>
      <c r="C2" s="29">
        <f>SUM(C6:C5000)</f>
        <v>3581.48</v>
      </c>
      <c r="D2" s="29">
        <f>SUM(D6:D5000)</f>
        <v>1.54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751.73</v>
      </c>
      <c r="I2" s="29">
        <f t="shared" si="0"/>
        <v>75.67</v>
      </c>
      <c r="J2" s="29">
        <f t="shared" si="0"/>
        <v>0</v>
      </c>
      <c r="K2" s="29">
        <f t="shared" si="0"/>
        <v>501.15520000000004</v>
      </c>
      <c r="L2" s="29">
        <f t="shared" si="0"/>
        <v>501.15520000000004</v>
      </c>
      <c r="M2" s="29">
        <f t="shared" si="0"/>
        <v>53.88</v>
      </c>
      <c r="N2" s="29">
        <f t="shared" si="0"/>
        <v>4840.4648000000007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595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3147</v>
      </c>
      <c r="B6" s="140">
        <v>6122.81</v>
      </c>
      <c r="C6" s="141">
        <v>3561</v>
      </c>
      <c r="D6" s="140">
        <v>0</v>
      </c>
      <c r="E6" s="140">
        <v>0</v>
      </c>
      <c r="F6" s="140">
        <v>0</v>
      </c>
      <c r="G6" s="142">
        <v>0</v>
      </c>
      <c r="H6" s="140">
        <v>734.74</v>
      </c>
      <c r="I6" s="140">
        <v>75.23</v>
      </c>
      <c r="J6" s="140">
        <v>0</v>
      </c>
      <c r="K6" s="140">
        <v>489.82480000000004</v>
      </c>
      <c r="L6" s="140">
        <v>489.82480000000004</v>
      </c>
      <c r="M6" s="140">
        <v>53.88</v>
      </c>
      <c r="N6" s="140">
        <v>4769.1352000000006</v>
      </c>
      <c r="O6" s="142">
        <v>0.77891281944074697</v>
      </c>
      <c r="Q6"/>
    </row>
    <row r="7" spans="1:18" s="31" customFormat="1" x14ac:dyDescent="0.3">
      <c r="A7" s="139" t="s">
        <v>586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3119</v>
      </c>
      <c r="B8" s="140">
        <v>141.63</v>
      </c>
      <c r="C8" s="141">
        <v>20.48</v>
      </c>
      <c r="D8" s="140">
        <v>1.54</v>
      </c>
      <c r="E8" s="140">
        <v>40</v>
      </c>
      <c r="F8" s="140">
        <v>0</v>
      </c>
      <c r="G8" s="142">
        <v>0.29329944220857163</v>
      </c>
      <c r="H8" s="140">
        <v>16.989999999999998</v>
      </c>
      <c r="I8" s="140">
        <v>0.44</v>
      </c>
      <c r="J8" s="140">
        <v>0</v>
      </c>
      <c r="K8" s="140">
        <v>11.330399999999999</v>
      </c>
      <c r="L8" s="140">
        <v>11.330399999999999</v>
      </c>
      <c r="M8" s="140">
        <v>0</v>
      </c>
      <c r="N8" s="140">
        <v>71.329600000000013</v>
      </c>
      <c r="O8" s="142">
        <v>0.5036334110004943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600</v>
      </c>
    </row>
    <row r="2" spans="1:4" x14ac:dyDescent="0.3">
      <c r="B2" s="29">
        <f>SUM(B6:B5000)</f>
        <v>141.63</v>
      </c>
      <c r="C2" s="29">
        <f>SUM(C6:C5000)</f>
        <v>71.329600000000013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595</v>
      </c>
      <c r="B5" s="10">
        <v>6122.81</v>
      </c>
      <c r="C5" s="10">
        <v>4769.1352000000006</v>
      </c>
    </row>
    <row r="6" spans="1:4" x14ac:dyDescent="0.3">
      <c r="A6" s="144" t="s">
        <v>586</v>
      </c>
      <c r="B6" s="140">
        <v>141.63</v>
      </c>
      <c r="C6" s="140">
        <v>71.329600000000013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2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2026-09-18T14:01:23Z</dcterms:modified>
  <cp:category/>
  <cp:contentStatus/>
</cp:coreProperties>
</file>