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7667036-B45A-4973-9498-148EE67FC26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<sst xmlns="http://schemas.openxmlformats.org/spreadsheetml/2006/main" count="896" uniqueCount="619">
  <si>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</si>
  <si>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</si>
  <si>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</si>
  <si>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</si>
  <si>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</si>
  <si>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</si>
  <si>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</si>
  <si>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</si>
  <si>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</si>
  <si>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</si>
  <si>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</si>
  <si>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</si>
  <si>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</si>
  <si>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</si>
  <si>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</si>
  <si>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</si>
  <si>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</si>
  <si>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</si>
  <si>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</si>
  <si>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</si>
  <si>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</si>
  <si>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</si>
  <si>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</si>
  <si>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</si>
  <si>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</si>
  <si>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</si>
  <si>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</si>
  <si>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</si>
  <si>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</si>
  <si>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</si>
  <si>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</si>
  <si>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</si>
  <si>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</si>
  <si>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</si>
  <si>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</si>
  <si>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</si>
  <si>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</si>
  <si>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</si>
  <si>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</si>
  <si>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</si>
  <si>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</si>
  <si>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</si>
  <si>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</si>
  <si>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</si>
  <si>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</si>
  <si>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</si>
  <si>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</si>
  <si>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</si>
  <si>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</si>
  <si>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</si>
  <si>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</si>
  <si>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</si>
  <si>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</si>
  <si>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</si>
  <si>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</si>
  <si>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</si>
  <si>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</si>
  <si>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</si>
  <si>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</si>
  <si>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</si>
  <si>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</si>
  <si>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</si>
  <si>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</si>
  <si>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</si>
  <si>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</si>
  <si>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</si>
  <si>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</si>
  <si>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</si>
  <si>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</si>
  <si>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</si>
  <si>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</si>
  <si>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</si>
  <si>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</si>
  <si>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</si>
  <si>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</si>
  <si>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</si>
  <si>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</si>
  <si>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</si>
  <si>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</si>
  <si>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</si>
  <si>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</si>
  <si>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</si>
  <si>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</si>
  <si>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</si>
  <si>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</si>
  <si>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</si>
  <si>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</si>
  <si>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</si>
  <si>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</si>
  <si>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</si>
  <si>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</si>
  <si>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</si>
  <si>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</si>
  <si>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</si>
  <si>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</si>
  <si>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</si>
  <si>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</si>
  <si>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</si>
  <si>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</si>
  <si>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</si>
  <si>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</si>
  <si>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</si>
  <si>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</si>
  <si>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</si>
  <si>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</si>
  <si>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</si>
  <si>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</si>
  <si>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</si>
  <si>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</si>
  <si>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</si>
  <si>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</si>
  <si>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</si>
  <si>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</si>
  <si>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</si>
  <si>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</si>
  <si>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</si>
  <si>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</si>
  <si>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</si>
  <si>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</si>
  <si>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</si>
  <si>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</si>
  <si>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</si>
  <si>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</si>
  <si>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</si>
  <si>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</si>
  <si>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</si>
  <si>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</si>
  <si>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</si>
  <si>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</si>
  <si>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</si>
  <si>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</si>
  <si>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</si>
  <si>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</si>
  <si>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</si>
  <si>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</si>
  <si>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</si>
  <si>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</si>
  <si>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</si>
  <si>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</si>
  <si>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</si>
  <si>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</si>
  <si>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</si>
  <si>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</si>
  <si>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</si>
  <si>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</si>
  <si>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</si>
  <si>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</si>
  <si>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</si>
  <si>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</si>
  <si>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</si>
  <si>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</si>
  <si>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</si>
  <si>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</si>
  <si>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</si>
  <si>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</si>
  <si>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</si>
  <si>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</si>
  <si>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</si>
  <si>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</si>
  <si>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</si>
  <si>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</si>
  <si>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</si>
  <si>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</si>
  <si>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</si>
  <si>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</si>
  <si>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</si>
  <si>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</si>
  <si>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</si>
  <si>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</si>
  <si>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</si>
  <si>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</si>
  <si>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</si>
  <si>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</si>
  <si>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</si>
  <si>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</si>
  <si>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</si>
  <si>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</si>
  <si>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</si>
  <si>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</si>
  <si>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</si>
  <si>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</si>
  <si>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</si>
  <si>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</si>
  <si>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</si>
  <si>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</si>
  <si>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</si>
  <si>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</si>
  <si>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</si>
  <si>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</si>
  <si>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</si>
  <si>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</si>
  <si>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</si>
  <si>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</si>
  <si>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</si>
  <si>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</si>
  <si>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</si>
  <si>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</si>
  <si>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</si>
  <si>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</si>
  <si>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</si>
  <si>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</si>
  <si>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</si>
  <si>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</si>
  <si>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</si>
  <si>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</si>
  <si>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</si>
  <si>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</si>
  <si>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</si>
  <si>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</si>
  <si>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</si>
  <si>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</si>
  <si>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</si>
  <si>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</si>
  <si>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</si>
  <si>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</si>
  <si>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</si>
  <si>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</si>
  <si>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</si>
  <si>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</si>
  <si>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</si>
  <si>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</si>
  <si>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</si>
  <si>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</si>
  <si>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</si>
  <si>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</si>
  <si>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</si>
  <si>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</si>
  <si>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</si>
  <si>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</si>
  <si>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</si>
  <si>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</si>
  <si>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</si>
  <si>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</si>
  <si>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</si>
  <si>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</si>
  <si>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</si>
  <si>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</si>
  <si>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</si>
  <si>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</si>
  <si>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</si>
  <si>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</si>
  <si>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</si>
  <si>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</si>
  <si>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</si>
  <si>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</si>
  <si>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</si>
  <si>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</si>
  <si>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</si>
  <si>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</si>
  <si>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</si>
  <si>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</si>
  <si>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</si>
  <si>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</si>
  <si>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</si>
  <si>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</si>
  <si>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</si>
  <si>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</si>
  <si>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</si>
  <si>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</si>
  <si>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</si>
  <si>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</si>
  <si>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</si>
  <si>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</si>
  <si>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</si>
  <si>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</si>
  <si>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</si>
  <si>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</si>
  <si>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</si>
  <si>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</si>
  <si>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</si>
  <si>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</si>
  <si>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</si>
  <si>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</si>
  <si>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</si>
  <si>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</si>
  <si>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</si>
  <si>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</si>
  <si>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</si>
  <si>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</si>
  <si>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</si>
  <si>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</si>
  <si>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</si>
  <si>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</si>
  <si>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</si>
  <si>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</si>
  <si>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</si>
  <si>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</si>
  <si>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</si>
  <si>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</si>
  <si>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</si>
  <si>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</si>
  <si>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</si>
  <si>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</si>
  <si>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</si>
  <si>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</si>
  <si>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</si>
  <si>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</si>
  <si>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</si>
  <si>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</si>
  <si>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</si>
  <si>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</si>
  <si>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</si>
  <si>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</si>
  <si>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</si>
  <si>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</si>
  <si>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</si>
  <si>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</si>
  <si>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</si>
  <si>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</si>
  <si>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</si>
  <si>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</si>
  <si>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</si>
  <si>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</si>
  <si>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</si>
  <si>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</si>
  <si>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</si>
  <si>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</si>
  <si>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</si>
  <si>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</si>
  <si>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</si>
  <si>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</si>
  <si>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</si>
  <si>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</si>
  <si>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</si>
  <si>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</si>
  <si>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</si>
  <si>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</si>
  <si>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</si>
  <si>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</si>
  <si>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</si>
  <si>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</si>
  <si>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</si>
  <si>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</si>
  <si>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</si>
  <si>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</si>
  <si>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</si>
  <si>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</si>
  <si>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</si>
  <si>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</si>
  <si>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</si>
  <si>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</si>
  <si>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</si>
  <si>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</si>
  <si>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</si>
  <si>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</si>
  <si>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</si>
  <si>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</si>
  <si>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</si>
  <si>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</si>
  <si>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</si>
  <si>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</si>
  <si>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</si>
  <si>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</si>
  <si>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</si>
  <si>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</si>
  <si>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</si>
  <si>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</si>
  <si>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</si>
  <si>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</si>
  <si>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</si>
  <si>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</si>
  <si>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</si>
  <si>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</si>
  <si>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</si>
  <si>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</si>
  <si>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</si>
  <si>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</si>
  <si>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</si>
  <si>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</si>
  <si>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</si>
  <si>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</si>
  <si>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</si>
  <si>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</si>
  <si>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</si>
  <si>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</si>
  <si>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</si>
  <si>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</si>
  <si>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</si>
  <si>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</si>
  <si>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</si>
  <si>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</si>
  <si>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</si>
  <si>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</si>
  <si>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</si>
  <si>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</si>
  <si>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</si>
  <si>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</si>
  <si>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</si>
  <si>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</si>
  <si>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</si>
  <si>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</si>
  <si>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</si>
  <si>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</si>
  <si>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</si>
  <si>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</si>
  <si>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</si>
  <si>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</si>
  <si>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</si>
  <si>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</si>
  <si>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</si>
  <si>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</si>
  <si>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</si>
  <si>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</si>
  <si>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</si>
  <si>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</si>
  <si>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</si>
  <si>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</si>
  <si>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</si>
  <si>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</si>
  <si>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</si>
  <si>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</si>
  <si>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</si>
  <si>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</si>
  <si>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</si>
  <si>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</si>
  <si>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</si>
  <si>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</si>
  <si>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</si>
  <si>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</si>
  <si>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</si>
  <si>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</si>
  <si>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</si>
  <si>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</si>
  <si>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</si>
  <si>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</si>
  <si>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</si>
  <si>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</si>
  <si>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</si>
  <si>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</si>
  <si>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</si>
  <si>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</si>
  <si>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</si>
  <si>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</si>
  <si>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</si>
  <si>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</si>
  <si>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</si>
  <si>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</si>
  <si>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</si>
  <si>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</si>
  <si>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</si>
  <si>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</si>
  <si>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</si>
  <si>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</si>
  <si>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</si>
  <si>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</si>
  <si>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</si>
  <si>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</si>
  <si>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</si>
  <si>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</si>
  <si>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</si>
  <si>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</si>
  <si>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</si>
  <si>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</si>
  <si>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</si>
  <si>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</si>
  <si>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</si>
  <si>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</si>
  <si>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</si>
  <si>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</si>
  <si>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</si>
  <si>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</si>
  <si>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</si>
  <si>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</si>
  <si>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</si>
  <si>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</si>
  <si>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</si>
  <si>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</si>
  <si>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</si>
  <si>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</si>
  <si>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</si>
  <si>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</si>
  <si>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</si>
  <si>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</si>
  <si>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</si>
  <si>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</si>
  <si>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</si>
  <si>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</si>
  <si>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</si>
  <si>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</si>
  <si>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</si>
  <si>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</si>
  <si>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</si>
  <si>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</si>
  <si>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</si>
  <si>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</si>
  <si>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</si>
  <si>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</si>
  <si>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</si>
  <si>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</si>
  <si>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</si>
  <si>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</si>
  <si>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</si>
  <si>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</si>
  <si>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</si>
  <si>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</si>
  <si>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</si>
  <si>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</si>
  <si>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</si>
  <si>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</si>
  <si>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</si>
  <si>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</si>
  <si>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</si>
  <si>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</si>
  <si>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</si>
  <si>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</si>
  <si>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</si>
  <si>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</si>
  <si>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</si>
  <si>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</si>
  <si>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</si>
  <si>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</si>
  <si>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</si>
  <si>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</si>
  <si>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</si>
  <si>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</si>
  <si>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</si>
  <si>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</si>
  <si>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</si>
  <si>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</si>
  <si>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</si>
  <si>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</si>
  <si>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</si>
  <si>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</si>
  <si>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</si>
  <si>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</si>
  <si>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</si>
  <si>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</si>
  <si>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</si>
  <si>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</si>
  <si>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</si>
  <si>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</si>
  <si>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</si>
  <si>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</si>
  <si>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</si>
  <si>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</si>
  <si>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</si>
  <si>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</si>
  <si>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</si>
  <si>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</si>
  <si>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</si>
  <si>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</si>
  <si>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</si>
  <si>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</si>
  <si>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</si>
  <si>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</si>
  <si>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</si>
  <si>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</si>
  <si>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</si>
  <si>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</si>
  <si>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</si>
  <si>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</si>
  <si>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</si>
  <si>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</si>
  <si>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</si>
  <si>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</si>
  <si>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</si>
  <si>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</si>
  <si>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</si>
  <si>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</si>
  <si>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</si>
  <si>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</si>
  <si>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</si>
  <si>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</si>
  <si>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</si>
  <si>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</si>
  <si>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</si>
  <si>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</si>
  <si>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</si>
  <si>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</si>
  <si>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</si>
  <si>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</si>
  <si>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</si>
  <si>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</si>
  <si>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</si>
  <si>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</si>
  <si>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</si>
  <si>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</si>
  <si>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</si>
  <si>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</si>
  <si>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</si>
  <si>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</si>
  <si>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</si>
  <si>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</si>
  <si>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</si>
  <si>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</si>
  <si>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</si>
  <si>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</si>
  <si>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</si>
  <si>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</si>
  <si>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</si>
  <si>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</si>
  <si>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</si>
  <si>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</si>
  <si>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</si>
  <si>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</si>
  <si>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</si>
  <si>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</si>
  <si>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</si>
  <si>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</si>
  <si>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</si>
  <si>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</si>
  <si>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</si>
  <si>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MATRIZ</t>
  </si>
  <si>
    <t>3182-1</t>
  </si>
  <si>
    <t>CRONOS LOGISTIC</t>
  </si>
  <si>
    <t>URIEL CORREA</t>
  </si>
  <si>
    <t>PERSONALIZADO_L</t>
  </si>
  <si>
    <t>CTE NORMAL</t>
  </si>
  <si>
    <t>GUARULHOS - SP</t>
  </si>
  <si>
    <t>N/D</t>
  </si>
  <si>
    <t>L&amp;AMP;W TRANSPORTES LTDA5</t>
  </si>
  <si>
    <t>3203-1</t>
  </si>
  <si>
    <t>STRATUS COMERCI</t>
  </si>
  <si>
    <t>MICHELL MARQUES</t>
  </si>
  <si>
    <t>ECONOMICO_250</t>
  </si>
  <si>
    <t>SAO PAULO - SP</t>
  </si>
  <si>
    <t>LEONARDO LAERCIO VIEIRA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</si>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</sst>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[Analise_LUCAS_23092026.xlsx]Resumo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5225</c:v>
                </c:pt>
                <c:pt idx="1">
                  <c:v>143.34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4460.17</c:v>
                </c:pt>
                <c:pt idx="1">
                  <c:v>68.342799999999997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[Analise_LUCAS_23092026.xlsx]Resumo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5225</c:v>
                </c:pt>
                <c:pt idx="1">
                  <c:v>143.34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4460.17</c:v>
                </c:pt>
                <c:pt idx="1">
                  <c:v>68.342799999999997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3.40964016203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287"/>
        <n v="330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2T00:00:00" maxDate="2026-09-24T00:00:00"/>
    </cacheField>
    <cacheField name="DATA" numFmtId="14">
      <sharedItems containsNonDate="0" containsDate="1" containsString="0" containsBlank="1" minDate="2026-09-22T00:00:00" maxDate="2026-09-24T00:00:00"/>
    </cacheField>
    <cacheField name="FAT" numFmtId="0">
      <sharedItems containsString="0" containsBlank="1" containsNumber="1" containsInteger="1" minValue="643" maxValue="643"/>
    </cacheField>
    <cacheField name="CT-E" numFmtId="0">
      <sharedItems containsBlank="1"/>
    </cacheField>
    <cacheField name="CLIENTE TOMADOR" numFmtId="0">
      <sharedItems containsBlank="1" count="855">
        <s v="CRONOS LOGISTIC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89.4" maxValue="186863.68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3.34" maxValue="5225"/>
    </cacheField>
    <cacheField name="VOLUMES" numFmtId="0">
      <sharedItems containsString="0" containsBlank="1" containsNumber="1" containsInteger="1" minValue="2" maxValue="12"/>
    </cacheField>
    <cacheField name="PESO" numFmtId="0">
      <sharedItems containsString="0" containsBlank="1" containsNumber="1" minValue="20.41" maxValue="3759.17"/>
    </cacheField>
    <cacheField name="RESP. COLETA" numFmtId="0">
      <sharedItems containsBlank="1"/>
    </cacheField>
    <cacheField name="CUSTO COLETA" numFmtId="0">
      <sharedItems containsString="0" containsBlank="1" containsNumber="1" minValue="0" maxValue="4.88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7.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" maxValue="74.75"/>
    </cacheField>
    <cacheField name="OUTROS" numFmtId="0">
      <sharedItems containsString="0" containsBlank="1" containsNumber="1" minValue="0.65" maxValue="272.08"/>
    </cacheField>
    <cacheField name="C.TOTAL" numFmtId="0">
      <sharedItems containsString="0" containsBlank="1" containsNumber="1" minValue="174.34" maxValue="4386.0200000000004"/>
    </cacheField>
    <cacheField name="RECEITA" numFmtId="0">
      <sharedItems containsString="0" containsBlank="1" containsNumber="1" minValue="-31" maxValue="838.98"/>
    </cacheField>
    <cacheField name="IMPOSTO" numFmtId="0">
      <sharedItems containsString="0" containsBlank="1" containsNumber="1" minValue="37.270000000000003" maxValue="1358.5"/>
    </cacheField>
    <cacheField name="RESULTADO" numFmtId="0">
      <sharedItems containsString="0" containsBlank="1" containsNumber="1" minValue="-676.27" maxValue="-68.2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676.27" maxValue="-68.27"/>
    </cacheField>
    <cacheField name="MARGEM" numFmtId="10">
      <sharedItems containsString="0" containsBlank="1" containsNumber="1" minValue="-0.4763" maxValue="-0.1293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2T00:00:00"/>
    <d v="2026-09-22T00:00:00"/>
    <n v="643"/>
    <s v="3182-1"/>
    <x v="0"/>
    <s v="URIEL CORREA"/>
    <n v="186863.68"/>
    <x v="0"/>
    <s v="CTE NORMAL"/>
    <s v="GUARULHOS - SP"/>
    <n v="5225"/>
    <n v="12"/>
    <n v="3759.17"/>
    <s v="N/D"/>
    <n v="0"/>
    <s v="N/D"/>
    <n v="0"/>
    <s v="L&amp;AMP;W TRANSPORTES LTDA5"/>
    <n v="0"/>
    <n v="0"/>
    <n v="0"/>
    <n v="0"/>
    <n v="74.75"/>
    <n v="272.08"/>
    <n v="4386.0200000000004"/>
    <n v="838.98"/>
    <n v="1358.5"/>
    <n v="-676.27"/>
    <n v="0"/>
    <n v="-676.27"/>
    <n v="-0.12939999999999999"/>
    <m/>
  </r>
  <r>
    <x v="1"/>
    <s v="MATRIZ"/>
    <d v="2026-09-23T00:00:00"/>
    <d v="2026-09-23T00:00:00"/>
    <m/>
    <s v="3203-1"/>
    <x v="1"/>
    <s v="MICHELL MARQUES"/>
    <n v="1989.4"/>
    <x v="1"/>
    <s v="CTE NORMAL"/>
    <s v="SAO PAULO - SP"/>
    <n v="143.34"/>
    <n v="2"/>
    <n v="20.41"/>
    <s v="LEONARDO LAERCIO VIEIRA"/>
    <n v="4.88"/>
    <s v="JOSE EMILTON DA COSTA - O"/>
    <n v="40"/>
    <s v="L&amp;AMP;W TRANSPORTES LTDA5"/>
    <n v="0"/>
    <n v="17.2"/>
    <n v="0"/>
    <n v="0"/>
    <n v="0.8"/>
    <n v="0.65"/>
    <n v="174.34"/>
    <n v="-31"/>
    <n v="37.270000000000003"/>
    <n v="-68.27"/>
    <n v="0"/>
    <n v="-68.27"/>
    <n v="-0.476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0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8"/>
    </i>
    <i>
      <x v="73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0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3" totalsRowShown="0" headerRowDxfId="92" dataDxfId="90" headerRowBorderDxfId="91" tableBorderDxfId="89" totalsRowBorderDxfId="88">
  <autoFilter ref="A1:D383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3287</v>
      </c>
      <c r="B2" s="12" t="s">
        <v>602</v>
      </c>
      <c r="C2" s="14">
        <v>46287</v>
      </c>
      <c r="D2" s="14">
        <v>46287</v>
      </c>
      <c r="E2" s="12">
        <v>643</v>
      </c>
      <c r="F2" s="15" t="s">
        <v>603</v>
      </c>
      <c r="G2" s="15" t="s">
        <v>604</v>
      </c>
      <c r="H2" s="15" t="s">
        <v>605</v>
      </c>
      <c r="I2" s="16">
        <v>186863.68</v>
      </c>
      <c r="J2" s="15" t="s">
        <v>606</v>
      </c>
      <c r="K2" s="15" t="s">
        <v>607</v>
      </c>
      <c r="L2" s="15" t="s">
        <v>608</v>
      </c>
      <c r="M2" s="15">
        <v>5225</v>
      </c>
      <c r="N2" s="15">
        <v>12</v>
      </c>
      <c r="O2" s="16">
        <v>3759.17</v>
      </c>
      <c r="P2" s="15" t="s">
        <v>609</v>
      </c>
      <c r="Q2" s="15">
        <v>0</v>
      </c>
      <c r="R2" s="15" t="s">
        <v>609</v>
      </c>
      <c r="S2" s="15">
        <v>0</v>
      </c>
      <c r="T2" s="15" t="s">
        <v>610</v>
      </c>
      <c r="U2" s="15">
        <v>0</v>
      </c>
      <c r="V2" s="15">
        <v>0</v>
      </c>
      <c r="W2" s="15">
        <v>0</v>
      </c>
      <c r="X2" s="15">
        <v>0</v>
      </c>
      <c r="Y2" s="15">
        <v>74.75</v>
      </c>
      <c r="Z2" s="15">
        <v>272.08</v>
      </c>
      <c r="AA2" s="15">
        <v>4386.0200000000004</v>
      </c>
      <c r="AB2" s="15">
        <v>838.98</v>
      </c>
      <c r="AC2" s="15">
        <v>1358.5</v>
      </c>
      <c r="AD2" s="15">
        <v>-676.27</v>
      </c>
      <c r="AE2" s="15">
        <v>0</v>
      </c>
      <c r="AF2" s="15">
        <v>-676.27</v>
      </c>
      <c r="AG2" s="17">
        <v>-0.12939999999999999</v>
      </c>
      <c r="AH2" s="15"/>
    </row>
    <row r="3" spans="1:34" s="1" customFormat="1" ht="12" customHeight="1" x14ac:dyDescent="0.3">
      <c r="A3" s="13">
        <v>3309</v>
      </c>
      <c r="B3" s="12" t="s">
        <v>602</v>
      </c>
      <c r="C3" s="14">
        <v>46288</v>
      </c>
      <c r="D3" s="14">
        <v>46288</v>
      </c>
      <c r="E3" s="12"/>
      <c r="F3" s="15" t="s">
        <v>611</v>
      </c>
      <c r="G3" s="15" t="s">
        <v>612</v>
      </c>
      <c r="H3" s="15" t="s">
        <v>613</v>
      </c>
      <c r="I3" s="16">
        <v>1989.4</v>
      </c>
      <c r="J3" s="15" t="s">
        <v>614</v>
      </c>
      <c r="K3" s="15" t="s">
        <v>607</v>
      </c>
      <c r="L3" s="15" t="s">
        <v>615</v>
      </c>
      <c r="M3" s="16">
        <v>143.34</v>
      </c>
      <c r="N3" s="15">
        <v>2</v>
      </c>
      <c r="O3" s="16">
        <v>20.41</v>
      </c>
      <c r="P3" s="15" t="s">
        <v>616</v>
      </c>
      <c r="Q3" s="15">
        <v>4.88</v>
      </c>
      <c r="R3" s="15" t="s">
        <v>617</v>
      </c>
      <c r="S3" s="15">
        <v>40</v>
      </c>
      <c r="T3" s="15" t="s">
        <v>610</v>
      </c>
      <c r="U3" s="15">
        <v>0</v>
      </c>
      <c r="V3" s="15">
        <v>17.2</v>
      </c>
      <c r="W3" s="15">
        <v>0</v>
      </c>
      <c r="X3" s="15">
        <v>0</v>
      </c>
      <c r="Y3" s="15">
        <v>0.8</v>
      </c>
      <c r="Z3" s="15">
        <v>0.65</v>
      </c>
      <c r="AA3" s="16">
        <v>174.34</v>
      </c>
      <c r="AB3" s="16">
        <v>-31</v>
      </c>
      <c r="AC3" s="15">
        <v>37.270000000000003</v>
      </c>
      <c r="AD3" s="15">
        <v>-68.27</v>
      </c>
      <c r="AE3" s="15">
        <v>0</v>
      </c>
      <c r="AF3" s="15">
        <v>-68.27</v>
      </c>
      <c r="AG3" s="17">
        <v>-0.4763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5368.34</v>
      </c>
      <c r="F3" s="89"/>
      <c r="G3" s="90"/>
      <c r="H3" s="133">
        <f>'Resumo Detalhado'!C2</f>
        <v>3779.58</v>
      </c>
      <c r="I3" s="134"/>
      <c r="J3" s="135">
        <f>E3/H3</f>
        <v>1.4203535842606851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0.62992999999999999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3904.88</v>
      </c>
      <c r="F7" s="112"/>
      <c r="G7" s="112"/>
      <c r="H7" s="112"/>
      <c r="I7" s="112"/>
      <c r="J7" s="112">
        <f>E7/H3</f>
        <v>1.0331518316850021</v>
      </c>
      <c r="K7" s="112"/>
      <c r="L7" s="112"/>
      <c r="M7" s="130">
        <f>E7/E3</f>
        <v>0.72739059001479045</v>
      </c>
      <c r="N7" s="130"/>
      <c r="O7" s="130"/>
      <c r="P7" s="112">
        <f>E11+K11+Q11+E15+K15+Q15+E19+H19+K19</f>
        <v>5536.0316000000003</v>
      </c>
      <c r="Q7" s="112"/>
      <c r="R7" s="112"/>
      <c r="S7" s="112">
        <f>P7/H3</f>
        <v>1.4647213711576419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3900</v>
      </c>
      <c r="L11" s="90"/>
      <c r="M11" s="38"/>
      <c r="N11" s="88">
        <f>K11/H3</f>
        <v>1.0318606829330244</v>
      </c>
      <c r="O11" s="90"/>
      <c r="P11" s="38"/>
      <c r="Q11" s="88">
        <f>'Resumo Detalhado'!D2</f>
        <v>4.88</v>
      </c>
      <c r="R11" s="90"/>
      <c r="S11" s="38"/>
      <c r="T11" s="88">
        <f>Q11/H3</f>
        <v>1.2911487519777329E-3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17.2</v>
      </c>
      <c r="F15" s="119"/>
      <c r="G15" s="119"/>
      <c r="H15" s="119"/>
      <c r="I15" s="132"/>
      <c r="J15" s="38"/>
      <c r="K15" s="113">
        <f>'Resumo Detalhado'!K2+'Resumo Detalhado'!L2</f>
        <v>858.93439999999998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75.55</v>
      </c>
      <c r="F19" s="120"/>
      <c r="G19" s="38"/>
      <c r="H19" s="122">
        <v>250</v>
      </c>
      <c r="I19" s="123"/>
      <c r="J19" s="38"/>
      <c r="K19" s="122">
        <f>'Resumo Detalhado'!L2</f>
        <v>429.46719999999999</v>
      </c>
      <c r="L19" s="123"/>
      <c r="M19" s="38"/>
      <c r="N19" s="121" t="s">
        <v>601</v>
      </c>
      <c r="O19" s="119"/>
      <c r="P19" s="119"/>
      <c r="Q19" s="119"/>
      <c r="R19" s="120"/>
      <c r="S19" s="121">
        <f>_xlfn.XLOOKUP(N19,Target!C:C,Target!D:D)</f>
        <v>3800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4528.5128000000004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0.84355923805124122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618</v>
      </c>
      <c r="F1" s="29"/>
    </row>
    <row r="2" spans="1:18" x14ac:dyDescent="0.3">
      <c r="B2" s="29">
        <f>SUM(B6:B5000)</f>
        <v>5368.34</v>
      </c>
      <c r="C2" s="29">
        <f>SUM(C6:C5000)</f>
        <v>3779.58</v>
      </c>
      <c r="D2" s="29">
        <f>SUM(D6:D5000)</f>
        <v>4.88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17.2</v>
      </c>
      <c r="I2" s="29">
        <f t="shared" si="0"/>
        <v>75.55</v>
      </c>
      <c r="J2" s="29">
        <f t="shared" si="0"/>
        <v>272.72999999999996</v>
      </c>
      <c r="K2" s="29">
        <f t="shared" si="0"/>
        <v>429.46719999999999</v>
      </c>
      <c r="L2" s="29">
        <f t="shared" si="0"/>
        <v>429.46719999999999</v>
      </c>
      <c r="M2" s="29">
        <f t="shared" si="0"/>
        <v>0</v>
      </c>
      <c r="N2" s="29">
        <f t="shared" si="0"/>
        <v>4528.5128000000004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604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3287</v>
      </c>
      <c r="B6" s="140">
        <v>5225</v>
      </c>
      <c r="C6" s="141">
        <v>3759.17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74.75</v>
      </c>
      <c r="J6" s="140">
        <v>272.08</v>
      </c>
      <c r="K6" s="140">
        <v>418</v>
      </c>
      <c r="L6" s="140">
        <v>418</v>
      </c>
      <c r="M6" s="140">
        <v>0</v>
      </c>
      <c r="N6" s="140">
        <v>4460.17</v>
      </c>
      <c r="O6" s="142">
        <v>0.85362105263157895</v>
      </c>
      <c r="Q6"/>
    </row>
    <row r="7" spans="1:18" s="31" customFormat="1" x14ac:dyDescent="0.3">
      <c r="A7" s="139" t="s">
        <v>612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3309</v>
      </c>
      <c r="B8" s="140">
        <v>143.34</v>
      </c>
      <c r="C8" s="141">
        <v>20.41</v>
      </c>
      <c r="D8" s="140">
        <v>4.88</v>
      </c>
      <c r="E8" s="140">
        <v>40</v>
      </c>
      <c r="F8" s="140">
        <v>0</v>
      </c>
      <c r="G8" s="142">
        <v>0.31310171619924654</v>
      </c>
      <c r="H8" s="140">
        <v>17.2</v>
      </c>
      <c r="I8" s="140">
        <v>0.8</v>
      </c>
      <c r="J8" s="140">
        <v>0.65</v>
      </c>
      <c r="K8" s="140">
        <v>11.4672</v>
      </c>
      <c r="L8" s="140">
        <v>11.4672</v>
      </c>
      <c r="M8" s="140">
        <v>0</v>
      </c>
      <c r="N8" s="140">
        <v>68.342799999999997</v>
      </c>
      <c r="O8" s="142">
        <v>0.47678805636947114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618</v>
      </c>
    </row>
    <row r="2" spans="1:4" x14ac:dyDescent="0.3">
      <c r="B2" s="29">
        <f>SUM(B6:B5000)</f>
        <v>143.34</v>
      </c>
      <c r="C2" s="29">
        <f>SUM(C6:C5000)</f>
        <v>68.342799999999997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604</v>
      </c>
      <c r="B5" s="10">
        <v>5225</v>
      </c>
      <c r="C5" s="10">
        <v>4460.17</v>
      </c>
    </row>
    <row r="6" spans="1:4" x14ac:dyDescent="0.3">
      <c r="A6" s="139" t="s">
        <v>612</v>
      </c>
      <c r="B6" s="140">
        <v>143.34</v>
      </c>
      <c r="C6" s="140">
        <v>68.342799999999997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3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2026-09-28T12:50:00Z</dcterms:modified>
  <cp:category/>
  <cp:contentStatus/>
</cp:coreProperties>
</file>