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272D706-9D46-4446-AE3F-1384F0CDBB8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<sst xmlns="http://schemas.openxmlformats.org/spreadsheetml/2006/main" count="858" uniqueCount="590">
  <si>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</si>
  <si>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</si>
  <si>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</si>
  <si>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</si>
  <si>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</si>
  <si>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</si>
  <si>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</si>
  <si>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</si>
  <si>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</si>
  <si>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</si>
  <si>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</si>
  <si>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</si>
  <si>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</si>
  <si>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</si>
  <si>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</si>
  <si>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</si>
  <si>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</si>
  <si>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</si>
  <si>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</si>
  <si>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</si>
  <si>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</si>
  <si>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</si>
  <si>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</si>
  <si>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</si>
  <si>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</si>
  <si>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</si>
  <si>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</si>
  <si>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</si>
  <si>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</si>
  <si>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</si>
  <si>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</si>
  <si>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</si>
  <si>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</si>
  <si>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</si>
  <si>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</si>
  <si>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</si>
  <si>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</si>
  <si>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</si>
  <si>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</si>
  <si>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</si>
  <si>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</si>
  <si>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</si>
  <si>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</si>
  <si>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</si>
  <si>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</si>
  <si>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</si>
  <si>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</si>
  <si>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</si>
  <si>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</si>
  <si>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</si>
  <si>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</si>
  <si>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</si>
  <si>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</si>
  <si>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</si>
  <si>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</si>
  <si>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</si>
  <si>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</si>
  <si>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</si>
  <si>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</si>
  <si>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</si>
  <si>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</si>
  <si>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</si>
  <si>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</si>
  <si>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</si>
  <si>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</si>
  <si>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</si>
  <si>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</si>
  <si>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</si>
  <si>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</si>
  <si>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</si>
  <si>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</si>
  <si>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</si>
  <si>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</si>
  <si>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</si>
  <si>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</si>
  <si>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</si>
  <si>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</si>
  <si>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</si>
  <si>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</si>
  <si>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</si>
  <si>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</si>
  <si>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</si>
  <si>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</si>
  <si>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</si>
  <si>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</si>
  <si>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</si>
  <si>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</si>
  <si>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</si>
  <si>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</si>
  <si>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</si>
  <si>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</si>
  <si>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</si>
  <si>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</si>
  <si>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</si>
  <si>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</si>
  <si>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</si>
  <si>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</si>
  <si>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</si>
  <si>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</si>
  <si>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</si>
  <si>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</si>
  <si>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</si>
  <si>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</si>
  <si>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</si>
  <si>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</si>
  <si>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</si>
  <si>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</si>
  <si>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</si>
  <si>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</si>
  <si>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</si>
  <si>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</si>
  <si>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</si>
  <si>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</si>
  <si>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</si>
  <si>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</si>
  <si>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</si>
  <si>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</si>
  <si>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</si>
  <si>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</si>
  <si>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</si>
  <si>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</si>
  <si>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</si>
  <si>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</si>
  <si>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</si>
  <si>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</si>
  <si>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</si>
  <si>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</si>
  <si>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</si>
  <si>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</si>
  <si>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</si>
  <si>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</si>
  <si>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</si>
  <si>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</si>
  <si>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</si>
  <si>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</si>
  <si>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</si>
  <si>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</si>
  <si>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</si>
  <si>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</si>
  <si>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</si>
  <si>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</si>
  <si>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</si>
  <si>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</si>
  <si>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</si>
  <si>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</si>
  <si>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</si>
  <si>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</si>
  <si>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</si>
  <si>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</si>
  <si>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</si>
  <si>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</si>
  <si>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</si>
  <si>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</si>
  <si>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</si>
  <si>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</si>
  <si>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</si>
  <si>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</si>
  <si>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</si>
  <si>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</si>
  <si>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</si>
  <si>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</si>
  <si>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</si>
  <si>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</si>
  <si>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</si>
  <si>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</si>
  <si>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</si>
  <si>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</si>
  <si>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</si>
  <si>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</si>
  <si>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</si>
  <si>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</si>
  <si>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</si>
  <si>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</si>
  <si>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</si>
  <si>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</si>
  <si>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</si>
  <si>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</si>
  <si>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</si>
  <si>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</si>
  <si>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</si>
  <si>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</si>
  <si>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</si>
  <si>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</si>
  <si>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</si>
  <si>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</si>
  <si>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</si>
  <si>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</si>
  <si>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</si>
  <si>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</si>
  <si>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</si>
  <si>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</si>
  <si>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</si>
  <si>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</si>
  <si>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</si>
  <si>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</si>
  <si>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</si>
  <si>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</si>
  <si>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</si>
  <si>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</si>
  <si>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</si>
  <si>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</si>
  <si>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</si>
  <si>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</si>
  <si>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</si>
  <si>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</si>
  <si>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</si>
  <si>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</si>
  <si>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</si>
  <si>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</si>
  <si>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</si>
  <si>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</si>
  <si>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</si>
  <si>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</si>
  <si>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</si>
  <si>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</si>
  <si>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</si>
  <si>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</si>
  <si>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</si>
  <si>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</si>
  <si>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</si>
  <si>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</si>
  <si>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</si>
  <si>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</si>
  <si>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</si>
  <si>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</si>
  <si>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</si>
  <si>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</si>
  <si>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</si>
  <si>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</si>
  <si>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</si>
  <si>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</si>
  <si>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</si>
  <si>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</si>
  <si>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</si>
  <si>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</si>
  <si>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</si>
  <si>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</si>
  <si>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</si>
  <si>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</si>
  <si>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</si>
  <si>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</si>
  <si>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</si>
  <si>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</si>
  <si>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</si>
  <si>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</si>
  <si>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</si>
  <si>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</si>
  <si>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</si>
  <si>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</si>
  <si>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</si>
  <si>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</si>
  <si>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</si>
  <si>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</si>
  <si>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</si>
  <si>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</si>
  <si>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</si>
  <si>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</si>
  <si>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</si>
  <si>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</si>
  <si>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</si>
  <si>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</si>
  <si>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</si>
  <si>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</si>
  <si>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</si>
  <si>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</si>
  <si>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</si>
  <si>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</si>
  <si>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</si>
  <si>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</si>
  <si>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</si>
  <si>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</si>
  <si>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</si>
  <si>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</si>
  <si>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</si>
  <si>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</si>
  <si>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</si>
  <si>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</si>
  <si>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</si>
  <si>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</si>
  <si>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</si>
  <si>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</si>
  <si>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</si>
  <si>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</si>
  <si>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</si>
  <si>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</si>
  <si>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</si>
  <si>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</si>
  <si>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</si>
  <si>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</si>
  <si>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</si>
  <si>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</si>
  <si>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</si>
  <si>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</si>
  <si>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</si>
  <si>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</si>
  <si>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</si>
  <si>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</si>
  <si>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</si>
  <si>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</si>
  <si>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</si>
  <si>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</si>
  <si>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</si>
  <si>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</si>
  <si>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</si>
  <si>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</si>
  <si>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</si>
  <si>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</si>
  <si>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</si>
  <si>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</si>
  <si>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</si>
  <si>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</si>
  <si>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</si>
  <si>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</si>
  <si>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</si>
  <si>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</si>
  <si>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</si>
  <si>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</si>
  <si>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</si>
  <si>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</si>
  <si>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</si>
  <si>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</si>
  <si>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</si>
  <si>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</si>
  <si>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</si>
  <si>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</si>
  <si>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</si>
  <si>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</si>
  <si>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</si>
  <si>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</si>
  <si>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</si>
  <si>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</si>
  <si>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</si>
  <si>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</si>
  <si>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</si>
  <si>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</si>
  <si>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</si>
  <si>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</si>
  <si>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</si>
  <si>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</si>
  <si>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</si>
  <si>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</si>
  <si>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</si>
  <si>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</si>
  <si>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</si>
  <si>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</si>
  <si>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</si>
  <si>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</si>
  <si>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</si>
  <si>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</si>
  <si>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</si>
  <si>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</si>
  <si>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</si>
  <si>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</si>
  <si>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</si>
  <si>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</si>
  <si>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</si>
  <si>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</si>
  <si>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</si>
  <si>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</si>
  <si>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</si>
  <si>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</si>
  <si>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</si>
  <si>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</si>
  <si>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</si>
  <si>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</si>
  <si>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</si>
  <si>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</si>
  <si>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</si>
  <si>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</si>
  <si>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</si>
  <si>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</si>
  <si>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</si>
  <si>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</si>
  <si>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</si>
  <si>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</si>
  <si>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</si>
  <si>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</si>
  <si>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</si>
  <si>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</si>
  <si>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</si>
  <si>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</si>
  <si>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</si>
  <si>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</si>
  <si>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</si>
  <si>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</si>
  <si>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</si>
  <si>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</si>
  <si>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</si>
  <si>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</si>
  <si>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</si>
  <si>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</si>
  <si>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</si>
  <si>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</si>
  <si>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</si>
  <si>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</si>
  <si>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</si>
  <si>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</si>
  <si>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</si>
  <si>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</si>
  <si>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</si>
  <si>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</si>
  <si>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</si>
  <si>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</si>
  <si>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</si>
  <si>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</si>
  <si>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</si>
  <si>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</si>
  <si>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</si>
  <si>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</si>
  <si>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</si>
  <si>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</si>
  <si>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</si>
  <si>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</si>
  <si>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</si>
  <si>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</si>
  <si>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</si>
  <si>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</si>
  <si>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</si>
  <si>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</si>
  <si>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</si>
  <si>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</si>
  <si>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</si>
  <si>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</si>
  <si>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</si>
  <si>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</si>
  <si>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</si>
  <si>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</si>
  <si>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</si>
  <si>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</si>
  <si>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</si>
  <si>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</si>
  <si>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</si>
  <si>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</si>
  <si>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</si>
  <si>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</si>
  <si>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</si>
  <si>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</si>
  <si>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</si>
  <si>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</si>
  <si>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</si>
  <si>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</si>
  <si>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</si>
  <si>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</si>
  <si>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</si>
  <si>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</si>
  <si>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</si>
  <si>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</si>
  <si>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</si>
  <si>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</si>
  <si>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</si>
  <si>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</si>
  <si>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</si>
  <si>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</si>
  <si>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</si>
  <si>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</si>
  <si>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</si>
  <si>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</si>
  <si>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</si>
  <si>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</si>
  <si>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</si>
  <si>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</si>
  <si>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</si>
  <si>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</si>
  <si>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</si>
  <si>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</si>
  <si>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</si>
  <si>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</si>
  <si>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</si>
  <si>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</si>
  <si>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</si>
  <si>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</si>
  <si>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</si>
  <si>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</si>
  <si>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</si>
  <si>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</si>
  <si>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</si>
  <si>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</si>
  <si>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</si>
  <si>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</si>
  <si>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</si>
  <si>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</si>
  <si>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</si>
  <si>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</si>
  <si>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</si>
  <si>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</si>
  <si>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</si>
  <si>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</si>
  <si>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</si>
  <si>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</si>
  <si>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</si>
  <si>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</si>
  <si>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</si>
  <si>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</si>
  <si>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</si>
  <si>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</si>
  <si>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</si>
  <si>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</si>
  <si>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</si>
  <si>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</si>
  <si>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</si>
  <si>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</si>
  <si>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</si>
  <si>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</si>
  <si>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</si>
  <si>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</si>
  <si>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</si>
  <si>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</si>
  <si>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</si>
  <si>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</si>
  <si>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</si>
  <si>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</si>
  <si>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</si>
  <si>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</si>
  <si>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</si>
  <si>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</si>
  <si>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</si>
  <si>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</si>
  <si>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</si>
  <si>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</si>
  <si>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</si>
  <si>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</si>
  <si>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</si>
  <si>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</si>
  <si>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</si>
  <si>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</si>
  <si>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</si>
  <si>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</si>
  <si>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</si>
  <si>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</si>
  <si>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</si>
  <si>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</si>
  <si>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</si>
  <si>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</si>
  <si>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</si>
  <si>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</si>
  <si>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</si>
  <si>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</si>
  <si>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</si>
  <si>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</si>
  <si>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</si>
  <si>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</si>
  <si>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</si>
  <si>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</si>
  <si>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</si>
  <si>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</si>
  <si>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</si>
  <si>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</si>
  <si>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</si>
  <si>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</si>
  <si>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</si>
  <si>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</si>
  <si>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</si>
  <si>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</si>
  <si>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</si>
  <si>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</si>
  <si>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</si>
  <si>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</si>
  <si>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</si>
  <si>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</si>
  <si>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</si>
  <si>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</si>
  <si>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</si>
  <si>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</si>
  <si>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</si>
  <si>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</si>
  <si>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</si>
  <si>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</si>
  <si>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</si>
  <si>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</si>
  <si>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</si>
  <si>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</si>
  <si>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</si>
  <si>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</si>
  <si>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</si>
  <si>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</si>
  <si>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</si>
  <si>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</si>
  <si>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</si>
  <si>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</si>
  <si>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</si>
  <si>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2569-1</t>
  </si>
  <si>
    <t>AC COMERCIAL IM</t>
  </si>
  <si>
    <t>TIAGO SANTANA</t>
  </si>
  <si>
    <t>PERSONALIZADO_L</t>
  </si>
  <si>
    <t>CTE NORMAL</t>
  </si>
  <si>
    <t>LOUVEIRA - SP</t>
  </si>
  <si>
    <t>UILIAN PRAZITO RODRIGUES</t>
  </si>
  <si>
    <t>INDEFINIDO</t>
  </si>
  <si>
    <t>Navegantes-Sc X Louveira-Sp3/4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</si>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</sst>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[Analise_LUCAS_24082026.xlsx]Resumo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6368.24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560.80159999999978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[Analise_LUCAS_24082026.xlsx]Resumo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6368.24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560.80159999999978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1.37819976852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64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7T00:00:00" maxDate="2026-08-18T00:00:00"/>
    </cacheField>
    <cacheField name="DATA" numFmtId="14">
      <sharedItems containsNonDate="0" containsDate="1" containsString="0" containsBlank="1" minDate="2026-08-24T00:00:00" maxDate="2026-08-2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70717.39" maxValue="670717.39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368.24" maxValue="6368.24"/>
    </cacheField>
    <cacheField name="VOLUMES" numFmtId="0">
      <sharedItems containsString="0" containsBlank="1" containsNumber="1" containsInteger="1" minValue="338" maxValue="338"/>
    </cacheField>
    <cacheField name="PESO" numFmtId="0">
      <sharedItems containsString="0" containsBlank="1" containsNumber="1" minValue="956.89" maxValue="956.8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3700" maxValue="37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764.19" maxValue="764.1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68.29000000000002" maxValue="268.2900000000000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732.4799999999996" maxValue="4732.4799999999996"/>
    </cacheField>
    <cacheField name="RECEITA" numFmtId="0">
      <sharedItems containsString="0" containsBlank="1" containsNumber="1" minValue="1635.76" maxValue="1635.76"/>
    </cacheField>
    <cacheField name="IMPOSTO" numFmtId="0">
      <sharedItems containsString="0" containsBlank="1" containsNumber="1" minValue="1018.92" maxValue="1018.92"/>
    </cacheField>
    <cacheField name="RESULTADO" numFmtId="0">
      <sharedItems containsString="0" containsBlank="1" containsNumber="1" minValue="616.83999999999992" maxValue="616.83999999999992"/>
    </cacheField>
    <cacheField name="COMIS" numFmtId="0">
      <sharedItems containsString="0" containsBlank="1" containsNumber="1" minValue="56.04" maxValue="56.04"/>
    </cacheField>
    <cacheField name="LUCRO LIQ" numFmtId="0">
      <sharedItems containsString="0" containsBlank="1" containsNumber="1" minValue="560.79999999999995" maxValue="560.79999999999995"/>
    </cacheField>
    <cacheField name="MARGEM" numFmtId="10">
      <sharedItems containsString="0" containsBlank="1" containsNumber="1" minValue="8.8100000000000012E-2" maxValue="8.810000000000001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7T00:00:00"/>
    <d v="2026-08-24T00:00:00"/>
    <m/>
    <s v="2569-1"/>
    <x v="0"/>
    <s v="TIAGO SANTANA"/>
    <n v="670717.39"/>
    <x v="0"/>
    <s v="CTE NORMAL"/>
    <s v="LOUVEIRA - SP"/>
    <n v="6368.24"/>
    <n v="338"/>
    <n v="956.89"/>
    <s v="MATRIZ"/>
    <n v="0"/>
    <s v="UILIAN PRAZITO RODRIGUES"/>
    <n v="3700"/>
    <s v="INDEFINIDO"/>
    <n v="0"/>
    <n v="764.19"/>
    <n v="0"/>
    <n v="0"/>
    <n v="268.29000000000002"/>
    <n v="0"/>
    <n v="4732.4799999999996"/>
    <n v="1635.76"/>
    <n v="1018.92"/>
    <n v="616.83999999999992"/>
    <n v="56.04"/>
    <n v="560.79999999999995"/>
    <n v="8.8100000000000012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2648</v>
      </c>
      <c r="B2" s="12" t="s">
        <v>579</v>
      </c>
      <c r="C2" s="14">
        <v>46251</v>
      </c>
      <c r="D2" s="14">
        <v>46258</v>
      </c>
      <c r="E2" s="12"/>
      <c r="F2" s="15" t="s">
        <v>580</v>
      </c>
      <c r="G2" s="15" t="s">
        <v>581</v>
      </c>
      <c r="H2" s="15" t="s">
        <v>582</v>
      </c>
      <c r="I2" s="16">
        <v>670717.39</v>
      </c>
      <c r="J2" s="15" t="s">
        <v>583</v>
      </c>
      <c r="K2" s="15" t="s">
        <v>584</v>
      </c>
      <c r="L2" s="15" t="s">
        <v>585</v>
      </c>
      <c r="M2" s="15">
        <v>6368.24</v>
      </c>
      <c r="N2" s="15">
        <v>338</v>
      </c>
      <c r="O2" s="16">
        <v>956.89</v>
      </c>
      <c r="P2" s="15" t="s">
        <v>579</v>
      </c>
      <c r="Q2" s="15">
        <v>0</v>
      </c>
      <c r="R2" s="15" t="s">
        <v>586</v>
      </c>
      <c r="S2" s="15">
        <v>3700</v>
      </c>
      <c r="T2" s="15" t="s">
        <v>587</v>
      </c>
      <c r="U2" s="15">
        <v>0</v>
      </c>
      <c r="V2" s="15">
        <v>764.19</v>
      </c>
      <c r="W2" s="15">
        <v>0</v>
      </c>
      <c r="X2" s="15">
        <v>0</v>
      </c>
      <c r="Y2" s="15">
        <v>268.29000000000002</v>
      </c>
      <c r="Z2" s="15">
        <v>0</v>
      </c>
      <c r="AA2" s="15">
        <v>4732.4799999999996</v>
      </c>
      <c r="AB2" s="15">
        <v>1635.76</v>
      </c>
      <c r="AC2" s="15">
        <v>1018.92</v>
      </c>
      <c r="AD2" s="15">
        <v>616.83999999999992</v>
      </c>
      <c r="AE2" s="15">
        <v>56.04</v>
      </c>
      <c r="AF2" s="15">
        <v>560.79999999999995</v>
      </c>
      <c r="AG2" s="17">
        <v>8.8100000000000012E-2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6368.24</v>
      </c>
      <c r="F3" s="89"/>
      <c r="G3" s="90"/>
      <c r="H3" s="133">
        <f>'Resumo Detalhado'!C2</f>
        <v>956.89</v>
      </c>
      <c r="I3" s="134"/>
      <c r="J3" s="135">
        <f>E3/H3</f>
        <v>6.6551432244040587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0.27339714285714284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3700</v>
      </c>
      <c r="F7" s="112"/>
      <c r="G7" s="112"/>
      <c r="H7" s="112"/>
      <c r="I7" s="112"/>
      <c r="J7" s="112">
        <f>E7/H3</f>
        <v>3.866693141322409</v>
      </c>
      <c r="K7" s="112"/>
      <c r="L7" s="112"/>
      <c r="M7" s="130">
        <f>E7/E3</f>
        <v>0.58100825345778428</v>
      </c>
      <c r="N7" s="130"/>
      <c r="O7" s="130"/>
      <c r="P7" s="112">
        <f>E11+K11+Q11+E15+K15+Q15+E19+H19+K19</f>
        <v>6260.8576000000012</v>
      </c>
      <c r="Q7" s="112"/>
      <c r="R7" s="112"/>
      <c r="S7" s="112">
        <f>P7/H3</f>
        <v>6.542923011004401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3700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3700</v>
      </c>
      <c r="L11" s="90"/>
      <c r="M11" s="38"/>
      <c r="N11" s="88">
        <f>K11/H3</f>
        <v>3.866693141322409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764.19</v>
      </c>
      <c r="F15" s="119"/>
      <c r="G15" s="119"/>
      <c r="H15" s="119"/>
      <c r="I15" s="132"/>
      <c r="J15" s="38"/>
      <c r="K15" s="113">
        <f>'Resumo Detalhado'!K2+'Resumo Detalhado'!L2</f>
        <v>1018.9184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268.29000000000002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509.45920000000001</v>
      </c>
      <c r="L19" s="123"/>
      <c r="M19" s="38"/>
      <c r="N19" s="121" t="s">
        <v>588</v>
      </c>
      <c r="O19" s="119"/>
      <c r="P19" s="119"/>
      <c r="Q19" s="119"/>
      <c r="R19" s="120"/>
      <c r="S19" s="121">
        <v>3700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560.80159999999978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8.8062258960089415E-2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6368.24</v>
      </c>
      <c r="C2" s="29">
        <f>SUM(C6:C5000)</f>
        <v>956.89</v>
      </c>
      <c r="D2" s="29">
        <f>SUM(D6:D5000)</f>
        <v>0</v>
      </c>
      <c r="E2" s="29">
        <f>SUM(E6:E5000)</f>
        <v>3700</v>
      </c>
      <c r="F2" s="29">
        <f>SUM(F6:F5000)</f>
        <v>0</v>
      </c>
      <c r="G2" s="29"/>
      <c r="H2" s="29">
        <f t="shared" ref="H2:P2" si="0">SUM(H6:H5000)</f>
        <v>764.19</v>
      </c>
      <c r="I2" s="29">
        <f t="shared" si="0"/>
        <v>268.29000000000002</v>
      </c>
      <c r="J2" s="29">
        <f t="shared" si="0"/>
        <v>0</v>
      </c>
      <c r="K2" s="29">
        <f t="shared" si="0"/>
        <v>509.45920000000001</v>
      </c>
      <c r="L2" s="29">
        <f t="shared" si="0"/>
        <v>509.45920000000001</v>
      </c>
      <c r="M2" s="29">
        <f t="shared" si="0"/>
        <v>56.04</v>
      </c>
      <c r="N2" s="29">
        <f t="shared" si="0"/>
        <v>560.80159999999978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2648</v>
      </c>
      <c r="B6" s="140">
        <v>6368.24</v>
      </c>
      <c r="C6" s="141">
        <v>956.89</v>
      </c>
      <c r="D6" s="140">
        <v>0</v>
      </c>
      <c r="E6" s="140">
        <v>3700</v>
      </c>
      <c r="F6" s="140">
        <v>0</v>
      </c>
      <c r="G6" s="142">
        <v>0.58100825345778428</v>
      </c>
      <c r="H6" s="140">
        <v>764.19</v>
      </c>
      <c r="I6" s="140">
        <v>268.29000000000002</v>
      </c>
      <c r="J6" s="140">
        <v>0</v>
      </c>
      <c r="K6" s="140">
        <v>509.45920000000001</v>
      </c>
      <c r="L6" s="140">
        <v>509.45920000000001</v>
      </c>
      <c r="M6" s="140">
        <v>56.04</v>
      </c>
      <c r="N6" s="140">
        <v>560.80159999999978</v>
      </c>
      <c r="O6" s="142">
        <v>8.8062258960089415E-2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6368.24</v>
      </c>
      <c r="C5" s="10">
        <v>560.80159999999978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588</v>
      </c>
      <c r="D368" s="87">
        <v>3700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2026-08-27T12:04:46Z</dcterms:modified>
  <cp:category/>
  <cp:contentStatus/>
</cp:coreProperties>
</file>