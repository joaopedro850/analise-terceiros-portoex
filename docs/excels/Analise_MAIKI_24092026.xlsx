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2059776-8FC2-4846-AFE5-D51B3E9D70B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<sst xmlns="http://schemas.openxmlformats.org/spreadsheetml/2006/main" count="900" uniqueCount="623">
  <si>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</si>
  <si>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</si>
  <si>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</si>
  <si>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</si>
  <si>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</si>
  <si>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</si>
  <si>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</si>
  <si>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</si>
  <si>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</si>
  <si>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</si>
  <si>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</si>
  <si>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</si>
  <si>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</si>
  <si>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</si>
  <si>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</si>
  <si>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</si>
  <si>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</si>
  <si>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</si>
  <si>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</si>
  <si>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</si>
  <si>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</si>
  <si>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</si>
  <si>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</si>
  <si>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</si>
  <si>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</si>
  <si>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</si>
  <si>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</si>
  <si>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</si>
  <si>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</si>
  <si>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</si>
  <si>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</si>
  <si>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</si>
  <si>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</si>
  <si>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</si>
  <si>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</si>
  <si>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</si>
  <si>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</si>
  <si>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</si>
  <si>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</si>
  <si>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</si>
  <si>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</si>
  <si>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</si>
  <si>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</si>
  <si>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</si>
  <si>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</si>
  <si>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</si>
  <si>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</si>
  <si>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</si>
  <si>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</si>
  <si>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</si>
  <si>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</si>
  <si>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</si>
  <si>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</si>
  <si>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</si>
  <si>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</si>
  <si>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</si>
  <si>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</si>
  <si>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</si>
  <si>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</si>
  <si>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</si>
  <si>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</si>
  <si>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</si>
  <si>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</si>
  <si>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</si>
  <si>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</si>
  <si>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</si>
  <si>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</si>
  <si>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</si>
  <si>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</si>
  <si>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</si>
  <si>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</si>
  <si>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</si>
  <si>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</si>
  <si>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</si>
  <si>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</si>
  <si>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</si>
  <si>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</si>
  <si>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</si>
  <si>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</si>
  <si>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</si>
  <si>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</si>
  <si>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</si>
  <si>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</si>
  <si>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</si>
  <si>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</si>
  <si>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</si>
  <si>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</si>
  <si>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</si>
  <si>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</si>
  <si>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</si>
  <si>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</si>
  <si>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</si>
  <si>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</si>
  <si>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</si>
  <si>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</si>
  <si>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</si>
  <si>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</si>
  <si>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</si>
  <si>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</si>
  <si>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</si>
  <si>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</si>
  <si>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</si>
  <si>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</si>
  <si>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</si>
  <si>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</si>
  <si>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</si>
  <si>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</si>
  <si>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</si>
  <si>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</si>
  <si>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</si>
  <si>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</si>
  <si>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</si>
  <si>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</si>
  <si>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</si>
  <si>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</si>
  <si>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</si>
  <si>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</si>
  <si>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</si>
  <si>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</si>
  <si>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</si>
  <si>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</si>
  <si>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</si>
  <si>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</si>
  <si>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</si>
  <si>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</si>
  <si>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</si>
  <si>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</si>
  <si>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</si>
  <si>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</si>
  <si>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</si>
  <si>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</si>
  <si>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</si>
  <si>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</si>
  <si>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</si>
  <si>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</si>
  <si>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</si>
  <si>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</si>
  <si>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</si>
  <si>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</si>
  <si>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</si>
  <si>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</si>
  <si>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</si>
  <si>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</si>
  <si>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</si>
  <si>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</si>
  <si>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</si>
  <si>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</si>
  <si>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</si>
  <si>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</si>
  <si>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</si>
  <si>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</si>
  <si>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</si>
  <si>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</si>
  <si>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</si>
  <si>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</si>
  <si>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</si>
  <si>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</si>
  <si>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</si>
  <si>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</si>
  <si>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</si>
  <si>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</si>
  <si>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</si>
  <si>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</si>
  <si>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</si>
  <si>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</si>
  <si>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</si>
  <si>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</si>
  <si>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</si>
  <si>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</si>
  <si>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</si>
  <si>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</si>
  <si>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</si>
  <si>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</si>
  <si>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</si>
  <si>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</si>
  <si>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</si>
  <si>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</si>
  <si>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</si>
  <si>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</si>
  <si>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</si>
  <si>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</si>
  <si>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</si>
  <si>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</si>
  <si>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</si>
  <si>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</si>
  <si>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</si>
  <si>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</si>
  <si>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</si>
  <si>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</si>
  <si>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</si>
  <si>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</si>
  <si>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</si>
  <si>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</si>
  <si>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</si>
  <si>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</si>
  <si>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</si>
  <si>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</si>
  <si>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</si>
  <si>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</si>
  <si>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</si>
  <si>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</si>
  <si>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</si>
  <si>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</si>
  <si>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</si>
  <si>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</si>
  <si>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</si>
  <si>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</si>
  <si>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</si>
  <si>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</si>
  <si>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</si>
  <si>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</si>
  <si>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</si>
  <si>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</si>
  <si>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</si>
  <si>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</si>
  <si>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</si>
  <si>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</si>
  <si>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</si>
  <si>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</si>
  <si>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</si>
  <si>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</si>
  <si>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</si>
  <si>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</si>
  <si>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</si>
  <si>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</si>
  <si>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</si>
  <si>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</si>
  <si>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</si>
  <si>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</si>
  <si>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</si>
  <si>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</si>
  <si>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</si>
  <si>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</si>
  <si>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</si>
  <si>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</si>
  <si>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</si>
  <si>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</si>
  <si>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</si>
  <si>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</si>
  <si>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</si>
  <si>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</si>
  <si>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</si>
  <si>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</si>
  <si>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</si>
  <si>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</si>
  <si>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</si>
  <si>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</si>
  <si>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</si>
  <si>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</si>
  <si>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</si>
  <si>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</si>
  <si>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</si>
  <si>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</si>
  <si>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</si>
  <si>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</si>
  <si>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</si>
  <si>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</si>
  <si>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</si>
  <si>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</si>
  <si>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</si>
  <si>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</si>
  <si>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</si>
  <si>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</si>
  <si>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</si>
  <si>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</si>
  <si>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</si>
  <si>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</si>
  <si>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</si>
  <si>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</si>
  <si>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</si>
  <si>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</si>
  <si>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</si>
  <si>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</si>
  <si>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</si>
  <si>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</si>
  <si>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</si>
  <si>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</si>
  <si>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</si>
  <si>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</si>
  <si>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</si>
  <si>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</si>
  <si>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</si>
  <si>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</si>
  <si>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</si>
  <si>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</si>
  <si>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</si>
  <si>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</si>
  <si>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</si>
  <si>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</si>
  <si>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</si>
  <si>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</si>
  <si>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</si>
  <si>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</si>
  <si>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</si>
  <si>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</si>
  <si>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</si>
  <si>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</si>
  <si>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</si>
  <si>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</si>
  <si>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</si>
  <si>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</si>
  <si>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</si>
  <si>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</si>
  <si>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</si>
  <si>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</si>
  <si>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</si>
  <si>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</si>
  <si>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</si>
  <si>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</si>
  <si>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</si>
  <si>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</si>
  <si>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</si>
  <si>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</si>
  <si>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</si>
  <si>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</si>
  <si>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</si>
  <si>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</si>
  <si>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</si>
  <si>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</si>
  <si>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</si>
  <si>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</si>
  <si>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</si>
  <si>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</si>
  <si>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</si>
  <si>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</si>
  <si>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</si>
  <si>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</si>
  <si>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</si>
  <si>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</si>
  <si>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</si>
  <si>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</si>
  <si>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</si>
  <si>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</si>
  <si>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</si>
  <si>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</si>
  <si>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</si>
  <si>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</si>
  <si>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</si>
  <si>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</si>
  <si>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</si>
  <si>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</si>
  <si>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</si>
  <si>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</si>
  <si>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</si>
  <si>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</si>
  <si>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</si>
  <si>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</si>
  <si>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</si>
  <si>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</si>
  <si>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</si>
  <si>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</si>
  <si>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</si>
  <si>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</si>
  <si>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</si>
  <si>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</si>
  <si>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</si>
  <si>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</si>
  <si>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</si>
  <si>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</si>
  <si>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</si>
  <si>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</si>
  <si>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</si>
  <si>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</si>
  <si>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</si>
  <si>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</si>
  <si>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</si>
  <si>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</si>
  <si>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</si>
  <si>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</si>
  <si>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</si>
  <si>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</si>
  <si>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</si>
  <si>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</si>
  <si>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</si>
  <si>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</si>
  <si>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</si>
  <si>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</si>
  <si>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</si>
  <si>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</si>
  <si>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</si>
  <si>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</si>
  <si>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</si>
  <si>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</si>
  <si>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</si>
  <si>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</si>
  <si>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</si>
  <si>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</si>
  <si>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</si>
  <si>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</si>
  <si>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</si>
  <si>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</si>
  <si>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</si>
  <si>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</si>
  <si>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</si>
  <si>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</si>
  <si>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</si>
  <si>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</si>
  <si>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</si>
  <si>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</si>
  <si>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</si>
  <si>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</si>
  <si>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</si>
  <si>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</si>
  <si>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</si>
  <si>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</si>
  <si>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</si>
  <si>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</si>
  <si>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</si>
  <si>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</si>
  <si>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</si>
  <si>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</si>
  <si>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</si>
  <si>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</si>
  <si>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</si>
  <si>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</si>
  <si>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</si>
  <si>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</si>
  <si>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</si>
  <si>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</si>
  <si>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</si>
  <si>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</si>
  <si>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</si>
  <si>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</si>
  <si>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</si>
  <si>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</si>
  <si>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</si>
  <si>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</si>
  <si>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</si>
  <si>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</si>
  <si>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</si>
  <si>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</si>
  <si>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</si>
  <si>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</si>
  <si>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</si>
  <si>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</si>
  <si>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</si>
  <si>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</si>
  <si>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</si>
  <si>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</si>
  <si>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</si>
  <si>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</si>
  <si>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</si>
  <si>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</si>
  <si>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</si>
  <si>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</si>
  <si>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</si>
  <si>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</si>
  <si>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</si>
  <si>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</si>
  <si>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</si>
  <si>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</si>
  <si>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</si>
  <si>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</si>
  <si>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</si>
  <si>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</si>
  <si>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</si>
  <si>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</si>
  <si>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</si>
  <si>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</si>
  <si>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</si>
  <si>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</si>
  <si>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</si>
  <si>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</si>
  <si>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</si>
  <si>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</si>
  <si>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</si>
  <si>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</si>
  <si>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</si>
  <si>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</si>
  <si>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</si>
  <si>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</si>
  <si>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</si>
  <si>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</si>
  <si>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</si>
  <si>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</si>
  <si>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</si>
  <si>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</si>
  <si>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</si>
  <si>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</si>
  <si>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</si>
  <si>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</si>
  <si>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</si>
  <si>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</si>
  <si>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</si>
  <si>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</si>
  <si>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</si>
  <si>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</si>
  <si>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</si>
  <si>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</si>
  <si>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</si>
  <si>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</si>
  <si>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</si>
  <si>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</si>
  <si>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</si>
  <si>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</si>
  <si>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</si>
  <si>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</si>
  <si>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</si>
  <si>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</si>
  <si>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</si>
  <si>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</si>
  <si>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</si>
  <si>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</si>
  <si>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</si>
  <si>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</si>
  <si>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</si>
  <si>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</si>
  <si>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</si>
  <si>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</si>
  <si>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</si>
  <si>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</si>
  <si>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</si>
  <si>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</si>
  <si>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</si>
  <si>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</si>
  <si>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</si>
  <si>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</si>
  <si>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</si>
  <si>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</si>
  <si>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</si>
  <si>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</si>
  <si>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</si>
  <si>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</si>
  <si>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</si>
  <si>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</si>
  <si>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</si>
  <si>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</si>
  <si>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</si>
  <si>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</si>
  <si>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</si>
  <si>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</si>
  <si>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</si>
  <si>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</si>
  <si>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</si>
  <si>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</si>
  <si>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</si>
  <si>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</si>
  <si>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</si>
  <si>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</si>
  <si>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</si>
  <si>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</si>
  <si>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</si>
  <si>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</si>
  <si>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</si>
  <si>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</si>
  <si>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</si>
  <si>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</si>
  <si>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</si>
  <si>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</si>
  <si>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</si>
  <si>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</si>
  <si>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</si>
  <si>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</si>
  <si>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</si>
  <si>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</si>
  <si>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</si>
  <si>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</si>
  <si>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</si>
  <si>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</si>
  <si>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</si>
  <si>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</si>
  <si>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</si>
  <si>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</si>
  <si>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</si>
  <si>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</si>
  <si>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</si>
  <si>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</si>
  <si>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</si>
  <si>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</si>
  <si>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</si>
  <si>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</si>
  <si>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</si>
  <si>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</si>
  <si>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</si>
  <si>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</si>
  <si>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</si>
  <si>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</si>
  <si>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</si>
  <si>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</si>
  <si>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</si>
  <si>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</si>
  <si>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</si>
  <si>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</si>
  <si>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</si>
  <si>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</si>
  <si>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</si>
  <si>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</si>
  <si>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</si>
  <si>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</si>
  <si>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</si>
  <si>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</si>
  <si>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</si>
  <si>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</si>
  <si>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</si>
  <si>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</si>
  <si>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</si>
  <si>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</si>
  <si>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</si>
  <si>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</si>
  <si>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</si>
  <si>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</si>
  <si>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</si>
  <si>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</si>
  <si>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</si>
  <si>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</si>
  <si>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</si>
  <si>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MATRIZ</t>
  </si>
  <si>
    <t>203758-1</t>
  </si>
  <si>
    <t>BATIKI COM IMPO</t>
  </si>
  <si>
    <t>TIAGO SANTANA</t>
  </si>
  <si>
    <t>ECONOMICO_250</t>
  </si>
  <si>
    <t>CTE NORMAL</t>
  </si>
  <si>
    <t>JAU - SP</t>
  </si>
  <si>
    <t>ITAUAN GONZAGA DA SILVA</t>
  </si>
  <si>
    <t>RISSO TRANSPORTES</t>
  </si>
  <si>
    <t>TR KBICERA TRANSPORTES LT</t>
  </si>
  <si>
    <t>2252-6</t>
  </si>
  <si>
    <t>MATTEL DO BRASI</t>
  </si>
  <si>
    <t>MARLON MARQUES</t>
  </si>
  <si>
    <t>EXPRESSO_250</t>
  </si>
  <si>
    <t>BELEM - PA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</si>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</sst>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[Analise_MAIKI_24092026.xlsx]Resumo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205.06</c:v>
                </c:pt>
                <c:pt idx="1">
                  <c:v>45469.72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58.925199999999997</c:v>
                </c:pt>
                <c:pt idx="1">
                  <c:v>37968.362400000005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[Analise_MAIKI_24092026.xlsx]Resumo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205.06</c:v>
                </c:pt>
                <c:pt idx="1">
                  <c:v>45469.72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58.925199999999997</c:v>
                </c:pt>
                <c:pt idx="1">
                  <c:v>37968.362400000005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4.4384484953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641" count="8000">
        <n v="302455"/>
        <n v="30264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4T00:00:00" maxDate="2026-09-25T00:00:00"/>
    </cacheField>
    <cacheField name="DATA" numFmtId="14">
      <sharedItems containsNonDate="0" containsDate="1" containsString="0" containsBlank="1" minDate="2026-09-24T00:00:00" maxDate="2026-09-25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BATIKI COM IMPO"/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728.19" maxValue="1121709.52"/>
    </cacheField>
    <cacheField name="SERVICO" numFmtId="0">
      <sharedItems containsBlank="1" count="27">
        <s v="ECONOMICO_250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05.06" maxValue="45469.72"/>
    </cacheField>
    <cacheField name="VOLUMES" numFmtId="0">
      <sharedItems containsString="0" containsBlank="1" containsNumber="1" containsInteger="1" minValue="13" maxValue="3317"/>
    </cacheField>
    <cacheField name="PESO" numFmtId="0">
      <sharedItems containsString="0" containsBlank="1" containsNumber="1" minValue="65" maxValue="6474.26"/>
    </cacheField>
    <cacheField name="RESP. COLETA" numFmtId="0">
      <sharedItems containsBlank="1"/>
    </cacheField>
    <cacheField name="CUSTO COLETA" numFmtId="0">
      <sharedItems containsString="0" containsBlank="1" containsNumber="1" minValue="0" maxValue="18.64999999999999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83.41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4.61" maxValue="3182.8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86" maxValue="560.85"/>
    </cacheField>
    <cacheField name="OUTROS" numFmtId="0">
      <sharedItems containsString="0" containsBlank="1" containsNumber="1" minValue="1.2" maxValue="120.05"/>
    </cacheField>
    <cacheField name="C.TOTAL" numFmtId="0">
      <sharedItems containsString="0" containsBlank="1" containsNumber="1" minValue="353.38" maxValue="26140.13"/>
    </cacheField>
    <cacheField name="RECEITA" numFmtId="0">
      <sharedItems containsString="0" containsBlank="1" containsNumber="1" minValue="-148.32" maxValue="19329.59"/>
    </cacheField>
    <cacheField name="IMPOSTO" numFmtId="0">
      <sharedItems containsString="0" containsBlank="1" containsNumber="1" minValue="53.32" maxValue="11822.13"/>
    </cacheField>
    <cacheField name="RESULTADO" numFmtId="0">
      <sharedItems containsString="0" containsBlank="1" containsNumber="1" minValue="-201.64" maxValue="7507.4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01.64" maxValue="7507.46"/>
    </cacheField>
    <cacheField name="MARGEM" numFmtId="10">
      <sharedItems containsString="0" containsBlank="1" containsNumber="1" minValue="-0.98329999999999995" maxValue="0.1651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4T00:00:00"/>
    <d v="2026-09-24T00:00:00"/>
    <m/>
    <s v="203758-1"/>
    <x v="0"/>
    <s v="TIAGO SANTANA"/>
    <n v="3728.19"/>
    <x v="0"/>
    <s v="CTE NORMAL"/>
    <s v="JAU - SP"/>
    <n v="205.06"/>
    <n v="13"/>
    <n v="65"/>
    <s v="ITAUAN GONZAGA DA SILVA"/>
    <n v="18.649999999999999"/>
    <s v="RISSO TRANSPORTES"/>
    <n v="83.41"/>
    <s v="TR KBICERA TRANSPORTES LT"/>
    <n v="0"/>
    <n v="24.61"/>
    <n v="0"/>
    <n v="0"/>
    <n v="1.86"/>
    <n v="1.2"/>
    <n v="353.38"/>
    <n v="-148.32"/>
    <n v="53.32"/>
    <n v="-201.64"/>
    <n v="0"/>
    <n v="-201.64"/>
    <n v="-0.98329999999999995"/>
    <m/>
  </r>
  <r>
    <x v="1"/>
    <s v="MATRIZ"/>
    <d v="2026-09-24T00:00:00"/>
    <d v="2026-09-24T00:00:00"/>
    <m/>
    <s v="2252-6"/>
    <x v="1"/>
    <s v="MARLON MARQUES"/>
    <n v="1121709.52"/>
    <x v="1"/>
    <s v="CTE NORMAL"/>
    <s v="BELEM - PA"/>
    <n v="45469.72"/>
    <n v="3317"/>
    <n v="6474.26"/>
    <s v="N/D"/>
    <n v="0"/>
    <s v="N/D"/>
    <n v="0"/>
    <s v="TR KBICERA TRANSPORTES LT"/>
    <n v="0"/>
    <n v="3182.88"/>
    <n v="0"/>
    <n v="0"/>
    <n v="560.85"/>
    <n v="120.05"/>
    <n v="26140.13"/>
    <n v="19329.59"/>
    <n v="11822.13"/>
    <n v="7507.46"/>
    <n v="0"/>
    <n v="7507.46"/>
    <n v="0.16510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0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2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92"/>
    </i>
    <i r="1">
      <x v="7998"/>
    </i>
    <i>
      <x v="495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0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2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2"/>
    </i>
    <i>
      <x v="49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9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6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60" s="1" nd="1"/>
        <i x="631" s="1" nd="1"/>
        <i x="530" s="1" nd="1"/>
        <i x="295" s="1" nd="1"/>
        <i x="304" s="1" nd="1"/>
        <i x="174" s="1" nd="1"/>
        <i x="101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10" s="1" nd="1"/>
        <i x="117" s="1" nd="1"/>
        <i x="536" s="1" nd="1"/>
        <i x="84" s="1" nd="1"/>
        <i x="602" s="1" nd="1"/>
        <i x="450" s="1" nd="1"/>
        <i x="349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60" s="1" nd="1"/>
        <i x="580" s="1" nd="1"/>
        <i x="353" s="1" nd="1"/>
        <i x="103" s="1" nd="1"/>
        <i x="538" s="1" nd="1"/>
        <i x="208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1" s="1" nd="1"/>
        <i x="452" s="1" nd="1"/>
        <i x="774" s="1" nd="1"/>
        <i x="485" s="1" nd="1"/>
        <i x="740" s="1" nd="1"/>
        <i x="454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7" s="1" nd="1"/>
        <i x="715" s="1" nd="1"/>
        <i x="55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118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4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4" s="1" nd="1"/>
        <i x="504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1" s="1" nd="1"/>
        <i x="254" s="1" nd="1"/>
        <i x="512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3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4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6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87" totalsRowShown="0" headerRowDxfId="92" dataDxfId="90" headerRowBorderDxfId="91" tableBorderDxfId="89" totalsRowBorderDxfId="88">
  <autoFilter ref="A1:D38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302455</v>
      </c>
      <c r="B2" s="12" t="s">
        <v>606</v>
      </c>
      <c r="C2" s="14">
        <v>46289</v>
      </c>
      <c r="D2" s="14">
        <v>46289</v>
      </c>
      <c r="E2" s="12"/>
      <c r="F2" s="15" t="s">
        <v>607</v>
      </c>
      <c r="G2" s="15" t="s">
        <v>608</v>
      </c>
      <c r="H2" s="15" t="s">
        <v>609</v>
      </c>
      <c r="I2" s="16">
        <v>3728.19</v>
      </c>
      <c r="J2" s="15" t="s">
        <v>610</v>
      </c>
      <c r="K2" s="15" t="s">
        <v>611</v>
      </c>
      <c r="L2" s="15" t="s">
        <v>612</v>
      </c>
      <c r="M2" s="15">
        <v>205.06</v>
      </c>
      <c r="N2" s="15">
        <v>13</v>
      </c>
      <c r="O2" s="16">
        <v>65</v>
      </c>
      <c r="P2" s="15" t="s">
        <v>613</v>
      </c>
      <c r="Q2" s="15">
        <v>18.649999999999999</v>
      </c>
      <c r="R2" s="15" t="s">
        <v>614</v>
      </c>
      <c r="S2" s="15">
        <v>83.41</v>
      </c>
      <c r="T2" s="15" t="s">
        <v>615</v>
      </c>
      <c r="U2" s="15">
        <v>0</v>
      </c>
      <c r="V2" s="15">
        <v>24.61</v>
      </c>
      <c r="W2" s="15">
        <v>0</v>
      </c>
      <c r="X2" s="15">
        <v>0</v>
      </c>
      <c r="Y2" s="15">
        <v>1.86</v>
      </c>
      <c r="Z2" s="15">
        <v>1.2</v>
      </c>
      <c r="AA2" s="15">
        <v>353.38</v>
      </c>
      <c r="AB2" s="15">
        <v>-148.32</v>
      </c>
      <c r="AC2" s="15">
        <v>53.32</v>
      </c>
      <c r="AD2" s="15">
        <v>-201.64</v>
      </c>
      <c r="AE2" s="15">
        <v>0</v>
      </c>
      <c r="AF2" s="15">
        <v>-201.64</v>
      </c>
      <c r="AG2" s="17">
        <v>-0.98329999999999995</v>
      </c>
      <c r="AH2" s="15"/>
    </row>
    <row r="3" spans="1:34" s="1" customFormat="1" ht="12" customHeight="1" x14ac:dyDescent="0.3">
      <c r="A3" s="13">
        <v>302641</v>
      </c>
      <c r="B3" s="12" t="s">
        <v>606</v>
      </c>
      <c r="C3" s="14">
        <v>46289</v>
      </c>
      <c r="D3" s="14">
        <v>46289</v>
      </c>
      <c r="E3" s="12"/>
      <c r="F3" s="15" t="s">
        <v>616</v>
      </c>
      <c r="G3" s="15" t="s">
        <v>617</v>
      </c>
      <c r="H3" s="15" t="s">
        <v>618</v>
      </c>
      <c r="I3" s="16">
        <v>1121709.52</v>
      </c>
      <c r="J3" s="15" t="s">
        <v>619</v>
      </c>
      <c r="K3" s="15" t="s">
        <v>611</v>
      </c>
      <c r="L3" s="15" t="s">
        <v>620</v>
      </c>
      <c r="M3" s="16">
        <v>45469.72</v>
      </c>
      <c r="N3" s="15">
        <v>3317</v>
      </c>
      <c r="O3" s="16">
        <v>6474.26</v>
      </c>
      <c r="P3" s="15" t="s">
        <v>621</v>
      </c>
      <c r="Q3" s="15">
        <v>0</v>
      </c>
      <c r="R3" s="15" t="s">
        <v>621</v>
      </c>
      <c r="S3" s="15">
        <v>0</v>
      </c>
      <c r="T3" s="15" t="s">
        <v>615</v>
      </c>
      <c r="U3" s="15">
        <v>0</v>
      </c>
      <c r="V3" s="15">
        <v>3182.88</v>
      </c>
      <c r="W3" s="15">
        <v>0</v>
      </c>
      <c r="X3" s="15">
        <v>0</v>
      </c>
      <c r="Y3" s="15">
        <v>560.85</v>
      </c>
      <c r="Z3" s="15">
        <v>120.05</v>
      </c>
      <c r="AA3" s="16">
        <v>26140.13</v>
      </c>
      <c r="AB3" s="16">
        <v>19329.59</v>
      </c>
      <c r="AC3" s="15">
        <v>11822.13</v>
      </c>
      <c r="AD3" s="15">
        <v>7507.46</v>
      </c>
      <c r="AE3" s="15">
        <v>0</v>
      </c>
      <c r="AF3" s="15">
        <v>7507.46</v>
      </c>
      <c r="AG3" s="17">
        <v>0.16510000000000002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45674.78</v>
      </c>
      <c r="F3" s="89"/>
      <c r="G3" s="90"/>
      <c r="H3" s="133">
        <f>'Resumo Detalhado'!C2</f>
        <v>6539.26</v>
      </c>
      <c r="I3" s="134"/>
      <c r="J3" s="135">
        <f>E3/H3</f>
        <v>6.9847016329064751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0.59447818181818179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22518.65</v>
      </c>
      <c r="F7" s="112"/>
      <c r="G7" s="112"/>
      <c r="H7" s="112"/>
      <c r="I7" s="112"/>
      <c r="J7" s="112">
        <f>E7/H3</f>
        <v>3.4436082981866449</v>
      </c>
      <c r="K7" s="112"/>
      <c r="L7" s="112"/>
      <c r="M7" s="130">
        <f>E7/E3</f>
        <v>0.49302153179500813</v>
      </c>
      <c r="N7" s="130"/>
      <c r="O7" s="130"/>
      <c r="P7" s="112">
        <f>E11+K11+Q11+E15+K15+Q15+E19+H19+K19</f>
        <v>37372.047200000001</v>
      </c>
      <c r="Q7" s="112"/>
      <c r="R7" s="112"/>
      <c r="S7" s="112">
        <f>P7/H3</f>
        <v>5.7150269602370907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22500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22500</v>
      </c>
      <c r="L11" s="90"/>
      <c r="M11" s="38"/>
      <c r="N11" s="88">
        <f>K11/H3</f>
        <v>3.4407562935255669</v>
      </c>
      <c r="O11" s="90"/>
      <c r="P11" s="38"/>
      <c r="Q11" s="88">
        <f>'Resumo Detalhado'!D2</f>
        <v>18.649999999999999</v>
      </c>
      <c r="R11" s="90"/>
      <c r="S11" s="38"/>
      <c r="T11" s="88">
        <f>Q11/H3</f>
        <v>2.8520046610778587E-3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3207.4900000000002</v>
      </c>
      <c r="F15" s="119"/>
      <c r="G15" s="119"/>
      <c r="H15" s="119"/>
      <c r="I15" s="132"/>
      <c r="J15" s="38"/>
      <c r="K15" s="113">
        <f>'Resumo Detalhado'!K2+'Resumo Detalhado'!L2</f>
        <v>7307.9647999999997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562.71</v>
      </c>
      <c r="F19" s="120"/>
      <c r="G19" s="38"/>
      <c r="H19" s="122">
        <f>'Resumo Detalhado'!J2</f>
        <v>121.25</v>
      </c>
      <c r="I19" s="123"/>
      <c r="J19" s="38"/>
      <c r="K19" s="122">
        <f>'Resumo Detalhado'!L2</f>
        <v>3653.9823999999999</v>
      </c>
      <c r="L19" s="123"/>
      <c r="M19" s="38"/>
      <c r="N19" s="121" t="s">
        <v>602</v>
      </c>
      <c r="O19" s="119"/>
      <c r="P19" s="119"/>
      <c r="Q19" s="119"/>
      <c r="R19" s="120"/>
      <c r="S19" s="121">
        <f>_xlfn.XLOOKUP(N19,Target!C:C,Target!D:D)</f>
        <v>22500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38027.287600000003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0.83256640973421225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5546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10.55468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622</v>
      </c>
      <c r="F1" s="29"/>
    </row>
    <row r="2" spans="1:18" x14ac:dyDescent="0.3">
      <c r="B2" s="29">
        <f>SUM(B6:B5000)</f>
        <v>45674.78</v>
      </c>
      <c r="C2" s="29">
        <f>SUM(C6:C5000)</f>
        <v>6539.26</v>
      </c>
      <c r="D2" s="29">
        <f>SUM(D6:D5000)</f>
        <v>18.649999999999999</v>
      </c>
      <c r="E2" s="29">
        <f>SUM(E6:E5000)</f>
        <v>83.41</v>
      </c>
      <c r="F2" s="29">
        <f>SUM(F6:F5000)</f>
        <v>0</v>
      </c>
      <c r="G2" s="29"/>
      <c r="H2" s="29">
        <f t="shared" ref="H2:P2" si="0">SUM(H6:H5000)</f>
        <v>3207.4900000000002</v>
      </c>
      <c r="I2" s="29">
        <f t="shared" si="0"/>
        <v>562.71</v>
      </c>
      <c r="J2" s="29">
        <f t="shared" si="0"/>
        <v>121.25</v>
      </c>
      <c r="K2" s="29">
        <f t="shared" si="0"/>
        <v>3653.9823999999999</v>
      </c>
      <c r="L2" s="29">
        <f t="shared" si="0"/>
        <v>3653.9823999999999</v>
      </c>
      <c r="M2" s="29">
        <f t="shared" si="0"/>
        <v>0</v>
      </c>
      <c r="N2" s="29">
        <f t="shared" si="0"/>
        <v>38027.287600000003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608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302455</v>
      </c>
      <c r="B6" s="140">
        <v>205.06</v>
      </c>
      <c r="C6" s="141">
        <v>65</v>
      </c>
      <c r="D6" s="140">
        <v>18.649999999999999</v>
      </c>
      <c r="E6" s="140">
        <v>83.41</v>
      </c>
      <c r="F6" s="140">
        <v>0</v>
      </c>
      <c r="G6" s="142">
        <v>0.49770798790597875</v>
      </c>
      <c r="H6" s="140">
        <v>24.61</v>
      </c>
      <c r="I6" s="140">
        <v>1.86</v>
      </c>
      <c r="J6" s="140">
        <v>1.2</v>
      </c>
      <c r="K6" s="140">
        <v>16.404800000000002</v>
      </c>
      <c r="L6" s="140">
        <v>16.404800000000002</v>
      </c>
      <c r="M6" s="140">
        <v>0</v>
      </c>
      <c r="N6" s="140">
        <v>58.925199999999997</v>
      </c>
      <c r="O6" s="142">
        <v>0.28735589583536525</v>
      </c>
      <c r="Q6"/>
    </row>
    <row r="7" spans="1:18" s="31" customFormat="1" x14ac:dyDescent="0.3">
      <c r="A7" s="9" t="s">
        <v>617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302641</v>
      </c>
      <c r="B8" s="140">
        <v>45469.72</v>
      </c>
      <c r="C8" s="141">
        <v>6474.26</v>
      </c>
      <c r="D8" s="140">
        <v>0</v>
      </c>
      <c r="E8" s="140">
        <v>0</v>
      </c>
      <c r="F8" s="140">
        <v>0</v>
      </c>
      <c r="G8" s="142">
        <v>0</v>
      </c>
      <c r="H8" s="140">
        <v>3182.88</v>
      </c>
      <c r="I8" s="140">
        <v>560.85</v>
      </c>
      <c r="J8" s="140">
        <v>120.05</v>
      </c>
      <c r="K8" s="140">
        <v>3637.5776000000001</v>
      </c>
      <c r="L8" s="140">
        <v>3637.5776000000001</v>
      </c>
      <c r="M8" s="140">
        <v>0</v>
      </c>
      <c r="N8" s="140">
        <v>37968.362400000005</v>
      </c>
      <c r="O8" s="142">
        <v>0.83502520798456648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622</v>
      </c>
    </row>
    <row r="2" spans="1:4" x14ac:dyDescent="0.3">
      <c r="B2" s="29">
        <f>SUM(B6:B5000)</f>
        <v>45469.72</v>
      </c>
      <c r="C2" s="29">
        <f>SUM(C6:C5000)</f>
        <v>37968.362400000005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608</v>
      </c>
      <c r="B5" s="10">
        <v>205.06</v>
      </c>
      <c r="C5" s="10">
        <v>58.925199999999997</v>
      </c>
    </row>
    <row r="6" spans="1:4" x14ac:dyDescent="0.3">
      <c r="A6" s="9" t="s">
        <v>617</v>
      </c>
      <c r="B6" s="140">
        <v>45469.72</v>
      </c>
      <c r="C6" s="140">
        <v>37968.362400000005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8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2026-09-29T13:31:29Z</dcterms:modified>
  <cp:category/>
  <cp:contentStatus/>
</cp:coreProperties>
</file>