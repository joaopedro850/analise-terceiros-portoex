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C01FB45-5F44-44B5-9E29-EFDACA85204E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<sst xmlns="http://schemas.openxmlformats.org/spreadsheetml/2006/main" count="903" uniqueCount="625">
  <si>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</si>
  <si>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</si>
  <si>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</si>
  <si>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</si>
  <si>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</si>
  <si>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</si>
  <si>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</si>
  <si>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</si>
  <si>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</si>
  <si>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</si>
  <si>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</si>
  <si>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</si>
  <si>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</si>
  <si>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</si>
  <si>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</si>
  <si>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</si>
  <si>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</si>
  <si>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</si>
  <si>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</si>
  <si>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</si>
  <si>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</si>
  <si>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</si>
  <si>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</si>
  <si>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</si>
  <si>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</si>
  <si>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</si>
  <si>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</si>
  <si>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</si>
  <si>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</si>
  <si>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</si>
  <si>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</si>
  <si>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</si>
  <si>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</si>
  <si>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</si>
  <si>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</si>
  <si>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</si>
  <si>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</si>
  <si>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</si>
  <si>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</si>
  <si>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</si>
  <si>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</si>
  <si>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</si>
  <si>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</si>
  <si>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</si>
  <si>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</si>
  <si>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</si>
  <si>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</si>
  <si>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</si>
  <si>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</si>
  <si>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</si>
  <si>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</si>
  <si>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</si>
  <si>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</si>
  <si>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</si>
  <si>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</si>
  <si>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</si>
  <si>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</si>
  <si>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</si>
  <si>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</si>
  <si>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</si>
  <si>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</si>
  <si>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</si>
  <si>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</si>
  <si>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</si>
  <si>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</si>
  <si>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</si>
  <si>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</si>
  <si>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</si>
  <si>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</si>
  <si>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</si>
  <si>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</si>
  <si>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</si>
  <si>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</si>
  <si>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</si>
  <si>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</si>
  <si>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</si>
  <si>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</si>
  <si>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</si>
  <si>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</si>
  <si>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</si>
  <si>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</si>
  <si>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</si>
  <si>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</si>
  <si>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</si>
  <si>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</si>
  <si>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</si>
  <si>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</si>
  <si>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</si>
  <si>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</si>
  <si>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</si>
  <si>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</si>
  <si>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</si>
  <si>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</si>
  <si>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</si>
  <si>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</si>
  <si>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</si>
  <si>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</si>
  <si>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</si>
  <si>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</si>
  <si>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</si>
  <si>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</si>
  <si>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</si>
  <si>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</si>
  <si>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</si>
  <si>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</si>
  <si>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</si>
  <si>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</si>
  <si>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</si>
  <si>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</si>
  <si>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</si>
  <si>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</si>
  <si>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</si>
  <si>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</si>
  <si>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</si>
  <si>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</si>
  <si>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</si>
  <si>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</si>
  <si>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</si>
  <si>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</si>
  <si>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</si>
  <si>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</si>
  <si>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</si>
  <si>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</si>
  <si>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</si>
  <si>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</si>
  <si>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</si>
  <si>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</si>
  <si>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</si>
  <si>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</si>
  <si>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</si>
  <si>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</si>
  <si>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</si>
  <si>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</si>
  <si>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</si>
  <si>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</si>
  <si>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</si>
  <si>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</si>
  <si>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</si>
  <si>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</si>
  <si>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</si>
  <si>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</si>
  <si>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</si>
  <si>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</si>
  <si>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</si>
  <si>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</si>
  <si>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</si>
  <si>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</si>
  <si>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</si>
  <si>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</si>
  <si>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</si>
  <si>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</si>
  <si>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</si>
  <si>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</si>
  <si>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</si>
  <si>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</si>
  <si>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</si>
  <si>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</si>
  <si>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</si>
  <si>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</si>
  <si>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</si>
  <si>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</si>
  <si>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</si>
  <si>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</si>
  <si>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</si>
  <si>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</si>
  <si>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</si>
  <si>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</si>
  <si>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</si>
  <si>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</si>
  <si>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</si>
  <si>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</si>
  <si>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</si>
  <si>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</si>
  <si>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</si>
  <si>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</si>
  <si>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</si>
  <si>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</si>
  <si>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</si>
  <si>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</si>
  <si>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</si>
  <si>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</si>
  <si>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</si>
  <si>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</si>
  <si>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</si>
  <si>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</si>
  <si>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</si>
  <si>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</si>
  <si>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</si>
  <si>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</si>
  <si>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</si>
  <si>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</si>
  <si>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</si>
  <si>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</si>
  <si>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</si>
  <si>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</si>
  <si>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</si>
  <si>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</si>
  <si>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</si>
  <si>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</si>
  <si>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</si>
  <si>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</si>
  <si>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</si>
  <si>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</si>
  <si>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</si>
  <si>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</si>
  <si>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</si>
  <si>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</si>
  <si>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</si>
  <si>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</si>
  <si>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</si>
  <si>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</si>
  <si>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</si>
  <si>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</si>
  <si>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</si>
  <si>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</si>
  <si>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</si>
  <si>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</si>
  <si>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</si>
  <si>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</si>
  <si>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</si>
  <si>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</si>
  <si>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</si>
  <si>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</si>
  <si>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</si>
  <si>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</si>
  <si>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</si>
  <si>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</si>
  <si>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</si>
  <si>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</si>
  <si>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</si>
  <si>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</si>
  <si>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</si>
  <si>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</si>
  <si>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</si>
  <si>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</si>
  <si>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</si>
  <si>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</si>
  <si>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</si>
  <si>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</si>
  <si>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</si>
  <si>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</si>
  <si>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</si>
  <si>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</si>
  <si>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</si>
  <si>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</si>
  <si>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</si>
  <si>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</si>
  <si>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</si>
  <si>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</si>
  <si>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</si>
  <si>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</si>
  <si>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</si>
  <si>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</si>
  <si>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</si>
  <si>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</si>
  <si>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</si>
  <si>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</si>
  <si>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</si>
  <si>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</si>
  <si>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</si>
  <si>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</si>
  <si>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</si>
  <si>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</si>
  <si>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</si>
  <si>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</si>
  <si>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</si>
  <si>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</si>
  <si>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</si>
  <si>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</si>
  <si>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</si>
  <si>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</si>
  <si>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</si>
  <si>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</si>
  <si>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</si>
  <si>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</si>
  <si>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</si>
  <si>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</si>
  <si>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</si>
  <si>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</si>
  <si>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</si>
  <si>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</si>
  <si>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</si>
  <si>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</si>
  <si>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</si>
  <si>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</si>
  <si>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</si>
  <si>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</si>
  <si>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</si>
  <si>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</si>
  <si>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</si>
  <si>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</si>
  <si>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</si>
  <si>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</si>
  <si>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</si>
  <si>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</si>
  <si>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</si>
  <si>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</si>
  <si>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</si>
  <si>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</si>
  <si>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</si>
  <si>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</si>
  <si>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</si>
  <si>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</si>
  <si>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</si>
  <si>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</si>
  <si>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</si>
  <si>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</si>
  <si>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</si>
  <si>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</si>
  <si>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</si>
  <si>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</si>
  <si>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</si>
  <si>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</si>
  <si>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</si>
  <si>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</si>
  <si>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</si>
  <si>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</si>
  <si>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</si>
  <si>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</si>
  <si>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</si>
  <si>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</si>
  <si>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</si>
  <si>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</si>
  <si>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</si>
  <si>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</si>
  <si>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</si>
  <si>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</si>
  <si>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</si>
  <si>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</si>
  <si>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</si>
  <si>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</si>
  <si>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</si>
  <si>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</si>
  <si>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</si>
  <si>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</si>
  <si>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</si>
  <si>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</si>
  <si>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</si>
  <si>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</si>
  <si>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</si>
  <si>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</si>
  <si>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</si>
  <si>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</si>
  <si>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</si>
  <si>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</si>
  <si>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</si>
  <si>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</si>
  <si>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</si>
  <si>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</si>
  <si>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</si>
  <si>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</si>
  <si>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</si>
  <si>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</si>
  <si>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</si>
  <si>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</si>
  <si>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</si>
  <si>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</si>
  <si>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</si>
  <si>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</si>
  <si>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</si>
  <si>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</si>
  <si>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</si>
  <si>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</si>
  <si>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</si>
  <si>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</si>
  <si>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</si>
  <si>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</si>
  <si>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</si>
  <si>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</si>
  <si>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</si>
  <si>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</si>
  <si>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</si>
  <si>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</si>
  <si>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</si>
  <si>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</si>
  <si>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</si>
  <si>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</si>
  <si>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</si>
  <si>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</si>
  <si>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</si>
  <si>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</si>
  <si>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</si>
  <si>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</si>
  <si>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</si>
  <si>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</si>
  <si>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</si>
  <si>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</si>
  <si>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</si>
  <si>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</si>
  <si>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</si>
  <si>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</si>
  <si>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</si>
  <si>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</si>
  <si>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</si>
  <si>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</si>
  <si>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</si>
  <si>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</si>
  <si>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</si>
  <si>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</si>
  <si>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</si>
  <si>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</si>
  <si>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</si>
  <si>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</si>
  <si>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</si>
  <si>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</si>
  <si>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</si>
  <si>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</si>
  <si>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</si>
  <si>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</si>
  <si>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</si>
  <si>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</si>
  <si>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</si>
  <si>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</si>
  <si>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</si>
  <si>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</si>
  <si>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</si>
  <si>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</si>
  <si>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</si>
  <si>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</si>
  <si>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</si>
  <si>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</si>
  <si>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</si>
  <si>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</si>
  <si>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</si>
  <si>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</si>
  <si>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</si>
  <si>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</si>
  <si>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</si>
  <si>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</si>
  <si>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</si>
  <si>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</si>
  <si>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</si>
  <si>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</si>
  <si>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</si>
  <si>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</si>
  <si>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</si>
  <si>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</si>
  <si>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</si>
  <si>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</si>
  <si>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</si>
  <si>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</si>
  <si>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</si>
  <si>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</si>
  <si>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</si>
  <si>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</si>
  <si>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</si>
  <si>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</si>
  <si>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</si>
  <si>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</si>
  <si>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</si>
  <si>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</si>
  <si>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</si>
  <si>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</si>
  <si>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</si>
  <si>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</si>
  <si>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</si>
  <si>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</si>
  <si>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</si>
  <si>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</si>
  <si>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</si>
  <si>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</si>
  <si>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</si>
  <si>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</si>
  <si>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</si>
  <si>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</si>
  <si>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</si>
  <si>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</si>
  <si>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</si>
  <si>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</si>
  <si>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</si>
  <si>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</si>
  <si>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</si>
  <si>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</si>
  <si>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</si>
  <si>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</si>
  <si>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</si>
  <si>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</si>
  <si>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</si>
  <si>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</si>
  <si>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</si>
  <si>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</si>
  <si>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</si>
  <si>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</si>
  <si>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</si>
  <si>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</si>
  <si>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</si>
  <si>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</si>
  <si>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</si>
  <si>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</si>
  <si>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</si>
  <si>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</si>
  <si>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</si>
  <si>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</si>
  <si>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</si>
  <si>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</si>
  <si>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</si>
  <si>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</si>
  <si>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</si>
  <si>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</si>
  <si>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</si>
  <si>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</si>
  <si>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</si>
  <si>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</si>
  <si>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</si>
  <si>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</si>
  <si>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</si>
  <si>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</si>
  <si>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</si>
  <si>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</si>
  <si>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</si>
  <si>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</si>
  <si>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</si>
  <si>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</si>
  <si>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</si>
  <si>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</si>
  <si>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</si>
  <si>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</si>
  <si>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</si>
  <si>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</si>
  <si>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</si>
  <si>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</si>
  <si>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</si>
  <si>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</si>
  <si>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</si>
  <si>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</si>
  <si>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</si>
  <si>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</si>
  <si>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</si>
  <si>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</si>
  <si>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</si>
  <si>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</si>
  <si>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</si>
  <si>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</si>
  <si>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</si>
  <si>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</si>
  <si>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</si>
  <si>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</si>
  <si>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</si>
  <si>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</si>
  <si>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</si>
  <si>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</si>
  <si>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</si>
  <si>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</si>
  <si>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</si>
  <si>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</si>
  <si>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</si>
  <si>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</si>
  <si>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</si>
  <si>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</si>
  <si>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</si>
  <si>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</si>
  <si>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</si>
  <si>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</si>
  <si>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</si>
  <si>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</si>
  <si>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</si>
  <si>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</si>
  <si>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</si>
  <si>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</si>
  <si>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</si>
  <si>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</si>
  <si>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</si>
  <si>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</si>
  <si>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</si>
  <si>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</si>
  <si>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</si>
  <si>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</si>
  <si>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</si>
  <si>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</si>
  <si>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</si>
  <si>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</si>
  <si>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</si>
  <si>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</si>
  <si>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</si>
  <si>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</si>
  <si>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</si>
  <si>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</si>
  <si>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</si>
  <si>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</si>
  <si>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</si>
  <si>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</si>
  <si>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</si>
  <si>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</si>
  <si>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</si>
  <si>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</si>
  <si>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</si>
  <si>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</si>
  <si>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</si>
  <si>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</si>
  <si>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</si>
  <si>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</si>
  <si>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</si>
  <si>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</si>
  <si>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</si>
  <si>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</si>
  <si>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</si>
  <si>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</si>
  <si>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</si>
  <si>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</si>
  <si>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</si>
  <si>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</si>
  <si>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</si>
  <si>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</si>
  <si>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</si>
  <si>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</si>
  <si>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</si>
  <si>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</si>
  <si>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</si>
  <si>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</si>
  <si>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MATRIZ</t>
  </si>
  <si>
    <t>203836-1</t>
  </si>
  <si>
    <t>SKO COMERCIO, I</t>
  </si>
  <si>
    <t>URIEL CORREA</t>
  </si>
  <si>
    <t>ECONOMICO_250</t>
  </si>
  <si>
    <t>CTE NORMAL</t>
  </si>
  <si>
    <t>SAO PAULO - SP</t>
  </si>
  <si>
    <t>ITAUAN GONZAGA DA SILVA</t>
  </si>
  <si>
    <t>N/D</t>
  </si>
  <si>
    <t>TRANSPORTES RODOVIARIO UP</t>
  </si>
  <si>
    <t>2254-6</t>
  </si>
  <si>
    <t>MATTEL DO BRASI</t>
  </si>
  <si>
    <t>MARLON MARQUES</t>
  </si>
  <si>
    <t>EXPRESSO_250</t>
  </si>
  <si>
    <t>CAJAMAR - SP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</si>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</sst>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[Analise_MARCIO_25092026.xlsx]Resumo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10181.82</c:v>
                </c:pt>
                <c:pt idx="1">
                  <c:v>115.42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7527.5844000000006</c:v>
                </c:pt>
                <c:pt idx="1">
                  <c:v>81.356400000000008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[Analise_MARCIO_25092026.xlsx]Resumo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10181.82</c:v>
                </c:pt>
                <c:pt idx="1">
                  <c:v>115.42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7527.5844000000006</c:v>
                </c:pt>
                <c:pt idx="1">
                  <c:v>81.356400000000008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5.41909872685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829" count="8000">
        <n v="302668"/>
        <n v="30282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26T00:00:00"/>
    </cacheField>
    <cacheField name="DATA" numFmtId="14">
      <sharedItems containsNonDate="0" containsDate="1" containsString="0" containsBlank="1" minDate="2026-09-25T00:00:00" maxDate="2026-09-2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KO COMERCIO, I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35" maxValue="960930.52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5.42" maxValue="10181.82"/>
    </cacheField>
    <cacheField name="VOLUMES" numFmtId="0">
      <sharedItems containsString="0" containsBlank="1" containsNumber="1" containsInteger="1" minValue="1" maxValue="2561"/>
    </cacheField>
    <cacheField name="PESO" numFmtId="0">
      <sharedItems containsString="0" containsBlank="1" containsNumber="1" minValue="24.86" maxValue="5770.35"/>
    </cacheField>
    <cacheField name="RESP. COLETA" numFmtId="0">
      <sharedItems containsBlank="1"/>
    </cacheField>
    <cacheField name="CUSTO COLETA" numFmtId="0">
      <sharedItems containsString="0" containsBlank="1" containsNumber="1" minValue="0" maxValue="7.12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3.85" maxValue="1221.8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2" maxValue="480.47"/>
    </cacheField>
    <cacheField name="OUTROS" numFmtId="0">
      <sharedItems containsString="0" containsBlank="1" containsNumber="1" minValue="0.59" maxValue="137.4"/>
    </cacheField>
    <cacheField name="C.TOTAL" numFmtId="0">
      <sharedItems containsString="0" containsBlank="1" containsNumber="1" minValue="45.38" maxValue="7316.09"/>
    </cacheField>
    <cacheField name="RECEITA" numFmtId="0">
      <sharedItems containsString="0" containsBlank="1" containsNumber="1" minValue="70.040000000000006" maxValue="2865.73"/>
    </cacheField>
    <cacheField name="IMPOSTO" numFmtId="0">
      <sharedItems containsString="0" containsBlank="1" containsNumber="1" minValue="30.01" maxValue="2647.27"/>
    </cacheField>
    <cacheField name="RESULTADO" numFmtId="0">
      <sharedItems containsString="0" containsBlank="1" containsNumber="1" minValue="40.029999999999994" maxValue="218.46"/>
    </cacheField>
    <cacheField name="COMIS" numFmtId="0">
      <sharedItems containsString="0" containsBlank="1" containsNumber="1" minValue="0" maxValue="3.05"/>
    </cacheField>
    <cacheField name="LUCRO LIQ" numFmtId="0">
      <sharedItems containsString="0" containsBlank="1" containsNumber="1" minValue="36.979999999999997" maxValue="218.46"/>
    </cacheField>
    <cacheField name="MARGEM" numFmtId="10">
      <sharedItems containsString="0" containsBlank="1" containsNumber="1" minValue="2.1499999999999998E-2" maxValue="0.3204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4T00:00:00"/>
    <d v="2026-09-25T00:00:00"/>
    <m/>
    <s v="203836-1"/>
    <x v="0"/>
    <s v="URIEL CORREA"/>
    <n v="435"/>
    <x v="0"/>
    <s v="CTE NORMAL"/>
    <s v="SAO PAULO - SP"/>
    <n v="115.42"/>
    <n v="1"/>
    <n v="24.86"/>
    <s v="ITAUAN GONZAGA DA SILVA"/>
    <n v="7.12"/>
    <s v="N/D"/>
    <n v="0"/>
    <s v="TRANSPORTES RODOVIARIO UP"/>
    <n v="0"/>
    <n v="13.85"/>
    <n v="0"/>
    <n v="0"/>
    <n v="0.22"/>
    <n v="0.59"/>
    <n v="45.38"/>
    <n v="70.040000000000006"/>
    <n v="30.01"/>
    <n v="40.029999999999994"/>
    <n v="3.05"/>
    <n v="36.979999999999997"/>
    <n v="0.32040000000000002"/>
    <m/>
  </r>
  <r>
    <x v="1"/>
    <s v="MATRIZ"/>
    <d v="2026-09-25T00:00:00"/>
    <d v="2026-09-25T00:00:00"/>
    <m/>
    <s v="2254-6"/>
    <x v="1"/>
    <s v="MARLON MARQUES"/>
    <n v="960930.52"/>
    <x v="1"/>
    <s v="CTE NORMAL"/>
    <s v="CAJAMAR - SP"/>
    <n v="10181.82"/>
    <n v="2561"/>
    <n v="5770.35"/>
    <s v="N/D"/>
    <n v="0"/>
    <s v="N/D"/>
    <n v="0"/>
    <s v="TRANSPORTES RODOVIARIO UP"/>
    <n v="0"/>
    <n v="1221.82"/>
    <n v="0"/>
    <n v="0"/>
    <n v="480.47"/>
    <n v="137.4"/>
    <n v="7316.09"/>
    <n v="2865.73"/>
    <n v="2647.27"/>
    <n v="218.46"/>
    <n v="0"/>
    <n v="218.46"/>
    <n v="2.1499999999999998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9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6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3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60"/>
        <item m="1" x="631"/>
        <item m="1" x="530"/>
        <item m="1" x="294"/>
        <item m="1" x="303"/>
        <item m="1" x="173"/>
        <item m="1" x="100"/>
        <item sd="0" m="1" x="71"/>
        <item m="1" x="578"/>
        <item sd="0" m="1" x="798"/>
        <item m="1" x="33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9"/>
        <item m="1" x="582"/>
        <item m="1" x="19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3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5"/>
        <item m="1" x="635"/>
        <item m="1" x="457"/>
        <item m="1" x="790"/>
        <item m="1" x="703"/>
        <item m="1" x="233"/>
        <item m="1" x="597"/>
        <item m="1" x="44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2"/>
        <item m="1" x="16"/>
        <item m="1" x="231"/>
        <item m="1" x="240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9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4"/>
        <item m="1" x="301"/>
        <item m="1" x="548"/>
        <item m="1" x="61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6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5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6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70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1"/>
        <item m="1" x="605"/>
        <item x="1"/>
        <item m="1" x="325"/>
        <item m="1" x="35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5"/>
        <item sd="0" m="1" x="669"/>
        <item m="1" x="93"/>
        <item m="1" x="439"/>
        <item sd="0" m="1" x="350"/>
        <item m="1" x="784"/>
        <item m="1" x="498"/>
        <item m="1" x="62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3"/>
        <item m="1" x="78"/>
        <item m="1" x="528"/>
        <item m="1" x="566"/>
        <item m="1" x="687"/>
        <item m="1" x="279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x="0"/>
        <item m="1" x="52"/>
        <item m="1" x="851"/>
        <item m="1" x="30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9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8"/>
        <item m="1" x="277"/>
        <item m="1" x="507"/>
        <item sd="0" m="1" x="499"/>
        <item m="1" x="69"/>
        <item m="1" x="679"/>
        <item m="1" x="81"/>
        <item m="1" x="634"/>
        <item m="1" x="67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4"/>
        <item m="1" x="423"/>
        <item sd="0" m="1" x="27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1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3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6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4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7"/>
        <item m="1" x="128"/>
        <item m="1" x="4"/>
        <item m="1" x="50"/>
        <item m="1" x="89"/>
        <item sd="0" m="1" x="201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95"/>
    </i>
    <i r="1">
      <x v="7999"/>
    </i>
    <i>
      <x v="71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9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6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3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60"/>
        <item m="1" x="631"/>
        <item m="1" x="530"/>
        <item m="1" x="294"/>
        <item m="1" x="303"/>
        <item m="1" x="173"/>
        <item m="1" x="100"/>
        <item sd="0" m="1" x="71"/>
        <item m="1" x="578"/>
        <item sd="0" m="1" x="798"/>
        <item m="1" x="33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9"/>
        <item m="1" x="582"/>
        <item m="1" x="19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3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5"/>
        <item m="1" x="635"/>
        <item m="1" x="457"/>
        <item m="1" x="790"/>
        <item sd="0" m="1" x="703"/>
        <item m="1" x="233"/>
        <item m="1" x="597"/>
        <item m="1" x="44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2"/>
        <item m="1" x="16"/>
        <item m="1" x="231"/>
        <item m="1" x="240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9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4"/>
        <item m="1" x="301"/>
        <item m="1" x="548"/>
        <item m="1" x="61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6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5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6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70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1"/>
        <item m="1" x="605"/>
        <item x="1"/>
        <item m="1" x="325"/>
        <item m="1" x="35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5"/>
        <item sd="0" m="1" x="669"/>
        <item m="1" x="93"/>
        <item m="1" x="439"/>
        <item sd="0" m="1" x="350"/>
        <item m="1" x="784"/>
        <item m="1" x="498"/>
        <item m="1" x="62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3"/>
        <item m="1" x="78"/>
        <item m="1" x="528"/>
        <item m="1" x="566"/>
        <item m="1" x="687"/>
        <item m="1" x="279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x="0"/>
        <item m="1" x="52"/>
        <item m="1" x="851"/>
        <item m="1" x="30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9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8"/>
        <item m="1" x="277"/>
        <item m="1" x="507"/>
        <item sd="0" m="1" x="499"/>
        <item m="1" x="69"/>
        <item m="1" x="679"/>
        <item m="1" x="81"/>
        <item m="1" x="634"/>
        <item m="1" x="67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4"/>
        <item m="1" x="423"/>
        <item sd="0" m="1" x="27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1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3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6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4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7"/>
        <item m="1" x="128"/>
        <item m="1" x="4"/>
        <item m="1" x="50"/>
        <item m="1" x="89"/>
        <item sd="0" m="1" x="201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95"/>
    </i>
    <i>
      <x v="71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8" s="1" nd="1"/>
        <i x="186" s="1" nd="1"/>
        <i x="272" s="1" nd="1"/>
        <i x="12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5" s="1" nd="1"/>
        <i x="581" s="1" nd="1"/>
        <i x="852" s="1" nd="1"/>
        <i x="21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9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5" s="1" nd="1"/>
        <i x="66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3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60" s="1" nd="1"/>
        <i x="631" s="1" nd="1"/>
        <i x="530" s="1" nd="1"/>
        <i x="294" s="1" nd="1"/>
        <i x="303" s="1" nd="1"/>
        <i x="173" s="1" nd="1"/>
        <i x="100" s="1" nd="1"/>
        <i x="71" s="1" nd="1"/>
        <i x="578" s="1" nd="1"/>
        <i x="798" s="1" nd="1"/>
        <i x="33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3" s="1" nd="1"/>
        <i x="602" s="1" nd="1"/>
        <i x="449" s="1" nd="1"/>
        <i x="348" s="1" nd="1"/>
        <i x="79" s="1" nd="1"/>
        <i x="582" s="1" nd="1"/>
        <i x="19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5" s="1" nd="1"/>
        <i x="635" s="1" nd="1"/>
        <i x="457" s="1" nd="1"/>
        <i x="790" s="1" nd="1"/>
        <i x="703" s="1" nd="1"/>
        <i x="233" s="1" nd="1"/>
        <i x="597" s="1" nd="1"/>
        <i x="44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2" s="1" nd="1"/>
        <i x="16" s="1" nd="1"/>
        <i x="231" s="1" nd="1"/>
        <i x="240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9" s="1" nd="1"/>
        <i x="382" s="1" nd="1"/>
        <i x="589" s="1" nd="1"/>
        <i x="747" s="1" nd="1"/>
        <i x="268" s="1" nd="1"/>
        <i x="18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2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4" s="1" nd="1"/>
        <i x="301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6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5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6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70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2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1" s="1" nd="1"/>
        <i x="605" s="1" nd="1"/>
        <i x="325" s="1" nd="1"/>
        <i x="35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5" s="1" nd="1"/>
        <i x="669" s="1" nd="1"/>
        <i x="93" s="1" nd="1"/>
        <i x="439" s="1" nd="1"/>
        <i x="350" s="1" nd="1"/>
        <i x="784" s="1" nd="1"/>
        <i x="498" s="1" nd="1"/>
        <i x="62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20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1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3" s="1" nd="1"/>
        <i x="78" s="1" nd="1"/>
        <i x="528" s="1" nd="1"/>
        <i x="566" s="1" nd="1"/>
        <i x="687" s="1" nd="1"/>
        <i x="279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6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4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52" s="1" nd="1"/>
        <i x="851" s="1" nd="1"/>
        <i x="30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9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8" s="1" nd="1"/>
        <i x="277" s="1" nd="1"/>
        <i x="507" s="1" nd="1"/>
        <i x="499" s="1" nd="1"/>
        <i x="69" s="1" nd="1"/>
        <i x="679" s="1" nd="1"/>
        <i x="81" s="1" nd="1"/>
        <i x="634" s="1" nd="1"/>
        <i x="67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4" s="1" nd="1"/>
        <i x="423" s="1" nd="1"/>
        <i x="27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1" s="1" nd="1"/>
        <i x="104" s="1" nd="1"/>
        <i x="533" s="1" nd="1"/>
        <i x="296" s="1" nd="1"/>
        <i x="396" s="1" nd="1"/>
        <i x="228" s="1" nd="1"/>
        <i x="8" s="1" nd="1"/>
        <i x="472" s="1" nd="1"/>
        <i x="824" s="1" nd="1"/>
        <i x="36" s="1" nd="1"/>
        <i x="310" s="1" nd="1"/>
        <i x="825" s="1" nd="1"/>
        <i x="562" s="1" nd="1"/>
        <i x="63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1" s="1" nd="1"/>
        <i x="437" s="1" nd="1"/>
        <i x="433" s="1" nd="1"/>
        <i x="120" s="1" nd="1"/>
        <i x="630" s="1" nd="1"/>
        <i x="200" s="1" nd="1"/>
        <i x="155" s="1" nd="1"/>
        <i x="56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4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7" s="1" nd="1"/>
        <i x="128" s="1" nd="1"/>
        <i x="4" s="1" nd="1"/>
        <i x="50" s="1" nd="1"/>
        <i x="89" s="1" nd="1"/>
        <i x="201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0" totalsRowShown="0" headerRowDxfId="92" dataDxfId="90" headerRowBorderDxfId="91" tableBorderDxfId="89" totalsRowBorderDxfId="88">
  <autoFilter ref="A1:D390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302668</v>
      </c>
      <c r="B2" s="12" t="s">
        <v>609</v>
      </c>
      <c r="C2" s="14">
        <v>46289</v>
      </c>
      <c r="D2" s="14">
        <v>46290</v>
      </c>
      <c r="E2" s="12"/>
      <c r="F2" s="15" t="s">
        <v>610</v>
      </c>
      <c r="G2" s="15" t="s">
        <v>611</v>
      </c>
      <c r="H2" s="15" t="s">
        <v>612</v>
      </c>
      <c r="I2" s="16">
        <v>435</v>
      </c>
      <c r="J2" s="15" t="s">
        <v>613</v>
      </c>
      <c r="K2" s="15" t="s">
        <v>614</v>
      </c>
      <c r="L2" s="15" t="s">
        <v>615</v>
      </c>
      <c r="M2" s="15">
        <v>115.42</v>
      </c>
      <c r="N2" s="15">
        <v>1</v>
      </c>
      <c r="O2" s="16">
        <v>24.86</v>
      </c>
      <c r="P2" s="15" t="s">
        <v>616</v>
      </c>
      <c r="Q2" s="15">
        <v>7.12</v>
      </c>
      <c r="R2" s="15" t="s">
        <v>617</v>
      </c>
      <c r="S2" s="15">
        <v>0</v>
      </c>
      <c r="T2" s="15" t="s">
        <v>618</v>
      </c>
      <c r="U2" s="15">
        <v>0</v>
      </c>
      <c r="V2" s="15">
        <v>13.85</v>
      </c>
      <c r="W2" s="15">
        <v>0</v>
      </c>
      <c r="X2" s="15">
        <v>0</v>
      </c>
      <c r="Y2" s="15">
        <v>0.22</v>
      </c>
      <c r="Z2" s="15">
        <v>0.59</v>
      </c>
      <c r="AA2" s="15">
        <v>45.38</v>
      </c>
      <c r="AB2" s="15">
        <v>70.040000000000006</v>
      </c>
      <c r="AC2" s="15">
        <v>30.01</v>
      </c>
      <c r="AD2" s="15">
        <v>40.029999999999994</v>
      </c>
      <c r="AE2" s="15">
        <v>3.05</v>
      </c>
      <c r="AF2" s="15">
        <v>36.979999999999997</v>
      </c>
      <c r="AG2" s="17">
        <v>0.32040000000000002</v>
      </c>
      <c r="AH2" s="15"/>
    </row>
    <row r="3" spans="1:34" s="1" customFormat="1" ht="12" customHeight="1" x14ac:dyDescent="0.3">
      <c r="A3" s="13">
        <v>302829</v>
      </c>
      <c r="B3" s="12" t="s">
        <v>609</v>
      </c>
      <c r="C3" s="14">
        <v>46290</v>
      </c>
      <c r="D3" s="14">
        <v>46290</v>
      </c>
      <c r="E3" s="12"/>
      <c r="F3" s="15" t="s">
        <v>619</v>
      </c>
      <c r="G3" s="15" t="s">
        <v>620</v>
      </c>
      <c r="H3" s="15" t="s">
        <v>621</v>
      </c>
      <c r="I3" s="16">
        <v>960930.52</v>
      </c>
      <c r="J3" s="15" t="s">
        <v>622</v>
      </c>
      <c r="K3" s="15" t="s">
        <v>614</v>
      </c>
      <c r="L3" s="15" t="s">
        <v>623</v>
      </c>
      <c r="M3" s="16">
        <v>10181.82</v>
      </c>
      <c r="N3" s="15">
        <v>2561</v>
      </c>
      <c r="O3" s="16">
        <v>5770.35</v>
      </c>
      <c r="P3" s="15" t="s">
        <v>617</v>
      </c>
      <c r="Q3" s="15">
        <v>0</v>
      </c>
      <c r="R3" s="15" t="s">
        <v>617</v>
      </c>
      <c r="S3" s="15">
        <v>0</v>
      </c>
      <c r="T3" s="15" t="s">
        <v>618</v>
      </c>
      <c r="U3" s="15">
        <v>0</v>
      </c>
      <c r="V3" s="15">
        <v>1221.82</v>
      </c>
      <c r="W3" s="15">
        <v>0</v>
      </c>
      <c r="X3" s="15">
        <v>0</v>
      </c>
      <c r="Y3" s="15">
        <v>480.47</v>
      </c>
      <c r="Z3" s="15">
        <v>137.4</v>
      </c>
      <c r="AA3" s="16">
        <v>7316.09</v>
      </c>
      <c r="AB3" s="16">
        <v>2865.73</v>
      </c>
      <c r="AC3" s="15">
        <v>2647.27</v>
      </c>
      <c r="AD3" s="15">
        <v>218.46</v>
      </c>
      <c r="AE3" s="15">
        <v>0</v>
      </c>
      <c r="AF3" s="15">
        <v>218.46</v>
      </c>
      <c r="AG3" s="17">
        <v>2.1499999999999998E-2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10297.24</v>
      </c>
      <c r="F3" s="93"/>
      <c r="G3" s="94"/>
      <c r="H3" s="95">
        <f>'Resumo Detalhado'!C2</f>
        <v>5795.21</v>
      </c>
      <c r="I3" s="96"/>
      <c r="J3" s="97">
        <f>E3/H3</f>
        <v>1.7768536429223445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0.26341863636363638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5507.12</v>
      </c>
      <c r="F7" s="109"/>
      <c r="G7" s="109"/>
      <c r="H7" s="109"/>
      <c r="I7" s="109"/>
      <c r="J7" s="109">
        <f>E7/H3</f>
        <v>0.9502882553004981</v>
      </c>
      <c r="K7" s="109"/>
      <c r="L7" s="109"/>
      <c r="M7" s="110">
        <f>E7/E3</f>
        <v>0.53481515435203997</v>
      </c>
      <c r="N7" s="110"/>
      <c r="O7" s="110"/>
      <c r="P7" s="109">
        <f>E11+K11+Q11+E15+K15+Q15+E19+H19+K19</f>
        <v>9832.8076000000019</v>
      </c>
      <c r="Q7" s="109"/>
      <c r="R7" s="109"/>
      <c r="S7" s="109">
        <f>P7/H3</f>
        <v>1.6967129060034065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5500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5500</v>
      </c>
      <c r="L11" s="94"/>
      <c r="M11" s="38"/>
      <c r="N11" s="92">
        <f>K11/H3</f>
        <v>0.94905965443875195</v>
      </c>
      <c r="O11" s="94"/>
      <c r="P11" s="38"/>
      <c r="Q11" s="92">
        <f>'Resumo Detalhado'!D2</f>
        <v>7.12</v>
      </c>
      <c r="R11" s="94"/>
      <c r="S11" s="38"/>
      <c r="T11" s="92">
        <f>Q11/H3</f>
        <v>1.2286008617461662E-3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1235.6699999999998</v>
      </c>
      <c r="F15" s="113"/>
      <c r="G15" s="113"/>
      <c r="H15" s="113"/>
      <c r="I15" s="114"/>
      <c r="J15" s="38"/>
      <c r="K15" s="116">
        <f>'Resumo Detalhado'!K2+'Resumo Detalhado'!L2</f>
        <v>1647.5584000000001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480.69000000000005</v>
      </c>
      <c r="F19" s="119"/>
      <c r="G19" s="38"/>
      <c r="H19" s="106">
        <f>'Resumo Detalhado'!J2</f>
        <v>137.99</v>
      </c>
      <c r="I19" s="108"/>
      <c r="J19" s="38"/>
      <c r="K19" s="106">
        <f>'Resumo Detalhado'!L2</f>
        <v>823.77920000000006</v>
      </c>
      <c r="L19" s="108"/>
      <c r="M19" s="38"/>
      <c r="N19" s="112" t="s">
        <v>607</v>
      </c>
      <c r="O19" s="113"/>
      <c r="P19" s="113"/>
      <c r="Q19" s="113"/>
      <c r="R19" s="119"/>
      <c r="S19" s="112">
        <f>_xlfn.XLOOKUP(N19,Target!C:C,Target!D:D)</f>
        <v>5500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7608.9408000000003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0.73893012108098877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624</v>
      </c>
      <c r="F1" s="29"/>
    </row>
    <row r="2" spans="1:18" x14ac:dyDescent="0.3">
      <c r="B2" s="29">
        <f>SUM(B6:B5000)</f>
        <v>10297.24</v>
      </c>
      <c r="C2" s="29">
        <f>SUM(C6:C5000)</f>
        <v>5795.21</v>
      </c>
      <c r="D2" s="29">
        <f>SUM(D6:D5000)</f>
        <v>7.12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1235.6699999999998</v>
      </c>
      <c r="I2" s="29">
        <f t="shared" si="0"/>
        <v>480.69000000000005</v>
      </c>
      <c r="J2" s="29">
        <f t="shared" si="0"/>
        <v>137.99</v>
      </c>
      <c r="K2" s="29">
        <f t="shared" si="0"/>
        <v>823.77920000000006</v>
      </c>
      <c r="L2" s="29">
        <f t="shared" si="0"/>
        <v>823.77920000000006</v>
      </c>
      <c r="M2" s="29">
        <f t="shared" si="0"/>
        <v>3.05</v>
      </c>
      <c r="N2" s="29">
        <f t="shared" si="0"/>
        <v>7608.9408000000003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302829</v>
      </c>
      <c r="B6" s="140">
        <v>10181.82</v>
      </c>
      <c r="C6" s="141">
        <v>5770.35</v>
      </c>
      <c r="D6" s="140">
        <v>0</v>
      </c>
      <c r="E6" s="140">
        <v>0</v>
      </c>
      <c r="F6" s="140">
        <v>0</v>
      </c>
      <c r="G6" s="142">
        <v>0</v>
      </c>
      <c r="H6" s="140">
        <v>1221.82</v>
      </c>
      <c r="I6" s="140">
        <v>480.47</v>
      </c>
      <c r="J6" s="140">
        <v>137.4</v>
      </c>
      <c r="K6" s="140">
        <v>814.54560000000004</v>
      </c>
      <c r="L6" s="140">
        <v>814.54560000000004</v>
      </c>
      <c r="M6" s="140">
        <v>0</v>
      </c>
      <c r="N6" s="140">
        <v>7527.5844000000006</v>
      </c>
      <c r="O6" s="142">
        <v>0.73931619297925133</v>
      </c>
      <c r="Q6"/>
    </row>
    <row r="7" spans="1:18" s="31" customFormat="1" x14ac:dyDescent="0.3">
      <c r="A7" s="139" t="s">
        <v>611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302668</v>
      </c>
      <c r="B8" s="140">
        <v>115.42</v>
      </c>
      <c r="C8" s="141">
        <v>24.86</v>
      </c>
      <c r="D8" s="140">
        <v>7.12</v>
      </c>
      <c r="E8" s="140">
        <v>0</v>
      </c>
      <c r="F8" s="140">
        <v>0</v>
      </c>
      <c r="G8" s="142">
        <v>6.1687749090278979E-2</v>
      </c>
      <c r="H8" s="140">
        <v>13.85</v>
      </c>
      <c r="I8" s="140">
        <v>0.22</v>
      </c>
      <c r="J8" s="140">
        <v>0.59</v>
      </c>
      <c r="K8" s="140">
        <v>9.2336000000000009</v>
      </c>
      <c r="L8" s="140">
        <v>9.2336000000000009</v>
      </c>
      <c r="M8" s="140">
        <v>3.05</v>
      </c>
      <c r="N8" s="140">
        <v>81.356400000000008</v>
      </c>
      <c r="O8" s="142">
        <v>0.70487263905735575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624</v>
      </c>
    </row>
    <row r="2" spans="1:4" x14ac:dyDescent="0.3">
      <c r="B2" s="29">
        <f>SUM(B6:B5000)</f>
        <v>115.42</v>
      </c>
      <c r="C2" s="29">
        <f>SUM(C6:C5000)</f>
        <v>81.356400000000008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620</v>
      </c>
      <c r="B5" s="10">
        <v>10181.82</v>
      </c>
      <c r="C5" s="10">
        <v>7527.5844000000006</v>
      </c>
    </row>
    <row r="6" spans="1:4" x14ac:dyDescent="0.3">
      <c r="A6" s="139" t="s">
        <v>611</v>
      </c>
      <c r="B6" s="140">
        <v>115.42</v>
      </c>
      <c r="C6" s="140">
        <v>81.356400000000008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0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2026-09-30T13:03:37Z</dcterms:modified>
  <cp:category/>
  <cp:contentStatus/>
</cp:coreProperties>
</file>