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6C311F9-A632-4671-88F7-68C6BC7DC580}" xr6:coauthVersionLast="47" xr6:coauthVersionMax="47" xr10:uidLastSave="{00000000-0000-0000-0000-000000000000}"/>
  <bookViews>
    <workbookView xWindow="400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<sst xmlns="http://schemas.openxmlformats.org/spreadsheetml/2006/main" count="866" uniqueCount="591">
  <si>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</si>
  <si>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</si>
  <si>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</si>
  <si>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</si>
  <si>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</si>
  <si>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</si>
  <si>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</si>
  <si>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</si>
  <si>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</si>
  <si>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</si>
  <si>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</si>
  <si>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</si>
  <si>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</si>
  <si>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</si>
  <si>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</si>
  <si>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</si>
  <si>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</si>
  <si>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</si>
  <si>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</si>
  <si>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</si>
  <si>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</si>
  <si>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</si>
  <si>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</si>
  <si>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</si>
  <si>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</si>
  <si>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</si>
  <si>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</si>
  <si>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</si>
  <si>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</si>
  <si>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</si>
  <si>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</si>
  <si>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</si>
  <si>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</si>
  <si>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</si>
  <si>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</si>
  <si>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</si>
  <si>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</si>
  <si>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</si>
  <si>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</si>
  <si>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</si>
  <si>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</si>
  <si>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</si>
  <si>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</si>
  <si>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</si>
  <si>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</si>
  <si>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</si>
  <si>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</si>
  <si>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</si>
  <si>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</si>
  <si>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</si>
  <si>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</si>
  <si>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</si>
  <si>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</si>
  <si>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</si>
  <si>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</si>
  <si>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</si>
  <si>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</si>
  <si>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</si>
  <si>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</si>
  <si>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</si>
  <si>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</si>
  <si>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</si>
  <si>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</si>
  <si>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</si>
  <si>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</si>
  <si>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</si>
  <si>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</si>
  <si>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</si>
  <si>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</si>
  <si>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</si>
  <si>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</si>
  <si>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</si>
  <si>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</si>
  <si>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</si>
  <si>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</si>
  <si>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</si>
  <si>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</si>
  <si>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</si>
  <si>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</si>
  <si>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</si>
  <si>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</si>
  <si>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</si>
  <si>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</si>
  <si>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</si>
  <si>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</si>
  <si>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</si>
  <si>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</si>
  <si>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</si>
  <si>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</si>
  <si>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</si>
  <si>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</si>
  <si>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</si>
  <si>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</si>
  <si>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</si>
  <si>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</si>
  <si>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</si>
  <si>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</si>
  <si>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</si>
  <si>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</si>
  <si>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</si>
  <si>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</si>
  <si>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</si>
  <si>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</si>
  <si>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</si>
  <si>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</si>
  <si>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</si>
  <si>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</si>
  <si>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</si>
  <si>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</si>
  <si>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</si>
  <si>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</si>
  <si>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</si>
  <si>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</si>
  <si>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</si>
  <si>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</si>
  <si>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</si>
  <si>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</si>
  <si>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</si>
  <si>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</si>
  <si>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</si>
  <si>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</si>
  <si>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</si>
  <si>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</si>
  <si>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</si>
  <si>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</si>
  <si>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</si>
  <si>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</si>
  <si>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</si>
  <si>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</si>
  <si>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</si>
  <si>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</si>
  <si>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</si>
  <si>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</si>
  <si>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</si>
  <si>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</si>
  <si>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</si>
  <si>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</si>
  <si>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</si>
  <si>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</si>
  <si>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</si>
  <si>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</si>
  <si>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</si>
  <si>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</si>
  <si>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</si>
  <si>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</si>
  <si>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</si>
  <si>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</si>
  <si>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</si>
  <si>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</si>
  <si>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</si>
  <si>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</si>
  <si>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</si>
  <si>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</si>
  <si>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</si>
  <si>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</si>
  <si>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</si>
  <si>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</si>
  <si>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</si>
  <si>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</si>
  <si>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</si>
  <si>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</si>
  <si>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</si>
  <si>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</si>
  <si>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</si>
  <si>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</si>
  <si>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</si>
  <si>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</si>
  <si>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</si>
  <si>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</si>
  <si>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</si>
  <si>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</si>
  <si>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</si>
  <si>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</si>
  <si>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</si>
  <si>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</si>
  <si>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</si>
  <si>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</si>
  <si>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</si>
  <si>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</si>
  <si>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</si>
  <si>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</si>
  <si>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</si>
  <si>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</si>
  <si>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</si>
  <si>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</si>
  <si>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</si>
  <si>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</si>
  <si>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</si>
  <si>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</si>
  <si>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</si>
  <si>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</si>
  <si>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</si>
  <si>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</si>
  <si>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</si>
  <si>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</si>
  <si>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</si>
  <si>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</si>
  <si>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</si>
  <si>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</si>
  <si>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</si>
  <si>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</si>
  <si>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</si>
  <si>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</si>
  <si>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</si>
  <si>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</si>
  <si>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</si>
  <si>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</si>
  <si>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</si>
  <si>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</si>
  <si>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</si>
  <si>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</si>
  <si>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</si>
  <si>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</si>
  <si>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</si>
  <si>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</si>
  <si>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</si>
  <si>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</si>
  <si>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</si>
  <si>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</si>
  <si>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</si>
  <si>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</si>
  <si>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</si>
  <si>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</si>
  <si>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</si>
  <si>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</si>
  <si>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</si>
  <si>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</si>
  <si>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</si>
  <si>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</si>
  <si>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</si>
  <si>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</si>
  <si>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</si>
  <si>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</si>
  <si>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</si>
  <si>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</si>
  <si>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</si>
  <si>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</si>
  <si>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</si>
  <si>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</si>
  <si>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</si>
  <si>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</si>
  <si>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</si>
  <si>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</si>
  <si>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</si>
  <si>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</si>
  <si>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</si>
  <si>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</si>
  <si>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</si>
  <si>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</si>
  <si>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</si>
  <si>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</si>
  <si>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</si>
  <si>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</si>
  <si>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</si>
  <si>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</si>
  <si>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</si>
  <si>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</si>
  <si>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</si>
  <si>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</si>
  <si>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</si>
  <si>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</si>
  <si>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</si>
  <si>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</si>
  <si>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</si>
  <si>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</si>
  <si>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</si>
  <si>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</si>
  <si>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</si>
  <si>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</si>
  <si>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</si>
  <si>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</si>
  <si>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</si>
  <si>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</si>
  <si>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</si>
  <si>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</si>
  <si>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</si>
  <si>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</si>
  <si>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</si>
  <si>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</si>
  <si>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</si>
  <si>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</si>
  <si>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</si>
  <si>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</si>
  <si>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</si>
  <si>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</si>
  <si>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</si>
  <si>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</si>
  <si>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</si>
  <si>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</si>
  <si>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</si>
  <si>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</si>
  <si>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</si>
  <si>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</si>
  <si>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</si>
  <si>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</si>
  <si>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</si>
  <si>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</si>
  <si>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</si>
  <si>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</si>
  <si>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</si>
  <si>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</si>
  <si>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</si>
  <si>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</si>
  <si>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</si>
  <si>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</si>
  <si>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</si>
  <si>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</si>
  <si>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</si>
  <si>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</si>
  <si>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</si>
  <si>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</si>
  <si>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</si>
  <si>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</si>
  <si>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</si>
  <si>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</si>
  <si>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</si>
  <si>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</si>
  <si>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</si>
  <si>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</si>
  <si>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</si>
  <si>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</si>
  <si>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</si>
  <si>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</si>
  <si>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</si>
  <si>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</si>
  <si>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</si>
  <si>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</si>
  <si>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</si>
  <si>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</si>
  <si>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</si>
  <si>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</si>
  <si>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</si>
  <si>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</si>
  <si>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</si>
  <si>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</si>
  <si>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</si>
  <si>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</si>
  <si>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</si>
  <si>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</si>
  <si>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</si>
  <si>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</si>
  <si>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</si>
  <si>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</si>
  <si>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</si>
  <si>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</si>
  <si>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</si>
  <si>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</si>
  <si>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</si>
  <si>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</si>
  <si>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</si>
  <si>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</si>
  <si>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</si>
  <si>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</si>
  <si>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</si>
  <si>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</si>
  <si>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</si>
  <si>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</si>
  <si>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</si>
  <si>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</si>
  <si>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</si>
  <si>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</si>
  <si>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</si>
  <si>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</si>
  <si>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</si>
  <si>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</si>
  <si>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</si>
  <si>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</si>
  <si>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</si>
  <si>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</si>
  <si>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</si>
  <si>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</si>
  <si>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</si>
  <si>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</si>
  <si>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</si>
  <si>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</si>
  <si>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</si>
  <si>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</si>
  <si>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</si>
  <si>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</si>
  <si>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</si>
  <si>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</si>
  <si>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</si>
  <si>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</si>
  <si>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</si>
  <si>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</si>
  <si>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</si>
  <si>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</si>
  <si>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</si>
  <si>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</si>
  <si>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</si>
  <si>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</si>
  <si>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</si>
  <si>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</si>
  <si>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</si>
  <si>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</si>
  <si>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</si>
  <si>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</si>
  <si>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</si>
  <si>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</si>
  <si>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</si>
  <si>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</si>
  <si>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</si>
  <si>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</si>
  <si>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</si>
  <si>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</si>
  <si>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</si>
  <si>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</si>
  <si>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</si>
  <si>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</si>
  <si>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</si>
  <si>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</si>
  <si>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</si>
  <si>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</si>
  <si>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</si>
  <si>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</si>
  <si>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</si>
  <si>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</si>
  <si>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</si>
  <si>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</si>
  <si>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</si>
  <si>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</si>
  <si>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</si>
  <si>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</si>
  <si>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</si>
  <si>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</si>
  <si>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</si>
  <si>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</si>
  <si>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</si>
  <si>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</si>
  <si>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</si>
  <si>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</si>
  <si>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</si>
  <si>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</si>
  <si>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</si>
  <si>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</si>
  <si>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</si>
  <si>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</si>
  <si>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</si>
  <si>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</si>
  <si>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</si>
  <si>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</si>
  <si>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</si>
  <si>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</si>
  <si>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</si>
  <si>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</si>
  <si>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</si>
  <si>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</si>
  <si>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</si>
  <si>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</si>
  <si>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</si>
  <si>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</si>
  <si>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</si>
  <si>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</si>
  <si>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</si>
  <si>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</si>
  <si>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</si>
  <si>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</si>
  <si>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</si>
  <si>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</si>
  <si>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</si>
  <si>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</si>
  <si>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</si>
  <si>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</si>
  <si>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</si>
  <si>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</si>
  <si>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</si>
  <si>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</si>
  <si>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</si>
  <si>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</si>
  <si>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</si>
  <si>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</si>
  <si>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</si>
  <si>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</si>
  <si>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</si>
  <si>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</si>
  <si>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</si>
  <si>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</si>
  <si>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</si>
  <si>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</si>
  <si>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</si>
  <si>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</si>
  <si>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</si>
  <si>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</si>
  <si>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</si>
  <si>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</si>
  <si>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</si>
  <si>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</si>
  <si>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</si>
  <si>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</si>
  <si>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</si>
  <si>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</si>
  <si>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</si>
  <si>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</si>
  <si>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</si>
  <si>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</si>
  <si>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</si>
  <si>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</si>
  <si>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</si>
  <si>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</si>
  <si>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</si>
  <si>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</si>
  <si>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</si>
  <si>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</si>
  <si>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</si>
  <si>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</si>
  <si>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</si>
  <si>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</si>
  <si>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</si>
  <si>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</si>
  <si>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</si>
  <si>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</si>
  <si>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</si>
  <si>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</si>
  <si>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</si>
  <si>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</si>
  <si>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</si>
  <si>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</si>
  <si>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</si>
  <si>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</si>
  <si>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</si>
  <si>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</si>
  <si>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</si>
  <si>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</si>
  <si>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</si>
  <si>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</si>
  <si>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</si>
  <si>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</si>
  <si>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</si>
  <si>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</si>
  <si>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</si>
  <si>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</si>
  <si>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</si>
  <si>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</si>
  <si>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</si>
  <si>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</si>
  <si>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</si>
  <si>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</si>
  <si>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</si>
  <si>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</si>
  <si>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</si>
  <si>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</si>
  <si>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</si>
  <si>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</si>
  <si>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</si>
  <si>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</si>
  <si>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</si>
  <si>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</si>
  <si>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</si>
  <si>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</si>
  <si>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</si>
  <si>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</si>
  <si>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</si>
  <si>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</si>
  <si>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</si>
  <si>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</si>
  <si>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</si>
  <si>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</si>
  <si>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</si>
  <si>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</si>
  <si>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</si>
  <si>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</si>
  <si>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</si>
  <si>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</si>
  <si>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</si>
  <si>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</si>
  <si>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</si>
  <si>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</si>
  <si>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</si>
  <si>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</si>
  <si>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</si>
  <si>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</si>
  <si>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</si>
  <si>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</si>
  <si>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</si>
  <si>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</si>
  <si>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</si>
  <si>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</si>
  <si>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2224-1</t>
  </si>
  <si>
    <t>BRAFT DO BRASIL</t>
  </si>
  <si>
    <t>CARLOS ALBERTO DE ANDRADE</t>
  </si>
  <si>
    <t>PERSONALIZADO</t>
  </si>
  <si>
    <t>CTE NORMAL</t>
  </si>
  <si>
    <t>GUARULHOS - SP</t>
  </si>
  <si>
    <t>N/D</t>
  </si>
  <si>
    <t>MARCOS ALEXANDRE BASAGLIA</t>
  </si>
  <si>
    <t>2237-1</t>
  </si>
  <si>
    <t>STRA NEGOCIOS E</t>
  </si>
  <si>
    <t>PERSONALIZADO_V</t>
  </si>
  <si>
    <t>SALVADOR - BA</t>
  </si>
  <si>
    <t>Balneario Camboriu-Sc X Salvador-Bavan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</si>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</sst>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[Analise_MARCOS_06082026.xlsx]Resumo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STRA NEGOCIOS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127.66</c:v>
                </c:pt>
                <c:pt idx="1">
                  <c:v>13900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STRA NEGOCIOS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88.7744</c:v>
                </c:pt>
                <c:pt idx="1">
                  <c:v>10602.98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[Analise_MARCOS_06082026.xlsx]Resumo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STRA NEGOCIOS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127.66</c:v>
                </c:pt>
                <c:pt idx="1">
                  <c:v>13900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STRA NEGOCIOS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88.7744</c:v>
                </c:pt>
                <c:pt idx="1">
                  <c:v>10602.98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1.446971412035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298"/>
        <n v="231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6T00:00:00" maxDate="2026-08-07T00:00:00"/>
    </cacheField>
    <cacheField name="DATA" numFmtId="14">
      <sharedItems containsNonDate="0" containsDate="1" containsString="0" containsBlank="1" minDate="2026-08-06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BRAFT DO BRASIL"/>
        <s v="STRA NEGOCIOS 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220.0500000000002" maxValue="250059.66"/>
    </cacheField>
    <cacheField name="SERVICO" numFmtId="0">
      <sharedItems containsBlank="1" count="28">
        <s v="PERSONALIZADO"/>
        <s v="PERSONALIZADO_V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7.66" maxValue="13900"/>
    </cacheField>
    <cacheField name="VOLUMES" numFmtId="0">
      <sharedItems containsString="0" containsBlank="1" containsNumber="1" containsInteger="1" minValue="7" maxValue="4378"/>
    </cacheField>
    <cacheField name="PESO" numFmtId="0">
      <sharedItems containsString="0" containsBlank="1" containsNumber="1" minValue="45.9" maxValue="555.99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5.32" maxValue="97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9" maxValue="100.0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3.57" maxValue="9495.66"/>
    </cacheField>
    <cacheField name="RECEITA" numFmtId="0">
      <sharedItems containsString="0" containsBlank="1" containsNumber="1" minValue="34.090000000000003" maxValue="4404.34"/>
    </cacheField>
    <cacheField name="IMPOSTO" numFmtId="0">
      <sharedItems containsString="0" containsBlank="1" containsNumber="1" minValue="20.43" maxValue="2224"/>
    </cacheField>
    <cacheField name="RESULTADO" numFmtId="0">
      <sharedItems containsString="0" containsBlank="1" containsNumber="1" minValue="13.66" maxValue="2180.34"/>
    </cacheField>
    <cacheField name="COMIS" numFmtId="0">
      <sharedItems containsString="0" containsBlank="1" containsNumber="1" minValue="0" maxValue="2.25"/>
    </cacheField>
    <cacheField name="LUCRO LIQ" numFmtId="0">
      <sharedItems containsString="0" containsBlank="1" containsNumber="1" minValue="11.41" maxValue="2180.34"/>
    </cacheField>
    <cacheField name="MARGEM" numFmtId="10">
      <sharedItems containsString="0" containsBlank="1" containsNumber="1" minValue="8.9399999999999993E-2" maxValue="0.1568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6T00:00:00"/>
    <d v="2026-08-06T00:00:00"/>
    <m/>
    <s v="2224-1"/>
    <x v="0"/>
    <s v="CARLOS ALBERTO DE ANDRADE"/>
    <n v="2220.0500000000002"/>
    <x v="0"/>
    <s v="CTE NORMAL"/>
    <s v="GUARULHOS - SP"/>
    <n v="127.66"/>
    <n v="7"/>
    <n v="45.9"/>
    <s v="N/D"/>
    <n v="0"/>
    <s v="N/D"/>
    <n v="0"/>
    <s v="MARCOS ALEXANDRE BASAGLIA"/>
    <n v="0"/>
    <n v="15.32"/>
    <n v="0"/>
    <n v="0"/>
    <n v="0.89"/>
    <n v="0"/>
    <n v="93.57"/>
    <n v="34.090000000000003"/>
    <n v="20.43"/>
    <n v="13.66"/>
    <n v="2.25"/>
    <n v="11.41"/>
    <n v="8.9399999999999993E-2"/>
    <m/>
  </r>
  <r>
    <x v="1"/>
    <s v="MATRIZ"/>
    <d v="2026-08-06T00:00:00"/>
    <d v="2026-08-06T00:00:00"/>
    <m/>
    <s v="2237-1"/>
    <x v="1"/>
    <m/>
    <n v="250059.66"/>
    <x v="1"/>
    <s v="CTE NORMAL"/>
    <s v="SALVADOR - BA"/>
    <n v="13900"/>
    <n v="4378"/>
    <n v="555.99"/>
    <s v="MATRIZ"/>
    <n v="0"/>
    <s v="N/D"/>
    <n v="0"/>
    <s v="MARCOS ALEXANDRE BASAGLIA"/>
    <n v="0"/>
    <n v="973"/>
    <n v="0"/>
    <n v="0"/>
    <n v="100.02"/>
    <n v="0"/>
    <n v="9495.66"/>
    <n v="4404.34"/>
    <n v="2224"/>
    <n v="2180.34"/>
    <n v="0"/>
    <n v="2180.34"/>
    <n v="0.1568999999999999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9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9"/>
        <item m="1" x="113"/>
        <item m="1" x="546"/>
        <item m="1" x="829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4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6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7"/>
        <item m="1" x="249"/>
        <item sd="0" m="1" x="765"/>
        <item m="1" x="426"/>
        <item m="1" x="437"/>
        <item m="1" x="168"/>
        <item m="1" x="544"/>
        <item x="0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4"/>
        <item m="1" x="563"/>
        <item m="1" x="560"/>
        <item m="1" x="430"/>
        <item m="1" x="716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2"/>
        <item m="1" x="766"/>
        <item m="1" x="510"/>
        <item m="1" x="822"/>
        <item m="1" x="342"/>
        <item m="1" x="224"/>
        <item m="1" x="65"/>
        <item m="1" x="637"/>
        <item m="1" x="459"/>
        <item m="1" x="792"/>
        <item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0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6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5"/>
        <item m="1" x="789"/>
        <item m="1" x="29"/>
        <item m="1" x="784"/>
        <item m="1" x="254"/>
        <item m="1" x="476"/>
        <item m="1" x="813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4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x="1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m="1" x="10"/>
        <item m="1" x="4"/>
        <item m="1" x="12"/>
        <item m="1" x="14"/>
        <item m="1" x="26"/>
        <item m="1" x="19"/>
        <item x="2"/>
        <item m="1" x="8"/>
        <item m="1" x="3"/>
        <item m="1" x="11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x="0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23"/>
    </i>
    <i r="1">
      <x v="7998"/>
    </i>
    <i>
      <x v="734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9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9"/>
        <item m="1" x="113"/>
        <item m="1" x="546"/>
        <item m="1" x="829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4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6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7"/>
        <item m="1" x="249"/>
        <item sd="0" m="1" x="765"/>
        <item m="1" x="426"/>
        <item m="1" x="437"/>
        <item m="1" x="168"/>
        <item m="1" x="544"/>
        <item x="0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4"/>
        <item m="1" x="563"/>
        <item m="1" x="560"/>
        <item m="1" x="430"/>
        <item m="1" x="716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2"/>
        <item m="1" x="766"/>
        <item m="1" x="510"/>
        <item m="1" x="822"/>
        <item m="1" x="342"/>
        <item m="1" x="224"/>
        <item m="1" x="65"/>
        <item m="1" x="637"/>
        <item m="1" x="459"/>
        <item m="1" x="792"/>
        <item sd="0"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0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6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5"/>
        <item m="1" x="789"/>
        <item m="1" x="29"/>
        <item m="1" x="784"/>
        <item m="1" x="254"/>
        <item m="1" x="476"/>
        <item m="1" x="813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4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x="1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8">
        <item m="1" x="10"/>
        <item m="1" x="4"/>
        <item m="1" x="12"/>
        <item m="1" x="14"/>
        <item m="1" x="26"/>
        <item m="1" x="19"/>
        <item x="2"/>
        <item m="1" x="8"/>
        <item m="1" x="3"/>
        <item m="1" x="11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m="1" x="27"/>
        <item m="1" x="9"/>
        <item m="1" x="17"/>
        <item x="0"/>
        <item m="1" x="20"/>
        <item m="1" x="18"/>
        <item m="1" x="21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23"/>
    </i>
    <i>
      <x v="734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4" s="1" nd="1"/>
        <i x="796" s="1" nd="1"/>
        <i x="545" s="1" nd="1"/>
        <i x="150" s="1" nd="1"/>
        <i x="188" s="1" nd="1"/>
        <i x="274" s="1" nd="1"/>
        <i x="12" s="1" nd="1"/>
        <i x="763" s="1" nd="1"/>
        <i x="393" s="1" nd="1"/>
        <i x="714" s="1" nd="1"/>
        <i x="297" s="1" nd="1"/>
        <i x="114" s="1" nd="1"/>
        <i x="272" s="1" nd="1"/>
        <i x="592" s="1" nd="1"/>
        <i x="325" s="1" nd="1"/>
        <i x="677" s="1" nd="1"/>
        <i x="503" s="1" nd="1"/>
        <i x="25" s="1" nd="1"/>
        <i x="583" s="1" nd="1"/>
        <i x="853" s="1" nd="1"/>
        <i x="21" s="1" nd="1"/>
        <i x="759" s="1" nd="1"/>
        <i x="113" s="1" nd="1"/>
        <i x="546" s="1" nd="1"/>
        <i x="829" s="1" nd="1"/>
        <i x="271" s="1" nd="1"/>
        <i x="480" s="1" nd="1"/>
        <i x="774" s="1" nd="1"/>
        <i x="267" s="1" nd="1"/>
        <i x="344" s="1" nd="1"/>
        <i x="678" s="1" nd="1"/>
        <i x="802" s="1" nd="1"/>
        <i x="77" s="1" nd="1"/>
        <i x="48" s="1" nd="1"/>
        <i x="670" s="1" nd="1"/>
        <i x="662" s="1" nd="1"/>
        <i x="470" s="1" nd="1"/>
        <i x="45" s="1" nd="1"/>
        <i x="732" s="1" nd="1"/>
        <i x="691" s="1" nd="1"/>
        <i x="217" s="1" nd="1"/>
        <i x="477" s="1" nd="1"/>
        <i x="635" s="1" nd="1"/>
        <i x="447" s="1" nd="1"/>
        <i x="810" s="1" nd="1"/>
        <i x="669" s="1" nd="1"/>
        <i x="216" s="1" nd="1"/>
        <i x="132" s="1" nd="1"/>
        <i x="223" s="1" nd="1"/>
        <i x="159" s="1" nd="1"/>
        <i x="231" s="1" nd="1"/>
        <i x="110" s="1" nd="1"/>
        <i x="623" s="1" nd="1"/>
        <i x="142" s="1" nd="1"/>
        <i x="618" s="1" nd="1"/>
        <i x="322" s="1" nd="1"/>
        <i x="821" s="1" nd="1"/>
        <i x="323" s="1" nd="1"/>
        <i x="462" s="1" nd="1"/>
        <i x="507" s="1" nd="1"/>
        <i x="555" s="1" nd="1"/>
        <i x="478" s="1" nd="1"/>
        <i x="245" s="1" nd="1"/>
        <i x="849" s="1" nd="1"/>
        <i x="833" s="1" nd="1"/>
        <i x="744" s="1" nd="1"/>
        <i x="241" s="1" nd="1"/>
        <i x="240" s="1" nd="1"/>
        <i x="463" s="1" nd="1"/>
        <i x="287" s="1" nd="1"/>
        <i x="551" s="1" nd="1"/>
        <i x="846" s="1" nd="1"/>
        <i x="446" s="1" nd="1"/>
        <i x="531" s="1" nd="1"/>
        <i x="667" s="1" nd="1"/>
        <i x="520" s="1" nd="1"/>
        <i x="794" s="1" nd="1"/>
        <i x="179" s="1" nd="1"/>
        <i x="59" s="1" nd="1"/>
        <i x="357" s="1" nd="1"/>
        <i x="688" s="1" nd="1"/>
        <i x="313" s="1" nd="1"/>
        <i x="137" s="1" nd="1"/>
        <i x="295" s="1" nd="1"/>
        <i x="603" s="1" nd="1"/>
        <i x="207" s="1" nd="1"/>
        <i x="676" s="1" nd="1"/>
        <i x="140" s="1" nd="1"/>
        <i x="690" s="1" nd="1"/>
        <i x="454" s="1" nd="1"/>
        <i x="409" s="1" nd="1"/>
        <i x="517" s="1" nd="1"/>
        <i x="319" s="1" nd="1"/>
        <i x="593" s="1" nd="1"/>
        <i x="597" s="1" nd="1"/>
        <i x="734" s="1" nd="1"/>
        <i x="787" s="1" nd="1"/>
        <i x="184" s="1" nd="1"/>
        <i x="836" s="1" nd="1"/>
        <i x="713" s="1" nd="1"/>
        <i x="379" s="1" nd="1"/>
        <i x="208" s="1" nd="1"/>
        <i x="523" s="1" nd="1"/>
        <i x="464" s="1" nd="1"/>
        <i x="139" s="1" nd="1"/>
        <i x="663" s="1" nd="1"/>
        <i x="373" s="1" nd="1"/>
        <i x="155" s="1" nd="1"/>
        <i x="252" s="1" nd="1"/>
        <i x="630" s="1" nd="1"/>
        <i x="738" s="1" nd="1"/>
        <i x="422" s="1" nd="1"/>
        <i x="81" s="1" nd="1"/>
        <i x="698" s="1" nd="1"/>
        <i x="285" s="1" nd="1"/>
        <i x="847" s="1" nd="1"/>
        <i x="249" s="1" nd="1"/>
        <i x="765" s="1" nd="1"/>
        <i x="426" s="1" nd="1"/>
        <i x="437" s="1" nd="1"/>
        <i x="168" s="1" nd="1"/>
        <i x="544" s="1" nd="1"/>
        <i x="622" s="1" nd="1"/>
        <i x="5" s="1" nd="1"/>
        <i x="772" s="1" nd="1"/>
        <i x="15" s="1" nd="1"/>
        <i x="741" s="1" nd="1"/>
        <i x="394" s="1" nd="1"/>
        <i x="277" s="1" nd="1"/>
        <i x="66" s="1" nd="1"/>
        <i x="187" s="1" nd="1"/>
        <i x="308" s="1" nd="1"/>
        <i x="178" s="1" nd="1"/>
        <i x="598" s="1" nd="1"/>
        <i x="173" s="1" nd="1"/>
        <i x="616" s="1" nd="1"/>
        <i x="769" s="1" nd="1"/>
        <i x="484" s="1" nd="1"/>
        <i x="53" s="1" nd="1"/>
        <i x="651" s="1" nd="1"/>
        <i x="471" s="1" nd="1"/>
        <i x="250" s="1" nd="1"/>
        <i x="329" s="1" nd="1"/>
        <i x="438" s="1" nd="1"/>
        <i x="353" s="1" nd="1"/>
        <i x="573" s="1" nd="1"/>
        <i x="569" s="1" nd="1"/>
        <i x="735" s="1" nd="1"/>
        <i x="757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9" s="1" nd="1"/>
        <i x="854" s="1" nd="1"/>
        <i x="830" s="1" nd="1"/>
        <i x="107" s="1" nd="1"/>
        <i x="402" s="1" nd="1"/>
        <i x="115" s="1" nd="1"/>
        <i x="654" s="1" nd="1"/>
        <i x="658" s="1" nd="1"/>
        <i x="797" s="1" nd="1"/>
        <i x="697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1" s="1" nd="1"/>
        <i x="458" s="1" nd="1"/>
        <i x="479" s="1" nd="1"/>
        <i x="752" s="1" nd="1"/>
        <i x="640" s="1" nd="1"/>
        <i x="54" s="1" nd="1"/>
        <i x="795" s="1" nd="1"/>
        <i x="718" s="1" nd="1"/>
        <i x="418" s="1" nd="1"/>
        <i x="736" s="1" nd="1"/>
        <i x="814" s="1" nd="1"/>
        <i x="563" s="1" nd="1"/>
        <i x="560" s="1" nd="1"/>
        <i x="430" s="1" nd="1"/>
        <i x="716" s="1" nd="1"/>
        <i x="506" s="1" nd="1"/>
        <i x="174" s="1" nd="1"/>
        <i x="629" s="1" nd="1"/>
        <i x="376" s="1" nd="1"/>
        <i x="808" s="1" nd="1"/>
        <i x="60" s="1" nd="1"/>
        <i x="633" s="1" nd="1"/>
        <i x="532" s="1" nd="1"/>
        <i x="296" s="1" nd="1"/>
        <i x="305" s="1" nd="1"/>
        <i x="175" s="1" nd="1"/>
        <i x="102" s="1" nd="1"/>
        <i x="71" s="1" nd="1"/>
        <i x="580" s="1" nd="1"/>
        <i x="800" s="1" nd="1"/>
        <i x="33" s="1" nd="1"/>
        <i x="675" s="1" nd="1"/>
        <i x="288" s="1" nd="1"/>
        <i x="631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4" s="1" nd="1"/>
        <i x="451" s="1" nd="1"/>
        <i x="350" s="1" nd="1"/>
        <i x="79" s="1" nd="1"/>
        <i x="584" s="1" nd="1"/>
        <i x="19" s="1" nd="1"/>
        <i x="161" s="1" nd="1"/>
        <i x="775" s="1" nd="1"/>
        <i x="581" s="1" nd="1"/>
        <i x="519" s="1" nd="1"/>
        <i x="799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4" s="1" nd="1"/>
        <i x="558" s="1" nd="1"/>
        <i x="628" s="1" nd="1"/>
        <i x="346" s="1" nd="1"/>
        <i x="434" s="1" nd="1"/>
        <i x="710" s="1" nd="1"/>
        <i x="211" s="1" nd="1"/>
        <i x="440" s="1" nd="1"/>
        <i x="103" s="1" nd="1"/>
        <i x="197" s="1" nd="1"/>
        <i x="832" s="1" nd="1"/>
        <i x="766" s="1" nd="1"/>
        <i x="510" s="1" nd="1"/>
        <i x="822" s="1" nd="1"/>
        <i x="342" s="1" nd="1"/>
        <i x="224" s="1" nd="1"/>
        <i x="65" s="1" nd="1"/>
        <i x="637" s="1" nd="1"/>
        <i x="459" s="1" nd="1"/>
        <i x="792" s="1" nd="1"/>
        <i x="705" s="1" nd="1"/>
        <i x="235" s="1" nd="1"/>
        <i x="599" s="1" nd="1"/>
        <i x="44" s="1" nd="1"/>
        <i x="844" s="1" nd="1"/>
        <i x="124" s="1" nd="1"/>
        <i x="268" s="1" nd="1"/>
        <i x="293" s="1" nd="1"/>
        <i x="355" s="1" nd="1"/>
        <i x="99" s="1" nd="1"/>
        <i x="461" s="1" nd="1"/>
        <i x="582" s="1" nd="1"/>
        <i x="354" s="1" nd="1"/>
        <i x="104" s="1" nd="1"/>
        <i x="540" s="1" nd="1"/>
        <i x="209" s="1" nd="1"/>
        <i x="673" s="1" nd="1"/>
        <i x="487" s="1" nd="1"/>
        <i x="642" s="1" nd="1"/>
        <i x="608" s="1" nd="1"/>
        <i x="533" s="1" nd="1"/>
        <i x="565" s="1" nd="1"/>
        <i x="740" s="1" nd="1"/>
        <i x="518" s="1" nd="1"/>
        <i x="387" s="1" nd="1"/>
        <i x="547" s="1" nd="1"/>
        <i x="214" s="1" nd="1"/>
        <i x="416" s="1" nd="1"/>
        <i x="420" s="1" nd="1"/>
        <i x="804" s="1" nd="1"/>
        <i x="42" s="1" nd="1"/>
        <i x="807" s="1" nd="1"/>
        <i x="488" s="1" nd="1"/>
        <i x="444" s="1" nd="1"/>
        <i x="400" s="1" nd="1"/>
        <i x="610" s="1" nd="1"/>
        <i x="154" s="1" nd="1"/>
        <i x="16" s="1" nd="1"/>
        <i x="233" s="1" nd="1"/>
        <i x="242" s="1" nd="1"/>
        <i x="6" s="1" nd="1"/>
        <i x="389" s="1" nd="1"/>
        <i x="371" s="1" nd="1"/>
        <i x="617" s="1" nd="1"/>
        <i x="58" s="1" nd="1"/>
        <i x="709" s="1" nd="1"/>
        <i x="24" s="1" nd="1"/>
        <i x="37" s="1" nd="1"/>
        <i x="9" s="1" nd="1"/>
        <i x="419" s="1" nd="1"/>
        <i x="685" s="1" nd="1"/>
        <i x="286" s="1" nd="1"/>
        <i x="317" s="1" nd="1"/>
        <i x="381" s="1" nd="1"/>
        <i x="541" s="1" nd="1"/>
        <i x="315" s="1" nd="1"/>
        <i x="340" s="1" nd="1"/>
        <i x="773" s="1" nd="1"/>
        <i x="144" s="1" nd="1"/>
        <i x="668" s="1" nd="1"/>
        <i x="840" s="1" nd="1"/>
        <i x="39" s="1" nd="1"/>
        <i x="384" s="1" nd="1"/>
        <i x="591" s="1" nd="1"/>
        <i x="749" s="1" nd="1"/>
        <i x="270" s="1" nd="1"/>
        <i x="18" s="1" nd="1"/>
        <i x="639" s="1" nd="1"/>
        <i x="390" s="1" nd="1"/>
        <i x="481" s="1" nd="1"/>
        <i x="345" s="1" nd="1"/>
        <i x="739" s="1" nd="1"/>
        <i x="246" s="1" nd="1"/>
        <i x="262" s="1" nd="1"/>
        <i x="275" s="1" nd="1"/>
        <i x="823" s="1" nd="1"/>
        <i x="7" s="1" nd="1"/>
        <i x="351" s="1" nd="1"/>
        <i x="579" s="1" nd="1"/>
        <i x="162" s="1" nd="1"/>
        <i x="316" s="1" nd="1"/>
        <i x="700" s="1" nd="1"/>
        <i x="332" s="1" nd="1"/>
        <i x="627" s="1" nd="1"/>
        <i x="543" s="1" nd="1"/>
        <i x="370" s="1" nd="1"/>
        <i x="336" s="1" nd="1"/>
        <i x="176" s="1" nd="1"/>
        <i x="421" s="1" nd="1"/>
        <i x="703" s="1" nd="1"/>
        <i x="699" s="1" nd="1"/>
        <i x="380" s="1" nd="1"/>
        <i x="349" s="1" nd="1"/>
        <i x="151" s="1" nd="1"/>
        <i x="761" s="1" nd="1"/>
        <i x="692" s="1" nd="1"/>
        <i x="22" s="1" nd="1"/>
        <i x="729" s="1" nd="1"/>
        <i x="782" s="1" nd="1"/>
        <i x="641" s="1" nd="1"/>
        <i x="330" s="1" nd="1"/>
        <i x="369" s="1" nd="1"/>
        <i x="816" s="1" nd="1"/>
        <i x="778" s="1" nd="1"/>
        <i x="145" s="1" nd="1"/>
        <i x="499" s="1" nd="1"/>
        <i x="468" s="1" nd="1"/>
        <i x="141" s="1" nd="1"/>
        <i x="758" s="1" nd="1"/>
        <i x="149" s="1" nd="1"/>
        <i x="225" s="1" nd="1"/>
        <i x="722" s="1" nd="1"/>
        <i x="557" s="1" nd="1"/>
        <i x="117" s="1" nd="1"/>
        <i x="377" s="1" nd="1"/>
        <i x="720" s="1" nd="1"/>
        <i x="128" s="1" nd="1"/>
        <i x="34" s="1" nd="1"/>
        <i x="303" s="1" nd="1"/>
        <i x="550" s="1" nd="1"/>
        <i x="61" s="1" nd="1"/>
        <i x="453" s="1" nd="1"/>
        <i x="776" s="1" nd="1"/>
        <i x="486" s="1" nd="1"/>
        <i x="742" s="1" nd="1"/>
        <i x="455" s="1" nd="1"/>
        <i x="522" s="1" nd="1"/>
        <i x="163" s="1" nd="1"/>
        <i x="405" s="1" nd="1"/>
        <i x="743" s="1" nd="1"/>
        <i x="195" s="1" nd="1"/>
        <i x="748" s="1" nd="1"/>
        <i x="385" s="1" nd="1"/>
        <i x="138" s="1" nd="1"/>
        <i x="660" s="1" nd="1"/>
        <i x="431" s="1" nd="1"/>
        <i x="666" s="1" nd="1"/>
        <i x="494" s="1" nd="1"/>
        <i x="687" s="1" nd="1"/>
        <i x="328" s="1" nd="1"/>
        <i x="770" s="1" nd="1"/>
        <i x="806" s="1" nd="1"/>
        <i x="92" s="1" nd="1"/>
        <i x="574" s="1" nd="1"/>
        <i x="158" s="1" nd="1"/>
        <i x="562" s="1" nd="1"/>
        <i x="46" s="1" nd="1"/>
        <i x="725" s="1" nd="1"/>
        <i x="750" s="1" nd="1"/>
        <i x="745" s="1" nd="1"/>
        <i x="848" s="1" nd="1"/>
        <i x="125" s="1" nd="1"/>
        <i x="466" s="1" nd="1"/>
        <i x="702" s="1" nd="1"/>
        <i x="429" s="1" nd="1"/>
        <i x="364" s="1" nd="1"/>
        <i x="101" s="1" nd="1"/>
        <i x="482" s="1" nd="1"/>
        <i x="609" s="1" nd="1"/>
        <i x="717" s="1" nd="1"/>
        <i x="55" s="1" nd="1"/>
        <i x="299" s="1" nd="1"/>
        <i x="684" s="1" nd="1"/>
        <i x="136" s="1" nd="1"/>
        <i x="331" s="1" nd="1"/>
        <i x="537" s="1" nd="1"/>
        <i x="238" s="1" nd="1"/>
        <i x="559" s="1" nd="1"/>
        <i x="548" s="1" nd="1"/>
        <i x="851" s="1" nd="1"/>
        <i x="3" s="1" nd="1"/>
        <i x="273" s="1" nd="1"/>
        <i x="76" s="1" nd="1"/>
        <i x="131" s="1" nd="1"/>
        <i x="656" s="1" nd="1"/>
        <i x="723" s="1" nd="1"/>
        <i x="643" s="1" nd="1"/>
        <i x="232" s="1" nd="1"/>
        <i x="374" s="1" nd="1"/>
        <i x="737" s="1" nd="1"/>
        <i x="133" s="1" nd="1"/>
        <i x="87" s="1" nd="1"/>
        <i x="210" s="1" nd="1"/>
        <i x="683" s="1" nd="1"/>
        <i x="276" s="1" nd="1"/>
        <i x="473" s="1" nd="1"/>
        <i x="801" s="1" nd="1"/>
        <i x="218" s="1" nd="1"/>
        <i x="828" s="1" nd="1"/>
        <i x="70" s="1" nd="1"/>
        <i x="119" s="1" nd="1"/>
        <i x="647" s="1" nd="1"/>
        <i x="412" s="1" nd="1"/>
        <i x="855" s="1" nd="1"/>
        <i x="433" s="1" nd="1"/>
        <i x="571" s="1" nd="1"/>
        <i x="489" s="1" nd="1"/>
        <i x="183" s="1" nd="1"/>
        <i x="375" s="1" nd="1"/>
        <i x="243" s="1" nd="1"/>
        <i x="338" s="1" nd="1"/>
        <i x="529" s="1" nd="1"/>
        <i x="424" s="1" nd="1"/>
        <i x="790" s="1" nd="1"/>
        <i x="302" s="1" nd="1"/>
        <i x="310" s="1" nd="1"/>
        <i x="368" s="1" nd="1"/>
        <i x="492" s="1" nd="1"/>
        <i x="664" s="1" nd="1"/>
        <i x="189" s="1" nd="1"/>
        <i x="661" s="1" nd="1"/>
        <i x="222" s="1" nd="1"/>
        <i x="450" s="1" nd="1"/>
        <i x="148" s="1" nd="1"/>
        <i x="363" s="1" nd="1"/>
        <i x="264" s="1" nd="1"/>
        <i x="292" s="1" nd="1"/>
        <i x="542" s="1" nd="1"/>
        <i x="811" s="1" nd="1"/>
        <i x="605" s="1" nd="1"/>
        <i x="32" s="1" nd="1"/>
        <i x="269" s="1" nd="1"/>
        <i x="753" s="1" nd="1"/>
        <i x="372" s="1" nd="1"/>
        <i x="247" s="1" nd="1"/>
        <i x="399" s="1" nd="1"/>
        <i x="483" s="1" nd="1"/>
        <i x="339" s="1" nd="1"/>
        <i x="614" s="1" nd="1"/>
        <i x="674" s="1" nd="1"/>
        <i x="839" s="1" nd="1"/>
        <i x="51" s="1" nd="1"/>
        <i x="607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0" s="1" nd="1"/>
        <i x="170" s="1" nd="1"/>
        <i x="711" s="1" nd="1"/>
        <i x="172" s="1" nd="1"/>
        <i x="588" s="1" nd="1"/>
        <i x="228" s="1" nd="1"/>
        <i x="392" s="1" nd="1"/>
        <i x="659" s="1" nd="1"/>
        <i x="311" s="1" nd="1"/>
        <i x="75" s="1" nd="1"/>
        <i x="671" s="1" nd="1"/>
        <i x="95" s="1" nd="1"/>
        <i x="441" s="1" nd="1"/>
        <i x="352" s="1" nd="1"/>
        <i x="786" s="1" nd="1"/>
        <i x="500" s="1" nd="1"/>
        <i x="62" s="1" nd="1"/>
        <i x="457" s="1" nd="1"/>
        <i x="83" s="1" nd="1"/>
        <i x="326" s="1" nd="1"/>
        <i x="169" s="1" nd="1"/>
        <i x="333" s="1" nd="1"/>
        <i x="566" s="1" nd="1"/>
        <i x="505" s="1" nd="1"/>
        <i x="229" s="1" nd="1"/>
        <i x="282" s="1" nd="1"/>
        <i x="94" s="1" nd="1"/>
        <i x="408" s="1" nd="1"/>
        <i x="321" s="1" nd="1"/>
        <i x="712" s="1" nd="1"/>
        <i x="536" s="1" nd="1"/>
        <i x="646" s="1" nd="1"/>
        <i x="611" s="1" nd="1"/>
        <i x="835" s="1" nd="1"/>
        <i x="789" s="1" nd="1"/>
        <i x="29" s="1" nd="1"/>
        <i x="784" s="1" nd="1"/>
        <i x="254" s="1" nd="1"/>
        <i x="476" s="1" nd="1"/>
        <i x="813" s="1" nd="1"/>
        <i x="465" s="1" nd="1"/>
        <i x="747" s="1" nd="1"/>
        <i x="650" s="1" nd="1"/>
        <i x="777" s="1" nd="1"/>
        <i x="72" s="1" nd="1"/>
        <i x="715" s="1" nd="1"/>
        <i x="575" s="1" nd="1"/>
        <i x="185" s="1" nd="1"/>
        <i x="719" s="1" nd="1"/>
        <i x="112" s="1" nd="1"/>
        <i x="255" s="1" nd="1"/>
        <i x="513" s="1" nd="1"/>
        <i x="96" s="1" nd="1"/>
        <i x="524" s="1" nd="1"/>
        <i x="791" s="1" nd="1"/>
        <i x="20" s="1" nd="1"/>
        <i x="539" s="1" nd="1"/>
        <i x="638" s="1" nd="1"/>
        <i x="577" s="1" nd="1"/>
        <i x="198" s="1" nd="1"/>
        <i x="576" s="1" nd="1"/>
        <i x="366" s="1" nd="1"/>
        <i x="824" s="1" nd="1"/>
        <i x="337" s="1" nd="1"/>
        <i x="525" s="1" nd="1"/>
        <i x="248" s="1" nd="1"/>
        <i x="11" s="1" nd="1"/>
        <i x="143" s="1" nd="1"/>
        <i x="653" s="1" nd="1"/>
        <i x="606" s="1" nd="1"/>
        <i x="442" s="1" nd="1"/>
        <i x="23" s="1" nd="1"/>
        <i x="596" s="1" nd="1"/>
        <i x="436" s="1" nd="1"/>
        <i x="68" s="1" nd="1"/>
        <i x="657" s="1" nd="1"/>
        <i x="679" s="1" nd="1"/>
        <i x="567" s="1" nd="1"/>
        <i x="516" s="1" nd="1"/>
        <i x="600" s="1" nd="1"/>
        <i x="318" s="1" nd="1"/>
        <i x="783" s="1" nd="1"/>
        <i x="485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30" s="1" nd="1"/>
        <i x="568" s="1" nd="1"/>
        <i x="689" s="1" nd="1"/>
        <i x="281" s="1" nd="1"/>
        <i x="526" s="1" nd="1"/>
        <i x="527" s="1" nd="1"/>
        <i x="38" s="1" nd="1"/>
        <i x="594" s="1" nd="1"/>
        <i x="803" s="1" nd="1"/>
        <i x="585" s="1" nd="1"/>
        <i x="751" s="1" nd="1"/>
        <i x="724" s="1" nd="1"/>
        <i x="534" s="1" nd="1"/>
        <i x="47" s="1" nd="1"/>
        <i x="556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6" s="1" nd="1"/>
        <i x="805" s="1" nd="1"/>
        <i x="793" s="1" nd="1"/>
        <i x="201" s="1" nd="1"/>
        <i x="152" s="1" nd="1"/>
        <i x="237" s="1" nd="1"/>
        <i x="504" s="1" nd="1"/>
        <i x="788" s="1" nd="1"/>
        <i x="260" s="1" nd="1"/>
        <i x="754" s="1" nd="1"/>
        <i x="129" s="1" nd="1"/>
        <i x="212" s="1" nd="1"/>
        <i x="834" s="1" nd="1"/>
        <i x="587" s="1" nd="1"/>
        <i x="798" s="1" nd="1"/>
        <i x="728" s="1" nd="1"/>
        <i x="413" s="1" nd="1"/>
        <i x="26" s="1" nd="1"/>
        <i x="343" s="1" nd="1"/>
        <i x="491" s="1" nd="1"/>
        <i x="512" s="1" nd="1"/>
        <i x="771" s="1" nd="1"/>
        <i x="721" s="1" nd="1"/>
        <i x="762" s="1" nd="1"/>
        <i x="521" s="1" nd="1"/>
        <i x="644" s="1" nd="1"/>
        <i x="289" s="1" nd="1"/>
        <i x="181" s="1" nd="1"/>
        <i x="335" s="1" nd="1"/>
        <i x="818" s="1" nd="1"/>
        <i x="612" s="1" nd="1"/>
        <i x="589" s="1" nd="1"/>
        <i x="257" s="1" nd="1"/>
        <i x="552" s="1" nd="1"/>
        <i x="105" s="1" nd="1"/>
        <i x="88" s="1" nd="1"/>
        <i x="756" s="1" nd="1"/>
        <i x="156" s="1" nd="1"/>
        <i x="234" s="1" nd="1"/>
        <i x="239" s="1" nd="1"/>
        <i x="467" s="1" nd="1"/>
        <i x="708" s="1" nd="1"/>
        <i x="621" s="1" nd="1"/>
        <i x="733" s="1" nd="1"/>
        <i x="472" s="1" nd="1"/>
        <i x="553" s="1" nd="1"/>
        <i x="265" s="1" nd="1"/>
        <i x="251" s="1" nd="1"/>
        <i x="634" s="1" nd="1"/>
        <i x="701" s="1" nd="1"/>
        <i x="358" s="1" nd="1"/>
        <i x="14" s="1" nd="1"/>
        <i x="226" s="1" nd="1"/>
        <i x="785" s="1" nd="1"/>
        <i x="726" s="1" nd="1"/>
        <i x="842" s="1" nd="1"/>
        <i x="445" s="1" nd="1"/>
        <i x="194" s="1" nd="1"/>
        <i x="307" s="1" nd="1"/>
        <i x="341" s="1" nd="1"/>
        <i x="97" s="1" nd="1"/>
        <i x="696" s="1" nd="1"/>
        <i x="306" s="1" nd="1"/>
        <i x="356" s="1" nd="1"/>
        <i x="403" s="1" nd="1"/>
        <i x="619" s="1" nd="1"/>
        <i x="615" s="1" nd="1"/>
        <i x="779" s="1" nd="1"/>
        <i x="395" s="1" nd="1"/>
        <i x="401" s="1" nd="1"/>
        <i x="706" s="1" nd="1"/>
        <i x="404" s="1" nd="1"/>
        <i x="831" s="1" nd="1"/>
        <i x="496" s="1" nd="1"/>
        <i x="396" s="1" nd="1"/>
        <i x="672" s="1" nd="1"/>
        <i x="186" s="1" nd="1"/>
        <i x="410" s="1" nd="1"/>
        <i x="475" s="1" nd="1"/>
        <i x="838" s="1" nd="1"/>
        <i x="126" s="1" nd="1"/>
        <i x="153" s="1" nd="1"/>
        <i x="595" s="1" nd="1"/>
        <i x="780" s="1" nd="1"/>
        <i x="613" s="1" nd="1"/>
        <i x="561" s="1" nd="1"/>
        <i x="309" s="1" nd="1"/>
        <i x="655" s="1" nd="1"/>
        <i x="727" s="1" nd="1"/>
        <i x="406" s="1" nd="1"/>
        <i x="746" s="1" nd="1"/>
        <i x="80" s="1" nd="1"/>
        <i x="52" s="1" nd="1"/>
        <i x="852" s="1" nd="1"/>
        <i x="30" s="1" nd="1"/>
        <i x="572" s="1" nd="1"/>
        <i x="514" s="1" nd="1"/>
        <i x="414" s="1" nd="1"/>
        <i x="704" s="1" nd="1"/>
        <i x="205" s="1" nd="1"/>
        <i x="645" s="1" nd="1"/>
        <i x="781" s="1" nd="1"/>
        <i x="469" s="1" nd="1"/>
        <i x="41" s="1" nd="1"/>
        <i x="695" s="1" nd="1"/>
        <i x="665" s="1" nd="1"/>
        <i x="809" s="1" nd="1"/>
        <i x="817" s="1" nd="1"/>
        <i x="626" s="1" nd="1"/>
        <i x="460" s="1" nd="1"/>
        <i x="693" s="1" nd="1"/>
        <i x="135" s="1" nd="1"/>
        <i x="411" s="1" nd="1"/>
        <i x="694" s="1" nd="1"/>
        <i x="443" s="1" nd="1"/>
        <i x="362" s="1" nd="1"/>
        <i x="707" s="1" nd="1"/>
        <i x="304" s="1" nd="1"/>
        <i x="190" s="1" nd="1"/>
        <i x="682" s="1" nd="1"/>
        <i x="284" s="1" nd="1"/>
        <i x="220" s="1" nd="1"/>
        <i x="320" s="1" nd="1"/>
        <i x="256" s="1" nd="1"/>
        <i x="193" s="1" nd="1"/>
        <i x="731" s="1" nd="1"/>
        <i x="386" s="1" nd="1"/>
        <i x="578" s="1" nd="1"/>
        <i x="361" s="1" nd="1"/>
        <i x="452" s="1" nd="1"/>
        <i x="515" s="1" nd="1"/>
        <i x="123" s="1" nd="1"/>
        <i x="648" s="1" nd="1"/>
        <i x="49" s="1" nd="1"/>
        <i x="417" s="1" nd="1"/>
        <i x="146" s="1" nd="1"/>
        <i x="730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1" s="1" nd="1"/>
        <i x="82" s="1" nd="1"/>
        <i x="636" s="1" nd="1"/>
        <i x="67" s="1" nd="1"/>
        <i x="652" s="1" nd="1"/>
        <i x="490" s="1" nd="1"/>
        <i x="755" s="1" nd="1"/>
        <i x="164" s="1" nd="1"/>
        <i x="192" s="1" nd="1"/>
        <i x="680" s="1" nd="1"/>
        <i x="300" s="1" nd="1"/>
        <i x="590" s="1" nd="1"/>
        <i x="180" s="1" nd="1"/>
        <i x="625" s="1" nd="1"/>
        <i x="64" s="1" nd="1"/>
        <i x="425" s="1" nd="1"/>
        <i x="27" s="1" nd="1"/>
        <i x="767" s="1" nd="1"/>
        <i x="415" s="1" nd="1"/>
        <i x="554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5" s="1" nd="1"/>
        <i x="36" s="1" nd="1"/>
        <i x="312" s="1" nd="1"/>
        <i x="826" s="1" nd="1"/>
        <i x="564" s="1" nd="1"/>
        <i x="63" s="1" nd="1"/>
        <i x="570" s="1" nd="1"/>
        <i x="432" s="1" nd="1"/>
        <i x="427" s="1" nd="1"/>
        <i x="177" s="1" nd="1"/>
        <i x="367" s="1" nd="1"/>
        <i x="760" s="1" nd="1"/>
        <i x="602" s="1" nd="1"/>
        <i x="13" s="1" nd="1"/>
        <i x="93" s="1" nd="1"/>
        <i x="439" s="1" nd="1"/>
        <i x="435" s="1" nd="1"/>
        <i x="122" s="1" nd="1"/>
        <i x="632" s="1" nd="1"/>
        <i x="202" s="1" nd="1"/>
        <i x="157" s="1" nd="1"/>
        <i x="56" s="1" nd="1"/>
        <i x="549" s="1" nd="1"/>
        <i x="620" s="1" nd="1"/>
        <i x="100" s="1" nd="1"/>
        <i x="768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1" s="1" nd="1"/>
        <i x="191" s="1" nd="1"/>
        <i x="227" s="1" nd="1"/>
        <i x="843" s="1" nd="1"/>
        <i x="837" s="1" nd="1"/>
        <i x="493" s="1" nd="1"/>
        <i x="686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0" s="1"/>
        <i x="1" s="1"/>
        <i x="2" s="1"/>
        <i x="6" s="1" nd="1"/>
        <i x="15" s="1" nd="1"/>
        <i x="16" s="1" nd="1"/>
        <i x="25" s="1" nd="1"/>
        <i x="5" s="1" nd="1"/>
        <i x="8" s="1" nd="1"/>
        <i x="10" s="1" nd="1"/>
        <i x="13" s="1" nd="1"/>
        <i x="19" s="1" nd="1"/>
        <i x="20" s="1" nd="1"/>
        <i x="4" s="1" nd="1"/>
        <i x="24" s="1" nd="1"/>
        <i x="7" s="1" nd="1"/>
        <i x="23" s="1" nd="1"/>
        <i x="22" s="1" nd="1"/>
        <i x="18" s="1" nd="1"/>
        <i x="21" s="1" nd="1"/>
        <i x="3" s="1" nd="1"/>
        <i x="26" s="1" nd="1"/>
        <i x="12" s="1" nd="1"/>
        <i x="14" s="1" nd="1"/>
        <i x="11" s="1" nd="1"/>
        <i x="9" s="1" nd="1"/>
        <i x="27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5" totalsRowShown="0" headerRowDxfId="8" dataDxfId="6" headerRowBorderDxfId="7" tableBorderDxfId="5" totalsRowBorderDxfId="4">
  <autoFilter ref="A1:D36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2298</v>
      </c>
      <c r="B2" s="12" t="s">
        <v>576</v>
      </c>
      <c r="C2" s="14">
        <v>46240</v>
      </c>
      <c r="D2" s="14">
        <v>46240</v>
      </c>
      <c r="E2" s="12"/>
      <c r="F2" s="15" t="s">
        <v>577</v>
      </c>
      <c r="G2" s="15" t="s">
        <v>578</v>
      </c>
      <c r="H2" s="15" t="s">
        <v>579</v>
      </c>
      <c r="I2" s="16">
        <v>2220.0500000000002</v>
      </c>
      <c r="J2" s="15" t="s">
        <v>580</v>
      </c>
      <c r="K2" s="15" t="s">
        <v>581</v>
      </c>
      <c r="L2" s="15" t="s">
        <v>582</v>
      </c>
      <c r="M2" s="15">
        <v>127.66</v>
      </c>
      <c r="N2" s="15">
        <v>7</v>
      </c>
      <c r="O2" s="16">
        <v>45.9</v>
      </c>
      <c r="P2" s="15" t="s">
        <v>583</v>
      </c>
      <c r="Q2" s="15">
        <v>0</v>
      </c>
      <c r="R2" s="15" t="s">
        <v>583</v>
      </c>
      <c r="S2" s="15">
        <v>0</v>
      </c>
      <c r="T2" s="15" t="s">
        <v>584</v>
      </c>
      <c r="U2" s="15">
        <v>0</v>
      </c>
      <c r="V2" s="15">
        <v>15.32</v>
      </c>
      <c r="W2" s="15">
        <v>0</v>
      </c>
      <c r="X2" s="15">
        <v>0</v>
      </c>
      <c r="Y2" s="15">
        <v>0.89</v>
      </c>
      <c r="Z2" s="15">
        <v>0</v>
      </c>
      <c r="AA2" s="15">
        <v>93.57</v>
      </c>
      <c r="AB2" s="15">
        <v>34.090000000000003</v>
      </c>
      <c r="AC2" s="15">
        <v>20.43</v>
      </c>
      <c r="AD2" s="15">
        <v>13.66</v>
      </c>
      <c r="AE2" s="15">
        <v>2.25</v>
      </c>
      <c r="AF2" s="15">
        <v>11.41</v>
      </c>
      <c r="AG2" s="17">
        <v>8.9399999999999993E-2</v>
      </c>
      <c r="AH2" s="15"/>
    </row>
    <row r="3" spans="1:34" s="1" customFormat="1" ht="12" customHeight="1" x14ac:dyDescent="0.3">
      <c r="A3" s="13">
        <v>2312</v>
      </c>
      <c r="B3" s="12" t="s">
        <v>576</v>
      </c>
      <c r="C3" s="14">
        <v>46240</v>
      </c>
      <c r="D3" s="14">
        <v>46240</v>
      </c>
      <c r="E3" s="12"/>
      <c r="F3" s="15" t="s">
        <v>585</v>
      </c>
      <c r="G3" s="15" t="s">
        <v>586</v>
      </c>
      <c r="H3" s="15"/>
      <c r="I3" s="16">
        <v>250059.66</v>
      </c>
      <c r="J3" s="15" t="s">
        <v>587</v>
      </c>
      <c r="K3" s="15" t="s">
        <v>581</v>
      </c>
      <c r="L3" s="15" t="s">
        <v>588</v>
      </c>
      <c r="M3" s="16">
        <v>13900</v>
      </c>
      <c r="N3" s="15">
        <v>4378</v>
      </c>
      <c r="O3" s="16">
        <v>555.99</v>
      </c>
      <c r="P3" s="15" t="s">
        <v>576</v>
      </c>
      <c r="Q3" s="15">
        <v>0</v>
      </c>
      <c r="R3" s="15" t="s">
        <v>583</v>
      </c>
      <c r="S3" s="15">
        <v>0</v>
      </c>
      <c r="T3" s="15" t="s">
        <v>584</v>
      </c>
      <c r="U3" s="15">
        <v>0</v>
      </c>
      <c r="V3" s="15">
        <v>973</v>
      </c>
      <c r="W3" s="15">
        <v>0</v>
      </c>
      <c r="X3" s="15">
        <v>0</v>
      </c>
      <c r="Y3" s="15">
        <v>100.02</v>
      </c>
      <c r="Z3" s="15">
        <v>0</v>
      </c>
      <c r="AA3" s="16">
        <v>9495.66</v>
      </c>
      <c r="AB3" s="16">
        <v>4404.34</v>
      </c>
      <c r="AC3" s="15">
        <v>2224</v>
      </c>
      <c r="AD3" s="15">
        <v>2180.34</v>
      </c>
      <c r="AE3" s="15">
        <v>0</v>
      </c>
      <c r="AF3" s="15">
        <v>2180.34</v>
      </c>
      <c r="AG3" s="17">
        <v>0.15689999999999998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14027.66</v>
      </c>
      <c r="F3" s="93"/>
      <c r="G3" s="94"/>
      <c r="H3" s="95">
        <f>'Resumo Detalhado'!C2</f>
        <v>601.89</v>
      </c>
      <c r="I3" s="96"/>
      <c r="J3" s="97">
        <f>E3/H3</f>
        <v>23.306019372310555</v>
      </c>
      <c r="K3" s="98"/>
      <c r="L3" s="99"/>
      <c r="M3" s="138" t="s">
        <v>62</v>
      </c>
      <c r="N3" s="93"/>
      <c r="O3" s="94"/>
      <c r="P3" s="135">
        <v>1200</v>
      </c>
      <c r="Q3" s="136"/>
      <c r="R3" s="137"/>
      <c r="S3" s="103">
        <f>MIN(H3/P3,1)</f>
        <v>0.50157499999999999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9589.23</v>
      </c>
      <c r="F7" s="109"/>
      <c r="G7" s="109"/>
      <c r="H7" s="109"/>
      <c r="I7" s="109"/>
      <c r="J7" s="109">
        <f>E7/H3</f>
        <v>15.931864626426755</v>
      </c>
      <c r="K7" s="109"/>
      <c r="L7" s="109"/>
      <c r="M7" s="110">
        <f>E7/E3</f>
        <v>0.68359441275308919</v>
      </c>
      <c r="N7" s="110"/>
      <c r="O7" s="110"/>
      <c r="P7" s="109">
        <f>E11+K11+Q11+E15+K15+Q15+E19+H19+K19</f>
        <v>14045.098399999999</v>
      </c>
      <c r="Q7" s="109"/>
      <c r="R7" s="109"/>
      <c r="S7" s="109">
        <f>P7/H3</f>
        <v>23.334992108192527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9589.23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9589.23</v>
      </c>
      <c r="L11" s="94"/>
      <c r="M11" s="38"/>
      <c r="N11" s="92">
        <f>K11/H3</f>
        <v>15.931864626426755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988.32</v>
      </c>
      <c r="F15" s="113"/>
      <c r="G15" s="113"/>
      <c r="H15" s="113"/>
      <c r="I15" s="114"/>
      <c r="J15" s="38"/>
      <c r="K15" s="116">
        <f>'Resumo Detalhado'!K2+'Resumo Detalhado'!L2</f>
        <v>2244.4256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100.91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1122.2128</v>
      </c>
      <c r="L19" s="108"/>
      <c r="M19" s="38"/>
      <c r="N19" s="112" t="s">
        <v>589</v>
      </c>
      <c r="O19" s="113"/>
      <c r="P19" s="113"/>
      <c r="Q19" s="113"/>
      <c r="R19" s="119"/>
      <c r="S19" s="112">
        <v>8500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10691.7544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0.76219087146395048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2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590</v>
      </c>
      <c r="F1" s="29"/>
    </row>
    <row r="2" spans="1:18" x14ac:dyDescent="0.3">
      <c r="B2" s="29">
        <f>SUM(B6:B5000)</f>
        <v>14027.66</v>
      </c>
      <c r="C2" s="29">
        <f>SUM(C6:C5000)</f>
        <v>601.89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988.32</v>
      </c>
      <c r="I2" s="29">
        <f t="shared" si="0"/>
        <v>100.91</v>
      </c>
      <c r="J2" s="29">
        <f t="shared" si="0"/>
        <v>0</v>
      </c>
      <c r="K2" s="29">
        <f t="shared" si="0"/>
        <v>1122.2128</v>
      </c>
      <c r="L2" s="29">
        <f t="shared" si="0"/>
        <v>1122.2128</v>
      </c>
      <c r="M2" s="29">
        <f t="shared" si="0"/>
        <v>2.25</v>
      </c>
      <c r="N2" s="29">
        <f t="shared" si="0"/>
        <v>10691.7544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2298</v>
      </c>
      <c r="B6" s="139">
        <v>127.66</v>
      </c>
      <c r="C6" s="140">
        <v>45.9</v>
      </c>
      <c r="D6" s="139">
        <v>0</v>
      </c>
      <c r="E6" s="139">
        <v>0</v>
      </c>
      <c r="F6" s="139">
        <v>0</v>
      </c>
      <c r="G6" s="141">
        <v>0</v>
      </c>
      <c r="H6" s="139">
        <v>15.32</v>
      </c>
      <c r="I6" s="139">
        <v>0.89</v>
      </c>
      <c r="J6" s="139">
        <v>0</v>
      </c>
      <c r="K6" s="139">
        <v>10.2128</v>
      </c>
      <c r="L6" s="139">
        <v>10.2128</v>
      </c>
      <c r="M6" s="139">
        <v>2.25</v>
      </c>
      <c r="N6" s="139">
        <v>88.7744</v>
      </c>
      <c r="O6" s="141">
        <v>0.69539714867617108</v>
      </c>
      <c r="Q6"/>
    </row>
    <row r="7" spans="1:18" s="31" customFormat="1" x14ac:dyDescent="0.3">
      <c r="A7" s="9" t="s">
        <v>586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2312</v>
      </c>
      <c r="B8" s="139">
        <v>13900</v>
      </c>
      <c r="C8" s="140">
        <v>555.99</v>
      </c>
      <c r="D8" s="139">
        <v>0</v>
      </c>
      <c r="E8" s="139">
        <v>0</v>
      </c>
      <c r="F8" s="139">
        <v>0</v>
      </c>
      <c r="G8" s="141">
        <v>0</v>
      </c>
      <c r="H8" s="139">
        <v>973</v>
      </c>
      <c r="I8" s="139">
        <v>100.02</v>
      </c>
      <c r="J8" s="139">
        <v>0</v>
      </c>
      <c r="K8" s="139">
        <v>1112</v>
      </c>
      <c r="L8" s="139">
        <v>1112</v>
      </c>
      <c r="M8" s="139">
        <v>0</v>
      </c>
      <c r="N8" s="139">
        <v>10602.98</v>
      </c>
      <c r="O8" s="141">
        <v>0.76280431654676251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88671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590</v>
      </c>
    </row>
    <row r="2" spans="1:4" x14ac:dyDescent="0.3">
      <c r="B2" s="29">
        <f>SUM(B6:B5000)</f>
        <v>13900</v>
      </c>
      <c r="C2" s="29">
        <f>SUM(C6:C5000)</f>
        <v>10602.98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578</v>
      </c>
      <c r="B5" s="10">
        <v>127.66</v>
      </c>
      <c r="C5" s="10">
        <v>88.7744</v>
      </c>
    </row>
    <row r="6" spans="1:4" x14ac:dyDescent="0.3">
      <c r="A6" s="9" t="s">
        <v>586</v>
      </c>
      <c r="B6" s="139">
        <v>13900</v>
      </c>
      <c r="C6" s="139">
        <v>10602.98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800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142" t="s">
        <v>589</v>
      </c>
      <c r="D365" s="87">
        <v>8500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2026-08-07T13:43:48Z</dcterms:modified>
  <cp:category/>
  <cp:contentStatus/>
</cp:coreProperties>
</file>