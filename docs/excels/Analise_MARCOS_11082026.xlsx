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A69393D-2ABD-44E9-8EB0-9D0E0CF53FC1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2" l="1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S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<sst xmlns="http://schemas.openxmlformats.org/spreadsheetml/2006/main" count="866" uniqueCount="592">
  <si>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</si>
  <si>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</si>
  <si>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</si>
  <si>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</si>
  <si>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</si>
  <si>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</si>
  <si>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</si>
  <si>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</si>
  <si>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</si>
  <si>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</si>
  <si>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</si>
  <si>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</si>
  <si>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</si>
  <si>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</si>
  <si>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</si>
  <si>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</si>
  <si>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</si>
  <si>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</si>
  <si>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</si>
  <si>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</si>
  <si>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</si>
  <si>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</si>
  <si>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</si>
  <si>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</si>
  <si>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</si>
  <si>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</si>
  <si>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</si>
  <si>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</si>
  <si>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</si>
  <si>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</si>
  <si>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</si>
  <si>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</si>
  <si>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</si>
  <si>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</si>
  <si>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</si>
  <si>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</si>
  <si>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</si>
  <si>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</si>
  <si>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</si>
  <si>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</si>
  <si>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</si>
  <si>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</si>
  <si>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</si>
  <si>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</si>
  <si>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</si>
  <si>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</si>
  <si>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</si>
  <si>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</si>
  <si>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</si>
  <si>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</si>
  <si>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</si>
  <si>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</si>
  <si>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</si>
  <si>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</si>
  <si>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</si>
  <si>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</si>
  <si>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</si>
  <si>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</si>
  <si>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</si>
  <si>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</si>
  <si>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</si>
  <si>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</si>
  <si>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</si>
  <si>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</si>
  <si>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</si>
  <si>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</si>
  <si>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</si>
  <si>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</si>
  <si>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</si>
  <si>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</si>
  <si>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</si>
  <si>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</si>
  <si>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</si>
  <si>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</si>
  <si>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</si>
  <si>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</si>
  <si>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</si>
  <si>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</si>
  <si>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</si>
  <si>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</si>
  <si>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</si>
  <si>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</si>
  <si>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</si>
  <si>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</si>
  <si>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</si>
  <si>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</si>
  <si>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</si>
  <si>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</si>
  <si>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</si>
  <si>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</si>
  <si>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</si>
  <si>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</si>
  <si>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</si>
  <si>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</si>
  <si>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</si>
  <si>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</si>
  <si>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</si>
  <si>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</si>
  <si>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</si>
  <si>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</si>
  <si>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</si>
  <si>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</si>
  <si>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</si>
  <si>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</si>
  <si>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</si>
  <si>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</si>
  <si>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</si>
  <si>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</si>
  <si>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</si>
  <si>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</si>
  <si>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</si>
  <si>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</si>
  <si>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</si>
  <si>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</si>
  <si>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</si>
  <si>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</si>
  <si>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</si>
  <si>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</si>
  <si>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</si>
  <si>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</si>
  <si>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</si>
  <si>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</si>
  <si>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</si>
  <si>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</si>
  <si>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</si>
  <si>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</si>
  <si>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</si>
  <si>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</si>
  <si>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</si>
  <si>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</si>
  <si>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</si>
  <si>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</si>
  <si>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</si>
  <si>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</si>
  <si>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</si>
  <si>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</si>
  <si>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</si>
  <si>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</si>
  <si>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</si>
  <si>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</si>
  <si>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</si>
  <si>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</si>
  <si>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</si>
  <si>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</si>
  <si>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</si>
  <si>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</si>
  <si>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</si>
  <si>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</si>
  <si>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</si>
  <si>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</si>
  <si>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</si>
  <si>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</si>
  <si>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</si>
  <si>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</si>
  <si>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</si>
  <si>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</si>
  <si>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</si>
  <si>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</si>
  <si>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</si>
  <si>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</si>
  <si>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</si>
  <si>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</si>
  <si>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</si>
  <si>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</si>
  <si>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</si>
  <si>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</si>
  <si>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</si>
  <si>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</si>
  <si>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</si>
  <si>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</si>
  <si>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</si>
  <si>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</si>
  <si>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</si>
  <si>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</si>
  <si>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</si>
  <si>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</si>
  <si>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</si>
  <si>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</si>
  <si>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</si>
  <si>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</si>
  <si>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</si>
  <si>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</si>
  <si>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</si>
  <si>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</si>
  <si>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</si>
  <si>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</si>
  <si>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</si>
  <si>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</si>
  <si>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</si>
  <si>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</si>
  <si>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</si>
  <si>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</si>
  <si>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</si>
  <si>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</si>
  <si>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</si>
  <si>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</si>
  <si>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</si>
  <si>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</si>
  <si>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</si>
  <si>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</si>
  <si>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</si>
  <si>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</si>
  <si>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</si>
  <si>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</si>
  <si>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</si>
  <si>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</si>
  <si>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</si>
  <si>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</si>
  <si>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</si>
  <si>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</si>
  <si>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</si>
  <si>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</si>
  <si>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</si>
  <si>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</si>
  <si>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</si>
  <si>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</si>
  <si>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</si>
  <si>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</si>
  <si>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</si>
  <si>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</si>
  <si>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</si>
  <si>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</si>
  <si>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</si>
  <si>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</si>
  <si>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</si>
  <si>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</si>
  <si>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</si>
  <si>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</si>
  <si>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</si>
  <si>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</si>
  <si>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</si>
  <si>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</si>
  <si>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</si>
  <si>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</si>
  <si>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</si>
  <si>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</si>
  <si>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</si>
  <si>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</si>
  <si>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</si>
  <si>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</si>
  <si>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</si>
  <si>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</si>
  <si>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</si>
  <si>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</si>
  <si>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</si>
  <si>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</si>
  <si>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</si>
  <si>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</si>
  <si>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</si>
  <si>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</si>
  <si>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</si>
  <si>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</si>
  <si>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</si>
  <si>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</si>
  <si>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</si>
  <si>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</si>
  <si>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</si>
  <si>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</si>
  <si>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</si>
  <si>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</si>
  <si>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</si>
  <si>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</si>
  <si>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</si>
  <si>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</si>
  <si>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</si>
  <si>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</si>
  <si>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</si>
  <si>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</si>
  <si>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</si>
  <si>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</si>
  <si>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</si>
  <si>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</si>
  <si>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</si>
  <si>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</si>
  <si>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</si>
  <si>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</si>
  <si>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</si>
  <si>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</si>
  <si>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</si>
  <si>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</si>
  <si>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</si>
  <si>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</si>
  <si>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</si>
  <si>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</si>
  <si>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</si>
  <si>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</si>
  <si>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</si>
  <si>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</si>
  <si>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</si>
  <si>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</si>
  <si>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</si>
  <si>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</si>
  <si>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</si>
  <si>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</si>
  <si>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</si>
  <si>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</si>
  <si>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</si>
  <si>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</si>
  <si>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</si>
  <si>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</si>
  <si>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</si>
  <si>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</si>
  <si>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</si>
  <si>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</si>
  <si>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</si>
  <si>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</si>
  <si>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</si>
  <si>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</si>
  <si>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</si>
  <si>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</si>
  <si>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</si>
  <si>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</si>
  <si>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</si>
  <si>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</si>
  <si>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</si>
  <si>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</si>
  <si>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</si>
  <si>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</si>
  <si>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</si>
  <si>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</si>
  <si>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</si>
  <si>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</si>
  <si>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</si>
  <si>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</si>
  <si>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</si>
  <si>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</si>
  <si>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</si>
  <si>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</si>
  <si>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</si>
  <si>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</si>
  <si>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</si>
  <si>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</si>
  <si>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</si>
  <si>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</si>
  <si>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</si>
  <si>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</si>
  <si>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</si>
  <si>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</si>
  <si>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</si>
  <si>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</si>
  <si>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</si>
  <si>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</si>
  <si>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</si>
  <si>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</si>
  <si>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</si>
  <si>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</si>
  <si>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</si>
  <si>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</si>
  <si>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</si>
  <si>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</si>
  <si>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</si>
  <si>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</si>
  <si>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</si>
  <si>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</si>
  <si>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</si>
  <si>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</si>
  <si>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</si>
  <si>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</si>
  <si>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</si>
  <si>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</si>
  <si>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</si>
  <si>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</si>
  <si>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</si>
  <si>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</si>
  <si>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</si>
  <si>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</si>
  <si>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</si>
  <si>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</si>
  <si>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</si>
  <si>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</si>
  <si>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</si>
  <si>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</si>
  <si>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</si>
  <si>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</si>
  <si>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</si>
  <si>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</si>
  <si>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</si>
  <si>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</si>
  <si>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</si>
  <si>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</si>
  <si>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</si>
  <si>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</si>
  <si>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</si>
  <si>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</si>
  <si>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</si>
  <si>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</si>
  <si>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</si>
  <si>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</si>
  <si>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</si>
  <si>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</si>
  <si>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</si>
  <si>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</si>
  <si>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</si>
  <si>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</si>
  <si>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</si>
  <si>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</si>
  <si>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</si>
  <si>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</si>
  <si>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</si>
  <si>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</si>
  <si>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</si>
  <si>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</si>
  <si>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</si>
  <si>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</si>
  <si>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</si>
  <si>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</si>
  <si>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</si>
  <si>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</si>
  <si>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</si>
  <si>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</si>
  <si>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</si>
  <si>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</si>
  <si>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</si>
  <si>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</si>
  <si>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</si>
  <si>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</si>
  <si>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</si>
  <si>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</si>
  <si>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</si>
  <si>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</si>
  <si>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</si>
  <si>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</si>
  <si>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</si>
  <si>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</si>
  <si>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</si>
  <si>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</si>
  <si>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</si>
  <si>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</si>
  <si>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</si>
  <si>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</si>
  <si>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</si>
  <si>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</si>
  <si>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</si>
  <si>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</si>
  <si>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</si>
  <si>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</si>
  <si>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</si>
  <si>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</si>
  <si>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</si>
  <si>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</si>
  <si>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</si>
  <si>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</si>
  <si>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</si>
  <si>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</si>
  <si>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</si>
  <si>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</si>
  <si>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</si>
  <si>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</si>
  <si>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</si>
  <si>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</si>
  <si>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</si>
  <si>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</si>
  <si>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</si>
  <si>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</si>
  <si>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</si>
  <si>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</si>
  <si>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</si>
  <si>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</si>
  <si>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</si>
  <si>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</si>
  <si>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</si>
  <si>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</si>
  <si>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</si>
  <si>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</si>
  <si>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</si>
  <si>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</si>
  <si>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</si>
  <si>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</si>
  <si>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</si>
  <si>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</si>
  <si>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</si>
  <si>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</si>
  <si>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</si>
  <si>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</si>
  <si>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</si>
  <si>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</si>
  <si>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</si>
  <si>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</si>
  <si>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</si>
  <si>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</si>
  <si>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</si>
  <si>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</si>
  <si>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</si>
  <si>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</si>
  <si>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</si>
  <si>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</si>
  <si>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</si>
  <si>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</si>
  <si>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</si>
  <si>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</si>
  <si>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</si>
  <si>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</si>
  <si>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</si>
  <si>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</si>
  <si>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</si>
  <si>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</si>
  <si>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</si>
  <si>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</si>
  <si>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</si>
  <si>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</si>
  <si>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</si>
  <si>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</si>
  <si>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</si>
  <si>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</si>
  <si>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</si>
  <si>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</si>
  <si>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</si>
  <si>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</si>
  <si>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</si>
  <si>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</si>
  <si>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</si>
  <si>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</si>
  <si>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</si>
  <si>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</si>
  <si>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</si>
  <si>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</si>
  <si>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</si>
  <si>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</si>
  <si>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</si>
  <si>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</si>
  <si>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</si>
  <si>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</si>
  <si>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</si>
  <si>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</si>
  <si>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</si>
  <si>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</si>
  <si>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</si>
  <si>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</si>
  <si>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</si>
  <si>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</si>
  <si>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</si>
  <si>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</si>
  <si>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</si>
  <si>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</si>
  <si>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</si>
  <si>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</si>
  <si>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</si>
  <si>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</si>
  <si>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</si>
  <si>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</si>
  <si>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</si>
  <si>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</si>
  <si>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</si>
  <si>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</si>
  <si>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</si>
  <si>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</si>
  <si>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</si>
  <si>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</si>
  <si>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</si>
  <si>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</si>
  <si>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</si>
  <si>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</si>
  <si>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</si>
  <si>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</si>
  <si>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</si>
  <si>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</si>
  <si>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</si>
  <si>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</si>
  <si>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</si>
  <si>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</si>
  <si>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</si>
  <si>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</si>
  <si>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</si>
  <si>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</si>
  <si>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</si>
  <si>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</si>
  <si>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</si>
  <si>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</si>
  <si>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</si>
  <si>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</si>
  <si>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</si>
  <si>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</si>
  <si>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</si>
  <si>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</si>
  <si>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</si>
  <si>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</si>
  <si>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</si>
  <si>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200962-1</t>
  </si>
  <si>
    <t>LOJAS AVENIDA S</t>
  </si>
  <si>
    <t>SABRINA SANTOS</t>
  </si>
  <si>
    <t>PERSONALIZADO_L</t>
  </si>
  <si>
    <t>CTE NORMAL</t>
  </si>
  <si>
    <t>CAMPO GRANDE - MS</t>
  </si>
  <si>
    <t>RAFAEL DE FREITAS</t>
  </si>
  <si>
    <t>N/D</t>
  </si>
  <si>
    <t>DAERICA TRANSPORTES LTDA</t>
  </si>
  <si>
    <t>201039-1</t>
  </si>
  <si>
    <t>SEGER COMERCIAL</t>
  </si>
  <si>
    <t>MAURO MARQUES</t>
  </si>
  <si>
    <t>ECONOMICO_250</t>
  </si>
  <si>
    <t>JAGUARIUNA - SP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</si>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</sst>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0" fillId="0" borderId="40" xfId="0" applyBorder="1" applyAlignment="1">
      <alignment horizontal="left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[Analise_MARCOS_11082026.xlsx]Resumo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LOJAS AVENIDA S</c:v>
                </c:pt>
                <c:pt idx="1">
                  <c:v>SEGER COMERCIAL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6543.37</c:v>
                </c:pt>
                <c:pt idx="1">
                  <c:v>167.33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LOJAS AVENIDA S</c:v>
                </c:pt>
                <c:pt idx="1">
                  <c:v>SEGER COMERCIAL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4907.3107999999993</c:v>
                </c:pt>
                <c:pt idx="1">
                  <c:v>115.05719999999999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[Analise_MARCOS_11082026.xlsx]Resumo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LOJAS AVENIDA S</c:v>
                </c:pt>
                <c:pt idx="1">
                  <c:v>SEGER COMERCIAL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6543.37</c:v>
                </c:pt>
                <c:pt idx="1">
                  <c:v>167.33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LOJAS AVENIDA S</c:v>
                </c:pt>
                <c:pt idx="1">
                  <c:v>SEGER COMERCIAL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4907.3107999999993</c:v>
                </c:pt>
                <c:pt idx="1">
                  <c:v>115.05719999999999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6.480967361109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5847" count="8000">
        <n v="295772"/>
        <n v="295847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0T00:00:00" maxDate="2026-08-11T00:00:00"/>
    </cacheField>
    <cacheField name="DATA" numFmtId="14">
      <sharedItems containsNonDate="0" containsDate="1" containsString="0" containsBlank="1" minDate="2026-08-10T00:00:00" maxDate="2026-08-11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LOJAS AVENIDA S"/>
        <s v="SEGER COMERCIAL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0781.91" maxValue="56163.32"/>
    </cacheField>
    <cacheField name="SERVICO" numFmtId="0">
      <sharedItems containsBlank="1" count="27">
        <s v="PERSONALIZADO_L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67.33" maxValue="6543.37"/>
    </cacheField>
    <cacheField name="VOLUMES" numFmtId="0">
      <sharedItems containsString="0" containsBlank="1" containsNumber="1" containsInteger="1" minValue="1" maxValue="4"/>
    </cacheField>
    <cacheField name="PESO" numFmtId="0">
      <sharedItems containsString="0" containsBlank="1" containsNumber="1" minValue="6.9" maxValue="691.7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10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20.079999999999998" maxValue="458.0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5.39" maxValue="28.08"/>
    </cacheField>
    <cacheField name="OUTROS" numFmtId="0">
      <sharedItems containsString="0" containsBlank="1" containsNumber="1" minValue="0.03" maxValue="3"/>
    </cacheField>
    <cacheField name="C.TOTAL" numFmtId="0">
      <sharedItems containsString="0" containsBlank="1" containsNumber="1" minValue="96.61" maxValue="7718.01"/>
    </cacheField>
    <cacheField name="RECEITA" numFmtId="0">
      <sharedItems containsString="0" containsBlank="1" containsNumber="1" minValue="-1174.6400000000001" maxValue="70.72"/>
    </cacheField>
    <cacheField name="IMPOSTO" numFmtId="0">
      <sharedItems containsString="0" containsBlank="1" containsNumber="1" minValue="43.51" maxValue="1701.28"/>
    </cacheField>
    <cacheField name="RESULTADO" numFmtId="0">
      <sharedItems containsString="0" containsBlank="1" containsNumber="1" minValue="-2875.92" maxValue="27.21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2875.92" maxValue="27.21"/>
    </cacheField>
    <cacheField name="MARGEM" numFmtId="10">
      <sharedItems containsString="0" containsBlank="1" containsNumber="1" minValue="-0.4395" maxValue="0.1626000000000000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10T00:00:00"/>
    <d v="2026-08-10T00:00:00"/>
    <m/>
    <s v="200962-1"/>
    <x v="0"/>
    <s v="SABRINA SANTOS"/>
    <n v="56163.32"/>
    <x v="0"/>
    <s v="CTE NORMAL"/>
    <s v="CAMPO GRANDE - MS"/>
    <n v="6543.37"/>
    <n v="4"/>
    <n v="691.7"/>
    <s v="RAFAEL DE FREITAS"/>
    <n v="100"/>
    <s v="N/D"/>
    <n v="0"/>
    <s v="DAERICA TRANSPORTES LTDA"/>
    <n v="0"/>
    <n v="458.04"/>
    <n v="0"/>
    <n v="0"/>
    <n v="28.08"/>
    <n v="3"/>
    <n v="7718.01"/>
    <n v="-1174.6400000000001"/>
    <n v="1701.28"/>
    <n v="-2875.92"/>
    <n v="0"/>
    <n v="-2875.92"/>
    <n v="-0.4395"/>
    <m/>
  </r>
  <r>
    <x v="1"/>
    <s v="MATRIZ"/>
    <d v="2026-08-10T00:00:00"/>
    <d v="2026-08-10T00:00:00"/>
    <m/>
    <s v="201039-1"/>
    <x v="1"/>
    <s v="MAURO MARQUES"/>
    <n v="10781.91"/>
    <x v="1"/>
    <s v="CTE NORMAL"/>
    <s v="JAGUARIUNA - SP"/>
    <n v="167.33"/>
    <n v="1"/>
    <n v="6.9"/>
    <s v="MATRIZ"/>
    <n v="0"/>
    <s v="N/D"/>
    <n v="0"/>
    <s v="DAERICA TRANSPORTES LTDA"/>
    <n v="0"/>
    <n v="20.079999999999998"/>
    <n v="0"/>
    <n v="0"/>
    <n v="5.39"/>
    <n v="0.03"/>
    <n v="96.61"/>
    <n v="70.72"/>
    <n v="43.51"/>
    <n v="27.21"/>
    <n v="0"/>
    <n v="27.21"/>
    <n v="0.1626000000000000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4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3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10"/>
        <item m="1" x="621"/>
        <item m="1" x="141"/>
        <item m="1" x="616"/>
        <item m="1" x="321"/>
        <item m="1" x="820"/>
        <item m="1" x="322"/>
        <item m="1" x="461"/>
        <item m="1" x="505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9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7"/>
        <item m="1" x="401"/>
        <item m="1" x="115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60"/>
        <item m="1" x="631"/>
        <item m="1" x="530"/>
        <item m="1" x="295"/>
        <item m="1" x="304"/>
        <item m="1" x="174"/>
        <item m="1" x="102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6"/>
        <item m="1" x="333"/>
        <item m="1" x="220"/>
        <item m="1" x="509"/>
        <item m="1" x="118"/>
        <item sd="0" m="1" x="536"/>
        <item m="1" x="84"/>
        <item m="1" x="602"/>
        <item sd="0" m="1" x="450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1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3"/>
        <item sd="0" m="1" x="196"/>
        <item m="1" x="831"/>
        <item m="1" x="764"/>
        <item m="1" x="508"/>
        <item m="1" x="821"/>
        <item m="1" x="341"/>
        <item m="1" x="223"/>
        <item m="1" x="65"/>
        <item m="1" x="635"/>
        <item m="1" x="458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9"/>
        <item m="1" x="460"/>
        <item m="1" x="580"/>
        <item m="1" x="353"/>
        <item m="1" x="104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7"/>
        <item sd="0" m="1" x="140"/>
        <item sd="0" m="1" x="756"/>
        <item m="1" x="148"/>
        <item m="1" x="224"/>
        <item m="1" x="720"/>
        <item m="1" x="555"/>
        <item m="1" x="117"/>
        <item m="1" x="376"/>
        <item m="1" x="718"/>
        <item m="1" x="127"/>
        <item m="1" x="34"/>
        <item m="1" x="302"/>
        <item m="1" x="548"/>
        <item m="1" x="61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2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1"/>
        <item m="1" x="481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7"/>
        <item m="1" x="209"/>
        <item m="1" x="681"/>
        <item m="1" x="275"/>
        <item m="1" x="472"/>
        <item m="1" x="799"/>
        <item m="1" x="217"/>
        <item m="1" x="827"/>
        <item m="1" x="70"/>
        <item x="0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m="1" x="85"/>
        <item m="1" x="326"/>
        <item m="1" x="35"/>
        <item m="1" x="495"/>
        <item sd="0" m="1" x="506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5"/>
        <item m="1" x="440"/>
        <item sd="0" m="1" x="351"/>
        <item m="1" x="784"/>
        <item m="1" x="498"/>
        <item m="1" x="62"/>
        <item m="1" x="456"/>
        <item m="1" x="83"/>
        <item m="1" x="325"/>
        <item sd="0" m="1" x="168"/>
        <item m="1" x="332"/>
        <item m="1" x="564"/>
        <item m="1" x="503"/>
        <item m="1" x="228"/>
        <item m="1" x="281"/>
        <item m="1" x="94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2"/>
        <item m="1" x="254"/>
        <item m="1" x="511"/>
        <item m="1" x="96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4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5"/>
        <item m="1" x="88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7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x="1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2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3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90"/>
        <item sd="0" m="1" x="28"/>
        <item m="1" x="278"/>
        <item m="1" x="507"/>
        <item sd="0" m="1" x="499"/>
        <item m="1" x="69"/>
        <item m="1" x="679"/>
        <item m="1" x="82"/>
        <item m="1" x="634"/>
        <item m="1" x="67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8"/>
        <item m="1" x="86"/>
        <item sd="0" m="1" x="293"/>
        <item m="1" x="195"/>
        <item sd="0" m="1" x="496"/>
        <item m="1" x="262"/>
        <item m="1" x="31"/>
        <item m="1" x="106"/>
        <item m="1" x="533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3"/>
        <item m="1" x="438"/>
        <item m="1" x="434"/>
        <item m="1" x="121"/>
        <item m="1" x="630"/>
        <item m="1" x="201"/>
        <item m="1" x="156"/>
        <item m="1" x="56"/>
        <item m="1" x="547"/>
        <item sd="0" m="1" x="618"/>
        <item m="1" x="100"/>
        <item m="1" x="766"/>
        <item m="1" x="126"/>
        <item m="1" x="218"/>
        <item m="1" x="811"/>
        <item m="1" x="279"/>
        <item m="1" x="108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29"/>
        <item m="1" x="4"/>
        <item m="1" x="50"/>
        <item m="1" x="91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452"/>
    </i>
    <i r="1">
      <x v="7998"/>
    </i>
    <i>
      <x v="693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4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3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10"/>
        <item m="1" x="621"/>
        <item m="1" x="141"/>
        <item m="1" x="616"/>
        <item m="1" x="321"/>
        <item m="1" x="820"/>
        <item m="1" x="322"/>
        <item m="1" x="461"/>
        <item m="1" x="505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9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7"/>
        <item m="1" x="401"/>
        <item m="1" x="115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60"/>
        <item m="1" x="631"/>
        <item m="1" x="530"/>
        <item m="1" x="295"/>
        <item m="1" x="304"/>
        <item m="1" x="174"/>
        <item m="1" x="102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6"/>
        <item m="1" x="333"/>
        <item m="1" x="220"/>
        <item m="1" x="509"/>
        <item m="1" x="118"/>
        <item sd="0" m="1" x="536"/>
        <item m="1" x="84"/>
        <item m="1" x="602"/>
        <item sd="0" m="1" x="450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1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3"/>
        <item sd="0" m="1" x="196"/>
        <item m="1" x="831"/>
        <item m="1" x="764"/>
        <item m="1" x="508"/>
        <item m="1" x="821"/>
        <item m="1" x="341"/>
        <item m="1" x="223"/>
        <item m="1" x="65"/>
        <item m="1" x="635"/>
        <item m="1" x="458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9"/>
        <item m="1" x="460"/>
        <item m="1" x="580"/>
        <item m="1" x="353"/>
        <item m="1" x="104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7"/>
        <item sd="0" m="1" x="140"/>
        <item sd="0" m="1" x="756"/>
        <item m="1" x="148"/>
        <item m="1" x="224"/>
        <item m="1" x="720"/>
        <item m="1" x="555"/>
        <item m="1" x="117"/>
        <item m="1" x="376"/>
        <item m="1" x="718"/>
        <item m="1" x="127"/>
        <item m="1" x="34"/>
        <item m="1" x="302"/>
        <item m="1" x="548"/>
        <item m="1" x="61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2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1"/>
        <item m="1" x="481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7"/>
        <item m="1" x="209"/>
        <item m="1" x="681"/>
        <item m="1" x="275"/>
        <item m="1" x="472"/>
        <item m="1" x="799"/>
        <item m="1" x="217"/>
        <item m="1" x="827"/>
        <item m="1" x="70"/>
        <item x="0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m="1" x="85"/>
        <item m="1" x="326"/>
        <item m="1" x="35"/>
        <item m="1" x="495"/>
        <item sd="0" m="1" x="506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5"/>
        <item m="1" x="440"/>
        <item sd="0" m="1" x="351"/>
        <item m="1" x="784"/>
        <item m="1" x="498"/>
        <item m="1" x="62"/>
        <item m="1" x="456"/>
        <item m="1" x="83"/>
        <item m="1" x="325"/>
        <item sd="0" m="1" x="168"/>
        <item m="1" x="332"/>
        <item m="1" x="564"/>
        <item m="1" x="503"/>
        <item m="1" x="228"/>
        <item m="1" x="281"/>
        <item m="1" x="94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2"/>
        <item m="1" x="254"/>
        <item m="1" x="511"/>
        <item m="1" x="96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4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5"/>
        <item m="1" x="88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7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x="1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2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3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90"/>
        <item sd="0" m="1" x="28"/>
        <item m="1" x="278"/>
        <item m="1" x="507"/>
        <item sd="0" m="1" x="499"/>
        <item m="1" x="69"/>
        <item m="1" x="679"/>
        <item m="1" x="82"/>
        <item m="1" x="634"/>
        <item m="1" x="67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8"/>
        <item m="1" x="86"/>
        <item sd="0" m="1" x="293"/>
        <item m="1" x="195"/>
        <item sd="0" m="1" x="496"/>
        <item m="1" x="262"/>
        <item m="1" x="31"/>
        <item m="1" x="106"/>
        <item m="1" x="533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3"/>
        <item m="1" x="438"/>
        <item m="1" x="434"/>
        <item m="1" x="121"/>
        <item m="1" x="630"/>
        <item m="1" x="201"/>
        <item m="1" x="156"/>
        <item m="1" x="56"/>
        <item m="1" x="547"/>
        <item sd="0" m="1" x="618"/>
        <item m="1" x="100"/>
        <item m="1" x="766"/>
        <item m="1" x="126"/>
        <item m="1" x="218"/>
        <item m="1" x="811"/>
        <item m="1" x="279"/>
        <item m="1" x="108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29"/>
        <item m="1" x="4"/>
        <item m="1" x="50"/>
        <item m="1" x="91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452"/>
    </i>
    <i>
      <x v="693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69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4" s="1" nd="1"/>
        <i x="271" s="1" nd="1"/>
        <i x="590" s="1" nd="1"/>
        <i x="324" s="1" nd="1"/>
        <i x="675" s="1" nd="1"/>
        <i x="501" s="1" nd="1"/>
        <i x="25" s="1" nd="1"/>
        <i x="581" s="1" nd="1"/>
        <i x="852" s="1" nd="1"/>
        <i x="21" s="1" nd="1"/>
        <i x="757" s="1" nd="1"/>
        <i x="113" s="1" nd="1"/>
        <i x="544" s="1" nd="1"/>
        <i x="828" s="1" nd="1"/>
        <i x="270" s="1" nd="1"/>
        <i x="479" s="1" nd="1"/>
        <i x="772" s="1" nd="1"/>
        <i x="266" s="1" nd="1"/>
        <i x="343" s="1" nd="1"/>
        <i x="676" s="1" nd="1"/>
        <i x="800" s="1" nd="1"/>
        <i x="77" s="1" nd="1"/>
        <i x="48" s="1" nd="1"/>
        <i x="668" s="1" nd="1"/>
        <i x="660" s="1" nd="1"/>
        <i x="469" s="1" nd="1"/>
        <i x="45" s="1" nd="1"/>
        <i x="730" s="1" nd="1"/>
        <i x="689" s="1" nd="1"/>
        <i x="216" s="1" nd="1"/>
        <i x="476" s="1" nd="1"/>
        <i x="633" s="1" nd="1"/>
        <i x="446" s="1" nd="1"/>
        <i x="809" s="1" nd="1"/>
        <i x="667" s="1" nd="1"/>
        <i x="215" s="1" nd="1"/>
        <i x="131" s="1" nd="1"/>
        <i x="222" s="1" nd="1"/>
        <i x="158" s="1" nd="1"/>
        <i x="230" s="1" nd="1"/>
        <i x="110" s="1" nd="1"/>
        <i x="621" s="1" nd="1"/>
        <i x="141" s="1" nd="1"/>
        <i x="616" s="1" nd="1"/>
        <i x="321" s="1" nd="1"/>
        <i x="820" s="1" nd="1"/>
        <i x="322" s="1" nd="1"/>
        <i x="461" s="1" nd="1"/>
        <i x="505" s="1" nd="1"/>
        <i x="553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49" s="1" nd="1"/>
        <i x="845" s="1" nd="1"/>
        <i x="445" s="1" nd="1"/>
        <i x="529" s="1" nd="1"/>
        <i x="665" s="1" nd="1"/>
        <i x="518" s="1" nd="1"/>
        <i x="792" s="1" nd="1"/>
        <i x="178" s="1" nd="1"/>
        <i x="59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3" s="1" nd="1"/>
        <i x="408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3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1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6" s="1" nd="1"/>
        <i x="186" s="1" nd="1"/>
        <i x="307" s="1" nd="1"/>
        <i x="177" s="1" nd="1"/>
        <i x="596" s="1" nd="1"/>
        <i x="172" s="1" nd="1"/>
        <i x="614" s="1" nd="1"/>
        <i x="767" s="1" nd="1"/>
        <i x="483" s="1" nd="1"/>
        <i x="53" s="1" nd="1"/>
        <i x="649" s="1" nd="1"/>
        <i x="470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0" s="1" nd="1"/>
        <i x="390" s="1" nd="1"/>
        <i x="89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7" s="1" nd="1"/>
        <i x="401" s="1" nd="1"/>
        <i x="115" s="1" nd="1"/>
        <i x="652" s="1" nd="1"/>
        <i x="656" s="1" nd="1"/>
        <i x="795" s="1" nd="1"/>
        <i x="695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6" s="1" nd="1"/>
        <i x="257" s="1" nd="1"/>
        <i x="406" s="1" nd="1"/>
        <i x="840" s="1" nd="1"/>
        <i x="457" s="1" nd="1"/>
        <i x="478" s="1" nd="1"/>
        <i x="750" s="1" nd="1"/>
        <i x="638" s="1" nd="1"/>
        <i x="54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4" s="1" nd="1"/>
        <i x="173" s="1" nd="1"/>
        <i x="627" s="1" nd="1"/>
        <i x="375" s="1" nd="1"/>
        <i x="807" s="1" nd="1"/>
        <i x="60" s="1" nd="1"/>
        <i x="631" s="1" nd="1"/>
        <i x="530" s="1" nd="1"/>
        <i x="295" s="1" nd="1"/>
        <i x="304" s="1" nd="1"/>
        <i x="174" s="1" nd="1"/>
        <i x="102" s="1" nd="1"/>
        <i x="71" s="1" nd="1"/>
        <i x="578" s="1" nd="1"/>
        <i x="798" s="1" nd="1"/>
        <i x="33" s="1" nd="1"/>
        <i x="673" s="1" nd="1"/>
        <i x="287" s="1" nd="1"/>
        <i x="629" s="1" nd="1"/>
        <i x="265" s="1" nd="1"/>
        <i x="116" s="1" nd="1"/>
        <i x="333" s="1" nd="1"/>
        <i x="220" s="1" nd="1"/>
        <i x="509" s="1" nd="1"/>
        <i x="118" s="1" nd="1"/>
        <i x="536" s="1" nd="1"/>
        <i x="84" s="1" nd="1"/>
        <i x="602" s="1" nd="1"/>
        <i x="450" s="1" nd="1"/>
        <i x="349" s="1" nd="1"/>
        <i x="79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1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3" s="1" nd="1"/>
        <i x="196" s="1" nd="1"/>
        <i x="831" s="1" nd="1"/>
        <i x="764" s="1" nd="1"/>
        <i x="508" s="1" nd="1"/>
        <i x="821" s="1" nd="1"/>
        <i x="341" s="1" nd="1"/>
        <i x="223" s="1" nd="1"/>
        <i x="65" s="1" nd="1"/>
        <i x="635" s="1" nd="1"/>
        <i x="458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9" s="1" nd="1"/>
        <i x="460" s="1" nd="1"/>
        <i x="580" s="1" nd="1"/>
        <i x="353" s="1" nd="1"/>
        <i x="104" s="1" nd="1"/>
        <i x="538" s="1" nd="1"/>
        <i x="208" s="1" nd="1"/>
        <i x="671" s="1" nd="1"/>
        <i x="486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9" s="1" nd="1"/>
        <i x="802" s="1" nd="1"/>
        <i x="42" s="1" nd="1"/>
        <i x="805" s="1" nd="1"/>
        <i x="487" s="1" nd="1"/>
        <i x="443" s="1" nd="1"/>
        <i x="399" s="1" nd="1"/>
        <i x="608" s="1" nd="1"/>
        <i x="153" s="1" nd="1"/>
        <i x="16" s="1" nd="1"/>
        <i x="232" s="1" nd="1"/>
        <i x="241" s="1" nd="1"/>
        <i x="6" s="1" nd="1"/>
        <i x="388" s="1" nd="1"/>
        <i x="370" s="1" nd="1"/>
        <i x="615" s="1" nd="1"/>
        <i x="58" s="1" nd="1"/>
        <i x="707" s="1" nd="1"/>
        <i x="24" s="1" nd="1"/>
        <i x="37" s="1" nd="1"/>
        <i x="9" s="1" nd="1"/>
        <i x="418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3" s="1" nd="1"/>
        <i x="589" s="1" nd="1"/>
        <i x="747" s="1" nd="1"/>
        <i x="269" s="1" nd="1"/>
        <i x="18" s="1" nd="1"/>
        <i x="637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7" s="1" nd="1"/>
        <i x="467" s="1" nd="1"/>
        <i x="140" s="1" nd="1"/>
        <i x="756" s="1" nd="1"/>
        <i x="148" s="1" nd="1"/>
        <i x="224" s="1" nd="1"/>
        <i x="720" s="1" nd="1"/>
        <i x="555" s="1" nd="1"/>
        <i x="117" s="1" nd="1"/>
        <i x="376" s="1" nd="1"/>
        <i x="718" s="1" nd="1"/>
        <i x="127" s="1" nd="1"/>
        <i x="34" s="1" nd="1"/>
        <i x="302" s="1" nd="1"/>
        <i x="548" s="1" nd="1"/>
        <i x="61" s="1" nd="1"/>
        <i x="452" s="1" nd="1"/>
        <i x="774" s="1" nd="1"/>
        <i x="485" s="1" nd="1"/>
        <i x="740" s="1" nd="1"/>
        <i x="454" s="1" nd="1"/>
        <i x="520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3" s="1" nd="1"/>
        <i x="685" s="1" nd="1"/>
        <i x="327" s="1" nd="1"/>
        <i x="768" s="1" nd="1"/>
        <i x="804" s="1" nd="1"/>
        <i x="92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5" s="1" nd="1"/>
        <i x="700" s="1" nd="1"/>
        <i x="428" s="1" nd="1"/>
        <i x="363" s="1" nd="1"/>
        <i x="101" s="1" nd="1"/>
        <i x="481" s="1" nd="1"/>
        <i x="607" s="1" nd="1"/>
        <i x="715" s="1" nd="1"/>
        <i x="55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6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7" s="1" nd="1"/>
        <i x="209" s="1" nd="1"/>
        <i x="681" s="1" nd="1"/>
        <i x="275" s="1" nd="1"/>
        <i x="472" s="1" nd="1"/>
        <i x="799" s="1" nd="1"/>
        <i x="217" s="1" nd="1"/>
        <i x="827" s="1" nd="1"/>
        <i x="70" s="1" nd="1"/>
        <i x="645" s="1" nd="1"/>
        <i x="411" s="1" nd="1"/>
        <i x="854" s="1" nd="1"/>
        <i x="432" s="1" nd="1"/>
        <i x="569" s="1" nd="1"/>
        <i x="488" s="1" nd="1"/>
        <i x="182" s="1" nd="1"/>
        <i x="374" s="1" nd="1"/>
        <i x="242" s="1" nd="1"/>
        <i x="337" s="1" nd="1"/>
        <i x="527" s="1" nd="1"/>
        <i x="423" s="1" nd="1"/>
        <i x="788" s="1" nd="1"/>
        <i x="301" s="1" nd="1"/>
        <i x="309" s="1" nd="1"/>
        <i x="367" s="1" nd="1"/>
        <i x="491" s="1" nd="1"/>
        <i x="662" s="1" nd="1"/>
        <i x="188" s="1" nd="1"/>
        <i x="659" s="1" nd="1"/>
        <i x="221" s="1" nd="1"/>
        <i x="449" s="1" nd="1"/>
        <i x="147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1" s="1" nd="1"/>
        <i x="246" s="1" nd="1"/>
        <i x="398" s="1" nd="1"/>
        <i x="482" s="1" nd="1"/>
        <i x="338" s="1" nd="1"/>
        <i x="612" s="1" nd="1"/>
        <i x="672" s="1" nd="1"/>
        <i x="838" s="1" nd="1"/>
        <i x="51" s="1" nd="1"/>
        <i x="605" s="1" nd="1"/>
        <i x="85" s="1" nd="1"/>
        <i x="326" s="1" nd="1"/>
        <i x="35" s="1" nd="1"/>
        <i x="495" s="1" nd="1"/>
        <i x="506" s="1" nd="1"/>
        <i x="447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5" s="1" nd="1"/>
        <i x="669" s="1" nd="1"/>
        <i x="95" s="1" nd="1"/>
        <i x="440" s="1" nd="1"/>
        <i x="351" s="1" nd="1"/>
        <i x="784" s="1" nd="1"/>
        <i x="498" s="1" nd="1"/>
        <i x="62" s="1" nd="1"/>
        <i x="456" s="1" nd="1"/>
        <i x="83" s="1" nd="1"/>
        <i x="325" s="1" nd="1"/>
        <i x="168" s="1" nd="1"/>
        <i x="332" s="1" nd="1"/>
        <i x="564" s="1" nd="1"/>
        <i x="503" s="1" nd="1"/>
        <i x="228" s="1" nd="1"/>
        <i x="281" s="1" nd="1"/>
        <i x="94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5" s="1" nd="1"/>
        <i x="812" s="1" nd="1"/>
        <i x="464" s="1" nd="1"/>
        <i x="745" s="1" nd="1"/>
        <i x="648" s="1" nd="1"/>
        <i x="775" s="1" nd="1"/>
        <i x="72" s="1" nd="1"/>
        <i x="713" s="1" nd="1"/>
        <i x="573" s="1" nd="1"/>
        <i x="184" s="1" nd="1"/>
        <i x="717" s="1" nd="1"/>
        <i x="112" s="1" nd="1"/>
        <i x="254" s="1" nd="1"/>
        <i x="511" s="1" nd="1"/>
        <i x="96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1" s="1" nd="1"/>
        <i x="23" s="1" nd="1"/>
        <i x="594" s="1" nd="1"/>
        <i x="435" s="1" nd="1"/>
        <i x="68" s="1" nd="1"/>
        <i x="655" s="1" nd="1"/>
        <i x="677" s="1" nd="1"/>
        <i x="565" s="1" nd="1"/>
        <i x="514" s="1" nd="1"/>
        <i x="598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3" s="1" nd="1"/>
        <i x="78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9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6" s="1" nd="1"/>
        <i x="342" s="1" nd="1"/>
        <i x="490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5" s="1" nd="1"/>
        <i x="88" s="1" nd="1"/>
        <i x="754" s="1" nd="1"/>
        <i x="155" s="1" nd="1"/>
        <i x="233" s="1" nd="1"/>
        <i x="238" s="1" nd="1"/>
        <i x="466" s="1" nd="1"/>
        <i x="706" s="1" nd="1"/>
        <i x="619" s="1" nd="1"/>
        <i x="731" s="1" nd="1"/>
        <i x="471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7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395" s="1" nd="1"/>
        <i x="670" s="1" nd="1"/>
        <i x="185" s="1" nd="1"/>
        <i x="409" s="1" nd="1"/>
        <i x="474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80" s="1" nd="1"/>
        <i x="52" s="1" nd="1"/>
        <i x="851" s="1" nd="1"/>
        <i x="30" s="1" nd="1"/>
        <i x="570" s="1" nd="1"/>
        <i x="512" s="1" nd="1"/>
        <i x="413" s="1" nd="1"/>
        <i x="702" s="1" nd="1"/>
        <i x="204" s="1" nd="1"/>
        <i x="643" s="1" nd="1"/>
        <i x="779" s="1" nd="1"/>
        <i x="468" s="1" nd="1"/>
        <i x="41" s="1" nd="1"/>
        <i x="693" s="1" nd="1"/>
        <i x="663" s="1" nd="1"/>
        <i x="808" s="1" nd="1"/>
        <i x="816" s="1" nd="1"/>
        <i x="624" s="1" nd="1"/>
        <i x="459" s="1" nd="1"/>
        <i x="691" s="1" nd="1"/>
        <i x="134" s="1" nd="1"/>
        <i x="410" s="1" nd="1"/>
        <i x="692" s="1" nd="1"/>
        <i x="44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1" s="1" nd="1"/>
        <i x="513" s="1" nd="1"/>
        <i x="122" s="1" nd="1"/>
        <i x="646" s="1" nd="1"/>
        <i x="49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90" s="1" nd="1"/>
        <i x="28" s="1" nd="1"/>
        <i x="278" s="1" nd="1"/>
        <i x="507" s="1" nd="1"/>
        <i x="499" s="1" nd="1"/>
        <i x="69" s="1" nd="1"/>
        <i x="679" s="1" nd="1"/>
        <i x="82" s="1" nd="1"/>
        <i x="634" s="1" nd="1"/>
        <i x="67" s="1" nd="1"/>
        <i x="650" s="1" nd="1"/>
        <i x="489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4" s="1" nd="1"/>
        <i x="424" s="1" nd="1"/>
        <i x="27" s="1" nd="1"/>
        <i x="765" s="1" nd="1"/>
        <i x="414" s="1" nd="1"/>
        <i x="552" s="1" nd="1"/>
        <i x="98" s="1" nd="1"/>
        <i x="86" s="1" nd="1"/>
        <i x="293" s="1" nd="1"/>
        <i x="195" s="1" nd="1"/>
        <i x="496" s="1" nd="1"/>
        <i x="262" s="1" nd="1"/>
        <i x="31" s="1" nd="1"/>
        <i x="106" s="1" nd="1"/>
        <i x="533" s="1" nd="1"/>
        <i x="297" s="1" nd="1"/>
        <i x="397" s="1" nd="1"/>
        <i x="229" s="1" nd="1"/>
        <i x="8" s="1" nd="1"/>
        <i x="473" s="1" nd="1"/>
        <i x="824" s="1" nd="1"/>
        <i x="36" s="1" nd="1"/>
        <i x="311" s="1" nd="1"/>
        <i x="825" s="1" nd="1"/>
        <i x="562" s="1" nd="1"/>
        <i x="63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3" s="1" nd="1"/>
        <i x="438" s="1" nd="1"/>
        <i x="434" s="1" nd="1"/>
        <i x="121" s="1" nd="1"/>
        <i x="630" s="1" nd="1"/>
        <i x="201" s="1" nd="1"/>
        <i x="156" s="1" nd="1"/>
        <i x="56" s="1" nd="1"/>
        <i x="547" s="1" nd="1"/>
        <i x="618" s="1" nd="1"/>
        <i x="100" s="1" nd="1"/>
        <i x="766" s="1" nd="1"/>
        <i x="126" s="1" nd="1"/>
        <i x="218" s="1" nd="1"/>
        <i x="811" s="1" nd="1"/>
        <i x="279" s="1" nd="1"/>
        <i x="108" s="1" nd="1"/>
        <i x="198" s="1" nd="1"/>
        <i x="214" s="1" nd="1"/>
        <i x="181" s="1" nd="1"/>
        <i x="74" s="1" nd="1"/>
        <i x="212" s="1" nd="1"/>
        <i x="599" s="1" nd="1"/>
        <i x="190" s="1" nd="1"/>
        <i x="226" s="1" nd="1"/>
        <i x="842" s="1" nd="1"/>
        <i x="836" s="1" nd="1"/>
        <i x="492" s="1" nd="1"/>
        <i x="684" s="1" nd="1"/>
        <i x="243" s="1" nd="1"/>
        <i x="57" s="1" nd="1"/>
        <i x="129" s="1" nd="1"/>
        <i x="4" s="1" nd="1"/>
        <i x="50" s="1" nd="1"/>
        <i x="91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4" totalsRowShown="0" headerRowDxfId="92" dataDxfId="90" headerRowBorderDxfId="91" tableBorderDxfId="89" totalsRowBorderDxfId="88">
  <autoFilter ref="A1:D36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295772</v>
      </c>
      <c r="B2" s="12" t="s">
        <v>576</v>
      </c>
      <c r="C2" s="14">
        <v>46244</v>
      </c>
      <c r="D2" s="14">
        <v>46244</v>
      </c>
      <c r="E2" s="12"/>
      <c r="F2" s="15" t="s">
        <v>577</v>
      </c>
      <c r="G2" s="15" t="s">
        <v>578</v>
      </c>
      <c r="H2" s="15" t="s">
        <v>579</v>
      </c>
      <c r="I2" s="16">
        <v>56163.32</v>
      </c>
      <c r="J2" s="15" t="s">
        <v>580</v>
      </c>
      <c r="K2" s="15" t="s">
        <v>581</v>
      </c>
      <c r="L2" s="15" t="s">
        <v>582</v>
      </c>
      <c r="M2" s="15">
        <v>6543.37</v>
      </c>
      <c r="N2" s="15">
        <v>4</v>
      </c>
      <c r="O2" s="16">
        <v>691.7</v>
      </c>
      <c r="P2" s="15" t="s">
        <v>583</v>
      </c>
      <c r="Q2" s="15">
        <v>100</v>
      </c>
      <c r="R2" s="15" t="s">
        <v>584</v>
      </c>
      <c r="S2" s="15">
        <v>0</v>
      </c>
      <c r="T2" s="15" t="s">
        <v>585</v>
      </c>
      <c r="U2" s="15">
        <v>0</v>
      </c>
      <c r="V2" s="15">
        <v>458.04</v>
      </c>
      <c r="W2" s="15">
        <v>0</v>
      </c>
      <c r="X2" s="15">
        <v>0</v>
      </c>
      <c r="Y2" s="15">
        <v>28.08</v>
      </c>
      <c r="Z2" s="15">
        <v>3</v>
      </c>
      <c r="AA2" s="15">
        <v>7718.01</v>
      </c>
      <c r="AB2" s="15">
        <v>-1174.6400000000001</v>
      </c>
      <c r="AC2" s="15">
        <v>1701.28</v>
      </c>
      <c r="AD2" s="15">
        <v>-2875.92</v>
      </c>
      <c r="AE2" s="15">
        <v>0</v>
      </c>
      <c r="AF2" s="15">
        <v>-2875.92</v>
      </c>
      <c r="AG2" s="17">
        <v>-0.4395</v>
      </c>
      <c r="AH2" s="15"/>
    </row>
    <row r="3" spans="1:34" s="1" customFormat="1" ht="12" customHeight="1" x14ac:dyDescent="0.3">
      <c r="A3" s="13">
        <v>295847</v>
      </c>
      <c r="B3" s="12" t="s">
        <v>576</v>
      </c>
      <c r="C3" s="14">
        <v>46244</v>
      </c>
      <c r="D3" s="14">
        <v>46244</v>
      </c>
      <c r="E3" s="12"/>
      <c r="F3" s="15" t="s">
        <v>586</v>
      </c>
      <c r="G3" s="15" t="s">
        <v>587</v>
      </c>
      <c r="H3" s="15" t="s">
        <v>588</v>
      </c>
      <c r="I3" s="16">
        <v>10781.91</v>
      </c>
      <c r="J3" s="15" t="s">
        <v>589</v>
      </c>
      <c r="K3" s="15" t="s">
        <v>581</v>
      </c>
      <c r="L3" s="15" t="s">
        <v>590</v>
      </c>
      <c r="M3" s="16">
        <v>167.33</v>
      </c>
      <c r="N3" s="15">
        <v>1</v>
      </c>
      <c r="O3" s="16">
        <v>6.9</v>
      </c>
      <c r="P3" s="15" t="s">
        <v>576</v>
      </c>
      <c r="Q3" s="15">
        <v>0</v>
      </c>
      <c r="R3" s="15" t="s">
        <v>584</v>
      </c>
      <c r="S3" s="15">
        <v>0</v>
      </c>
      <c r="T3" s="15" t="s">
        <v>585</v>
      </c>
      <c r="U3" s="15">
        <v>0</v>
      </c>
      <c r="V3" s="15">
        <v>20.079999999999998</v>
      </c>
      <c r="W3" s="15">
        <v>0</v>
      </c>
      <c r="X3" s="15">
        <v>0</v>
      </c>
      <c r="Y3" s="15">
        <v>5.39</v>
      </c>
      <c r="Z3" s="15">
        <v>0.03</v>
      </c>
      <c r="AA3" s="16">
        <v>96.61</v>
      </c>
      <c r="AB3" s="16">
        <v>70.72</v>
      </c>
      <c r="AC3" s="15">
        <v>43.51</v>
      </c>
      <c r="AD3" s="15">
        <v>27.21</v>
      </c>
      <c r="AE3" s="15">
        <v>0</v>
      </c>
      <c r="AF3" s="15">
        <v>27.21</v>
      </c>
      <c r="AG3" s="17">
        <v>0.16260000000000002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0" t="s">
        <v>34</v>
      </c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2"/>
      <c r="V1" s="34"/>
    </row>
    <row r="2" spans="4:25" ht="15" thickBot="1" x14ac:dyDescent="0.35">
      <c r="D2" s="55"/>
      <c r="E2" s="90" t="s">
        <v>35</v>
      </c>
      <c r="F2" s="91"/>
      <c r="G2" s="92"/>
      <c r="H2" s="90" t="s">
        <v>36</v>
      </c>
      <c r="I2" s="91"/>
      <c r="J2" s="90" t="s">
        <v>37</v>
      </c>
      <c r="K2" s="91"/>
      <c r="L2" s="92"/>
      <c r="M2" s="90" t="s">
        <v>38</v>
      </c>
      <c r="N2" s="91"/>
      <c r="O2" s="92"/>
      <c r="P2" s="90" t="s">
        <v>39</v>
      </c>
      <c r="Q2" s="91"/>
      <c r="R2" s="92"/>
      <c r="S2" s="90" t="s">
        <v>40</v>
      </c>
      <c r="T2" s="91"/>
      <c r="U2" s="92"/>
      <c r="V2" s="36"/>
    </row>
    <row r="3" spans="4:25" ht="15" thickBot="1" x14ac:dyDescent="0.35">
      <c r="D3" s="55"/>
      <c r="E3" s="93">
        <f>'Resumo Detalhado'!B2</f>
        <v>6710.7</v>
      </c>
      <c r="F3" s="94"/>
      <c r="G3" s="95"/>
      <c r="H3" s="96">
        <f>'Resumo Detalhado'!C2</f>
        <v>698.6</v>
      </c>
      <c r="I3" s="97"/>
      <c r="J3" s="98">
        <f>E3/H3</f>
        <v>9.6059261379902665</v>
      </c>
      <c r="K3" s="99"/>
      <c r="L3" s="100"/>
      <c r="M3" s="136" t="s">
        <v>41</v>
      </c>
      <c r="N3" s="94"/>
      <c r="O3" s="95"/>
      <c r="P3" s="137">
        <v>22000</v>
      </c>
      <c r="Q3" s="138"/>
      <c r="R3" s="139"/>
      <c r="S3" s="104">
        <f>MIN(H3/P3,1)</f>
        <v>3.1754545454545459E-2</v>
      </c>
      <c r="T3" s="105"/>
      <c r="U3" s="106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0" t="s">
        <v>42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2"/>
      <c r="V5" s="36"/>
    </row>
    <row r="6" spans="4:25" ht="15" thickBot="1" x14ac:dyDescent="0.35">
      <c r="D6" s="55"/>
      <c r="E6" s="89" t="s">
        <v>43</v>
      </c>
      <c r="F6" s="89"/>
      <c r="G6" s="89"/>
      <c r="H6" s="89"/>
      <c r="I6" s="89"/>
      <c r="J6" s="89" t="s">
        <v>44</v>
      </c>
      <c r="K6" s="89"/>
      <c r="L6" s="89"/>
      <c r="M6" s="89" t="s">
        <v>45</v>
      </c>
      <c r="N6" s="89"/>
      <c r="O6" s="89"/>
      <c r="P6" s="89" t="s">
        <v>46</v>
      </c>
      <c r="Q6" s="89"/>
      <c r="R6" s="89"/>
      <c r="S6" s="89" t="s">
        <v>47</v>
      </c>
      <c r="T6" s="89"/>
      <c r="U6" s="89"/>
      <c r="V6" s="36"/>
    </row>
    <row r="7" spans="4:25" ht="15" thickBot="1" x14ac:dyDescent="0.35">
      <c r="D7" s="55"/>
      <c r="E7" s="110">
        <f>E11+K11+Q11</f>
        <v>7300</v>
      </c>
      <c r="F7" s="110"/>
      <c r="G7" s="110"/>
      <c r="H7" s="110"/>
      <c r="I7" s="110"/>
      <c r="J7" s="110">
        <f>E7/H3</f>
        <v>10.449470369310049</v>
      </c>
      <c r="K7" s="110"/>
      <c r="L7" s="110"/>
      <c r="M7" s="111">
        <f>E7/E3</f>
        <v>1.0878149820436021</v>
      </c>
      <c r="N7" s="111"/>
      <c r="O7" s="111"/>
      <c r="P7" s="110">
        <f>E11+K11+Q11+E15+K15+Q15+E19+H19+K19</f>
        <v>9425.1880000000001</v>
      </c>
      <c r="Q7" s="110"/>
      <c r="R7" s="110"/>
      <c r="S7" s="110">
        <f>P7/H3</f>
        <v>13.491537360435157</v>
      </c>
      <c r="T7" s="110"/>
      <c r="U7" s="110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0" t="s">
        <v>48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2"/>
      <c r="V9" s="36"/>
    </row>
    <row r="10" spans="4:25" ht="15" thickBot="1" x14ac:dyDescent="0.35">
      <c r="D10" s="55"/>
      <c r="E10" s="101" t="s">
        <v>49</v>
      </c>
      <c r="F10" s="103"/>
      <c r="H10" s="101" t="s">
        <v>50</v>
      </c>
      <c r="I10" s="103"/>
      <c r="K10" s="101" t="s">
        <v>51</v>
      </c>
      <c r="L10" s="103"/>
      <c r="N10" s="101" t="s">
        <v>52</v>
      </c>
      <c r="O10" s="103"/>
      <c r="Q10" s="101" t="s">
        <v>53</v>
      </c>
      <c r="R10" s="103"/>
      <c r="T10" s="101" t="s">
        <v>54</v>
      </c>
      <c r="U10" s="103"/>
      <c r="V10" s="36"/>
    </row>
    <row r="11" spans="4:25" ht="15" thickBot="1" x14ac:dyDescent="0.35">
      <c r="D11" s="55">
        <f>IF(E11=0,K11,E11)</f>
        <v>7200</v>
      </c>
      <c r="E11" s="126">
        <f>ROUNDUP('Resumo Detalhado'!F2,0)</f>
        <v>0</v>
      </c>
      <c r="F11" s="95"/>
      <c r="G11" s="38"/>
      <c r="H11" s="93">
        <f>E11/H3</f>
        <v>0</v>
      </c>
      <c r="I11" s="95"/>
      <c r="J11" s="38"/>
      <c r="K11" s="93">
        <v>7200</v>
      </c>
      <c r="L11" s="95"/>
      <c r="M11" s="38"/>
      <c r="N11" s="93">
        <f>K11/H3</f>
        <v>10.306326939593472</v>
      </c>
      <c r="O11" s="95"/>
      <c r="P11" s="38"/>
      <c r="Q11" s="93">
        <f>'Resumo Detalhado'!D2</f>
        <v>100</v>
      </c>
      <c r="R11" s="95"/>
      <c r="S11" s="38"/>
      <c r="T11" s="93">
        <f>Q11/H3</f>
        <v>0.14314342971657601</v>
      </c>
      <c r="U11" s="95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0" t="s">
        <v>57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2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1" t="s">
        <v>59</v>
      </c>
      <c r="F14" s="102"/>
      <c r="G14" s="102"/>
      <c r="H14" s="102"/>
      <c r="I14" s="112"/>
      <c r="K14" s="116" t="s">
        <v>128</v>
      </c>
      <c r="L14" s="102"/>
      <c r="M14" s="102"/>
      <c r="N14" s="102"/>
      <c r="O14" s="112"/>
      <c r="Q14" s="116"/>
      <c r="R14" s="102"/>
      <c r="S14" s="102"/>
      <c r="T14" s="102"/>
      <c r="U14" s="103"/>
      <c r="V14" s="36"/>
      <c r="W14" s="35" t="s">
        <v>60</v>
      </c>
      <c r="Y14" s="46">
        <v>6000</v>
      </c>
    </row>
    <row r="15" spans="4:25" ht="15" thickBot="1" x14ac:dyDescent="0.35">
      <c r="D15" s="55"/>
      <c r="E15" s="113">
        <f>'Resumo Detalhado'!H2</f>
        <v>478.12</v>
      </c>
      <c r="F15" s="114"/>
      <c r="G15" s="114"/>
      <c r="H15" s="114"/>
      <c r="I15" s="115"/>
      <c r="J15" s="38"/>
      <c r="K15" s="117">
        <f>'Resumo Detalhado'!K2+'Resumo Detalhado'!L2</f>
        <v>1073.712</v>
      </c>
      <c r="L15" s="108"/>
      <c r="M15" s="108"/>
      <c r="N15" s="108"/>
      <c r="O15" s="118"/>
      <c r="P15" s="38"/>
      <c r="Q15" s="119"/>
      <c r="R15" s="114"/>
      <c r="S15" s="114"/>
      <c r="T15" s="114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0" t="s">
        <v>63</v>
      </c>
      <c r="F17" s="91"/>
      <c r="G17" s="91"/>
      <c r="H17" s="91"/>
      <c r="I17" s="91"/>
      <c r="J17" s="91"/>
      <c r="K17" s="91"/>
      <c r="L17" s="91"/>
      <c r="M17" s="50"/>
      <c r="N17" s="50"/>
      <c r="O17" s="91" t="s">
        <v>64</v>
      </c>
      <c r="P17" s="91"/>
      <c r="Q17" s="91"/>
      <c r="R17" s="91"/>
      <c r="S17" s="91"/>
      <c r="T17" s="91"/>
      <c r="U17" s="92"/>
      <c r="V17" s="36"/>
    </row>
    <row r="18" spans="4:25" ht="15" thickBot="1" x14ac:dyDescent="0.35">
      <c r="D18" s="55"/>
      <c r="E18" s="121" t="s">
        <v>65</v>
      </c>
      <c r="F18" s="122"/>
      <c r="H18" s="121" t="s">
        <v>66</v>
      </c>
      <c r="I18" s="122"/>
      <c r="K18" s="121" t="s">
        <v>67</v>
      </c>
      <c r="L18" s="122"/>
      <c r="N18" s="123" t="s">
        <v>68</v>
      </c>
      <c r="O18" s="124"/>
      <c r="P18" s="124"/>
      <c r="Q18" s="124"/>
      <c r="R18" s="125"/>
      <c r="S18" s="123" t="s">
        <v>69</v>
      </c>
      <c r="T18" s="124"/>
      <c r="U18" s="125"/>
      <c r="V18" s="36"/>
      <c r="W18" s="93" t="s">
        <v>70</v>
      </c>
      <c r="X18" s="94"/>
      <c r="Y18" s="95"/>
    </row>
    <row r="19" spans="4:25" ht="15" thickBot="1" x14ac:dyDescent="0.35">
      <c r="D19" s="55"/>
      <c r="E19" s="113">
        <f>'Resumo Detalhado'!I2</f>
        <v>33.47</v>
      </c>
      <c r="F19" s="120"/>
      <c r="G19" s="38"/>
      <c r="H19" s="107">
        <f>'Resumo Detalhado'!J2</f>
        <v>3.03</v>
      </c>
      <c r="I19" s="109"/>
      <c r="J19" s="38"/>
      <c r="K19" s="107">
        <f>'Resumo Detalhado'!L2</f>
        <v>536.85599999999999</v>
      </c>
      <c r="L19" s="109"/>
      <c r="M19" s="38"/>
      <c r="N19" s="113" t="s">
        <v>238</v>
      </c>
      <c r="O19" s="114"/>
      <c r="P19" s="114"/>
      <c r="Q19" s="114"/>
      <c r="R19" s="120"/>
      <c r="S19" s="113">
        <v>7200</v>
      </c>
      <c r="T19" s="114"/>
      <c r="U19" s="120"/>
      <c r="V19" s="36"/>
      <c r="W19" s="127" t="str">
        <f>IF(D11=S19,"NO TARGET",IF(D11&lt;S19,"ABAIXO DO TARGET",IF(D11&gt;S19,"FORA DO TARGET")))</f>
        <v>NO TARGET</v>
      </c>
      <c r="X19" s="128"/>
      <c r="Y19" s="129"/>
    </row>
    <row r="20" spans="4:25" ht="15" thickBot="1" x14ac:dyDescent="0.35">
      <c r="D20" s="55"/>
      <c r="V20" s="36"/>
      <c r="W20" s="130"/>
      <c r="X20" s="131"/>
      <c r="Y20" s="132"/>
    </row>
    <row r="21" spans="4:25" ht="15" thickBot="1" x14ac:dyDescent="0.35">
      <c r="D21" s="55"/>
      <c r="E21" s="90" t="s">
        <v>29</v>
      </c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2"/>
      <c r="V21" s="36"/>
      <c r="W21" s="130"/>
      <c r="X21" s="131"/>
      <c r="Y21" s="132"/>
    </row>
    <row r="22" spans="4:25" ht="15" thickBot="1" x14ac:dyDescent="0.35">
      <c r="D22" s="55"/>
      <c r="E22" s="101" t="s">
        <v>71</v>
      </c>
      <c r="F22" s="102"/>
      <c r="G22" s="102"/>
      <c r="H22" s="102"/>
      <c r="I22" s="102"/>
      <c r="J22" s="102"/>
      <c r="K22" s="102"/>
      <c r="L22" s="103"/>
      <c r="N22" s="101" t="s">
        <v>72</v>
      </c>
      <c r="O22" s="102"/>
      <c r="P22" s="102"/>
      <c r="Q22" s="102"/>
      <c r="R22" s="102"/>
      <c r="S22" s="102"/>
      <c r="T22" s="102"/>
      <c r="U22" s="103"/>
      <c r="V22" s="36"/>
      <c r="W22" s="130"/>
      <c r="X22" s="131"/>
      <c r="Y22" s="132"/>
    </row>
    <row r="23" spans="4:25" ht="15" thickBot="1" x14ac:dyDescent="0.35">
      <c r="D23" s="55"/>
      <c r="E23" s="107">
        <f>'Resumo Detalhado'!N2</f>
        <v>5022.3679999999995</v>
      </c>
      <c r="F23" s="108"/>
      <c r="G23" s="108"/>
      <c r="H23" s="108"/>
      <c r="I23" s="108"/>
      <c r="J23" s="108"/>
      <c r="K23" s="108"/>
      <c r="L23" s="109"/>
      <c r="M23" s="38"/>
      <c r="N23" s="104">
        <f>E23/E3</f>
        <v>0.74841193914196724</v>
      </c>
      <c r="O23" s="105"/>
      <c r="P23" s="105"/>
      <c r="Q23" s="105"/>
      <c r="R23" s="105"/>
      <c r="S23" s="105"/>
      <c r="T23" s="105"/>
      <c r="U23" s="106"/>
      <c r="V23" s="36"/>
      <c r="W23" s="133"/>
      <c r="X23" s="134"/>
      <c r="Y23" s="135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" bestFit="1" customWidth="1"/>
    <col min="2" max="2" width="14.33203125" bestFit="1" customWidth="1"/>
    <col min="3" max="3" width="10.88671875" style="5" bestFit="1" customWidth="1"/>
    <col min="4" max="4" width="10.5546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591</v>
      </c>
      <c r="F1" s="29"/>
    </row>
    <row r="2" spans="1:18" x14ac:dyDescent="0.3">
      <c r="B2" s="29">
        <f>SUM(B6:B5000)</f>
        <v>6710.7</v>
      </c>
      <c r="C2" s="29">
        <f>SUM(C6:C5000)</f>
        <v>698.6</v>
      </c>
      <c r="D2" s="29">
        <f>SUM(D6:D5000)</f>
        <v>100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478.12</v>
      </c>
      <c r="I2" s="29">
        <f t="shared" si="0"/>
        <v>33.47</v>
      </c>
      <c r="J2" s="29">
        <f t="shared" si="0"/>
        <v>3.03</v>
      </c>
      <c r="K2" s="29">
        <f t="shared" si="0"/>
        <v>536.85599999999999</v>
      </c>
      <c r="L2" s="29">
        <f t="shared" si="0"/>
        <v>536.85599999999999</v>
      </c>
      <c r="M2" s="29">
        <f t="shared" si="0"/>
        <v>0</v>
      </c>
      <c r="N2" s="29">
        <f t="shared" si="0"/>
        <v>5022.3679999999995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578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295772</v>
      </c>
      <c r="B6" s="140">
        <v>6543.37</v>
      </c>
      <c r="C6" s="141">
        <v>691.7</v>
      </c>
      <c r="D6" s="140">
        <v>100</v>
      </c>
      <c r="E6" s="140">
        <v>0</v>
      </c>
      <c r="F6" s="140">
        <v>0</v>
      </c>
      <c r="G6" s="142">
        <v>1.528264487565276E-2</v>
      </c>
      <c r="H6" s="140">
        <v>458.04</v>
      </c>
      <c r="I6" s="140">
        <v>28.08</v>
      </c>
      <c r="J6" s="140">
        <v>3</v>
      </c>
      <c r="K6" s="140">
        <v>523.46960000000001</v>
      </c>
      <c r="L6" s="140">
        <v>523.46960000000001</v>
      </c>
      <c r="M6" s="140">
        <v>0</v>
      </c>
      <c r="N6" s="140">
        <v>4907.3107999999993</v>
      </c>
      <c r="O6" s="142">
        <v>0.74996688250855437</v>
      </c>
      <c r="Q6"/>
    </row>
    <row r="7" spans="1:18" s="31" customFormat="1" x14ac:dyDescent="0.3">
      <c r="A7" s="88" t="s">
        <v>587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295847</v>
      </c>
      <c r="B8" s="140">
        <v>167.33</v>
      </c>
      <c r="C8" s="141">
        <v>6.9</v>
      </c>
      <c r="D8" s="140">
        <v>0</v>
      </c>
      <c r="E8" s="140">
        <v>0</v>
      </c>
      <c r="F8" s="140">
        <v>0</v>
      </c>
      <c r="G8" s="142">
        <v>0</v>
      </c>
      <c r="H8" s="140">
        <v>20.079999999999998</v>
      </c>
      <c r="I8" s="140">
        <v>5.39</v>
      </c>
      <c r="J8" s="140">
        <v>0.03</v>
      </c>
      <c r="K8" s="140">
        <v>13.386400000000002</v>
      </c>
      <c r="L8" s="140">
        <v>13.386400000000002</v>
      </c>
      <c r="M8" s="140">
        <v>0</v>
      </c>
      <c r="N8" s="140">
        <v>115.05719999999999</v>
      </c>
      <c r="O8" s="142">
        <v>0.68760652602641481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66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591</v>
      </c>
    </row>
    <row r="2" spans="1:4" x14ac:dyDescent="0.3">
      <c r="B2" s="29">
        <f>SUM(B6:B5000)</f>
        <v>167.33</v>
      </c>
      <c r="C2" s="29">
        <f>SUM(C6:C5000)</f>
        <v>115.05719999999999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578</v>
      </c>
      <c r="B5" s="10">
        <v>6543.37</v>
      </c>
      <c r="C5" s="10">
        <v>4907.3107999999993</v>
      </c>
    </row>
    <row r="6" spans="1:4" x14ac:dyDescent="0.3">
      <c r="A6" s="88" t="s">
        <v>587</v>
      </c>
      <c r="B6" s="140">
        <v>167.33</v>
      </c>
      <c r="C6" s="140">
        <v>115.05719999999999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7200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2026-08-12T14:32:39Z</dcterms:modified>
  <cp:category/>
  <cp:contentStatus/>
</cp:coreProperties>
</file>