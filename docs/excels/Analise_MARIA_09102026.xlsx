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24EB165-1724-476C-854A-15A1A1435AA3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<sst xmlns="http://schemas.openxmlformats.org/spreadsheetml/2006/main" count="915" uniqueCount="634">
  <si>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</si>
  <si>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</si>
  <si>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</si>
  <si>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</si>
  <si>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</si>
  <si>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</si>
  <si>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</si>
  <si>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</si>
  <si>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</si>
  <si>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</si>
  <si>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</si>
  <si>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</si>
  <si>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</si>
  <si>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</si>
  <si>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</si>
  <si>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</si>
  <si>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</si>
  <si>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</si>
  <si>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</si>
  <si>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</si>
  <si>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</si>
  <si>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</si>
  <si>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</si>
  <si>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</si>
  <si>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</si>
  <si>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</si>
  <si>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</si>
  <si>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</si>
  <si>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</si>
  <si>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</si>
  <si>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</si>
  <si>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</si>
  <si>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</si>
  <si>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</si>
  <si>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</si>
  <si>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</si>
  <si>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</si>
  <si>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</si>
  <si>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</si>
  <si>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</si>
  <si>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</si>
  <si>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</si>
  <si>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</si>
  <si>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</si>
  <si>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</si>
  <si>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</si>
  <si>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</si>
  <si>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</si>
  <si>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</si>
  <si>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</si>
  <si>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</si>
  <si>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</si>
  <si>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</si>
  <si>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</si>
  <si>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</si>
  <si>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</si>
  <si>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</si>
  <si>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</si>
  <si>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</si>
  <si>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</si>
  <si>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</si>
  <si>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</si>
  <si>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</si>
  <si>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</si>
  <si>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</si>
  <si>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</si>
  <si>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</si>
  <si>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</si>
  <si>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</si>
  <si>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</si>
  <si>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</si>
  <si>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</si>
  <si>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</si>
  <si>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</si>
  <si>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</si>
  <si>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</si>
  <si>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</si>
  <si>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</si>
  <si>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</si>
  <si>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</si>
  <si>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</si>
  <si>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</si>
  <si>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</si>
  <si>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</si>
  <si>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</si>
  <si>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</si>
  <si>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</si>
  <si>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</si>
  <si>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</si>
  <si>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</si>
  <si>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</si>
  <si>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</si>
  <si>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</si>
  <si>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</si>
  <si>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</si>
  <si>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</si>
  <si>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</si>
  <si>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</si>
  <si>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</si>
  <si>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</si>
  <si>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</si>
  <si>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</si>
  <si>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</si>
  <si>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</si>
  <si>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</si>
  <si>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</si>
  <si>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</si>
  <si>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</si>
  <si>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</si>
  <si>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</si>
  <si>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</si>
  <si>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</si>
  <si>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</si>
  <si>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</si>
  <si>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</si>
  <si>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</si>
  <si>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</si>
  <si>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</si>
  <si>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</si>
  <si>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</si>
  <si>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</si>
  <si>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</si>
  <si>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</si>
  <si>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</si>
  <si>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</si>
  <si>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</si>
  <si>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</si>
  <si>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</si>
  <si>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</si>
  <si>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</si>
  <si>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</si>
  <si>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</si>
  <si>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</si>
  <si>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</si>
  <si>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</si>
  <si>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</si>
  <si>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</si>
  <si>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</si>
  <si>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</si>
  <si>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</si>
  <si>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</si>
  <si>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</si>
  <si>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</si>
  <si>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</si>
  <si>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</si>
  <si>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</si>
  <si>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</si>
  <si>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</si>
  <si>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</si>
  <si>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</si>
  <si>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</si>
  <si>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</si>
  <si>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</si>
  <si>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</si>
  <si>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</si>
  <si>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</si>
  <si>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</si>
  <si>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</si>
  <si>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</si>
  <si>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</si>
  <si>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</si>
  <si>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</si>
  <si>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</si>
  <si>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</si>
  <si>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</si>
  <si>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</si>
  <si>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</si>
  <si>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</si>
  <si>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</si>
  <si>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</si>
  <si>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</si>
  <si>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</si>
  <si>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</si>
  <si>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</si>
  <si>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</si>
  <si>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</si>
  <si>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</si>
  <si>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</si>
  <si>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</si>
  <si>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</si>
  <si>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</si>
  <si>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</si>
  <si>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</si>
  <si>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</si>
  <si>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</si>
  <si>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</si>
  <si>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</si>
  <si>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</si>
  <si>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</si>
  <si>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</si>
  <si>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</si>
  <si>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</si>
  <si>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</si>
  <si>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</si>
  <si>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</si>
  <si>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</si>
  <si>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</si>
  <si>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</si>
  <si>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</si>
  <si>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</si>
  <si>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</si>
  <si>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</si>
  <si>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</si>
  <si>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</si>
  <si>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</si>
  <si>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</si>
  <si>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</si>
  <si>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</si>
  <si>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</si>
  <si>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</si>
  <si>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</si>
  <si>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</si>
  <si>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</si>
  <si>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</si>
  <si>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</si>
  <si>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</si>
  <si>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</si>
  <si>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</si>
  <si>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</si>
  <si>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</si>
  <si>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</si>
  <si>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</si>
  <si>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</si>
  <si>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</si>
  <si>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</si>
  <si>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</si>
  <si>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</si>
  <si>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</si>
  <si>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</si>
  <si>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</si>
  <si>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</si>
  <si>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</si>
  <si>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</si>
  <si>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</si>
  <si>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</si>
  <si>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</si>
  <si>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</si>
  <si>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</si>
  <si>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</si>
  <si>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</si>
  <si>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</si>
  <si>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</si>
  <si>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</si>
  <si>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</si>
  <si>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</si>
  <si>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</si>
  <si>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</si>
  <si>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</si>
  <si>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</si>
  <si>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</si>
  <si>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</si>
  <si>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</si>
  <si>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</si>
  <si>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</si>
  <si>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</si>
  <si>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</si>
  <si>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</si>
  <si>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</si>
  <si>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</si>
  <si>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</si>
  <si>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</si>
  <si>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</si>
  <si>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</si>
  <si>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</si>
  <si>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</si>
  <si>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</si>
  <si>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</si>
  <si>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</si>
  <si>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</si>
  <si>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</si>
  <si>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</si>
  <si>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</si>
  <si>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</si>
  <si>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</si>
  <si>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</si>
  <si>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</si>
  <si>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</si>
  <si>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</si>
  <si>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</si>
  <si>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</si>
  <si>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</si>
  <si>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</si>
  <si>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</si>
  <si>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</si>
  <si>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</si>
  <si>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</si>
  <si>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</si>
  <si>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</si>
  <si>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</si>
  <si>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</si>
  <si>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</si>
  <si>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</si>
  <si>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</si>
  <si>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</si>
  <si>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</si>
  <si>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</si>
  <si>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</si>
  <si>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</si>
  <si>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</si>
  <si>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</si>
  <si>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</si>
  <si>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</si>
  <si>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</si>
  <si>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</si>
  <si>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</si>
  <si>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</si>
  <si>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</si>
  <si>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</si>
  <si>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</si>
  <si>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</si>
  <si>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</si>
  <si>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</si>
  <si>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</si>
  <si>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</si>
  <si>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</si>
  <si>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</si>
  <si>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</si>
  <si>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</si>
  <si>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</si>
  <si>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</si>
  <si>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</si>
  <si>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</si>
  <si>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</si>
  <si>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</si>
  <si>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</si>
  <si>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</si>
  <si>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</si>
  <si>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</si>
  <si>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</si>
  <si>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</si>
  <si>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</si>
  <si>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</si>
  <si>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</si>
  <si>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</si>
  <si>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</si>
  <si>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</si>
  <si>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</si>
  <si>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</si>
  <si>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</si>
  <si>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</si>
  <si>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</si>
  <si>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</si>
  <si>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</si>
  <si>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</si>
  <si>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</si>
  <si>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</si>
  <si>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</si>
  <si>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</si>
  <si>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</si>
  <si>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</si>
  <si>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</si>
  <si>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</si>
  <si>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</si>
  <si>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</si>
  <si>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</si>
  <si>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</si>
  <si>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</si>
  <si>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</si>
  <si>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</si>
  <si>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</si>
  <si>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</si>
  <si>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</si>
  <si>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</si>
  <si>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</si>
  <si>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</si>
  <si>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</si>
  <si>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</si>
  <si>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</si>
  <si>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</si>
  <si>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</si>
  <si>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</si>
  <si>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</si>
  <si>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</si>
  <si>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</si>
  <si>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</si>
  <si>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</si>
  <si>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</si>
  <si>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</si>
  <si>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</si>
  <si>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</si>
  <si>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</si>
  <si>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</si>
  <si>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</si>
  <si>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</si>
  <si>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</si>
  <si>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</si>
  <si>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</si>
  <si>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</si>
  <si>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</si>
  <si>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</si>
  <si>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</si>
  <si>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</si>
  <si>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</si>
  <si>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</si>
  <si>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</si>
  <si>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</si>
  <si>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</si>
  <si>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</si>
  <si>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</si>
  <si>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</si>
  <si>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</si>
  <si>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</si>
  <si>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</si>
  <si>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</si>
  <si>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</si>
  <si>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</si>
  <si>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</si>
  <si>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</si>
  <si>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</si>
  <si>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</si>
  <si>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</si>
  <si>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</si>
  <si>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</si>
  <si>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</si>
  <si>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</si>
  <si>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</si>
  <si>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</si>
  <si>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</si>
  <si>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</si>
  <si>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</si>
  <si>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</si>
  <si>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</si>
  <si>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</si>
  <si>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</si>
  <si>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</si>
  <si>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</si>
  <si>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</si>
  <si>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</si>
  <si>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</si>
  <si>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</si>
  <si>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</si>
  <si>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</si>
  <si>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</si>
  <si>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</si>
  <si>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</si>
  <si>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</si>
  <si>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</si>
  <si>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</si>
  <si>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</si>
  <si>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</si>
  <si>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</si>
  <si>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</si>
  <si>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</si>
  <si>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</si>
  <si>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</si>
  <si>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</si>
  <si>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</si>
  <si>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</si>
  <si>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</si>
  <si>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</si>
  <si>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</si>
  <si>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</si>
  <si>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</si>
  <si>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</si>
  <si>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</si>
  <si>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</si>
  <si>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</si>
  <si>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</si>
  <si>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</si>
  <si>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</si>
  <si>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</si>
  <si>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</si>
  <si>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</si>
  <si>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</si>
  <si>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</si>
  <si>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</si>
  <si>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</si>
  <si>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</si>
  <si>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</si>
  <si>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</si>
  <si>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</si>
  <si>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</si>
  <si>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</si>
  <si>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</si>
  <si>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</si>
  <si>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</si>
  <si>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</si>
  <si>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</si>
  <si>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</si>
  <si>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</si>
  <si>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</si>
  <si>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</si>
  <si>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</si>
  <si>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</si>
  <si>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</si>
  <si>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</si>
  <si>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</si>
  <si>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</si>
  <si>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</si>
  <si>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</si>
  <si>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</si>
  <si>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</si>
  <si>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</si>
  <si>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</si>
  <si>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</si>
  <si>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</si>
  <si>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</si>
  <si>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</si>
  <si>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</si>
  <si>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</si>
  <si>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</si>
  <si>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</si>
  <si>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</si>
  <si>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</si>
  <si>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</si>
  <si>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</si>
  <si>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</si>
  <si>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</si>
  <si>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</si>
  <si>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</si>
  <si>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</si>
  <si>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</si>
  <si>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</si>
  <si>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</si>
  <si>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</si>
  <si>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</si>
  <si>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</si>
  <si>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</si>
  <si>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</si>
  <si>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</si>
  <si>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</si>
  <si>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</si>
  <si>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</si>
  <si>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</si>
  <si>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</si>
  <si>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</si>
  <si>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</si>
  <si>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</si>
  <si>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</si>
  <si>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</si>
  <si>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</si>
  <si>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</si>
  <si>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</si>
  <si>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</si>
  <si>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</si>
  <si>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</si>
  <si>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</si>
  <si>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</si>
  <si>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</si>
  <si>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</si>
  <si>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</si>
  <si>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</si>
  <si>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</si>
  <si>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</si>
  <si>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</si>
  <si>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</si>
  <si>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</si>
  <si>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</si>
  <si>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</si>
  <si>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</si>
  <si>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</si>
  <si>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</si>
  <si>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</si>
  <si>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</si>
  <si>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</si>
  <si>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</si>
  <si>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</si>
  <si>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</si>
  <si>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</si>
  <si>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</si>
  <si>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</si>
  <si>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</si>
  <si>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</si>
  <si>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</si>
  <si>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</si>
  <si>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</si>
  <si>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</si>
  <si>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</si>
  <si>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</si>
  <si>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</si>
  <si>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</si>
  <si>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</si>
  <si>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</si>
  <si>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</si>
  <si>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</si>
  <si>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</si>
  <si>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</si>
  <si>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</si>
  <si>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</si>
  <si>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</si>
  <si>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</si>
  <si>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</si>
  <si>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</si>
  <si>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</si>
  <si>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</si>
  <si>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</si>
  <si>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</si>
  <si>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</si>
  <si>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</si>
  <si>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</si>
  <si>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</si>
  <si>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</si>
  <si>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</si>
  <si>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</si>
  <si>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</si>
  <si>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</si>
  <si>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</si>
  <si>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</si>
  <si>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</si>
  <si>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</si>
  <si>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</si>
  <si>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</si>
  <si>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</si>
  <si>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</si>
  <si>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</si>
  <si>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</si>
  <si>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</si>
  <si>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</si>
  <si>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</si>
  <si>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</si>
  <si>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</si>
  <si>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</si>
  <si>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</si>
  <si>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</si>
  <si>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</si>
  <si>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</si>
  <si>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</si>
  <si>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204689-1</t>
  </si>
  <si>
    <t>SAMSONITE BRASI</t>
  </si>
  <si>
    <t>MARLON MARQUES</t>
  </si>
  <si>
    <t>EXPRESSO_200</t>
  </si>
  <si>
    <t>CTE NORMAL</t>
  </si>
  <si>
    <t>SAO PAULO - SP</t>
  </si>
  <si>
    <t>PEX LOGISTICA INTEGRADA L</t>
  </si>
  <si>
    <t>DENIS MACEDO DE SOUZA</t>
  </si>
  <si>
    <t>SALETE DE FATIMA TITTON</t>
  </si>
  <si>
    <t>2322-6</t>
  </si>
  <si>
    <t>MATTEL DO BRASI</t>
  </si>
  <si>
    <t>EXPRESSO_250</t>
  </si>
  <si>
    <t>CASCAVEL - PR</t>
  </si>
  <si>
    <t>DIEGO STANO</t>
  </si>
  <si>
    <t>N/D</t>
  </si>
  <si>
    <t>Navegantes-Sc X Cascavel-Pr3/4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</si>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</sst>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[Analise_MARIA_09102026.xlsx]Resumo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5521.44</c:v>
                </c:pt>
                <c:pt idx="1">
                  <c:v>183.06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4374.1448</c:v>
                </c:pt>
                <c:pt idx="1">
                  <c:v>-3869.8747999999996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[Analise_MARIA_09102026.xlsx]Resumo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5521.44</c:v>
                </c:pt>
                <c:pt idx="1">
                  <c:v>183.06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MATTEL DO BRASI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4374.1448</c:v>
                </c:pt>
                <c:pt idx="1">
                  <c:v>-3869.8747999999996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0.580480787037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5245" count="8000">
        <n v="305008"/>
        <n v="305245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8T00:00:00" maxDate="2026-10-11T00:00:00"/>
    </cacheField>
    <cacheField name="DATA" numFmtId="14">
      <sharedItems containsNonDate="0" containsDate="1" containsString="0" containsBlank="1" minDate="2026-10-09T00:00:00" maxDate="2026-10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AMSONITE BRASI"/>
        <s v="MATTEL DO BRAS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812.66" maxValue="19502.28"/>
    </cacheField>
    <cacheField name="SERVICO" numFmtId="0">
      <sharedItems containsBlank="1" count="27">
        <s v="EXPRESSO_200"/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83.06" maxValue="5521.44"/>
    </cacheField>
    <cacheField name="VOLUMES" numFmtId="0">
      <sharedItems containsString="0" containsBlank="1" containsNumber="1" containsInteger="1" minValue="6" maxValue="70"/>
    </cacheField>
    <cacheField name="PESO" numFmtId="0">
      <sharedItems containsString="0" containsBlank="1" containsNumber="1" minValue="142.52000000000001" maxValue="215"/>
    </cacheField>
    <cacheField name="RESP. COLETA" numFmtId="0">
      <sharedItems containsBlank="1"/>
    </cacheField>
    <cacheField name="CUSTO COLETA" numFmtId="0">
      <sharedItems containsString="0" containsBlank="1" containsNumber="1" minValue="15.41" maxValue="33.26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1.97" maxValue="662.5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91" maxValue="9.7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2300.12" maxValue="2492.08"/>
    </cacheField>
    <cacheField name="RECEITA" numFmtId="0">
      <sharedItems containsString="0" containsBlank="1" containsNumber="1" minValue="-2309.02" maxValue="3221.32"/>
    </cacheField>
    <cacheField name="IMPOSTO" numFmtId="0">
      <sharedItems containsString="0" containsBlank="1" containsNumber="1" minValue="47.6" maxValue="1435.57"/>
    </cacheField>
    <cacheField name="RESULTADO" numFmtId="0">
      <sharedItems containsString="0" containsBlank="1" containsNumber="1" minValue="-2356.62" maxValue="1785.7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356.62" maxValue="1785.75"/>
    </cacheField>
    <cacheField name="MARGEM" numFmtId="10">
      <sharedItems containsString="0" containsBlank="1" containsNumber="1" minValue="-12.8735" maxValue="0.3234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8T00:00:00"/>
    <d v="2026-10-09T00:00:00"/>
    <m/>
    <s v="204689-1"/>
    <x v="0"/>
    <s v="MARLON MARQUES"/>
    <n v="1812.66"/>
    <x v="0"/>
    <s v="CTE NORMAL"/>
    <s v="SAO PAULO - SP"/>
    <n v="183.06"/>
    <n v="6"/>
    <n v="215"/>
    <s v="PEX LOGISTICA INTEGRADA L"/>
    <n v="15.41"/>
    <s v="DENIS MACEDO DE SOUZA"/>
    <n v="4000"/>
    <s v="SALETE DE FATIMA TITTON"/>
    <n v="0"/>
    <n v="21.97"/>
    <n v="0"/>
    <n v="0"/>
    <n v="0.91"/>
    <n v="0"/>
    <n v="2492.08"/>
    <n v="-2309.02"/>
    <n v="47.6"/>
    <n v="-2356.62"/>
    <n v="0"/>
    <n v="-2356.62"/>
    <n v="-12.8735"/>
    <m/>
  </r>
  <r>
    <x v="1"/>
    <s v="MATRIZ"/>
    <d v="2026-10-10T00:00:00"/>
    <d v="2026-10-10T00:00:00"/>
    <m/>
    <s v="2322-6"/>
    <x v="1"/>
    <s v="MARLON MARQUES"/>
    <n v="19502.28"/>
    <x v="1"/>
    <s v="CTE NORMAL"/>
    <s v="CASCAVEL - PR"/>
    <n v="5521.44"/>
    <n v="70"/>
    <n v="142.52000000000001"/>
    <s v="DIEGO STANO"/>
    <n v="33.26"/>
    <s v="N/D"/>
    <n v="0"/>
    <s v="SALETE DE FATIMA TITTON"/>
    <n v="0"/>
    <n v="662.57"/>
    <n v="0"/>
    <n v="0"/>
    <n v="9.75"/>
    <n v="0"/>
    <n v="2300.12"/>
    <n v="3221.32"/>
    <n v="1435.57"/>
    <n v="1785.75"/>
    <n v="0"/>
    <n v="1785.75"/>
    <n v="0.3234000000000000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1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49"/>
        <item m="1" x="89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1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495"/>
    </i>
    <i r="1">
      <x v="7999"/>
    </i>
    <i>
      <x v="671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2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m="1" x="108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5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7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5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0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10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1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7"/>
        <item m="1" x="459"/>
        <item m="1" x="580"/>
        <item m="1" x="352"/>
        <item m="1" x="102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7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0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99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3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5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x="1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3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2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4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1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7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3"/>
        <item m="1" x="86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x="0"/>
        <item m="1" x="224"/>
        <item m="1" x="783"/>
        <item m="1" x="724"/>
        <item m="1" x="841"/>
        <item m="1" x="443"/>
        <item m="1" x="192"/>
        <item m="1" x="305"/>
        <item m="1" x="339"/>
        <item sd="0" m="1" x="95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8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6"/>
        <item m="1" x="84"/>
        <item sd="0" m="1" x="292"/>
        <item m="1" x="194"/>
        <item sd="0" m="1" x="496"/>
        <item m="1" x="261"/>
        <item m="1" x="30"/>
        <item m="1" x="104"/>
        <item m="1" x="533"/>
        <item sd="0" m="1" x="296"/>
        <item sd="0" m="1" x="396"/>
        <item sd="0" m="1" x="228"/>
        <item sd="0" m="1" x="8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3"/>
        <item m="1" x="91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8"/>
        <item m="1" x="766"/>
        <item m="1" x="125"/>
        <item m="1" x="217"/>
        <item m="1" x="811"/>
        <item m="1" x="278"/>
        <item m="1" x="106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4"/>
        <item m="1" x="49"/>
        <item m="1" x="89"/>
        <item sd="0" m="1" x="201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x="1"/>
        <item m="1" x="11"/>
        <item m="1" x="14"/>
        <item m="1" x="25"/>
        <item m="1" x="19"/>
        <item x="2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495"/>
    </i>
    <i>
      <x v="67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8" s="1" nd="1"/>
        <i x="186" s="1" nd="1"/>
        <i x="272" s="1" nd="1"/>
        <i x="12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108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8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5" s="1" nd="1"/>
        <i x="770" s="1" nd="1"/>
        <i x="14" s="1" nd="1"/>
        <i x="739" s="1" nd="1"/>
        <i x="392" s="1" nd="1"/>
        <i x="275" s="1" nd="1"/>
        <i x="65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7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5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3" s="1" nd="1"/>
        <i x="100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3" s="1" nd="1"/>
        <i x="602" s="1" nd="1"/>
        <i x="449" s="1" nd="1"/>
        <i x="348" s="1" nd="1"/>
        <i x="78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10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1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7" s="1" nd="1"/>
        <i x="459" s="1" nd="1"/>
        <i x="580" s="1" nd="1"/>
        <i x="352" s="1" nd="1"/>
        <i x="102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6" s="1" nd="1"/>
        <i x="387" s="1" nd="1"/>
        <i x="369" s="1" nd="1"/>
        <i x="615" s="1" nd="1"/>
        <i x="57" s="1" nd="1"/>
        <i x="707" s="1" nd="1"/>
        <i x="23" s="1" nd="1"/>
        <i x="36" s="1" nd="1"/>
        <i x="9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7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0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99" s="1" nd="1"/>
        <i x="480" s="1" nd="1"/>
        <i x="607" s="1" nd="1"/>
        <i x="715" s="1" nd="1"/>
        <i x="54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3" s="1" nd="1"/>
        <i x="271" s="1" nd="1"/>
        <i x="75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5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4" s="1" nd="1"/>
        <i x="669" s="1" nd="1"/>
        <i x="93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7" s="1" nd="1"/>
        <i x="331" s="1" nd="1"/>
        <i x="564" s="1" nd="1"/>
        <i x="503" s="1" nd="1"/>
        <i x="227" s="1" nd="1"/>
        <i x="280" s="1" nd="1"/>
        <i x="92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3" s="1" nd="1"/>
        <i x="717" s="1" nd="1"/>
        <i x="110" s="1" nd="1"/>
        <i x="253" s="1" nd="1"/>
        <i x="511" s="1" nd="1"/>
        <i x="94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1" s="1" nd="1"/>
        <i x="141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7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3" s="1" nd="1"/>
        <i x="86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5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8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3" s="1" nd="1"/>
        <i x="423" s="1" nd="1"/>
        <i x="26" s="1" nd="1"/>
        <i x="765" s="1" nd="1"/>
        <i x="413" s="1" nd="1"/>
        <i x="552" s="1" nd="1"/>
        <i x="96" s="1" nd="1"/>
        <i x="84" s="1" nd="1"/>
        <i x="292" s="1" nd="1"/>
        <i x="194" s="1" nd="1"/>
        <i x="496" s="1" nd="1"/>
        <i x="261" s="1" nd="1"/>
        <i x="30" s="1" nd="1"/>
        <i x="104" s="1" nd="1"/>
        <i x="533" s="1" nd="1"/>
        <i x="296" s="1" nd="1"/>
        <i x="396" s="1" nd="1"/>
        <i x="228" s="1" nd="1"/>
        <i x="8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5" s="1" nd="1"/>
        <i x="365" s="1" nd="1"/>
        <i x="758" s="1" nd="1"/>
        <i x="600" s="1" nd="1"/>
        <i x="13" s="1" nd="1"/>
        <i x="91" s="1" nd="1"/>
        <i x="437" s="1" nd="1"/>
        <i x="433" s="1" nd="1"/>
        <i x="120" s="1" nd="1"/>
        <i x="630" s="1" nd="1"/>
        <i x="200" s="1" nd="1"/>
        <i x="155" s="1" nd="1"/>
        <i x="55" s="1" nd="1"/>
        <i x="547" s="1" nd="1"/>
        <i x="618" s="1" nd="1"/>
        <i x="98" s="1" nd="1"/>
        <i x="766" s="1" nd="1"/>
        <i x="125" s="1" nd="1"/>
        <i x="217" s="1" nd="1"/>
        <i x="811" s="1" nd="1"/>
        <i x="278" s="1" nd="1"/>
        <i x="106" s="1" nd="1"/>
        <i x="197" s="1" nd="1"/>
        <i x="213" s="1" nd="1"/>
        <i x="180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8" s="1" nd="1"/>
        <i x="4" s="1" nd="1"/>
        <i x="49" s="1" nd="1"/>
        <i x="89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3" s="1" nd="1"/>
        <i x="6" s="1" nd="1"/>
        <i x="22" s="1" nd="1"/>
        <i x="21" s="1" nd="1"/>
        <i x="12" s="1" nd="1"/>
        <i x="18" s="1" nd="1"/>
        <i x="20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305008</v>
      </c>
      <c r="B2" s="12" t="s">
        <v>616</v>
      </c>
      <c r="C2" s="14">
        <v>46303</v>
      </c>
      <c r="D2" s="14">
        <v>46304</v>
      </c>
      <c r="E2" s="12"/>
      <c r="F2" s="15" t="s">
        <v>617</v>
      </c>
      <c r="G2" s="15" t="s">
        <v>618</v>
      </c>
      <c r="H2" s="15" t="s">
        <v>619</v>
      </c>
      <c r="I2" s="16">
        <v>1812.66</v>
      </c>
      <c r="J2" s="15" t="s">
        <v>620</v>
      </c>
      <c r="K2" s="15" t="s">
        <v>621</v>
      </c>
      <c r="L2" s="15" t="s">
        <v>622</v>
      </c>
      <c r="M2" s="15">
        <v>183.06</v>
      </c>
      <c r="N2" s="15">
        <v>6</v>
      </c>
      <c r="O2" s="16">
        <v>215</v>
      </c>
      <c r="P2" s="15" t="s">
        <v>623</v>
      </c>
      <c r="Q2" s="15">
        <v>15.41</v>
      </c>
      <c r="R2" s="15" t="s">
        <v>624</v>
      </c>
      <c r="S2" s="15">
        <v>4000</v>
      </c>
      <c r="T2" s="15" t="s">
        <v>625</v>
      </c>
      <c r="U2" s="15">
        <v>0</v>
      </c>
      <c r="V2" s="15">
        <v>21.97</v>
      </c>
      <c r="W2" s="15">
        <v>0</v>
      </c>
      <c r="X2" s="15">
        <v>0</v>
      </c>
      <c r="Y2" s="15">
        <v>0.91</v>
      </c>
      <c r="Z2" s="15">
        <v>0</v>
      </c>
      <c r="AA2" s="15">
        <v>2492.08</v>
      </c>
      <c r="AB2" s="15">
        <v>-2309.02</v>
      </c>
      <c r="AC2" s="15">
        <v>47.6</v>
      </c>
      <c r="AD2" s="15">
        <v>-2356.62</v>
      </c>
      <c r="AE2" s="15">
        <v>0</v>
      </c>
      <c r="AF2" s="15">
        <v>-2356.62</v>
      </c>
      <c r="AG2" s="17">
        <v>-12.8735</v>
      </c>
      <c r="AH2" s="15"/>
    </row>
    <row r="3" spans="1:34" s="1" customFormat="1" ht="12" customHeight="1" x14ac:dyDescent="0.3">
      <c r="A3" s="13">
        <v>305245</v>
      </c>
      <c r="B3" s="12" t="s">
        <v>616</v>
      </c>
      <c r="C3" s="14">
        <v>46305</v>
      </c>
      <c r="D3" s="14">
        <v>46305</v>
      </c>
      <c r="E3" s="12"/>
      <c r="F3" s="15" t="s">
        <v>626</v>
      </c>
      <c r="G3" s="15" t="s">
        <v>627</v>
      </c>
      <c r="H3" s="15" t="s">
        <v>619</v>
      </c>
      <c r="I3" s="16">
        <v>19502.28</v>
      </c>
      <c r="J3" s="15" t="s">
        <v>628</v>
      </c>
      <c r="K3" s="15" t="s">
        <v>621</v>
      </c>
      <c r="L3" s="15" t="s">
        <v>629</v>
      </c>
      <c r="M3" s="16">
        <v>5521.44</v>
      </c>
      <c r="N3" s="15">
        <v>70</v>
      </c>
      <c r="O3" s="16">
        <v>142.52000000000001</v>
      </c>
      <c r="P3" s="15" t="s">
        <v>630</v>
      </c>
      <c r="Q3" s="15">
        <v>33.26</v>
      </c>
      <c r="R3" s="15" t="s">
        <v>631</v>
      </c>
      <c r="S3" s="15">
        <v>0</v>
      </c>
      <c r="T3" s="15" t="s">
        <v>625</v>
      </c>
      <c r="U3" s="15">
        <v>0</v>
      </c>
      <c r="V3" s="15">
        <v>662.57</v>
      </c>
      <c r="W3" s="15">
        <v>0</v>
      </c>
      <c r="X3" s="15">
        <v>0</v>
      </c>
      <c r="Y3" s="15">
        <v>9.75</v>
      </c>
      <c r="Z3" s="15">
        <v>0</v>
      </c>
      <c r="AA3" s="16">
        <v>2300.12</v>
      </c>
      <c r="AB3" s="16">
        <v>3221.32</v>
      </c>
      <c r="AC3" s="15">
        <v>1435.57</v>
      </c>
      <c r="AD3" s="15">
        <v>1785.75</v>
      </c>
      <c r="AE3" s="15">
        <v>0</v>
      </c>
      <c r="AF3" s="15">
        <v>1785.75</v>
      </c>
      <c r="AG3" s="17">
        <v>0.32340000000000002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5704.5</v>
      </c>
      <c r="F3" s="89"/>
      <c r="G3" s="90"/>
      <c r="H3" s="133">
        <f>'Resumo Detalhado'!C2</f>
        <v>357.52</v>
      </c>
      <c r="I3" s="134"/>
      <c r="J3" s="135">
        <f>E3/H3</f>
        <v>15.955750727232044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0.10214857142857142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4048.67</v>
      </c>
      <c r="F7" s="112"/>
      <c r="G7" s="112"/>
      <c r="H7" s="112"/>
      <c r="I7" s="112"/>
      <c r="J7" s="112">
        <f>E7/H3</f>
        <v>11.324317520698143</v>
      </c>
      <c r="K7" s="112"/>
      <c r="L7" s="112"/>
      <c r="M7" s="130">
        <f>E7/E3</f>
        <v>0.70973266719256733</v>
      </c>
      <c r="N7" s="130"/>
      <c r="O7" s="130"/>
      <c r="P7" s="112">
        <f>E11+K11+Q11+E15+K15+Q15+E19+H19+K19</f>
        <v>6112.95</v>
      </c>
      <c r="Q7" s="112"/>
      <c r="R7" s="112"/>
      <c r="S7" s="112">
        <f>P7/H3</f>
        <v>17.098204296263148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4000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4000</v>
      </c>
      <c r="L11" s="90"/>
      <c r="M11" s="38"/>
      <c r="N11" s="88">
        <f>K11/H3</f>
        <v>11.188185276348177</v>
      </c>
      <c r="O11" s="90"/>
      <c r="P11" s="38"/>
      <c r="Q11" s="88">
        <f>'Resumo Detalhado'!D2</f>
        <v>48.67</v>
      </c>
      <c r="R11" s="90"/>
      <c r="S11" s="38"/>
      <c r="T11" s="88">
        <f>Q11/H3</f>
        <v>0.13613224434996646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684.54000000000008</v>
      </c>
      <c r="F15" s="119"/>
      <c r="G15" s="119"/>
      <c r="H15" s="119"/>
      <c r="I15" s="132"/>
      <c r="J15" s="38"/>
      <c r="K15" s="113">
        <f>'Resumo Detalhado'!K2+'Resumo Detalhado'!L2</f>
        <v>912.71999999999991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10.66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456.35999999999996</v>
      </c>
      <c r="L19" s="123"/>
      <c r="M19" s="38"/>
      <c r="N19" s="121" t="s">
        <v>632</v>
      </c>
      <c r="O19" s="119"/>
      <c r="P19" s="119"/>
      <c r="Q19" s="119"/>
      <c r="R19" s="120"/>
      <c r="S19" s="121">
        <v>3800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504.27000000000044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8.8398632658427637E-2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5704.5</v>
      </c>
      <c r="C2" s="29">
        <f>SUM(C6:C5000)</f>
        <v>357.52</v>
      </c>
      <c r="D2" s="29">
        <f>SUM(D6:D5000)</f>
        <v>48.67</v>
      </c>
      <c r="E2" s="29">
        <f>SUM(E6:E5000)</f>
        <v>4000</v>
      </c>
      <c r="F2" s="29">
        <f>SUM(F6:F5000)</f>
        <v>0</v>
      </c>
      <c r="G2" s="29"/>
      <c r="H2" s="29">
        <f t="shared" ref="H2:P2" si="0">SUM(H6:H5000)</f>
        <v>684.54000000000008</v>
      </c>
      <c r="I2" s="29">
        <f t="shared" si="0"/>
        <v>10.66</v>
      </c>
      <c r="J2" s="29">
        <f t="shared" si="0"/>
        <v>0</v>
      </c>
      <c r="K2" s="29">
        <f t="shared" si="0"/>
        <v>456.35999999999996</v>
      </c>
      <c r="L2" s="29">
        <f t="shared" si="0"/>
        <v>456.35999999999996</v>
      </c>
      <c r="M2" s="29">
        <f t="shared" si="0"/>
        <v>0</v>
      </c>
      <c r="N2" s="29">
        <f t="shared" si="0"/>
        <v>504.27000000000044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627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305245</v>
      </c>
      <c r="B6" s="140">
        <v>5521.44</v>
      </c>
      <c r="C6" s="141">
        <v>142.52000000000001</v>
      </c>
      <c r="D6" s="140">
        <v>33.26</v>
      </c>
      <c r="E6" s="140">
        <v>0</v>
      </c>
      <c r="F6" s="140">
        <v>0</v>
      </c>
      <c r="G6" s="142">
        <v>6.0237908951288072E-3</v>
      </c>
      <c r="H6" s="140">
        <v>662.57</v>
      </c>
      <c r="I6" s="140">
        <v>9.75</v>
      </c>
      <c r="J6" s="140">
        <v>0</v>
      </c>
      <c r="K6" s="140">
        <v>441.71519999999998</v>
      </c>
      <c r="L6" s="140">
        <v>441.71519999999998</v>
      </c>
      <c r="M6" s="140">
        <v>0</v>
      </c>
      <c r="N6" s="140">
        <v>4374.1448</v>
      </c>
      <c r="O6" s="142">
        <v>0.79221087252600775</v>
      </c>
      <c r="Q6"/>
    </row>
    <row r="7" spans="1:18" s="31" customFormat="1" x14ac:dyDescent="0.3">
      <c r="A7" s="13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305008</v>
      </c>
      <c r="B8" s="140">
        <v>183.06</v>
      </c>
      <c r="C8" s="141">
        <v>215</v>
      </c>
      <c r="D8" s="140">
        <v>15.41</v>
      </c>
      <c r="E8" s="140">
        <v>4000</v>
      </c>
      <c r="F8" s="140">
        <v>0</v>
      </c>
      <c r="G8" s="142">
        <v>21.934939364142902</v>
      </c>
      <c r="H8" s="140">
        <v>21.97</v>
      </c>
      <c r="I8" s="140">
        <v>0.91</v>
      </c>
      <c r="J8" s="140">
        <v>0</v>
      </c>
      <c r="K8" s="140">
        <v>14.6448</v>
      </c>
      <c r="L8" s="140">
        <v>14.6448</v>
      </c>
      <c r="M8" s="140">
        <v>0</v>
      </c>
      <c r="N8" s="140">
        <v>-3869.8747999999996</v>
      </c>
      <c r="O8" s="142">
        <v>-21.139925707418332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183.06</v>
      </c>
      <c r="C2" s="29">
        <f>SUM(C6:C5000)</f>
        <v>-3869.8747999999996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627</v>
      </c>
      <c r="B5" s="10">
        <v>5521.44</v>
      </c>
      <c r="C5" s="10">
        <v>4374.1448</v>
      </c>
    </row>
    <row r="6" spans="1:4" x14ac:dyDescent="0.3">
      <c r="A6" s="139" t="s">
        <v>618</v>
      </c>
      <c r="B6" s="140">
        <v>183.06</v>
      </c>
      <c r="C6" s="140">
        <v>-3869.8747999999996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3" t="s">
        <v>632</v>
      </c>
      <c r="D395" s="87">
        <v>3800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2026-10-15T16:56:02Z</dcterms:modified>
  <cp:category/>
  <cp:contentStatus/>
</cp:coreProperties>
</file>