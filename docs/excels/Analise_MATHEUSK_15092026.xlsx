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7003EAF-2C03-406D-A9F6-A5DB782B862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<sst xmlns="http://schemas.openxmlformats.org/spreadsheetml/2006/main" count="875" uniqueCount="602">
  <si>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</si>
  <si>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</si>
  <si>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</si>
  <si>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</si>
  <si>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</si>
  <si>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</si>
  <si>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</si>
  <si>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</si>
  <si>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</si>
  <si>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</si>
  <si>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</si>
  <si>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</si>
  <si>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</si>
  <si>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</si>
  <si>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</si>
  <si>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</si>
  <si>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</si>
  <si>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</si>
  <si>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</si>
  <si>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</si>
  <si>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</si>
  <si>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</si>
  <si>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</si>
  <si>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</si>
  <si>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</si>
  <si>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</si>
  <si>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</si>
  <si>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</si>
  <si>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</si>
  <si>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</si>
  <si>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</si>
  <si>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</si>
  <si>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</si>
  <si>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</si>
  <si>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</si>
  <si>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</si>
  <si>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</si>
  <si>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</si>
  <si>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</si>
  <si>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</si>
  <si>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</si>
  <si>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</si>
  <si>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</si>
  <si>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</si>
  <si>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</si>
  <si>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</si>
  <si>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</si>
  <si>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</si>
  <si>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</si>
  <si>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</si>
  <si>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</si>
  <si>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</si>
  <si>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</si>
  <si>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</si>
  <si>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</si>
  <si>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</si>
  <si>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</si>
  <si>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</si>
  <si>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</si>
  <si>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</si>
  <si>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</si>
  <si>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</si>
  <si>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</si>
  <si>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</si>
  <si>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</si>
  <si>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</si>
  <si>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</si>
  <si>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</si>
  <si>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</si>
  <si>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</si>
  <si>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</si>
  <si>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</si>
  <si>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</si>
  <si>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</si>
  <si>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</si>
  <si>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</si>
  <si>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</si>
  <si>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</si>
  <si>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</si>
  <si>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</si>
  <si>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</si>
  <si>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</si>
  <si>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</si>
  <si>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</si>
  <si>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</si>
  <si>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</si>
  <si>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</si>
  <si>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</si>
  <si>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</si>
  <si>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</si>
  <si>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</si>
  <si>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</si>
  <si>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</si>
  <si>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</si>
  <si>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</si>
  <si>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</si>
  <si>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</si>
  <si>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</si>
  <si>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</si>
  <si>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</si>
  <si>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</si>
  <si>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</si>
  <si>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</si>
  <si>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</si>
  <si>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</si>
  <si>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</si>
  <si>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</si>
  <si>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</si>
  <si>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</si>
  <si>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</si>
  <si>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</si>
  <si>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</si>
  <si>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</si>
  <si>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</si>
  <si>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</si>
  <si>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</si>
  <si>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</si>
  <si>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</si>
  <si>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</si>
  <si>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</si>
  <si>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</si>
  <si>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</si>
  <si>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</si>
  <si>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</si>
  <si>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</si>
  <si>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</si>
  <si>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</si>
  <si>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</si>
  <si>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</si>
  <si>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</si>
  <si>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</si>
  <si>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</si>
  <si>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</si>
  <si>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</si>
  <si>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</si>
  <si>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</si>
  <si>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</si>
  <si>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</si>
  <si>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</si>
  <si>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</si>
  <si>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</si>
  <si>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</si>
  <si>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</si>
  <si>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</si>
  <si>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</si>
  <si>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</si>
  <si>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</si>
  <si>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</si>
  <si>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</si>
  <si>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</si>
  <si>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</si>
  <si>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</si>
  <si>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</si>
  <si>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</si>
  <si>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</si>
  <si>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</si>
  <si>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</si>
  <si>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</si>
  <si>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</si>
  <si>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</si>
  <si>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</si>
  <si>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</si>
  <si>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</si>
  <si>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</si>
  <si>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</si>
  <si>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</si>
  <si>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</si>
  <si>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</si>
  <si>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</si>
  <si>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</si>
  <si>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</si>
  <si>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</si>
  <si>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</si>
  <si>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</si>
  <si>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</si>
  <si>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</si>
  <si>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</si>
  <si>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</si>
  <si>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</si>
  <si>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</si>
  <si>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</si>
  <si>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</si>
  <si>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</si>
  <si>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</si>
  <si>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</si>
  <si>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</si>
  <si>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</si>
  <si>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</si>
  <si>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</si>
  <si>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</si>
  <si>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</si>
  <si>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</si>
  <si>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</si>
  <si>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</si>
  <si>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</si>
  <si>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</si>
  <si>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</si>
  <si>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</si>
  <si>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</si>
  <si>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</si>
  <si>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</si>
  <si>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</si>
  <si>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</si>
  <si>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</si>
  <si>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</si>
  <si>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</si>
  <si>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</si>
  <si>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</si>
  <si>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</si>
  <si>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</si>
  <si>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</si>
  <si>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</si>
  <si>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</si>
  <si>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</si>
  <si>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</si>
  <si>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</si>
  <si>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</si>
  <si>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</si>
  <si>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</si>
  <si>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</si>
  <si>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</si>
  <si>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</si>
  <si>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</si>
  <si>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</si>
  <si>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</si>
  <si>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</si>
  <si>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</si>
  <si>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</si>
  <si>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</si>
  <si>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</si>
  <si>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</si>
  <si>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</si>
  <si>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</si>
  <si>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</si>
  <si>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</si>
  <si>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</si>
  <si>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</si>
  <si>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</si>
  <si>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</si>
  <si>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</si>
  <si>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</si>
  <si>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</si>
  <si>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</si>
  <si>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</si>
  <si>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</si>
  <si>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</si>
  <si>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</si>
  <si>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</si>
  <si>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</si>
  <si>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</si>
  <si>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</si>
  <si>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</si>
  <si>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</si>
  <si>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</si>
  <si>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</si>
  <si>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</si>
  <si>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</si>
  <si>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</si>
  <si>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</si>
  <si>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</si>
  <si>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</si>
  <si>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</si>
  <si>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</si>
  <si>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</si>
  <si>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</si>
  <si>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</si>
  <si>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</si>
  <si>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</si>
  <si>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</si>
  <si>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</si>
  <si>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</si>
  <si>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</si>
  <si>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</si>
  <si>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</si>
  <si>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</si>
  <si>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</si>
  <si>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</si>
  <si>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</si>
  <si>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</si>
  <si>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</si>
  <si>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</si>
  <si>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</si>
  <si>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</si>
  <si>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</si>
  <si>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</si>
  <si>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</si>
  <si>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</si>
  <si>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</si>
  <si>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</si>
  <si>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</si>
  <si>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</si>
  <si>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</si>
  <si>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</si>
  <si>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</si>
  <si>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</si>
  <si>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</si>
  <si>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</si>
  <si>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</si>
  <si>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</si>
  <si>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</si>
  <si>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</si>
  <si>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</si>
  <si>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</si>
  <si>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</si>
  <si>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</si>
  <si>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</si>
  <si>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</si>
  <si>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</si>
  <si>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</si>
  <si>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</si>
  <si>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</si>
  <si>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</si>
  <si>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</si>
  <si>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</si>
  <si>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</si>
  <si>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</si>
  <si>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</si>
  <si>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</si>
  <si>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</si>
  <si>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</si>
  <si>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</si>
  <si>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</si>
  <si>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</si>
  <si>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</si>
  <si>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</si>
  <si>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</si>
  <si>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</si>
  <si>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</si>
  <si>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</si>
  <si>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</si>
  <si>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</si>
  <si>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</si>
  <si>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</si>
  <si>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</si>
  <si>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</si>
  <si>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</si>
  <si>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</si>
  <si>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</si>
  <si>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</si>
  <si>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</si>
  <si>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</si>
  <si>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</si>
  <si>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</si>
  <si>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</si>
  <si>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</si>
  <si>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</si>
  <si>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</si>
  <si>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</si>
  <si>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</si>
  <si>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</si>
  <si>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</si>
  <si>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</si>
  <si>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</si>
  <si>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</si>
  <si>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</si>
  <si>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</si>
  <si>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</si>
  <si>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</si>
  <si>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</si>
  <si>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</si>
  <si>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</si>
  <si>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</si>
  <si>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</si>
  <si>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</si>
  <si>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</si>
  <si>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</si>
  <si>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</si>
  <si>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</si>
  <si>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</si>
  <si>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</si>
  <si>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</si>
  <si>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</si>
  <si>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</si>
  <si>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</si>
  <si>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</si>
  <si>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</si>
  <si>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</si>
  <si>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</si>
  <si>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</si>
  <si>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</si>
  <si>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</si>
  <si>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</si>
  <si>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</si>
  <si>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</si>
  <si>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</si>
  <si>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</si>
  <si>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</si>
  <si>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</si>
  <si>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</si>
  <si>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</si>
  <si>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</si>
  <si>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</si>
  <si>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</si>
  <si>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</si>
  <si>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</si>
  <si>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</si>
  <si>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</si>
  <si>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</si>
  <si>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</si>
  <si>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</si>
  <si>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</si>
  <si>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</si>
  <si>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</si>
  <si>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</si>
  <si>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</si>
  <si>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</si>
  <si>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</si>
  <si>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</si>
  <si>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</si>
  <si>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</si>
  <si>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</si>
  <si>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</si>
  <si>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</si>
  <si>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</si>
  <si>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</si>
  <si>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</si>
  <si>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</si>
  <si>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</si>
  <si>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</si>
  <si>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</si>
  <si>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</si>
  <si>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</si>
  <si>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</si>
  <si>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</si>
  <si>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</si>
  <si>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</si>
  <si>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</si>
  <si>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</si>
  <si>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</si>
  <si>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</si>
  <si>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</si>
  <si>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</si>
  <si>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</si>
  <si>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</si>
  <si>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</si>
  <si>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</si>
  <si>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</si>
  <si>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</si>
  <si>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</si>
  <si>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</si>
  <si>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</si>
  <si>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</si>
  <si>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</si>
  <si>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</si>
  <si>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</si>
  <si>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</si>
  <si>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</si>
  <si>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</si>
  <si>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</si>
  <si>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</si>
  <si>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</si>
  <si>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</si>
  <si>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</si>
  <si>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</si>
  <si>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</si>
  <si>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</si>
  <si>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</si>
  <si>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</si>
  <si>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</si>
  <si>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</si>
  <si>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</si>
  <si>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</si>
  <si>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</si>
  <si>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</si>
  <si>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</si>
  <si>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</si>
  <si>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</si>
  <si>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</si>
  <si>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</si>
  <si>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</si>
  <si>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</si>
  <si>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</si>
  <si>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</si>
  <si>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</si>
  <si>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</si>
  <si>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</si>
  <si>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</si>
  <si>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</si>
  <si>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</si>
  <si>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</si>
  <si>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</si>
  <si>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</si>
  <si>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</si>
  <si>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</si>
  <si>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</si>
  <si>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</si>
  <si>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</si>
  <si>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</si>
  <si>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</si>
  <si>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</si>
  <si>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</si>
  <si>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</si>
  <si>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</si>
  <si>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</si>
  <si>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</si>
  <si>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</si>
  <si>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</si>
  <si>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</si>
  <si>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</si>
  <si>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</si>
  <si>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</si>
  <si>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</si>
  <si>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</si>
  <si>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</si>
  <si>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</si>
  <si>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</si>
  <si>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</si>
  <si>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</si>
  <si>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</si>
  <si>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</si>
  <si>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</si>
  <si>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</si>
  <si>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</si>
  <si>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</si>
  <si>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</si>
  <si>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</si>
  <si>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</si>
  <si>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</si>
  <si>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</si>
  <si>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</si>
  <si>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</si>
  <si>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</si>
  <si>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</si>
  <si>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</si>
  <si>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</si>
  <si>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</si>
  <si>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</si>
  <si>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</si>
  <si>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</si>
  <si>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</si>
  <si>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</si>
  <si>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</si>
  <si>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</si>
  <si>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</si>
  <si>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</si>
  <si>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</si>
  <si>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</si>
  <si>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</si>
  <si>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</si>
  <si>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</si>
  <si>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</si>
  <si>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</si>
  <si>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</si>
  <si>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</si>
  <si>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</si>
  <si>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</si>
  <si>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</si>
  <si>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</si>
  <si>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</si>
  <si>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</si>
  <si>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</si>
  <si>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</si>
  <si>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</si>
  <si>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</si>
  <si>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</si>
  <si>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</si>
  <si>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</si>
  <si>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</si>
  <si>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</si>
  <si>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</si>
  <si>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</si>
  <si>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</si>
  <si>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</si>
  <si>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</si>
  <si>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</si>
  <si>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</si>
  <si>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</si>
  <si>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</si>
  <si>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</si>
  <si>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</si>
  <si>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</si>
  <si>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</si>
  <si>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</si>
  <si>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</si>
  <si>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</si>
  <si>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</si>
  <si>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</si>
  <si>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</si>
  <si>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</si>
  <si>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</si>
  <si>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</si>
  <si>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</si>
  <si>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</si>
  <si>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</si>
  <si>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MATRIZ</t>
  </si>
  <si>
    <t>3053-1</t>
  </si>
  <si>
    <t>AC COMERCIAL IM</t>
  </si>
  <si>
    <t>TIAGO SANTANA</t>
  </si>
  <si>
    <t>PERSONALIZADO</t>
  </si>
  <si>
    <t>CTE NORMAL</t>
  </si>
  <si>
    <t>BAYEUX - PB</t>
  </si>
  <si>
    <t>N/D</t>
  </si>
  <si>
    <t>REITER TRANSPORTES EIRELI</t>
  </si>
  <si>
    <t>3055-1</t>
  </si>
  <si>
    <t>MAC FER INDUSTR</t>
  </si>
  <si>
    <t>FRANCISCO GILAILTON/SABRI</t>
  </si>
  <si>
    <t>ECONOMICO_250</t>
  </si>
  <si>
    <t>GUARULHOS - SP</t>
  </si>
  <si>
    <t>SILVIO DA COSTA SOLANO</t>
  </si>
  <si>
    <t>JURACI FERREIRA DOS SANTO</t>
  </si>
  <si>
    <t>Navegantes-Sc X Bayeux-Pbtoco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</si>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</sst>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[Analise_MATHEUSK_15092026.xlsx]Resumo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23696.11</c:v>
                </c:pt>
                <c:pt idx="1">
                  <c:v>105.03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20086.7412</c:v>
                </c:pt>
                <c:pt idx="1">
                  <c:v>39.817600000000006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[Analise_MATHEUSK_15092026.xlsx]Resumo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23696.11</c:v>
                </c:pt>
                <c:pt idx="1">
                  <c:v>105.03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20086.7412</c:v>
                </c:pt>
                <c:pt idx="1">
                  <c:v>39.817600000000006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56238426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53"/>
        <n v="315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6T00:00:00"/>
    </cacheField>
    <cacheField name="DATA" numFmtId="14">
      <sharedItems containsNonDate="0" containsDate="1" containsString="0" containsBlank="1" minDate="2026-09-15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69.6799999999998" maxValue="137386.66"/>
    </cacheField>
    <cacheField name="SERVICO" numFmtId="0">
      <sharedItems containsBlank="1" count="27">
        <s v="PERSONALIZADO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5.03" maxValue="23696.11"/>
    </cacheField>
    <cacheField name="VOLUMES" numFmtId="0">
      <sharedItems containsString="0" containsBlank="1" containsNumber="1" containsInteger="1" minValue="3" maxValue="6"/>
    </cacheField>
    <cacheField name="PESO" numFmtId="0">
      <sharedItems containsString="0" containsBlank="1" containsNumber="1" minValue="33.69" maxValue="2136.6"/>
    </cacheField>
    <cacheField name="RESP. COLETA" numFmtId="0">
      <sharedItems containsBlank="1"/>
    </cacheField>
    <cacheField name="CUSTO COLETA" numFmtId="0">
      <sharedItems containsString="0" containsBlank="1" containsNumber="1" minValue="0" maxValue="3.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6" maxValue="1658.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1" maxValue="54.9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38.44999999999999" maxValue="20132.04"/>
    </cacheField>
    <cacheField name="RECEITA" numFmtId="0">
      <sharedItems containsString="0" containsBlank="1" containsNumber="1" minValue="-33.42" maxValue="3564.07"/>
    </cacheField>
    <cacheField name="IMPOSTO" numFmtId="0">
      <sharedItems containsString="0" containsBlank="1" containsNumber="1" minValue="16.8" maxValue="3791.38"/>
    </cacheField>
    <cacheField name="RESULTADO" numFmtId="0">
      <sharedItems containsString="0" containsBlank="1" containsNumber="1" minValue="-447.68" maxValue="-50.2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47.68" maxValue="-50.22"/>
    </cacheField>
    <cacheField name="MARGEM" numFmtId="10">
      <sharedItems containsString="0" containsBlank="1" containsNumber="1" minValue="-0.47810000000000002" maxValue="-1.8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5T00:00:00"/>
    <d v="2026-09-15T00:00:00"/>
    <m/>
    <s v="3053-1"/>
    <x v="0"/>
    <s v="TIAGO SANTANA"/>
    <n v="137386.66"/>
    <x v="0"/>
    <s v="CTE NORMAL"/>
    <s v="BAYEUX - PB"/>
    <n v="23696.11"/>
    <n v="6"/>
    <n v="2136.6"/>
    <s v="MATRIZ"/>
    <n v="0"/>
    <s v="N/D"/>
    <n v="0"/>
    <s v="REITER TRANSPORTES EIRELI"/>
    <n v="0"/>
    <n v="1658.73"/>
    <n v="0"/>
    <n v="0"/>
    <n v="54.95"/>
    <n v="0"/>
    <n v="20132.04"/>
    <n v="3564.07"/>
    <n v="3791.38"/>
    <n v="-447.68"/>
    <n v="0"/>
    <n v="-447.68"/>
    <n v="-1.89E-2"/>
    <m/>
  </r>
  <r>
    <x v="1"/>
    <s v="MATRIZ"/>
    <d v="2026-09-15T00:00:00"/>
    <d v="2026-09-15T00:00:00"/>
    <m/>
    <s v="3055-1"/>
    <x v="1"/>
    <s v="FRANCISCO GILAILTON/SABRI"/>
    <n v="2269.6799999999998"/>
    <x v="1"/>
    <s v="CTE NORMAL"/>
    <s v="GUARULHOS - SP"/>
    <n v="105.03"/>
    <n v="3"/>
    <n v="33.69"/>
    <s v="SILVIO DA COSTA SOLANO"/>
    <n v="3.3"/>
    <s v="JURACI FERREIRA DOS SANTO"/>
    <n v="40"/>
    <s v="REITER TRANSPORTES EIRELI"/>
    <n v="0"/>
    <n v="12.6"/>
    <n v="0"/>
    <n v="0"/>
    <n v="0.91"/>
    <n v="0"/>
    <n v="138.44999999999999"/>
    <n v="-33.42"/>
    <n v="16.8"/>
    <n v="-50.22"/>
    <n v="0"/>
    <n v="-50.22"/>
    <n v="-0.4781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8"/>
    </i>
    <i>
      <x v="46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3" totalsRowShown="0" headerRowDxfId="92" dataDxfId="90" headerRowBorderDxfId="91" tableBorderDxfId="89" totalsRowBorderDxfId="88">
  <autoFilter ref="A1:D373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3153</v>
      </c>
      <c r="B2" s="12" t="s">
        <v>584</v>
      </c>
      <c r="C2" s="14">
        <v>46280</v>
      </c>
      <c r="D2" s="14">
        <v>46280</v>
      </c>
      <c r="E2" s="12"/>
      <c r="F2" s="15" t="s">
        <v>585</v>
      </c>
      <c r="G2" s="15" t="s">
        <v>586</v>
      </c>
      <c r="H2" s="15" t="s">
        <v>587</v>
      </c>
      <c r="I2" s="16">
        <v>137386.66</v>
      </c>
      <c r="J2" s="15" t="s">
        <v>588</v>
      </c>
      <c r="K2" s="15" t="s">
        <v>589</v>
      </c>
      <c r="L2" s="15" t="s">
        <v>590</v>
      </c>
      <c r="M2" s="15">
        <v>23696.11</v>
      </c>
      <c r="N2" s="15">
        <v>6</v>
      </c>
      <c r="O2" s="16">
        <v>2136.6</v>
      </c>
      <c r="P2" s="15" t="s">
        <v>584</v>
      </c>
      <c r="Q2" s="15">
        <v>0</v>
      </c>
      <c r="R2" s="15" t="s">
        <v>591</v>
      </c>
      <c r="S2" s="15">
        <v>0</v>
      </c>
      <c r="T2" s="15" t="s">
        <v>592</v>
      </c>
      <c r="U2" s="15">
        <v>0</v>
      </c>
      <c r="V2" s="15">
        <v>1658.73</v>
      </c>
      <c r="W2" s="15">
        <v>0</v>
      </c>
      <c r="X2" s="15">
        <v>0</v>
      </c>
      <c r="Y2" s="15">
        <v>54.95</v>
      </c>
      <c r="Z2" s="15">
        <v>0</v>
      </c>
      <c r="AA2" s="15">
        <v>20132.04</v>
      </c>
      <c r="AB2" s="15">
        <v>3564.07</v>
      </c>
      <c r="AC2" s="15">
        <v>3791.38</v>
      </c>
      <c r="AD2" s="15">
        <v>-447.68</v>
      </c>
      <c r="AE2" s="15">
        <v>0</v>
      </c>
      <c r="AF2" s="15">
        <v>-447.68</v>
      </c>
      <c r="AG2" s="17">
        <v>-1.89E-2</v>
      </c>
      <c r="AH2" s="15"/>
    </row>
    <row r="3" spans="1:34" s="1" customFormat="1" ht="12" customHeight="1" x14ac:dyDescent="0.3">
      <c r="A3" s="13">
        <v>3154</v>
      </c>
      <c r="B3" s="12" t="s">
        <v>584</v>
      </c>
      <c r="C3" s="14">
        <v>46280</v>
      </c>
      <c r="D3" s="14">
        <v>46280</v>
      </c>
      <c r="E3" s="12"/>
      <c r="F3" s="15" t="s">
        <v>593</v>
      </c>
      <c r="G3" s="15" t="s">
        <v>594</v>
      </c>
      <c r="H3" s="15" t="s">
        <v>595</v>
      </c>
      <c r="I3" s="16">
        <v>2269.6799999999998</v>
      </c>
      <c r="J3" s="15" t="s">
        <v>596</v>
      </c>
      <c r="K3" s="15" t="s">
        <v>589</v>
      </c>
      <c r="L3" s="15" t="s">
        <v>597</v>
      </c>
      <c r="M3" s="16">
        <v>105.03</v>
      </c>
      <c r="N3" s="15">
        <v>3</v>
      </c>
      <c r="O3" s="16">
        <v>33.69</v>
      </c>
      <c r="P3" s="15" t="s">
        <v>598</v>
      </c>
      <c r="Q3" s="15">
        <v>3.3</v>
      </c>
      <c r="R3" s="15" t="s">
        <v>599</v>
      </c>
      <c r="S3" s="15">
        <v>40</v>
      </c>
      <c r="T3" s="15" t="s">
        <v>592</v>
      </c>
      <c r="U3" s="15">
        <v>0</v>
      </c>
      <c r="V3" s="15">
        <v>12.6</v>
      </c>
      <c r="W3" s="15">
        <v>0</v>
      </c>
      <c r="X3" s="15">
        <v>0</v>
      </c>
      <c r="Y3" s="15">
        <v>0.91</v>
      </c>
      <c r="Z3" s="15">
        <v>0</v>
      </c>
      <c r="AA3" s="16">
        <v>138.44999999999999</v>
      </c>
      <c r="AB3" s="16">
        <v>-33.42</v>
      </c>
      <c r="AC3" s="15">
        <v>16.8</v>
      </c>
      <c r="AD3" s="15">
        <v>-50.22</v>
      </c>
      <c r="AE3" s="15">
        <v>0</v>
      </c>
      <c r="AF3" s="15">
        <v>-50.22</v>
      </c>
      <c r="AG3" s="17">
        <v>-0.47810000000000002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23801.14</v>
      </c>
      <c r="F3" s="89"/>
      <c r="G3" s="90"/>
      <c r="H3" s="133">
        <f>'Resumo Detalhado'!C2</f>
        <v>2170.29</v>
      </c>
      <c r="I3" s="134"/>
      <c r="J3" s="135">
        <f>E3/H3</f>
        <v>10.966801671665998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0.36171500000000001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18503.3</v>
      </c>
      <c r="F7" s="112"/>
      <c r="G7" s="112"/>
      <c r="H7" s="112"/>
      <c r="I7" s="112"/>
      <c r="J7" s="112">
        <f>E7/H3</f>
        <v>8.5257269765791666</v>
      </c>
      <c r="K7" s="112"/>
      <c r="L7" s="112"/>
      <c r="M7" s="130">
        <f>E7/E3</f>
        <v>0.7774123424340178</v>
      </c>
      <c r="N7" s="130"/>
      <c r="O7" s="130"/>
      <c r="P7" s="112">
        <f>E11+K11+Q11+E15+K15+Q15+E19+H19+K19</f>
        <v>25942.763599999998</v>
      </c>
      <c r="Q7" s="112"/>
      <c r="R7" s="112"/>
      <c r="S7" s="112">
        <f>P7/H3</f>
        <v>11.953593114284265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18500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18500</v>
      </c>
      <c r="L11" s="90"/>
      <c r="M11" s="38"/>
      <c r="N11" s="88">
        <f>K11/H3</f>
        <v>8.5242064424569985</v>
      </c>
      <c r="O11" s="90"/>
      <c r="P11" s="38"/>
      <c r="Q11" s="88">
        <f>'Resumo Detalhado'!D2</f>
        <v>3.3</v>
      </c>
      <c r="R11" s="90"/>
      <c r="S11" s="38"/>
      <c r="T11" s="88">
        <f>Q11/H3</f>
        <v>1.5205341221680051E-3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1671.33</v>
      </c>
      <c r="F15" s="119"/>
      <c r="G15" s="119"/>
      <c r="H15" s="119"/>
      <c r="I15" s="132"/>
      <c r="J15" s="38"/>
      <c r="K15" s="113">
        <f>'Resumo Detalhado'!K2+'Resumo Detalhado'!L2</f>
        <v>3808.1824000000001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55.86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1904.0912000000001</v>
      </c>
      <c r="L19" s="123"/>
      <c r="M19" s="38"/>
      <c r="N19" s="121" t="s">
        <v>600</v>
      </c>
      <c r="O19" s="119"/>
      <c r="P19" s="119"/>
      <c r="Q19" s="119"/>
      <c r="R19" s="120"/>
      <c r="S19" s="121">
        <v>16500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20126.558799999999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0.84561322692946639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601</v>
      </c>
      <c r="F1" s="29"/>
    </row>
    <row r="2" spans="1:18" x14ac:dyDescent="0.3">
      <c r="B2" s="29">
        <f>SUM(B6:B5000)</f>
        <v>23801.14</v>
      </c>
      <c r="C2" s="29">
        <f>SUM(C6:C5000)</f>
        <v>2170.29</v>
      </c>
      <c r="D2" s="29">
        <f>SUM(D6:D5000)</f>
        <v>3.3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1671.33</v>
      </c>
      <c r="I2" s="29">
        <f t="shared" si="0"/>
        <v>55.86</v>
      </c>
      <c r="J2" s="29">
        <f t="shared" si="0"/>
        <v>0</v>
      </c>
      <c r="K2" s="29">
        <f t="shared" si="0"/>
        <v>1904.0912000000001</v>
      </c>
      <c r="L2" s="29">
        <f t="shared" si="0"/>
        <v>1904.0912000000001</v>
      </c>
      <c r="M2" s="29">
        <f t="shared" si="0"/>
        <v>0</v>
      </c>
      <c r="N2" s="29">
        <f t="shared" si="0"/>
        <v>20126.558799999999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3153</v>
      </c>
      <c r="B6" s="140">
        <v>23696.11</v>
      </c>
      <c r="C6" s="141">
        <v>2136.6</v>
      </c>
      <c r="D6" s="140">
        <v>0</v>
      </c>
      <c r="E6" s="140">
        <v>0</v>
      </c>
      <c r="F6" s="140">
        <v>0</v>
      </c>
      <c r="G6" s="142">
        <v>0</v>
      </c>
      <c r="H6" s="140">
        <v>1658.73</v>
      </c>
      <c r="I6" s="140">
        <v>54.95</v>
      </c>
      <c r="J6" s="140">
        <v>0</v>
      </c>
      <c r="K6" s="140">
        <v>1895.6888000000001</v>
      </c>
      <c r="L6" s="140">
        <v>1895.6888000000001</v>
      </c>
      <c r="M6" s="140">
        <v>0</v>
      </c>
      <c r="N6" s="140">
        <v>20086.7412</v>
      </c>
      <c r="O6" s="142">
        <v>0.8476809569165572</v>
      </c>
      <c r="Q6"/>
    </row>
    <row r="7" spans="1:18" s="31" customFormat="1" x14ac:dyDescent="0.3">
      <c r="A7" s="9" t="s">
        <v>594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3154</v>
      </c>
      <c r="B8" s="140">
        <v>105.03</v>
      </c>
      <c r="C8" s="141">
        <v>33.69</v>
      </c>
      <c r="D8" s="140">
        <v>3.3</v>
      </c>
      <c r="E8" s="140">
        <v>40</v>
      </c>
      <c r="F8" s="140">
        <v>0</v>
      </c>
      <c r="G8" s="142">
        <v>0.41226316290583642</v>
      </c>
      <c r="H8" s="140">
        <v>12.6</v>
      </c>
      <c r="I8" s="140">
        <v>0.91</v>
      </c>
      <c r="J8" s="140">
        <v>0</v>
      </c>
      <c r="K8" s="140">
        <v>8.4024000000000001</v>
      </c>
      <c r="L8" s="140">
        <v>8.4024000000000001</v>
      </c>
      <c r="M8" s="140">
        <v>0</v>
      </c>
      <c r="N8" s="140">
        <v>39.817600000000006</v>
      </c>
      <c r="O8" s="142">
        <v>0.37910692183185762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601</v>
      </c>
    </row>
    <row r="2" spans="1:4" x14ac:dyDescent="0.3">
      <c r="B2" s="29">
        <f>SUM(B6:B5000)</f>
        <v>105.03</v>
      </c>
      <c r="C2" s="29">
        <f>SUM(C6:C5000)</f>
        <v>39.817600000000006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586</v>
      </c>
      <c r="B5" s="10">
        <v>23696.11</v>
      </c>
      <c r="C5" s="10">
        <v>20086.7412</v>
      </c>
    </row>
    <row r="6" spans="1:4" x14ac:dyDescent="0.3">
      <c r="A6" s="9" t="s">
        <v>594</v>
      </c>
      <c r="B6" s="140">
        <v>105.03</v>
      </c>
      <c r="C6" s="140">
        <v>39.817600000000006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3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/>
      <c r="B373" s="68"/>
      <c r="C373" s="143" t="s">
        <v>600</v>
      </c>
      <c r="D373" s="87">
        <v>16500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2026-09-18T14:01:57Z</dcterms:modified>
  <cp:category/>
  <cp:contentStatus/>
</cp:coreProperties>
</file>