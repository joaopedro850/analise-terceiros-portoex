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7ACBC8B-2636-4313-B297-0CD84F8C3AB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<sst xmlns="http://schemas.openxmlformats.org/spreadsheetml/2006/main" count="857" uniqueCount="589">
  <si>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</si>
  <si>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</si>
  <si>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</si>
  <si>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</si>
  <si>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</si>
  <si>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</si>
  <si>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</si>
  <si>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</si>
  <si>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</si>
  <si>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</si>
  <si>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</si>
  <si>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</si>
  <si>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</si>
  <si>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</si>
  <si>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</si>
  <si>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</si>
  <si>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</si>
  <si>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</si>
  <si>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</si>
  <si>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</si>
  <si>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</si>
  <si>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</si>
  <si>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</si>
  <si>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</si>
  <si>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</si>
  <si>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</si>
  <si>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</si>
  <si>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</si>
  <si>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</si>
  <si>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</si>
  <si>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</si>
  <si>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</si>
  <si>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</si>
  <si>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</si>
  <si>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</si>
  <si>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</si>
  <si>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</si>
  <si>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</si>
  <si>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</si>
  <si>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</si>
  <si>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</si>
  <si>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</si>
  <si>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</si>
  <si>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</si>
  <si>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</si>
  <si>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</si>
  <si>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</si>
  <si>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</si>
  <si>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</si>
  <si>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</si>
  <si>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</si>
  <si>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</si>
  <si>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</si>
  <si>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</si>
  <si>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</si>
  <si>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</si>
  <si>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</si>
  <si>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</si>
  <si>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</si>
  <si>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</si>
  <si>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</si>
  <si>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</si>
  <si>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</si>
  <si>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</si>
  <si>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</si>
  <si>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</si>
  <si>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</si>
  <si>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</si>
  <si>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</si>
  <si>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</si>
  <si>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</si>
  <si>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</si>
  <si>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</si>
  <si>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</si>
  <si>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</si>
  <si>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</si>
  <si>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</si>
  <si>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</si>
  <si>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</si>
  <si>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</si>
  <si>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</si>
  <si>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</si>
  <si>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</si>
  <si>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</si>
  <si>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</si>
  <si>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</si>
  <si>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</si>
  <si>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</si>
  <si>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</si>
  <si>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</si>
  <si>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</si>
  <si>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</si>
  <si>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</si>
  <si>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</si>
  <si>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</si>
  <si>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</si>
  <si>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</si>
  <si>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</si>
  <si>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</si>
  <si>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</si>
  <si>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</si>
  <si>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</si>
  <si>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</si>
  <si>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</si>
  <si>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</si>
  <si>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</si>
  <si>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</si>
  <si>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</si>
  <si>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</si>
  <si>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</si>
  <si>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</si>
  <si>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</si>
  <si>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</si>
  <si>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</si>
  <si>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</si>
  <si>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</si>
  <si>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</si>
  <si>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</si>
  <si>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</si>
  <si>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</si>
  <si>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</si>
  <si>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</si>
  <si>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</si>
  <si>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</si>
  <si>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</si>
  <si>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</si>
  <si>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</si>
  <si>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</si>
  <si>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</si>
  <si>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</si>
  <si>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</si>
  <si>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</si>
  <si>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</si>
  <si>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</si>
  <si>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</si>
  <si>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</si>
  <si>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</si>
  <si>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</si>
  <si>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</si>
  <si>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</si>
  <si>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</si>
  <si>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</si>
  <si>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</si>
  <si>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</si>
  <si>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</si>
  <si>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</si>
  <si>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</si>
  <si>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</si>
  <si>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</si>
  <si>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</si>
  <si>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</si>
  <si>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</si>
  <si>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</si>
  <si>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</si>
  <si>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</si>
  <si>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</si>
  <si>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</si>
  <si>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</si>
  <si>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</si>
  <si>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</si>
  <si>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</si>
  <si>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</si>
  <si>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</si>
  <si>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</si>
  <si>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</si>
  <si>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</si>
  <si>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</si>
  <si>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</si>
  <si>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</si>
  <si>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</si>
  <si>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</si>
  <si>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</si>
  <si>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</si>
  <si>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</si>
  <si>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</si>
  <si>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</si>
  <si>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</si>
  <si>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</si>
  <si>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</si>
  <si>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</si>
  <si>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</si>
  <si>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</si>
  <si>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</si>
  <si>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</si>
  <si>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</si>
  <si>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</si>
  <si>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</si>
  <si>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</si>
  <si>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</si>
  <si>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</si>
  <si>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</si>
  <si>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</si>
  <si>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</si>
  <si>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</si>
  <si>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</si>
  <si>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</si>
  <si>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</si>
  <si>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</si>
  <si>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</si>
  <si>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</si>
  <si>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</si>
  <si>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</si>
  <si>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</si>
  <si>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</si>
  <si>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</si>
  <si>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</si>
  <si>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</si>
  <si>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</si>
  <si>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</si>
  <si>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</si>
  <si>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</si>
  <si>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</si>
  <si>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</si>
  <si>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</si>
  <si>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</si>
  <si>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</si>
  <si>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</si>
  <si>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</si>
  <si>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</si>
  <si>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</si>
  <si>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</si>
  <si>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</si>
  <si>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</si>
  <si>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</si>
  <si>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</si>
  <si>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</si>
  <si>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</si>
  <si>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</si>
  <si>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</si>
  <si>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</si>
  <si>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</si>
  <si>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</si>
  <si>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</si>
  <si>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</si>
  <si>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</si>
  <si>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</si>
  <si>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</si>
  <si>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</si>
  <si>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</si>
  <si>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</si>
  <si>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</si>
  <si>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</si>
  <si>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</si>
  <si>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</si>
  <si>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</si>
  <si>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</si>
  <si>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</si>
  <si>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</si>
  <si>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</si>
  <si>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</si>
  <si>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</si>
  <si>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</si>
  <si>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</si>
  <si>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</si>
  <si>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</si>
  <si>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</si>
  <si>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</si>
  <si>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</si>
  <si>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</si>
  <si>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</si>
  <si>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</si>
  <si>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</si>
  <si>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</si>
  <si>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</si>
  <si>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</si>
  <si>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</si>
  <si>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</si>
  <si>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</si>
  <si>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</si>
  <si>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</si>
  <si>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</si>
  <si>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</si>
  <si>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</si>
  <si>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</si>
  <si>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</si>
  <si>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</si>
  <si>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</si>
  <si>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</si>
  <si>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</si>
  <si>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</si>
  <si>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</si>
  <si>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</si>
  <si>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</si>
  <si>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</si>
  <si>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</si>
  <si>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</si>
  <si>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</si>
  <si>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</si>
  <si>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</si>
  <si>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</si>
  <si>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</si>
  <si>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</si>
  <si>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</si>
  <si>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</si>
  <si>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</si>
  <si>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</si>
  <si>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</si>
  <si>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</si>
  <si>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</si>
  <si>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</si>
  <si>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</si>
  <si>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</si>
  <si>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</si>
  <si>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</si>
  <si>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</si>
  <si>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</si>
  <si>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</si>
  <si>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</si>
  <si>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</si>
  <si>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</si>
  <si>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</si>
  <si>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</si>
  <si>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</si>
  <si>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</si>
  <si>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</si>
  <si>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</si>
  <si>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</si>
  <si>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</si>
  <si>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</si>
  <si>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</si>
  <si>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</si>
  <si>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</si>
  <si>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</si>
  <si>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</si>
  <si>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</si>
  <si>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</si>
  <si>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</si>
  <si>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</si>
  <si>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</si>
  <si>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</si>
  <si>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</si>
  <si>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</si>
  <si>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</si>
  <si>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</si>
  <si>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</si>
  <si>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</si>
  <si>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</si>
  <si>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</si>
  <si>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</si>
  <si>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</si>
  <si>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</si>
  <si>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</si>
  <si>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</si>
  <si>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</si>
  <si>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</si>
  <si>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</si>
  <si>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</si>
  <si>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</si>
  <si>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</si>
  <si>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</si>
  <si>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</si>
  <si>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</si>
  <si>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</si>
  <si>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</si>
  <si>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</si>
  <si>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</si>
  <si>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</si>
  <si>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</si>
  <si>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</si>
  <si>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</si>
  <si>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</si>
  <si>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</si>
  <si>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</si>
  <si>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</si>
  <si>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</si>
  <si>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</si>
  <si>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</si>
  <si>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</si>
  <si>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</si>
  <si>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</si>
  <si>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</si>
  <si>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</si>
  <si>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</si>
  <si>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</si>
  <si>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</si>
  <si>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</si>
  <si>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</si>
  <si>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</si>
  <si>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</si>
  <si>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</si>
  <si>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</si>
  <si>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</si>
  <si>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</si>
  <si>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</si>
  <si>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</si>
  <si>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</si>
  <si>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</si>
  <si>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</si>
  <si>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</si>
  <si>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</si>
  <si>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</si>
  <si>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</si>
  <si>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</si>
  <si>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</si>
  <si>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</si>
  <si>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</si>
  <si>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</si>
  <si>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</si>
  <si>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</si>
  <si>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</si>
  <si>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</si>
  <si>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</si>
  <si>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</si>
  <si>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</si>
  <si>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</si>
  <si>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</si>
  <si>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</si>
  <si>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</si>
  <si>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</si>
  <si>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</si>
  <si>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</si>
  <si>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</si>
  <si>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</si>
  <si>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</si>
  <si>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</si>
  <si>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</si>
  <si>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</si>
  <si>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</si>
  <si>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</si>
  <si>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</si>
  <si>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</si>
  <si>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</si>
  <si>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</si>
  <si>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</si>
  <si>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</si>
  <si>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</si>
  <si>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</si>
  <si>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</si>
  <si>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</si>
  <si>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</si>
  <si>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</si>
  <si>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</si>
  <si>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</si>
  <si>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</si>
  <si>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</si>
  <si>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</si>
  <si>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</si>
  <si>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</si>
  <si>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</si>
  <si>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</si>
  <si>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</si>
  <si>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</si>
  <si>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</si>
  <si>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</si>
  <si>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</si>
  <si>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</si>
  <si>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</si>
  <si>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</si>
  <si>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</si>
  <si>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</si>
  <si>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</si>
  <si>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</si>
  <si>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</si>
  <si>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</si>
  <si>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</si>
  <si>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</si>
  <si>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</si>
  <si>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</si>
  <si>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</si>
  <si>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</si>
  <si>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</si>
  <si>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</si>
  <si>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</si>
  <si>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</si>
  <si>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</si>
  <si>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</si>
  <si>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</si>
  <si>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</si>
  <si>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</si>
  <si>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</si>
  <si>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</si>
  <si>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</si>
  <si>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</si>
  <si>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</si>
  <si>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</si>
  <si>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</si>
  <si>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</si>
  <si>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</si>
  <si>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</si>
  <si>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</si>
  <si>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</si>
  <si>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</si>
  <si>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</si>
  <si>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</si>
  <si>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</si>
  <si>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</si>
  <si>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</si>
  <si>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</si>
  <si>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</si>
  <si>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</si>
  <si>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</si>
  <si>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</si>
  <si>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</si>
  <si>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</si>
  <si>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</si>
  <si>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</si>
  <si>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</si>
  <si>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</si>
  <si>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</si>
  <si>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</si>
  <si>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</si>
  <si>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</si>
  <si>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</si>
  <si>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</si>
  <si>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</si>
  <si>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</si>
  <si>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</si>
  <si>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</si>
  <si>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</si>
  <si>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</si>
  <si>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</si>
  <si>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</si>
  <si>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</si>
  <si>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</si>
  <si>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</si>
  <si>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</si>
  <si>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</si>
  <si>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</si>
  <si>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</si>
  <si>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</si>
  <si>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</si>
  <si>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</si>
  <si>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</si>
  <si>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</si>
  <si>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</si>
  <si>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</si>
  <si>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</si>
  <si>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</si>
  <si>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</si>
  <si>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</si>
  <si>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</si>
  <si>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</si>
  <si>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</si>
  <si>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</si>
  <si>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</si>
  <si>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</si>
  <si>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</si>
  <si>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</si>
  <si>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</si>
  <si>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</si>
  <si>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</si>
  <si>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</si>
  <si>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</si>
  <si>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</si>
  <si>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</si>
  <si>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</si>
  <si>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</si>
  <si>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</si>
  <si>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</si>
  <si>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</si>
  <si>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</si>
  <si>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</si>
  <si>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</si>
  <si>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</si>
  <si>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</si>
  <si>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</si>
  <si>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</si>
  <si>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</si>
  <si>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</si>
  <si>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</si>
  <si>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</si>
  <si>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</si>
  <si>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</si>
  <si>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</si>
  <si>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</si>
  <si>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</si>
  <si>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</si>
  <si>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</si>
  <si>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</si>
  <si>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</si>
  <si>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</si>
  <si>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</si>
  <si>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</si>
  <si>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</si>
  <si>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</si>
  <si>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</si>
  <si>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</si>
  <si>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</si>
  <si>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</si>
  <si>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</si>
  <si>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2848-1</t>
  </si>
  <si>
    <t>CRONOS LOGISTIC</t>
  </si>
  <si>
    <t>URIEL CORREA</t>
  </si>
  <si>
    <t>PERSONALIZADO_L</t>
  </si>
  <si>
    <t>CTE NORMAL</t>
  </si>
  <si>
    <t>GUARULHOS - SP</t>
  </si>
  <si>
    <t>JDM LOG TRANSPORTES LTDA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</si>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</sst>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1592.4399999999998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1592.4399999999998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43043472222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94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2T00:00:00" maxDate="2026-09-03T00:00:00"/>
    </cacheField>
    <cacheField name="DATA" numFmtId="14">
      <sharedItems containsNonDate="0" containsDate="1" containsString="0" containsBlank="1" minDate="2026-09-03T00:00:00" maxDate="2026-09-0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97873.38" maxValue="697873.38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6908" maxValue="6908"/>
    </cacheField>
    <cacheField name="VOLUMES" numFmtId="0">
      <sharedItems containsString="0" containsBlank="1" containsNumber="1" containsInteger="1" minValue="2" maxValue="2"/>
    </cacheField>
    <cacheField name="PESO" numFmtId="0">
      <sharedItems containsString="0" containsBlank="1" containsNumber="1" minValue="5944.63" maxValue="5944.6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200" maxValue="4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79.14999999999998" maxValue="279.14999999999998"/>
    </cacheField>
    <cacheField name="OUTROS" numFmtId="0">
      <sharedItems containsString="0" containsBlank="1" containsNumber="1" minValue="76.53" maxValue="76.53"/>
    </cacheField>
    <cacheField name="C.TOTAL" numFmtId="0">
      <sharedItems containsString="0" containsBlank="1" containsNumber="1" minValue="4555.68" maxValue="4555.68"/>
    </cacheField>
    <cacheField name="RECEITA" numFmtId="0">
      <sharedItems containsString="0" containsBlank="1" containsNumber="1" minValue="2352.3200000000002" maxValue="2352.3200000000002"/>
    </cacheField>
    <cacheField name="IMPOSTO" numFmtId="0">
      <sharedItems containsString="0" containsBlank="1" containsNumber="1" minValue="1105.28" maxValue="1105.28"/>
    </cacheField>
    <cacheField name="RESULTADO" numFmtId="0">
      <sharedItems containsString="0" containsBlank="1" containsNumber="1" minValue="1247.04" maxValue="1247.04"/>
    </cacheField>
    <cacheField name="COMIS" numFmtId="0">
      <sharedItems containsString="0" containsBlank="1" containsNumber="1" minValue="207.24" maxValue="207.24"/>
    </cacheField>
    <cacheField name="LUCRO LIQ" numFmtId="0">
      <sharedItems containsString="0" containsBlank="1" containsNumber="1" minValue="1039.8" maxValue="1039.8"/>
    </cacheField>
    <cacheField name="MARGEM" numFmtId="10">
      <sharedItems containsString="0" containsBlank="1" containsNumber="1" minValue="0.15049999999999999" maxValue="0.1504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2T00:00:00"/>
    <d v="2026-09-03T00:00:00"/>
    <m/>
    <s v="2848-1"/>
    <x v="0"/>
    <s v="URIEL CORREA"/>
    <n v="697873.38"/>
    <x v="0"/>
    <s v="CTE NORMAL"/>
    <s v="GUARULHOS - SP"/>
    <n v="6908"/>
    <n v="2"/>
    <n v="5944.63"/>
    <s v="MATRIZ"/>
    <n v="0"/>
    <s v="JDM LOG TRANSPORTES LTDA"/>
    <n v="4200"/>
    <s v="INDEFINIDO"/>
    <n v="0"/>
    <n v="0"/>
    <n v="0"/>
    <n v="0"/>
    <n v="279.14999999999998"/>
    <n v="76.53"/>
    <n v="4555.68"/>
    <n v="2352.3200000000002"/>
    <n v="1105.28"/>
    <n v="1247.04"/>
    <n v="207.24"/>
    <n v="1039.8"/>
    <n v="0.15049999999999999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18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18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3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2942</v>
      </c>
      <c r="B2" s="12" t="s">
        <v>579</v>
      </c>
      <c r="C2" s="14">
        <v>46267</v>
      </c>
      <c r="D2" s="14">
        <v>46268</v>
      </c>
      <c r="E2" s="12"/>
      <c r="F2" s="15" t="s">
        <v>580</v>
      </c>
      <c r="G2" s="15" t="s">
        <v>581</v>
      </c>
      <c r="H2" s="15" t="s">
        <v>582</v>
      </c>
      <c r="I2" s="16">
        <v>697873.38</v>
      </c>
      <c r="J2" s="15" t="s">
        <v>583</v>
      </c>
      <c r="K2" s="15" t="s">
        <v>584</v>
      </c>
      <c r="L2" s="15" t="s">
        <v>585</v>
      </c>
      <c r="M2" s="15">
        <v>6908</v>
      </c>
      <c r="N2" s="15">
        <v>2</v>
      </c>
      <c r="O2" s="16">
        <v>5944.63</v>
      </c>
      <c r="P2" s="15" t="s">
        <v>579</v>
      </c>
      <c r="Q2" s="15">
        <v>0</v>
      </c>
      <c r="R2" s="15" t="s">
        <v>586</v>
      </c>
      <c r="S2" s="15">
        <v>4200</v>
      </c>
      <c r="T2" s="15" t="s">
        <v>587</v>
      </c>
      <c r="U2" s="15">
        <v>0</v>
      </c>
      <c r="V2" s="15">
        <v>0</v>
      </c>
      <c r="W2" s="15">
        <v>0</v>
      </c>
      <c r="X2" s="15">
        <v>0</v>
      </c>
      <c r="Y2" s="15">
        <v>279.14999999999998</v>
      </c>
      <c r="Z2" s="15">
        <v>76.53</v>
      </c>
      <c r="AA2" s="15">
        <v>4555.68</v>
      </c>
      <c r="AB2" s="15">
        <v>2352.3200000000002</v>
      </c>
      <c r="AC2" s="15">
        <v>1105.28</v>
      </c>
      <c r="AD2" s="15">
        <v>1247.04</v>
      </c>
      <c r="AE2" s="15">
        <v>207.24</v>
      </c>
      <c r="AF2" s="15">
        <v>1039.8</v>
      </c>
      <c r="AG2" s="17">
        <v>0.15049999999999999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6908</v>
      </c>
      <c r="F3" s="93"/>
      <c r="G3" s="94"/>
      <c r="H3" s="95">
        <f>'Resumo Detalhado'!C2</f>
        <v>5944.63</v>
      </c>
      <c r="I3" s="96"/>
      <c r="J3" s="97">
        <f>E3/H3</f>
        <v>1.1620571843832164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0.54042090909090912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4100</v>
      </c>
      <c r="F7" s="109"/>
      <c r="G7" s="109"/>
      <c r="H7" s="109"/>
      <c r="I7" s="109"/>
      <c r="J7" s="109">
        <f>E7/H3</f>
        <v>0.68969809727434672</v>
      </c>
      <c r="K7" s="109"/>
      <c r="L7" s="109"/>
      <c r="M7" s="110">
        <f>E7/E3</f>
        <v>0.59351476548928783</v>
      </c>
      <c r="N7" s="110"/>
      <c r="O7" s="110"/>
      <c r="P7" s="109">
        <f>E11+K11+Q11+E15+K15+Q15+E19+H19+K19</f>
        <v>6137.07</v>
      </c>
      <c r="Q7" s="109"/>
      <c r="R7" s="109"/>
      <c r="S7" s="109">
        <f>P7/H3</f>
        <v>1.0323720736193842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0.68969809727434672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0</v>
      </c>
      <c r="F15" s="113"/>
      <c r="G15" s="113"/>
      <c r="H15" s="113"/>
      <c r="I15" s="114"/>
      <c r="J15" s="38"/>
      <c r="K15" s="116">
        <f>'Resumo Detalhado'!K2+'Resumo Detalhado'!L2</f>
        <v>1105.28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279.14999999999998</v>
      </c>
      <c r="F19" s="119"/>
      <c r="G19" s="38"/>
      <c r="H19" s="106">
        <v>100</v>
      </c>
      <c r="I19" s="108"/>
      <c r="J19" s="38"/>
      <c r="K19" s="106">
        <f>'Resumo Detalhado'!L2</f>
        <v>552.64</v>
      </c>
      <c r="L19" s="108"/>
      <c r="M19" s="38"/>
      <c r="N19" s="112" t="s">
        <v>285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1592.4399999999998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0.23052113491603934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6908</v>
      </c>
      <c r="C2" s="29">
        <f>SUM(C6:C5000)</f>
        <v>5944.63</v>
      </c>
      <c r="D2" s="29">
        <f>SUM(D6:D5000)</f>
        <v>0</v>
      </c>
      <c r="E2" s="29">
        <f>SUM(E6:E5000)</f>
        <v>4200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279.14999999999998</v>
      </c>
      <c r="J2" s="29">
        <f t="shared" si="0"/>
        <v>76.53</v>
      </c>
      <c r="K2" s="29">
        <f t="shared" si="0"/>
        <v>552.64</v>
      </c>
      <c r="L2" s="29">
        <f t="shared" si="0"/>
        <v>552.64</v>
      </c>
      <c r="M2" s="29">
        <f t="shared" si="0"/>
        <v>207.24</v>
      </c>
      <c r="N2" s="29">
        <f t="shared" si="0"/>
        <v>1592.4399999999998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2942</v>
      </c>
      <c r="B6" s="139">
        <v>6908</v>
      </c>
      <c r="C6" s="140">
        <v>5944.63</v>
      </c>
      <c r="D6" s="139">
        <v>0</v>
      </c>
      <c r="E6" s="139">
        <v>4200</v>
      </c>
      <c r="F6" s="139">
        <v>0</v>
      </c>
      <c r="G6" s="141">
        <v>0.6079907353792704</v>
      </c>
      <c r="H6" s="139">
        <v>0</v>
      </c>
      <c r="I6" s="139">
        <v>279.14999999999998</v>
      </c>
      <c r="J6" s="139">
        <v>76.53</v>
      </c>
      <c r="K6" s="139">
        <v>552.64</v>
      </c>
      <c r="L6" s="139">
        <v>552.64</v>
      </c>
      <c r="M6" s="139">
        <v>207.24</v>
      </c>
      <c r="N6" s="139">
        <v>1592.4399999999998</v>
      </c>
      <c r="O6" s="141">
        <v>0.23052113491603934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6908</v>
      </c>
      <c r="C5" s="10">
        <v>1592.4399999999998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2026-09-09T13:19:56Z</dcterms:modified>
  <cp:category/>
  <cp:contentStatus/>
</cp:coreProperties>
</file>