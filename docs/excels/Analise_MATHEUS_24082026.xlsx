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E610C59-0E1C-4D0F-A01C-AC93794E242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<sst xmlns="http://schemas.openxmlformats.org/spreadsheetml/2006/main" count="856" uniqueCount="590">
  <si>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</si>
  <si>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</si>
  <si>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</si>
  <si>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</si>
  <si>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</si>
  <si>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</si>
  <si>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</si>
  <si>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</si>
  <si>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</si>
  <si>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</si>
  <si>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</si>
  <si>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</si>
  <si>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</si>
  <si>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</si>
  <si>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</si>
  <si>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</si>
  <si>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</si>
  <si>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</si>
  <si>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</si>
  <si>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</si>
  <si>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</si>
  <si>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</si>
  <si>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</si>
  <si>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</si>
  <si>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</si>
  <si>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</si>
  <si>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</si>
  <si>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</si>
  <si>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</si>
  <si>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</si>
  <si>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</si>
  <si>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</si>
  <si>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</si>
  <si>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</si>
  <si>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</si>
  <si>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</si>
  <si>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</si>
  <si>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</si>
  <si>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</si>
  <si>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</si>
  <si>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</si>
  <si>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</si>
  <si>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</si>
  <si>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</si>
  <si>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</si>
  <si>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</si>
  <si>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</si>
  <si>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</si>
  <si>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</si>
  <si>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</si>
  <si>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</si>
  <si>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</si>
  <si>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</si>
  <si>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</si>
  <si>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</si>
  <si>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</si>
  <si>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</si>
  <si>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</si>
  <si>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</si>
  <si>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</si>
  <si>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</si>
  <si>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</si>
  <si>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</si>
  <si>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</si>
  <si>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</si>
  <si>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</si>
  <si>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</si>
  <si>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</si>
  <si>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</si>
  <si>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</si>
  <si>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</si>
  <si>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</si>
  <si>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</si>
  <si>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</si>
  <si>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</si>
  <si>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</si>
  <si>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</si>
  <si>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</si>
  <si>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</si>
  <si>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</si>
  <si>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</si>
  <si>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</si>
  <si>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</si>
  <si>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</si>
  <si>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</si>
  <si>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</si>
  <si>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</si>
  <si>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</si>
  <si>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</si>
  <si>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</si>
  <si>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</si>
  <si>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</si>
  <si>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</si>
  <si>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</si>
  <si>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</si>
  <si>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</si>
  <si>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</si>
  <si>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</si>
  <si>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</si>
  <si>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</si>
  <si>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</si>
  <si>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</si>
  <si>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</si>
  <si>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</si>
  <si>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</si>
  <si>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</si>
  <si>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</si>
  <si>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</si>
  <si>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</si>
  <si>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</si>
  <si>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</si>
  <si>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</si>
  <si>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</si>
  <si>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</si>
  <si>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</si>
  <si>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</si>
  <si>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</si>
  <si>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</si>
  <si>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</si>
  <si>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</si>
  <si>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</si>
  <si>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</si>
  <si>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</si>
  <si>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</si>
  <si>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</si>
  <si>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</si>
  <si>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</si>
  <si>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</si>
  <si>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</si>
  <si>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</si>
  <si>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</si>
  <si>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</si>
  <si>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</si>
  <si>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</si>
  <si>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</si>
  <si>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</si>
  <si>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</si>
  <si>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</si>
  <si>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</si>
  <si>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</si>
  <si>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</si>
  <si>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</si>
  <si>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</si>
  <si>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</si>
  <si>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</si>
  <si>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</si>
  <si>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</si>
  <si>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</si>
  <si>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</si>
  <si>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</si>
  <si>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</si>
  <si>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</si>
  <si>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</si>
  <si>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</si>
  <si>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</si>
  <si>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</si>
  <si>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</si>
  <si>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</si>
  <si>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</si>
  <si>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</si>
  <si>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</si>
  <si>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</si>
  <si>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</si>
  <si>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</si>
  <si>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</si>
  <si>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</si>
  <si>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</si>
  <si>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</si>
  <si>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</si>
  <si>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</si>
  <si>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</si>
  <si>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</si>
  <si>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</si>
  <si>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</si>
  <si>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</si>
  <si>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</si>
  <si>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</si>
  <si>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</si>
  <si>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</si>
  <si>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</si>
  <si>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</si>
  <si>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</si>
  <si>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</si>
  <si>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</si>
  <si>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</si>
  <si>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</si>
  <si>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</si>
  <si>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</si>
  <si>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</si>
  <si>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</si>
  <si>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</si>
  <si>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</si>
  <si>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</si>
  <si>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</si>
  <si>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</si>
  <si>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</si>
  <si>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</si>
  <si>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</si>
  <si>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</si>
  <si>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</si>
  <si>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</si>
  <si>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</si>
  <si>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</si>
  <si>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</si>
  <si>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</si>
  <si>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</si>
  <si>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</si>
  <si>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</si>
  <si>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</si>
  <si>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</si>
  <si>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</si>
  <si>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</si>
  <si>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</si>
  <si>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</si>
  <si>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</si>
  <si>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</si>
  <si>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</si>
  <si>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</si>
  <si>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</si>
  <si>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</si>
  <si>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</si>
  <si>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</si>
  <si>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</si>
  <si>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</si>
  <si>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</si>
  <si>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</si>
  <si>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</si>
  <si>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</si>
  <si>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</si>
  <si>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</si>
  <si>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</si>
  <si>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</si>
  <si>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</si>
  <si>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</si>
  <si>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</si>
  <si>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</si>
  <si>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</si>
  <si>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</si>
  <si>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</si>
  <si>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</si>
  <si>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</si>
  <si>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</si>
  <si>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</si>
  <si>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</si>
  <si>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</si>
  <si>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</si>
  <si>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</si>
  <si>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</si>
  <si>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</si>
  <si>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</si>
  <si>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</si>
  <si>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</si>
  <si>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</si>
  <si>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</si>
  <si>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</si>
  <si>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</si>
  <si>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</si>
  <si>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</si>
  <si>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</si>
  <si>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</si>
  <si>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</si>
  <si>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</si>
  <si>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</si>
  <si>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</si>
  <si>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</si>
  <si>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</si>
  <si>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</si>
  <si>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</si>
  <si>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</si>
  <si>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</si>
  <si>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</si>
  <si>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</si>
  <si>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</si>
  <si>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</si>
  <si>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</si>
  <si>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</si>
  <si>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</si>
  <si>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</si>
  <si>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</si>
  <si>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</si>
  <si>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</si>
  <si>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</si>
  <si>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</si>
  <si>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</si>
  <si>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</si>
  <si>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</si>
  <si>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</si>
  <si>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</si>
  <si>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</si>
  <si>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</si>
  <si>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</si>
  <si>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</si>
  <si>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</si>
  <si>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</si>
  <si>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</si>
  <si>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</si>
  <si>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</si>
  <si>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</si>
  <si>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</si>
  <si>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</si>
  <si>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</si>
  <si>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</si>
  <si>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</si>
  <si>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</si>
  <si>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</si>
  <si>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</si>
  <si>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</si>
  <si>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</si>
  <si>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</si>
  <si>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</si>
  <si>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</si>
  <si>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</si>
  <si>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</si>
  <si>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</si>
  <si>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</si>
  <si>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</si>
  <si>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</si>
  <si>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</si>
  <si>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</si>
  <si>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</si>
  <si>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</si>
  <si>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</si>
  <si>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</si>
  <si>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</si>
  <si>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</si>
  <si>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</si>
  <si>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</si>
  <si>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</si>
  <si>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</si>
  <si>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</si>
  <si>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</si>
  <si>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</si>
  <si>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</si>
  <si>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</si>
  <si>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</si>
  <si>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</si>
  <si>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</si>
  <si>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</si>
  <si>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</si>
  <si>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</si>
  <si>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</si>
  <si>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</si>
  <si>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</si>
  <si>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</si>
  <si>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</si>
  <si>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</si>
  <si>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</si>
  <si>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</si>
  <si>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</si>
  <si>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</si>
  <si>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</si>
  <si>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</si>
  <si>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</si>
  <si>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</si>
  <si>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</si>
  <si>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</si>
  <si>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</si>
  <si>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</si>
  <si>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</si>
  <si>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</si>
  <si>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</si>
  <si>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</si>
  <si>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</si>
  <si>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</si>
  <si>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</si>
  <si>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</si>
  <si>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</si>
  <si>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</si>
  <si>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</si>
  <si>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</si>
  <si>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</si>
  <si>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</si>
  <si>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</si>
  <si>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</si>
  <si>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</si>
  <si>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</si>
  <si>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</si>
  <si>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</si>
  <si>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</si>
  <si>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</si>
  <si>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</si>
  <si>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</si>
  <si>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</si>
  <si>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</si>
  <si>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</si>
  <si>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</si>
  <si>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</si>
  <si>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</si>
  <si>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</si>
  <si>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</si>
  <si>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</si>
  <si>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</si>
  <si>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</si>
  <si>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</si>
  <si>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</si>
  <si>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</si>
  <si>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</si>
  <si>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</si>
  <si>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</si>
  <si>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</si>
  <si>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</si>
  <si>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</si>
  <si>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</si>
  <si>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</si>
  <si>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</si>
  <si>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</si>
  <si>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</si>
  <si>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</si>
  <si>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</si>
  <si>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</si>
  <si>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</si>
  <si>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</si>
  <si>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</si>
  <si>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</si>
  <si>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</si>
  <si>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</si>
  <si>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</si>
  <si>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</si>
  <si>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</si>
  <si>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</si>
  <si>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</si>
  <si>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</si>
  <si>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</si>
  <si>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</si>
  <si>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</si>
  <si>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</si>
  <si>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</si>
  <si>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</si>
  <si>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</si>
  <si>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</si>
  <si>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</si>
  <si>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</si>
  <si>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</si>
  <si>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</si>
  <si>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</si>
  <si>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</si>
  <si>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</si>
  <si>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</si>
  <si>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</si>
  <si>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</si>
  <si>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</si>
  <si>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</si>
  <si>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</si>
  <si>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</si>
  <si>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</si>
  <si>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</si>
  <si>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</si>
  <si>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</si>
  <si>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</si>
  <si>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</si>
  <si>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</si>
  <si>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</si>
  <si>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</si>
  <si>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</si>
  <si>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</si>
  <si>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</si>
  <si>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</si>
  <si>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</si>
  <si>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</si>
  <si>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</si>
  <si>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</si>
  <si>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</si>
  <si>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</si>
  <si>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</si>
  <si>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</si>
  <si>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</si>
  <si>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</si>
  <si>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</si>
  <si>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</si>
  <si>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</si>
  <si>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</si>
  <si>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</si>
  <si>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</si>
  <si>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</si>
  <si>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</si>
  <si>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</si>
  <si>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</si>
  <si>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</si>
  <si>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</si>
  <si>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</si>
  <si>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</si>
  <si>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</si>
  <si>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</si>
  <si>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</si>
  <si>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</si>
  <si>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</si>
  <si>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</si>
  <si>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</si>
  <si>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</si>
  <si>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</si>
  <si>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</si>
  <si>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</si>
  <si>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</si>
  <si>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</si>
  <si>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</si>
  <si>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</si>
  <si>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</si>
  <si>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</si>
  <si>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</si>
  <si>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</si>
  <si>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</si>
  <si>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</si>
  <si>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</si>
  <si>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</si>
  <si>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</si>
  <si>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</si>
  <si>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</si>
  <si>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</si>
  <si>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</si>
  <si>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</si>
  <si>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</si>
  <si>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</si>
  <si>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</si>
  <si>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</si>
  <si>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</si>
  <si>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</si>
  <si>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</si>
  <si>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</si>
  <si>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</si>
  <si>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</si>
  <si>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</si>
  <si>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</si>
  <si>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</si>
  <si>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</si>
  <si>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</si>
  <si>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</si>
  <si>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</si>
  <si>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</si>
  <si>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</si>
  <si>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</si>
  <si>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</si>
  <si>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</si>
  <si>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</si>
  <si>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</si>
  <si>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</si>
  <si>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</si>
  <si>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</si>
  <si>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</si>
  <si>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</si>
  <si>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</si>
  <si>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</si>
  <si>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</si>
  <si>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</si>
  <si>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</si>
  <si>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</si>
  <si>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</si>
  <si>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</si>
  <si>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</si>
  <si>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</si>
  <si>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</si>
  <si>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</si>
  <si>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</si>
  <si>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</si>
  <si>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</si>
  <si>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</si>
  <si>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</si>
  <si>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</si>
  <si>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</si>
  <si>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</si>
  <si>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</si>
  <si>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</si>
  <si>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</si>
  <si>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</si>
  <si>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</si>
  <si>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</si>
  <si>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</si>
  <si>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</si>
  <si>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</si>
  <si>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</si>
  <si>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</si>
  <si>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</si>
  <si>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</si>
  <si>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</si>
  <si>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</si>
  <si>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</si>
  <si>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</si>
  <si>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</si>
  <si>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</si>
  <si>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</si>
  <si>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</si>
  <si>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RENE LEITE VIEI</t>
  </si>
  <si>
    <t>CAIO LUCIANO MATIAS</t>
  </si>
  <si>
    <t>SUBCONTRATO_PER</t>
  </si>
  <si>
    <t>CTE NORMAL</t>
  </si>
  <si>
    <t>SAO JOAO DO RIO DO PEIXE - PB</t>
  </si>
  <si>
    <t>ANTONIO CARLOS DA SILVA</t>
  </si>
  <si>
    <t>MATHEUS WINTER</t>
  </si>
  <si>
    <t>INDEFINIDO</t>
  </si>
  <si>
    <t>Fiorino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</si>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</sst>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[Analise_MATHEUS_24082026.xlsx]Resumo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RENE LEITE VIEI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RENE LEITE VIEI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330.47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[Analise_MATHEUS_24082026.xlsx]Resumo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RENE LEITE VIEI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RENE LEITE VIEI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330.47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1.37810555555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8026" count="8000">
        <n v="29802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4T00:00:00" maxDate="2026-08-25T00:00:00"/>
    </cacheField>
    <cacheField name="DATA" numFmtId="14">
      <sharedItems containsNonDate="0" containsDate="1" containsString="0" containsBlank="1" minDate="2026-08-24T00:00:00" maxDate="2026-08-25T00:00:00"/>
    </cacheField>
    <cacheField name="FAT" numFmtId="0">
      <sharedItems containsNonDate="0" containsString="0" containsBlank="1"/>
    </cacheField>
    <cacheField name="CT-E" numFmtId="0">
      <sharedItems containsNonDate="0" containsString="0" containsBlank="1"/>
    </cacheField>
    <cacheField name="CLIENTE TOMADOR" numFmtId="0">
      <sharedItems containsBlank="1" count="856">
        <s v="RENE LEITE VIE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034.99" maxValue="11034.99"/>
    </cacheField>
    <cacheField name="SERVICO" numFmtId="0">
      <sharedItems containsBlank="1" count="27">
        <s v="SUBCONTRATO_PER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729" maxValue="729"/>
    </cacheField>
    <cacheField name="VOLUMES" numFmtId="0">
      <sharedItems containsString="0" containsBlank="1" containsNumber="1" containsInteger="1" minValue="3" maxValue="3"/>
    </cacheField>
    <cacheField name="PESO" numFmtId="0">
      <sharedItems containsString="0" containsBlank="1" containsNumber="1" containsInteger="1" minValue="150" maxValue="150"/>
    </cacheField>
    <cacheField name="RESP. COLETA" numFmtId="0">
      <sharedItems containsBlank="1"/>
    </cacheField>
    <cacheField name="CUSTO COLETA" numFmtId="0">
      <sharedItems containsString="0" containsBlank="1" containsNumber="1" minValue="4.5" maxValue="4.5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250" maxValue="25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0" maxValue="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5.52" maxValue="5.5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60.02" maxValue="260.02"/>
    </cacheField>
    <cacheField name="RECEITA" numFmtId="0">
      <sharedItems containsString="0" containsBlank="1" containsNumber="1" minValue="468.98" maxValue="468.98"/>
    </cacheField>
    <cacheField name="IMPOSTO" numFmtId="0">
      <sharedItems containsString="0" containsBlank="1" containsNumber="1" minValue="189.54" maxValue="189.54"/>
    </cacheField>
    <cacheField name="RESULTADO" numFmtId="0">
      <sharedItems containsString="0" containsBlank="1" containsNumber="1" minValue="279.44" maxValue="279.44"/>
    </cacheField>
    <cacheField name="COMIS" numFmtId="0">
      <sharedItems containsString="0" containsBlank="1" containsNumber="1" minValue="21.87" maxValue="21.87"/>
    </cacheField>
    <cacheField name="LUCRO LIQ" numFmtId="0">
      <sharedItems containsString="0" containsBlank="1" containsNumber="1" minValue="257.57" maxValue="257.57"/>
    </cacheField>
    <cacheField name="MARGEM" numFmtId="10">
      <sharedItems containsString="0" containsBlank="1" containsNumber="1" minValue="0.3533" maxValue="0.353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24T00:00:00"/>
    <d v="2026-08-24T00:00:00"/>
    <m/>
    <m/>
    <x v="0"/>
    <s v="CAIO LUCIANO MATIAS"/>
    <n v="11034.99"/>
    <x v="0"/>
    <s v="CTE NORMAL"/>
    <s v="SAO JOAO DO RIO DO PEIXE - PB"/>
    <n v="729"/>
    <n v="3"/>
    <n v="150"/>
    <s v="ANTONIO CARLOS DA SILVA"/>
    <n v="4.5"/>
    <s v="MATHEUS WINTER"/>
    <n v="250"/>
    <s v="INDEFINIDO"/>
    <n v="0"/>
    <n v="0"/>
    <n v="0"/>
    <n v="0"/>
    <n v="5.52"/>
    <n v="0"/>
    <n v="260.02"/>
    <n v="468.98"/>
    <n v="189.54"/>
    <n v="279.44"/>
    <n v="21.87"/>
    <n v="257.57"/>
    <n v="0.3533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3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m="1" x="704"/>
        <item m="1" x="234"/>
        <item m="1" x="598"/>
        <item m="1" x="43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x="0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2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8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x="0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651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3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sd="0" m="1" x="704"/>
        <item m="1" x="234"/>
        <item m="1" x="598"/>
        <item m="1" x="43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x="0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2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8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x="0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651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819" s="1" nd="1"/>
        <i x="763" s="1" nd="1"/>
        <i x="795" s="1" nd="1"/>
        <i x="544" s="1" nd="1"/>
        <i x="149" s="1" nd="1"/>
        <i x="187" s="1" nd="1"/>
        <i x="273" s="1" nd="1"/>
        <i x="11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3" s="1" nd="1"/>
        <i x="20" s="1" nd="1"/>
        <i x="758" s="1" nd="1"/>
        <i x="112" s="1" nd="1"/>
        <i x="545" s="1" nd="1"/>
        <i x="829" s="1" nd="1"/>
        <i x="270" s="1" nd="1"/>
        <i x="479" s="1" nd="1"/>
        <i x="773" s="1" nd="1"/>
        <i x="266" s="1" nd="1"/>
        <i x="343" s="1" nd="1"/>
        <i x="677" s="1" nd="1"/>
        <i x="801" s="1" nd="1"/>
        <i x="76" s="1" nd="1"/>
        <i x="47" s="1" nd="1"/>
        <i x="669" s="1" nd="1"/>
        <i x="661" s="1" nd="1"/>
        <i x="469" s="1" nd="1"/>
        <i x="44" s="1" nd="1"/>
        <i x="731" s="1" nd="1"/>
        <i x="690" s="1" nd="1"/>
        <i x="216" s="1" nd="1"/>
        <i x="476" s="1" nd="1"/>
        <i x="634" s="1" nd="1"/>
        <i x="446" s="1" nd="1"/>
        <i x="810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4" s="1" nd="1"/>
        <i x="849" s="1" nd="1"/>
        <i x="833" s="1" nd="1"/>
        <i x="743" s="1" nd="1"/>
        <i x="240" s="1" nd="1"/>
        <i x="239" s="1" nd="1"/>
        <i x="462" s="1" nd="1"/>
        <i x="286" s="1" nd="1"/>
        <i x="550" s="1" nd="1"/>
        <i x="846" s="1" nd="1"/>
        <i x="445" s="1" nd="1"/>
        <i x="530" s="1" nd="1"/>
        <i x="666" s="1" nd="1"/>
        <i x="519" s="1" nd="1"/>
        <i x="793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6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7" s="1" nd="1"/>
        <i x="248" s="1" nd="1"/>
        <i x="764" s="1" nd="1"/>
        <i x="425" s="1" nd="1"/>
        <i x="436" s="1" nd="1"/>
        <i x="167" s="1" nd="1"/>
        <i x="543" s="1" nd="1"/>
        <i x="807" s="1" nd="1"/>
        <i x="621" s="1" nd="1"/>
        <i x="4" s="1" nd="1"/>
        <i x="771" s="1" nd="1"/>
        <i x="14" s="1" nd="1"/>
        <i x="740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5" s="1" nd="1"/>
        <i x="396" s="1" nd="1"/>
        <i x="258" s="1" nd="1"/>
        <i x="377" s="1" nd="1"/>
        <i x="850" s="1" nd="1"/>
        <i x="648" s="1" nd="1"/>
        <i x="854" s="1" nd="1"/>
        <i x="830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1" s="1" nd="1"/>
        <i x="457" s="1" nd="1"/>
        <i x="478" s="1" nd="1"/>
        <i x="751" s="1" nd="1"/>
        <i x="639" s="1" nd="1"/>
        <i x="53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8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9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4" s="1" nd="1"/>
        <i x="580" s="1" nd="1"/>
        <i x="518" s="1" nd="1"/>
        <i x="798" s="1" nd="1"/>
        <i x="165" s="1" nd="1"/>
        <i x="827" s="1" nd="1"/>
        <i x="110" s="1" nd="1"/>
        <i x="422" s="1" nd="1"/>
        <i x="427" s="1" nd="1"/>
        <i x="9" s="1" nd="1"/>
        <i x="42" s="1" nd="1"/>
        <i x="16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2" s="1" nd="1"/>
        <i x="765" s="1" nd="1"/>
        <i x="509" s="1" nd="1"/>
        <i x="822" s="1" nd="1"/>
        <i x="341" s="1" nd="1"/>
        <i x="223" s="1" nd="1"/>
        <i x="64" s="1" nd="1"/>
        <i x="636" s="1" nd="1"/>
        <i x="458" s="1" nd="1"/>
        <i x="791" s="1" nd="1"/>
        <i x="704" s="1" nd="1"/>
        <i x="234" s="1" nd="1"/>
        <i x="598" s="1" nd="1"/>
        <i x="43" s="1" nd="1"/>
        <i x="844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1" s="1" nd="1"/>
        <i x="806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5" s="1" nd="1"/>
        <i x="388" s="1" nd="1"/>
        <i x="370" s="1" nd="1"/>
        <i x="616" s="1" nd="1"/>
        <i x="57" s="1" nd="1"/>
        <i x="708" s="1" nd="1"/>
        <i x="23" s="1" nd="1"/>
        <i x="36" s="1" nd="1"/>
        <i x="8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40" s="1" nd="1"/>
        <i x="38" s="1" nd="1"/>
        <i x="383" s="1" nd="1"/>
        <i x="590" s="1" nd="1"/>
        <i x="748" s="1" nd="1"/>
        <i x="269" s="1" nd="1"/>
        <i x="17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3" s="1" nd="1"/>
        <i x="6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1" s="1" nd="1"/>
        <i x="728" s="1" nd="1"/>
        <i x="781" s="1" nd="1"/>
        <i x="640" s="1" nd="1"/>
        <i x="329" s="1" nd="1"/>
        <i x="368" s="1" nd="1"/>
        <i x="816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3" s="1" nd="1"/>
        <i x="302" s="1" nd="1"/>
        <i x="549" s="1" nd="1"/>
        <i x="60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5" s="1" nd="1"/>
        <i x="724" s="1" nd="1"/>
        <i x="749" s="1" nd="1"/>
        <i x="744" s="1" nd="1"/>
        <i x="848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1" s="1" nd="1"/>
        <i x="2" s="1" nd="1"/>
        <i x="272" s="1" nd="1"/>
        <i x="75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8" s="1" nd="1"/>
        <i x="69" s="1" nd="1"/>
        <i x="118" s="1" nd="1"/>
        <i x="646" s="1" nd="1"/>
        <i x="411" s="1" nd="1"/>
        <i x="855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1" s="1" nd="1"/>
        <i x="604" s="1" nd="1"/>
        <i x="31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9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20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5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8" s="1" nd="1"/>
        <i x="783" s="1" nd="1"/>
        <i x="253" s="1" nd="1"/>
        <i x="475" s="1" nd="1"/>
        <i x="813" s="1" nd="1"/>
        <i x="464" s="1" nd="1"/>
        <i x="746" s="1" nd="1"/>
        <i x="649" s="1" nd="1"/>
        <i x="776" s="1" nd="1"/>
        <i x="71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19" s="1" nd="1"/>
        <i x="538" s="1" nd="1"/>
        <i x="637" s="1" nd="1"/>
        <i x="576" s="1" nd="1"/>
        <i x="197" s="1" nd="1"/>
        <i x="575" s="1" nd="1"/>
        <i x="365" s="1" nd="1"/>
        <i x="824" s="1" nd="1"/>
        <i x="336" s="1" nd="1"/>
        <i x="524" s="1" nd="1"/>
        <i x="247" s="1" nd="1"/>
        <i x="10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5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2" s="1" nd="1"/>
        <i x="584" s="1" nd="1"/>
        <i x="750" s="1" nd="1"/>
        <i x="723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4" s="1" nd="1"/>
        <i x="586" s="1" nd="1"/>
        <i x="797" s="1" nd="1"/>
        <i x="727" s="1" nd="1"/>
        <i x="412" s="1" nd="1"/>
        <i x="25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8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3" s="1" nd="1"/>
        <i x="225" s="1" nd="1"/>
        <i x="784" s="1" nd="1"/>
        <i x="725" s="1" nd="1"/>
        <i x="842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5" s="1" nd="1"/>
        <i x="409" s="1" nd="1"/>
        <i x="474" s="1" nd="1"/>
        <i x="838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79" s="1" nd="1"/>
        <i x="51" s="1" nd="1"/>
        <i x="852" s="1" nd="1"/>
        <i x="29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0" s="1" nd="1"/>
        <i x="694" s="1" nd="1"/>
        <i x="664" s="1" nd="1"/>
        <i x="809" s="1" nd="1"/>
        <i x="817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7" s="1" nd="1"/>
        <i x="473" s="1" nd="1"/>
        <i x="825" s="1" nd="1"/>
        <i x="35" s="1" nd="1"/>
        <i x="311" s="1" nd="1"/>
        <i x="826" s="1" nd="1"/>
        <i x="563" s="1" nd="1"/>
        <i x="62" s="1" nd="1"/>
        <i x="569" s="1" nd="1"/>
        <i x="431" s="1" nd="1"/>
        <i x="426" s="1" nd="1"/>
        <i x="176" s="1" nd="1"/>
        <i x="366" s="1" nd="1"/>
        <i x="759" s="1" nd="1"/>
        <i x="601" s="1" nd="1"/>
        <i x="12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7" s="1" nd="1"/>
        <i x="126" s="1" nd="1"/>
        <i x="218" s="1" nd="1"/>
        <i x="812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3" s="1" nd="1"/>
        <i x="837" s="1" nd="1"/>
        <i x="492" s="1" nd="1"/>
        <i x="685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8" s="1" nd="1"/>
        <i x="19" s="1" nd="1"/>
        <i x="3" s="1" nd="1"/>
        <i x="23" s="1" nd="1"/>
        <i x="6" s="1" nd="1"/>
        <i x="22" s="1" nd="1"/>
        <i x="21" s="1" nd="1"/>
        <i x="12" s="1" nd="1"/>
        <i x="17" s="1" nd="1"/>
        <i x="20" s="1" nd="1"/>
        <i x="2" s="1" nd="1"/>
        <i x="25" s="1" nd="1"/>
        <i x="11" s="1" nd="1"/>
        <i x="14" s="1" nd="1"/>
        <i x="10" s="1" nd="1"/>
        <i x="8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298026</v>
      </c>
      <c r="B2" s="12" t="s">
        <v>579</v>
      </c>
      <c r="C2" s="14">
        <v>46258</v>
      </c>
      <c r="D2" s="14">
        <v>46258</v>
      </c>
      <c r="E2" s="12"/>
      <c r="F2" s="15"/>
      <c r="G2" s="15" t="s">
        <v>580</v>
      </c>
      <c r="H2" s="15" t="s">
        <v>581</v>
      </c>
      <c r="I2" s="16">
        <v>11034.99</v>
      </c>
      <c r="J2" s="15" t="s">
        <v>582</v>
      </c>
      <c r="K2" s="15" t="s">
        <v>583</v>
      </c>
      <c r="L2" s="15" t="s">
        <v>584</v>
      </c>
      <c r="M2" s="15">
        <v>729</v>
      </c>
      <c r="N2" s="15">
        <v>3</v>
      </c>
      <c r="O2" s="16">
        <v>150</v>
      </c>
      <c r="P2" s="15" t="s">
        <v>585</v>
      </c>
      <c r="Q2" s="15">
        <v>4.5</v>
      </c>
      <c r="R2" s="15" t="s">
        <v>586</v>
      </c>
      <c r="S2" s="15">
        <v>250</v>
      </c>
      <c r="T2" s="15" t="s">
        <v>587</v>
      </c>
      <c r="U2" s="15">
        <v>0</v>
      </c>
      <c r="V2" s="15">
        <v>0</v>
      </c>
      <c r="W2" s="15">
        <v>0</v>
      </c>
      <c r="X2" s="15">
        <v>0</v>
      </c>
      <c r="Y2" s="15">
        <v>5.52</v>
      </c>
      <c r="Z2" s="15">
        <v>0</v>
      </c>
      <c r="AA2" s="15">
        <v>260.02</v>
      </c>
      <c r="AB2" s="15">
        <v>468.98</v>
      </c>
      <c r="AC2" s="15">
        <v>189.54</v>
      </c>
      <c r="AD2" s="15">
        <v>279.44</v>
      </c>
      <c r="AE2" s="15">
        <v>21.87</v>
      </c>
      <c r="AF2" s="15">
        <v>257.57</v>
      </c>
      <c r="AG2" s="17">
        <v>0.3533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729</v>
      </c>
      <c r="F3" s="89"/>
      <c r="G3" s="90"/>
      <c r="H3" s="133">
        <f>'Resumo Detalhado'!C2</f>
        <v>150</v>
      </c>
      <c r="I3" s="134"/>
      <c r="J3" s="135">
        <f>E3/H3</f>
        <v>4.8600000000000003</v>
      </c>
      <c r="K3" s="136"/>
      <c r="L3" s="137"/>
      <c r="M3" s="138" t="s">
        <v>588</v>
      </c>
      <c r="N3" s="89"/>
      <c r="O3" s="90"/>
      <c r="P3" s="106">
        <v>1200</v>
      </c>
      <c r="Q3" s="107"/>
      <c r="R3" s="108"/>
      <c r="S3" s="103">
        <f>MIN(H3/P3,1)</f>
        <v>0.125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254.5</v>
      </c>
      <c r="F7" s="112"/>
      <c r="G7" s="112"/>
      <c r="H7" s="112"/>
      <c r="I7" s="112"/>
      <c r="J7" s="112">
        <f>E7/H3</f>
        <v>1.6966666666666668</v>
      </c>
      <c r="K7" s="112"/>
      <c r="L7" s="112"/>
      <c r="M7" s="130">
        <f>E7/E3</f>
        <v>0.34910836762688613</v>
      </c>
      <c r="N7" s="130"/>
      <c r="O7" s="130"/>
      <c r="P7" s="112">
        <f>E11+K11+Q11+E15+K15+Q15+E19+H19+K19</f>
        <v>434.97999999999996</v>
      </c>
      <c r="Q7" s="112"/>
      <c r="R7" s="112"/>
      <c r="S7" s="112">
        <f>P7/H3</f>
        <v>2.8998666666666666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250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250</v>
      </c>
      <c r="L11" s="90"/>
      <c r="M11" s="38"/>
      <c r="N11" s="88">
        <f>K11/H3</f>
        <v>1.6666666666666667</v>
      </c>
      <c r="O11" s="90"/>
      <c r="P11" s="38"/>
      <c r="Q11" s="88">
        <f>'Resumo Detalhado'!D2</f>
        <v>4.5</v>
      </c>
      <c r="R11" s="90"/>
      <c r="S11" s="38"/>
      <c r="T11" s="88">
        <f>Q11/H3</f>
        <v>0.03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0</v>
      </c>
      <c r="F15" s="119"/>
      <c r="G15" s="119"/>
      <c r="H15" s="119"/>
      <c r="I15" s="132"/>
      <c r="J15" s="38"/>
      <c r="K15" s="113">
        <f>'Resumo Detalhado'!K2+'Resumo Detalhado'!L2</f>
        <v>116.64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5.52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58.32</v>
      </c>
      <c r="L19" s="123"/>
      <c r="M19" s="38"/>
      <c r="N19" s="121" t="s">
        <v>466</v>
      </c>
      <c r="O19" s="119"/>
      <c r="P19" s="119"/>
      <c r="Q19" s="119"/>
      <c r="R19" s="120"/>
      <c r="S19" s="121">
        <f>_xlfn.XLOOKUP(N19,Target!C:C,Target!D:D)</f>
        <v>250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330.47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0.45331961591220854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6.21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7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729</v>
      </c>
      <c r="C2" s="29">
        <f>SUM(C6:C5000)</f>
        <v>150</v>
      </c>
      <c r="D2" s="29">
        <f>SUM(D6:D5000)</f>
        <v>4.5</v>
      </c>
      <c r="E2" s="29">
        <f>SUM(E6:E5000)</f>
        <v>250</v>
      </c>
      <c r="F2" s="29">
        <f>SUM(F6:F5000)</f>
        <v>0</v>
      </c>
      <c r="G2" s="29"/>
      <c r="H2" s="29">
        <f t="shared" ref="H2:P2" si="0">SUM(H6:H5000)</f>
        <v>0</v>
      </c>
      <c r="I2" s="29">
        <f t="shared" si="0"/>
        <v>5.52</v>
      </c>
      <c r="J2" s="29">
        <f t="shared" si="0"/>
        <v>0</v>
      </c>
      <c r="K2" s="29">
        <f t="shared" si="0"/>
        <v>58.32</v>
      </c>
      <c r="L2" s="29">
        <f t="shared" si="0"/>
        <v>58.32</v>
      </c>
      <c r="M2" s="29">
        <f t="shared" si="0"/>
        <v>21.87</v>
      </c>
      <c r="N2" s="29">
        <f t="shared" si="0"/>
        <v>330.47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298026</v>
      </c>
      <c r="B6" s="139">
        <v>729</v>
      </c>
      <c r="C6" s="140">
        <v>150</v>
      </c>
      <c r="D6" s="139">
        <v>4.5</v>
      </c>
      <c r="E6" s="139">
        <v>250</v>
      </c>
      <c r="F6" s="139">
        <v>0</v>
      </c>
      <c r="G6" s="141">
        <v>0.34910836762688613</v>
      </c>
      <c r="H6" s="139">
        <v>0</v>
      </c>
      <c r="I6" s="139">
        <v>5.52</v>
      </c>
      <c r="J6" s="139">
        <v>0</v>
      </c>
      <c r="K6" s="139">
        <v>58.32</v>
      </c>
      <c r="L6" s="139">
        <v>58.32</v>
      </c>
      <c r="M6" s="139">
        <v>21.87</v>
      </c>
      <c r="N6" s="139">
        <v>330.47</v>
      </c>
      <c r="O6" s="141">
        <v>0.45331961591220854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4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580</v>
      </c>
      <c r="B5" s="10">
        <v>729</v>
      </c>
      <c r="C5" s="10">
        <v>330.47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2026-08-27T12:04:35Z</dcterms:modified>
  <cp:category/>
  <cp:contentStatus/>
</cp:coreProperties>
</file>