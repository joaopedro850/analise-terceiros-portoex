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9BDC0B1C-A567-4327-AECC-2F90E0AC7858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<sst xmlns="http://schemas.openxmlformats.org/spreadsheetml/2006/main" count="857" uniqueCount="590">
  <si>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</si>
  <si>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</si>
  <si>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</si>
  <si>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</si>
  <si>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</si>
  <si>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</si>
  <si>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</si>
  <si>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</si>
  <si>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</si>
  <si>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</si>
  <si>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</si>
  <si>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</si>
  <si>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</si>
  <si>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</si>
  <si>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</si>
  <si>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</si>
  <si>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</si>
  <si>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</si>
  <si>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</si>
  <si>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</si>
  <si>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</si>
  <si>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</si>
  <si>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</si>
  <si>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</si>
  <si>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</si>
  <si>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</si>
  <si>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</si>
  <si>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</si>
  <si>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</si>
  <si>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</si>
  <si>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</si>
  <si>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</si>
  <si>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</si>
  <si>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</si>
  <si>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</si>
  <si>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</si>
  <si>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</si>
  <si>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</si>
  <si>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</si>
  <si>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</si>
  <si>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</si>
  <si>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</si>
  <si>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</si>
  <si>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</si>
  <si>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</si>
  <si>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</si>
  <si>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</si>
  <si>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</si>
  <si>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</si>
  <si>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</si>
  <si>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</si>
  <si>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</si>
  <si>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</si>
  <si>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</si>
  <si>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</si>
  <si>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</si>
  <si>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</si>
  <si>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</si>
  <si>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</si>
  <si>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</si>
  <si>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</si>
  <si>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</si>
  <si>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</si>
  <si>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</si>
  <si>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</si>
  <si>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</si>
  <si>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</si>
  <si>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</si>
  <si>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</si>
  <si>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</si>
  <si>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</si>
  <si>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</si>
  <si>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</si>
  <si>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</si>
  <si>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</si>
  <si>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</si>
  <si>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</si>
  <si>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</si>
  <si>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</si>
  <si>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</si>
  <si>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</si>
  <si>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</si>
  <si>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</si>
  <si>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</si>
  <si>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</si>
  <si>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</si>
  <si>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</si>
  <si>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</si>
  <si>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</si>
  <si>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</si>
  <si>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</si>
  <si>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</si>
  <si>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</si>
  <si>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</si>
  <si>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</si>
  <si>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</si>
  <si>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</si>
  <si>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</si>
  <si>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</si>
  <si>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</si>
  <si>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</si>
  <si>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</si>
  <si>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</si>
  <si>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</si>
  <si>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</si>
  <si>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</si>
  <si>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</si>
  <si>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</si>
  <si>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</si>
  <si>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</si>
  <si>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</si>
  <si>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</si>
  <si>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</si>
  <si>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</si>
  <si>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</si>
  <si>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</si>
  <si>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</si>
  <si>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</si>
  <si>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</si>
  <si>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</si>
  <si>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</si>
  <si>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</si>
  <si>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</si>
  <si>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</si>
  <si>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</si>
  <si>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</si>
  <si>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</si>
  <si>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</si>
  <si>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</si>
  <si>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</si>
  <si>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</si>
  <si>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</si>
  <si>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</si>
  <si>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</si>
  <si>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</si>
  <si>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</si>
  <si>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</si>
  <si>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</si>
  <si>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</si>
  <si>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</si>
  <si>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</si>
  <si>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</si>
  <si>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</si>
  <si>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</si>
  <si>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</si>
  <si>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</si>
  <si>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</si>
  <si>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</si>
  <si>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</si>
  <si>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</si>
  <si>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</si>
  <si>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</si>
  <si>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</si>
  <si>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</si>
  <si>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</si>
  <si>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</si>
  <si>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</si>
  <si>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</si>
  <si>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</si>
  <si>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</si>
  <si>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</si>
  <si>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</si>
  <si>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</si>
  <si>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</si>
  <si>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</si>
  <si>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</si>
  <si>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</si>
  <si>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</si>
  <si>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</si>
  <si>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</si>
  <si>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</si>
  <si>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</si>
  <si>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</si>
  <si>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</si>
  <si>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</si>
  <si>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</si>
  <si>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</si>
  <si>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</si>
  <si>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</si>
  <si>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</si>
  <si>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</si>
  <si>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</si>
  <si>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</si>
  <si>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</si>
  <si>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</si>
  <si>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</si>
  <si>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</si>
  <si>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</si>
  <si>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</si>
  <si>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</si>
  <si>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</si>
  <si>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</si>
  <si>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</si>
  <si>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</si>
  <si>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</si>
  <si>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</si>
  <si>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</si>
  <si>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</si>
  <si>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</si>
  <si>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</si>
  <si>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</si>
  <si>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</si>
  <si>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</si>
  <si>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</si>
  <si>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</si>
  <si>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</si>
  <si>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</si>
  <si>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</si>
  <si>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</si>
  <si>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</si>
  <si>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</si>
  <si>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</si>
  <si>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</si>
  <si>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</si>
  <si>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</si>
  <si>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</si>
  <si>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</si>
  <si>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</si>
  <si>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</si>
  <si>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</si>
  <si>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</si>
  <si>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</si>
  <si>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</si>
  <si>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</si>
  <si>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</si>
  <si>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</si>
  <si>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</si>
  <si>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</si>
  <si>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</si>
  <si>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</si>
  <si>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</si>
  <si>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</si>
  <si>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</si>
  <si>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</si>
  <si>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</si>
  <si>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</si>
  <si>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</si>
  <si>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</si>
  <si>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</si>
  <si>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</si>
  <si>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</si>
  <si>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</si>
  <si>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</si>
  <si>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</si>
  <si>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</si>
  <si>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</si>
  <si>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</si>
  <si>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</si>
  <si>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</si>
  <si>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</si>
  <si>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</si>
  <si>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</si>
  <si>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</si>
  <si>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</si>
  <si>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</si>
  <si>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</si>
  <si>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</si>
  <si>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</si>
  <si>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</si>
  <si>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</si>
  <si>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</si>
  <si>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</si>
  <si>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</si>
  <si>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</si>
  <si>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</si>
  <si>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</si>
  <si>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</si>
  <si>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</si>
  <si>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</si>
  <si>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</si>
  <si>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</si>
  <si>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</si>
  <si>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</si>
  <si>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</si>
  <si>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</si>
  <si>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</si>
  <si>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</si>
  <si>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</si>
  <si>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</si>
  <si>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</si>
  <si>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</si>
  <si>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</si>
  <si>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</si>
  <si>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</si>
  <si>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</si>
  <si>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</si>
  <si>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</si>
  <si>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</si>
  <si>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</si>
  <si>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</si>
  <si>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</si>
  <si>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</si>
  <si>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</si>
  <si>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</si>
  <si>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</si>
  <si>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</si>
  <si>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</si>
  <si>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</si>
  <si>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</si>
  <si>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</si>
  <si>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</si>
  <si>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</si>
  <si>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</si>
  <si>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</si>
  <si>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</si>
  <si>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</si>
  <si>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</si>
  <si>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</si>
  <si>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</si>
  <si>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</si>
  <si>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</si>
  <si>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</si>
  <si>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</si>
  <si>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</si>
  <si>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</si>
  <si>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</si>
  <si>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</si>
  <si>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</si>
  <si>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</si>
  <si>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</si>
  <si>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</si>
  <si>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</si>
  <si>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</si>
  <si>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</si>
  <si>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</si>
  <si>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</si>
  <si>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</si>
  <si>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</si>
  <si>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</si>
  <si>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</si>
  <si>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</si>
  <si>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</si>
  <si>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</si>
  <si>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</si>
  <si>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</si>
  <si>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</si>
  <si>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</si>
  <si>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</si>
  <si>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</si>
  <si>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</si>
  <si>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</si>
  <si>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</si>
  <si>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</si>
  <si>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</si>
  <si>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</si>
  <si>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</si>
  <si>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</si>
  <si>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</si>
  <si>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</si>
  <si>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</si>
  <si>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</si>
  <si>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</si>
  <si>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</si>
  <si>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</si>
  <si>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</si>
  <si>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</si>
  <si>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</si>
  <si>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</si>
  <si>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</si>
  <si>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</si>
  <si>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</si>
  <si>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</si>
  <si>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</si>
  <si>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</si>
  <si>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</si>
  <si>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</si>
  <si>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</si>
  <si>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</si>
  <si>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</si>
  <si>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</si>
  <si>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</si>
  <si>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</si>
  <si>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</si>
  <si>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</si>
  <si>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</si>
  <si>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</si>
  <si>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</si>
  <si>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</si>
  <si>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</si>
  <si>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</si>
  <si>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</si>
  <si>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</si>
  <si>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</si>
  <si>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</si>
  <si>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</si>
  <si>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</si>
  <si>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</si>
  <si>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</si>
  <si>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</si>
  <si>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</si>
  <si>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</si>
  <si>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</si>
  <si>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</si>
  <si>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</si>
  <si>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</si>
  <si>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</si>
  <si>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</si>
  <si>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</si>
  <si>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</si>
  <si>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</si>
  <si>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</si>
  <si>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</si>
  <si>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</si>
  <si>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</si>
  <si>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</si>
  <si>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</si>
  <si>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</si>
  <si>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</si>
  <si>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</si>
  <si>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</si>
  <si>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</si>
  <si>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</si>
  <si>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</si>
  <si>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</si>
  <si>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</si>
  <si>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</si>
  <si>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</si>
  <si>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</si>
  <si>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</si>
  <si>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</si>
  <si>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</si>
  <si>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</si>
  <si>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</si>
  <si>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</si>
  <si>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</si>
  <si>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</si>
  <si>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</si>
  <si>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</si>
  <si>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</si>
  <si>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</si>
  <si>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</si>
  <si>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</si>
  <si>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</si>
  <si>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</si>
  <si>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</si>
  <si>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</si>
  <si>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</si>
  <si>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</si>
  <si>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</si>
  <si>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</si>
  <si>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</si>
  <si>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</si>
  <si>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</si>
  <si>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</si>
  <si>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</si>
  <si>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</si>
  <si>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</si>
  <si>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</si>
  <si>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</si>
  <si>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</si>
  <si>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</si>
  <si>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</si>
  <si>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</si>
  <si>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</si>
  <si>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</si>
  <si>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</si>
  <si>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</si>
  <si>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</si>
  <si>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</si>
  <si>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</si>
  <si>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</si>
  <si>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</si>
  <si>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</si>
  <si>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</si>
  <si>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</si>
  <si>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</si>
  <si>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</si>
  <si>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</si>
  <si>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</si>
  <si>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</si>
  <si>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</si>
  <si>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</si>
  <si>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</si>
  <si>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</si>
  <si>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</si>
  <si>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</si>
  <si>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</si>
  <si>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</si>
  <si>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</si>
  <si>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</si>
  <si>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</si>
  <si>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</si>
  <si>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</si>
  <si>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</si>
  <si>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</si>
  <si>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</si>
  <si>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</si>
  <si>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</si>
  <si>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</si>
  <si>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</si>
  <si>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</si>
  <si>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</si>
  <si>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</si>
  <si>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</si>
  <si>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</si>
  <si>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</si>
  <si>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</si>
  <si>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</si>
  <si>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</si>
  <si>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</si>
  <si>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</si>
  <si>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</si>
  <si>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</si>
  <si>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</si>
  <si>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</si>
  <si>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</si>
  <si>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</si>
  <si>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</si>
  <si>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</si>
  <si>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</si>
  <si>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</si>
  <si>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</si>
  <si>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</si>
  <si>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</si>
  <si>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</si>
  <si>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</si>
  <si>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</si>
  <si>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</si>
  <si>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</si>
  <si>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</si>
  <si>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</si>
  <si>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</si>
  <si>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</si>
  <si>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</si>
  <si>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</si>
  <si>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</si>
  <si>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</si>
  <si>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</si>
  <si>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</si>
  <si>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</si>
  <si>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</si>
  <si>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</si>
  <si>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</si>
  <si>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</si>
  <si>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</si>
  <si>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</si>
  <si>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</si>
  <si>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</si>
  <si>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</si>
  <si>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</si>
  <si>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</si>
  <si>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</si>
  <si>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</si>
  <si>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</si>
  <si>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</si>
  <si>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</si>
  <si>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</si>
  <si>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</si>
  <si>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</si>
  <si>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</si>
  <si>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</si>
  <si>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</si>
  <si>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</si>
  <si>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</si>
  <si>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</si>
  <si>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</si>
  <si>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</si>
  <si>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</si>
  <si>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</si>
  <si>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</si>
  <si>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</si>
  <si>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</si>
  <si>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</si>
  <si>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</si>
  <si>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</si>
  <si>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</si>
  <si>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</si>
  <si>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</si>
  <si>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</si>
  <si>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</si>
  <si>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</si>
  <si>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</si>
  <si>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</si>
  <si>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</si>
  <si>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</si>
  <si>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</si>
  <si>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</si>
  <si>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</si>
  <si>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</si>
  <si>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</si>
  <si>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203102-1</t>
  </si>
  <si>
    <t>FORTE TRANSPORT</t>
  </si>
  <si>
    <t>MURILO PEREIRA</t>
  </si>
  <si>
    <t>SUBCONTRATO_PER</t>
  </si>
  <si>
    <t>CTE NORMAL</t>
  </si>
  <si>
    <t>MOGI GUACU - SP</t>
  </si>
  <si>
    <t>JOSENIR DE SOUZA CUNHA</t>
  </si>
  <si>
    <t>SERGIO CATTURANI</t>
  </si>
  <si>
    <t>INDEFINIDO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</si>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</sst>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[Analise_MICAEL_11092026.xlsx]Resumo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FORTE TRANSPORT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9277.7099999999991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FORTE TRANSPORT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4007.6231999999991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[Analise_MICAEL_11092026.xlsx]Resumo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FORTE TRANSPORT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9277.7099999999991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FORTE TRANSPORT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4007.6231999999991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1.430470601852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0850" count="8000">
        <n v="300850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1T00:00:00" maxDate="2026-09-12T00:00:00"/>
    </cacheField>
    <cacheField name="DATA" numFmtId="14">
      <sharedItems containsNonDate="0" containsDate="1" containsString="0" containsBlank="1" minDate="2026-09-11T00:00:00" maxDate="2026-09-12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FORTE TRANSPORT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9431.759999999998" maxValue="19431.759999999998"/>
    </cacheField>
    <cacheField name="SERVICO" numFmtId="0">
      <sharedItems containsBlank="1" count="27">
        <s v="SUBCONTRATO_PER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277.7099999999991" maxValue="9277.7099999999991"/>
    </cacheField>
    <cacheField name="VOLUMES" numFmtId="0">
      <sharedItems containsString="0" containsBlank="1" containsNumber="1" containsInteger="1" minValue="5" maxValue="5"/>
    </cacheField>
    <cacheField name="PESO" numFmtId="0">
      <sharedItems containsString="0" containsBlank="1" containsNumber="1" containsInteger="1" minValue="152" maxValue="152"/>
    </cacheField>
    <cacheField name="RESP. COLETA" numFmtId="0">
      <sharedItems containsBlank="1"/>
    </cacheField>
    <cacheField name="CUSTO COLETA" numFmtId="0">
      <sharedItems containsString="0" containsBlank="1" containsNumber="1" minValue="18.149999999999999" maxValue="18.149999999999999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4500" maxValue="45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containsInteger="1" minValue="0" maxValue="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9.7200000000000006" maxValue="9.7200000000000006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4527.87" maxValue="4527.87"/>
    </cacheField>
    <cacheField name="RECEITA" numFmtId="0">
      <sharedItems containsString="0" containsBlank="1" containsNumber="1" minValue="4749.84" maxValue="4749.84"/>
    </cacheField>
    <cacheField name="IMPOSTO" numFmtId="0">
      <sharedItems containsString="0" containsBlank="1" containsNumber="1" minValue="2412.1999999999998" maxValue="2412.1999999999998"/>
    </cacheField>
    <cacheField name="RESULTADO" numFmtId="0">
      <sharedItems containsString="0" containsBlank="1" containsNumber="1" minValue="2337.64" maxValue="2337.64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2337.64" maxValue="2337.64"/>
    </cacheField>
    <cacheField name="MARGEM" numFmtId="10">
      <sharedItems containsString="0" containsBlank="1" containsNumber="1" minValue="0.252" maxValue="0.25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11T00:00:00"/>
    <d v="2026-09-11T00:00:00"/>
    <m/>
    <s v="203102-1"/>
    <x v="0"/>
    <s v="MURILO PEREIRA"/>
    <n v="19431.759999999998"/>
    <x v="0"/>
    <s v="CTE NORMAL"/>
    <s v="MOGI GUACU - SP"/>
    <n v="9277.7099999999991"/>
    <n v="5"/>
    <n v="152"/>
    <s v="JOSENIR DE SOUZA CUNHA"/>
    <n v="18.149999999999999"/>
    <s v="SERGIO CATTURANI"/>
    <n v="4500"/>
    <s v="INDEFINIDO"/>
    <n v="0"/>
    <n v="0"/>
    <n v="0"/>
    <n v="0"/>
    <n v="9.7200000000000006"/>
    <n v="0"/>
    <n v="4527.87"/>
    <n v="4749.84"/>
    <n v="2412.1999999999998"/>
    <n v="2337.64"/>
    <n v="0"/>
    <n v="2337.64"/>
    <n v="0.252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3"/>
        <item sd="0" m="1" x="795"/>
        <item m="1" x="544"/>
        <item sd="0" m="1" x="149"/>
        <item sd="0" m="1" x="187"/>
        <item sd="0" m="1" x="273"/>
        <item m="1" x="11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4"/>
        <item m="1" x="582"/>
        <item m="1" x="852"/>
        <item m="1" x="20"/>
        <item m="1" x="758"/>
        <item m="1" x="112"/>
        <item m="1" x="545"/>
        <item m="1" x="828"/>
        <item m="1" x="270"/>
        <item m="1" x="479"/>
        <item m="1" x="773"/>
        <item m="1" x="266"/>
        <item m="1" x="343"/>
        <item m="1" x="677"/>
        <item sd="0" m="1" x="801"/>
        <item m="1" x="76"/>
        <item m="1" x="47"/>
        <item sd="0" m="1" x="669"/>
        <item m="1" x="661"/>
        <item m="1" x="469"/>
        <item m="1" x="44"/>
        <item sd="0" m="1" x="731"/>
        <item m="1" x="690"/>
        <item m="1" x="216"/>
        <item sd="0" m="1" x="476"/>
        <item m="1" x="634"/>
        <item m="1" x="446"/>
        <item sd="0" m="1" x="809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0"/>
        <item m="1" x="322"/>
        <item m="1" x="461"/>
        <item m="1" x="506"/>
        <item sd="0" m="1" x="554"/>
        <item m="1" x="477"/>
        <item sd="0" m="1" x="244"/>
        <item m="1" x="848"/>
        <item m="1" x="832"/>
        <item m="1" x="743"/>
        <item m="1" x="240"/>
        <item m="1" x="239"/>
        <item m="1" x="462"/>
        <item m="1" x="286"/>
        <item m="1" x="550"/>
        <item m="1" x="845"/>
        <item m="1" x="445"/>
        <item m="1" x="530"/>
        <item m="1" x="666"/>
        <item m="1" x="519"/>
        <item m="1" x="793"/>
        <item sd="0" m="1" x="178"/>
        <item sd="0" m="1" x="58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5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6"/>
        <item m="1" x="248"/>
        <item sd="0" m="1" x="764"/>
        <item m="1" x="425"/>
        <item m="1" x="436"/>
        <item m="1" x="167"/>
        <item m="1" x="543"/>
        <item m="1" x="806"/>
        <item sd="0" m="1" x="621"/>
        <item m="1" x="4"/>
        <item m="1" x="771"/>
        <item m="1" x="14"/>
        <item m="1" x="740"/>
        <item m="1" x="393"/>
        <item m="1" x="276"/>
        <item m="1" x="65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2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8"/>
        <item m="1" x="853"/>
        <item sd="0" m="1" x="829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1"/>
        <item sd="0" m="1" x="639"/>
        <item m="1" x="53"/>
        <item m="1" x="794"/>
        <item m="1" x="717"/>
        <item m="1" x="417"/>
        <item m="1" x="735"/>
        <item m="1" x="813"/>
        <item m="1" x="562"/>
        <item m="1" x="559"/>
        <item m="1" x="429"/>
        <item m="1" x="715"/>
        <item m="1" x="505"/>
        <item m="1" x="173"/>
        <item m="1" x="628"/>
        <item m="1" x="375"/>
        <item m="1" x="807"/>
        <item m="1" x="59"/>
        <item m="1" x="632"/>
        <item m="1" x="531"/>
        <item m="1" x="295"/>
        <item m="1" x="304"/>
        <item m="1" x="174"/>
        <item m="1" x="101"/>
        <item sd="0" m="1" x="70"/>
        <item m="1" x="579"/>
        <item sd="0" m="1" x="799"/>
        <item m="1" x="32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8"/>
        <item m="1" x="583"/>
        <item m="1" x="18"/>
        <item m="1" x="160"/>
        <item m="1" x="774"/>
        <item m="1" x="580"/>
        <item m="1" x="518"/>
        <item m="1" x="798"/>
        <item m="1" x="165"/>
        <item sd="0" m="1" x="826"/>
        <item m="1" x="110"/>
        <item m="1" x="422"/>
        <item m="1" x="427"/>
        <item sd="0" m="1" x="9"/>
        <item m="1" x="42"/>
        <item m="1" x="16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1"/>
        <item m="1" x="765"/>
        <item m="1" x="509"/>
        <item m="1" x="821"/>
        <item m="1" x="341"/>
        <item m="1" x="223"/>
        <item m="1" x="64"/>
        <item m="1" x="636"/>
        <item m="1" x="458"/>
        <item m="1" x="791"/>
        <item m="1" x="704"/>
        <item m="1" x="234"/>
        <item m="1" x="598"/>
        <item m="1" x="43"/>
        <item sd="0" m="1" x="843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x="0"/>
        <item m="1" x="41"/>
        <item m="1" x="805"/>
        <item sd="0" m="1" x="487"/>
        <item m="1" x="443"/>
        <item m="1" x="399"/>
        <item sd="0" m="1" x="609"/>
        <item m="1" x="153"/>
        <item m="1" x="15"/>
        <item m="1" x="232"/>
        <item m="1" x="241"/>
        <item m="1" x="5"/>
        <item m="1" x="388"/>
        <item m="1" x="370"/>
        <item m="1" x="616"/>
        <item m="1" x="57"/>
        <item m="1" x="708"/>
        <item m="1" x="23"/>
        <item m="1" x="36"/>
        <item m="1" x="8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39"/>
        <item sd="0" m="1" x="38"/>
        <item m="1" x="383"/>
        <item m="1" x="590"/>
        <item m="1" x="748"/>
        <item sd="0" m="1" x="269"/>
        <item m="1" x="17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2"/>
        <item m="1" x="6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1"/>
        <item m="1" x="728"/>
        <item m="1" x="781"/>
        <item m="1" x="640"/>
        <item m="1" x="329"/>
        <item m="1" x="368"/>
        <item m="1" x="815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3"/>
        <item m="1" x="302"/>
        <item m="1" x="549"/>
        <item m="1" x="60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4"/>
        <item m="1" x="91"/>
        <item m="1" x="573"/>
        <item m="1" x="157"/>
        <item sd="0" m="1" x="561"/>
        <item m="1" x="45"/>
        <item m="1" x="724"/>
        <item m="1" x="749"/>
        <item m="1" x="744"/>
        <item m="1" x="847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4"/>
        <item m="1" x="298"/>
        <item m="1" x="683"/>
        <item m="1" x="135"/>
        <item m="1" x="330"/>
        <item m="1" x="536"/>
        <item sd="0" m="1" x="237"/>
        <item m="1" x="558"/>
        <item m="1" x="547"/>
        <item m="1" x="850"/>
        <item m="1" x="2"/>
        <item m="1" x="272"/>
        <item sd="0" m="1" x="75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7"/>
        <item m="1" x="69"/>
        <item m="1" x="118"/>
        <item m="1" x="646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0"/>
        <item m="1" x="604"/>
        <item m="1" x="31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8"/>
        <item m="1" x="50"/>
        <item m="1" x="606"/>
        <item m="1" x="84"/>
        <item m="1" x="326"/>
        <item m="1" x="34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10"/>
        <item m="1" x="171"/>
        <item m="1" x="587"/>
        <item m="1" x="227"/>
        <item m="1" x="391"/>
        <item m="1" x="658"/>
        <item m="1" x="310"/>
        <item m="1" x="74"/>
        <item sd="0" m="1" x="670"/>
        <item m="1" x="94"/>
        <item m="1" x="440"/>
        <item sd="0" m="1" x="351"/>
        <item m="1" x="785"/>
        <item m="1" x="499"/>
        <item m="1" x="61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4"/>
        <item m="1" x="788"/>
        <item m="1" x="28"/>
        <item m="1" x="783"/>
        <item m="1" x="253"/>
        <item m="1" x="475"/>
        <item m="1" x="812"/>
        <item m="1" x="464"/>
        <item m="1" x="746"/>
        <item m="1" x="649"/>
        <item m="1" x="776"/>
        <item sd="0" m="1" x="71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19"/>
        <item m="1" x="538"/>
        <item m="1" x="637"/>
        <item m="1" x="576"/>
        <item sd="0" m="1" x="197"/>
        <item m="1" x="575"/>
        <item m="1" x="365"/>
        <item m="1" x="823"/>
        <item m="1" x="336"/>
        <item m="1" x="524"/>
        <item m="1" x="247"/>
        <item sd="0" m="1" x="10"/>
        <item m="1" x="142"/>
        <item m="1" x="652"/>
        <item m="1" x="605"/>
        <item m="1" x="441"/>
        <item m="1" x="22"/>
        <item m="1" x="595"/>
        <item m="1" x="435"/>
        <item m="1" x="67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9"/>
        <item m="1" x="567"/>
        <item m="1" x="688"/>
        <item m="1" x="280"/>
        <item m="1" x="525"/>
        <item m="1" x="526"/>
        <item m="1" x="37"/>
        <item m="1" x="593"/>
        <item m="1" x="802"/>
        <item m="1" x="584"/>
        <item m="1" x="750"/>
        <item m="1" x="723"/>
        <item m="1" x="533"/>
        <item sd="0" m="1" x="46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3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3"/>
        <item m="1" x="586"/>
        <item m="1" x="797"/>
        <item m="1" x="727"/>
        <item m="1" x="412"/>
        <item m="1" x="25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7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3"/>
        <item m="1" x="225"/>
        <item m="1" x="784"/>
        <item m="1" x="725"/>
        <item m="1" x="841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0"/>
        <item m="1" x="495"/>
        <item m="1" x="395"/>
        <item m="1" x="671"/>
        <item m="1" x="185"/>
        <item sd="0" m="1" x="409"/>
        <item m="1" x="474"/>
        <item m="1" x="837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79"/>
        <item m="1" x="51"/>
        <item m="1" x="851"/>
        <item m="1" x="29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0"/>
        <item m="1" x="694"/>
        <item m="1" x="664"/>
        <item sd="0" m="1" x="808"/>
        <item m="1" x="816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8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8"/>
        <item sd="0" m="1" x="500"/>
        <item m="1" x="68"/>
        <item m="1" x="680"/>
        <item m="1" x="81"/>
        <item m="1" x="635"/>
        <item m="1" x="66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3"/>
        <item m="1" x="424"/>
        <item sd="0" m="1" x="26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0"/>
        <item m="1" x="105"/>
        <item m="1" x="534"/>
        <item sd="0" m="1" x="297"/>
        <item sd="0" m="1" x="397"/>
        <item sd="0" m="1" x="229"/>
        <item sd="0" m="1" x="7"/>
        <item m="1" x="473"/>
        <item sd="0" m="1" x="824"/>
        <item m="1" x="35"/>
        <item m="1" x="311"/>
        <item m="1" x="825"/>
        <item m="1" x="563"/>
        <item m="1" x="62"/>
        <item m="1" x="569"/>
        <item m="1" x="431"/>
        <item m="1" x="426"/>
        <item m="1" x="176"/>
        <item m="1" x="366"/>
        <item m="1" x="759"/>
        <item m="1" x="601"/>
        <item m="1" x="12"/>
        <item m="1" x="92"/>
        <item m="1" x="438"/>
        <item m="1" x="434"/>
        <item m="1" x="121"/>
        <item m="1" x="631"/>
        <item m="1" x="201"/>
        <item m="1" x="156"/>
        <item m="1" x="55"/>
        <item m="1" x="548"/>
        <item sd="0" m="1" x="619"/>
        <item m="1" x="99"/>
        <item m="1" x="767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600"/>
        <item m="1" x="190"/>
        <item m="1" x="226"/>
        <item m="1" x="842"/>
        <item m="1" x="836"/>
        <item m="1" x="492"/>
        <item m="1" x="685"/>
        <item m="1" x="243"/>
        <item m="1" x="56"/>
        <item m="1" x="129"/>
        <item m="1" x="3"/>
        <item m="1" x="49"/>
        <item m="1" x="90"/>
        <item sd="0" m="1" x="202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8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x="0"/>
        <item m="1" x="12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29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3"/>
        <item sd="0" m="1" x="795"/>
        <item m="1" x="544"/>
        <item sd="0" m="1" x="149"/>
        <item sd="0" m="1" x="187"/>
        <item sd="0" m="1" x="273"/>
        <item m="1" x="11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4"/>
        <item m="1" x="582"/>
        <item m="1" x="852"/>
        <item m="1" x="20"/>
        <item m="1" x="758"/>
        <item m="1" x="112"/>
        <item m="1" x="545"/>
        <item m="1" x="828"/>
        <item m="1" x="270"/>
        <item m="1" x="479"/>
        <item m="1" x="773"/>
        <item m="1" x="266"/>
        <item m="1" x="343"/>
        <item m="1" x="677"/>
        <item sd="0" m="1" x="801"/>
        <item m="1" x="76"/>
        <item m="1" x="47"/>
        <item sd="0" m="1" x="669"/>
        <item m="1" x="661"/>
        <item m="1" x="469"/>
        <item m="1" x="44"/>
        <item sd="0" m="1" x="731"/>
        <item m="1" x="690"/>
        <item m="1" x="216"/>
        <item sd="0" m="1" x="476"/>
        <item m="1" x="634"/>
        <item m="1" x="446"/>
        <item sd="0" m="1" x="809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0"/>
        <item m="1" x="322"/>
        <item m="1" x="461"/>
        <item m="1" x="506"/>
        <item sd="0" m="1" x="554"/>
        <item m="1" x="477"/>
        <item sd="0" m="1" x="244"/>
        <item m="1" x="848"/>
        <item m="1" x="832"/>
        <item m="1" x="743"/>
        <item m="1" x="240"/>
        <item m="1" x="239"/>
        <item m="1" x="462"/>
        <item m="1" x="286"/>
        <item m="1" x="550"/>
        <item m="1" x="845"/>
        <item m="1" x="445"/>
        <item m="1" x="530"/>
        <item m="1" x="666"/>
        <item m="1" x="519"/>
        <item m="1" x="793"/>
        <item sd="0" m="1" x="178"/>
        <item sd="0" m="1" x="58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5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6"/>
        <item m="1" x="248"/>
        <item sd="0" m="1" x="764"/>
        <item m="1" x="425"/>
        <item m="1" x="436"/>
        <item m="1" x="167"/>
        <item m="1" x="543"/>
        <item m="1" x="806"/>
        <item sd="0" m="1" x="621"/>
        <item m="1" x="4"/>
        <item m="1" x="771"/>
        <item m="1" x="14"/>
        <item m="1" x="740"/>
        <item m="1" x="393"/>
        <item m="1" x="276"/>
        <item m="1" x="65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2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8"/>
        <item m="1" x="853"/>
        <item sd="0" m="1" x="829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1"/>
        <item sd="0" m="1" x="639"/>
        <item m="1" x="53"/>
        <item m="1" x="794"/>
        <item m="1" x="717"/>
        <item m="1" x="417"/>
        <item m="1" x="735"/>
        <item m="1" x="813"/>
        <item m="1" x="562"/>
        <item m="1" x="559"/>
        <item m="1" x="429"/>
        <item m="1" x="715"/>
        <item m="1" x="505"/>
        <item m="1" x="173"/>
        <item m="1" x="628"/>
        <item m="1" x="375"/>
        <item m="1" x="807"/>
        <item m="1" x="59"/>
        <item m="1" x="632"/>
        <item m="1" x="531"/>
        <item m="1" x="295"/>
        <item m="1" x="304"/>
        <item m="1" x="174"/>
        <item m="1" x="101"/>
        <item sd="0" m="1" x="70"/>
        <item m="1" x="579"/>
        <item sd="0" m="1" x="799"/>
        <item m="1" x="32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8"/>
        <item m="1" x="583"/>
        <item m="1" x="18"/>
        <item m="1" x="160"/>
        <item m="1" x="774"/>
        <item m="1" x="580"/>
        <item m="1" x="518"/>
        <item m="1" x="798"/>
        <item m="1" x="165"/>
        <item sd="0" m="1" x="826"/>
        <item m="1" x="110"/>
        <item m="1" x="422"/>
        <item m="1" x="427"/>
        <item sd="0" m="1" x="9"/>
        <item m="1" x="42"/>
        <item m="1" x="16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1"/>
        <item m="1" x="765"/>
        <item m="1" x="509"/>
        <item m="1" x="821"/>
        <item m="1" x="341"/>
        <item m="1" x="223"/>
        <item m="1" x="64"/>
        <item m="1" x="636"/>
        <item m="1" x="458"/>
        <item m="1" x="791"/>
        <item sd="0" m="1" x="704"/>
        <item m="1" x="234"/>
        <item m="1" x="598"/>
        <item m="1" x="43"/>
        <item sd="0" m="1" x="843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x="0"/>
        <item m="1" x="41"/>
        <item m="1" x="805"/>
        <item sd="0" m="1" x="487"/>
        <item m="1" x="443"/>
        <item m="1" x="399"/>
        <item sd="0" m="1" x="609"/>
        <item m="1" x="153"/>
        <item m="1" x="15"/>
        <item m="1" x="232"/>
        <item m="1" x="241"/>
        <item m="1" x="5"/>
        <item m="1" x="388"/>
        <item m="1" x="370"/>
        <item m="1" x="616"/>
        <item m="1" x="57"/>
        <item m="1" x="708"/>
        <item m="1" x="23"/>
        <item m="1" x="36"/>
        <item m="1" x="8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39"/>
        <item sd="0" m="1" x="38"/>
        <item m="1" x="383"/>
        <item m="1" x="590"/>
        <item m="1" x="748"/>
        <item sd="0" m="1" x="269"/>
        <item m="1" x="17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2"/>
        <item m="1" x="6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1"/>
        <item m="1" x="728"/>
        <item m="1" x="781"/>
        <item m="1" x="640"/>
        <item m="1" x="329"/>
        <item m="1" x="368"/>
        <item m="1" x="815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3"/>
        <item m="1" x="302"/>
        <item m="1" x="549"/>
        <item m="1" x="60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4"/>
        <item m="1" x="91"/>
        <item m="1" x="573"/>
        <item m="1" x="157"/>
        <item sd="0" m="1" x="561"/>
        <item m="1" x="45"/>
        <item m="1" x="724"/>
        <item m="1" x="749"/>
        <item m="1" x="744"/>
        <item m="1" x="847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4"/>
        <item m="1" x="298"/>
        <item m="1" x="683"/>
        <item m="1" x="135"/>
        <item m="1" x="330"/>
        <item m="1" x="536"/>
        <item sd="0" m="1" x="237"/>
        <item m="1" x="558"/>
        <item m="1" x="547"/>
        <item m="1" x="850"/>
        <item m="1" x="2"/>
        <item m="1" x="272"/>
        <item sd="0" m="1" x="75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7"/>
        <item m="1" x="69"/>
        <item m="1" x="118"/>
        <item m="1" x="646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0"/>
        <item m="1" x="604"/>
        <item m="1" x="31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8"/>
        <item m="1" x="50"/>
        <item m="1" x="606"/>
        <item m="1" x="84"/>
        <item m="1" x="326"/>
        <item m="1" x="34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10"/>
        <item m="1" x="171"/>
        <item m="1" x="587"/>
        <item m="1" x="227"/>
        <item m="1" x="391"/>
        <item m="1" x="658"/>
        <item m="1" x="310"/>
        <item m="1" x="74"/>
        <item sd="0" m="1" x="670"/>
        <item m="1" x="94"/>
        <item m="1" x="440"/>
        <item sd="0" m="1" x="351"/>
        <item m="1" x="785"/>
        <item m="1" x="499"/>
        <item m="1" x="61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4"/>
        <item m="1" x="788"/>
        <item m="1" x="28"/>
        <item m="1" x="783"/>
        <item m="1" x="253"/>
        <item m="1" x="475"/>
        <item m="1" x="812"/>
        <item m="1" x="464"/>
        <item m="1" x="746"/>
        <item m="1" x="649"/>
        <item m="1" x="776"/>
        <item sd="0" m="1" x="71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19"/>
        <item m="1" x="538"/>
        <item m="1" x="637"/>
        <item m="1" x="576"/>
        <item sd="0" m="1" x="197"/>
        <item m="1" x="575"/>
        <item m="1" x="365"/>
        <item m="1" x="823"/>
        <item m="1" x="336"/>
        <item m="1" x="524"/>
        <item m="1" x="247"/>
        <item sd="0" m="1" x="10"/>
        <item m="1" x="142"/>
        <item m="1" x="652"/>
        <item m="1" x="605"/>
        <item m="1" x="441"/>
        <item m="1" x="22"/>
        <item m="1" x="595"/>
        <item m="1" x="435"/>
        <item m="1" x="67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9"/>
        <item m="1" x="567"/>
        <item m="1" x="688"/>
        <item m="1" x="280"/>
        <item m="1" x="525"/>
        <item m="1" x="526"/>
        <item m="1" x="37"/>
        <item m="1" x="593"/>
        <item m="1" x="802"/>
        <item m="1" x="584"/>
        <item m="1" x="750"/>
        <item m="1" x="723"/>
        <item m="1" x="533"/>
        <item sd="0" m="1" x="46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3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3"/>
        <item m="1" x="586"/>
        <item m="1" x="797"/>
        <item m="1" x="727"/>
        <item m="1" x="412"/>
        <item m="1" x="25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7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3"/>
        <item m="1" x="225"/>
        <item m="1" x="784"/>
        <item m="1" x="725"/>
        <item m="1" x="841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0"/>
        <item m="1" x="495"/>
        <item m="1" x="395"/>
        <item m="1" x="671"/>
        <item m="1" x="185"/>
        <item sd="0" m="1" x="409"/>
        <item m="1" x="474"/>
        <item m="1" x="837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79"/>
        <item m="1" x="51"/>
        <item m="1" x="851"/>
        <item m="1" x="29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0"/>
        <item m="1" x="694"/>
        <item m="1" x="664"/>
        <item sd="0" m="1" x="808"/>
        <item m="1" x="816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8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8"/>
        <item sd="0" m="1" x="500"/>
        <item m="1" x="68"/>
        <item m="1" x="680"/>
        <item m="1" x="81"/>
        <item m="1" x="635"/>
        <item m="1" x="66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3"/>
        <item m="1" x="424"/>
        <item sd="0" m="1" x="26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0"/>
        <item m="1" x="105"/>
        <item m="1" x="534"/>
        <item sd="0" m="1" x="297"/>
        <item sd="0" m="1" x="397"/>
        <item sd="0" m="1" x="229"/>
        <item sd="0" m="1" x="7"/>
        <item m="1" x="473"/>
        <item sd="0" m="1" x="824"/>
        <item m="1" x="35"/>
        <item m="1" x="311"/>
        <item m="1" x="825"/>
        <item m="1" x="563"/>
        <item m="1" x="62"/>
        <item m="1" x="569"/>
        <item m="1" x="431"/>
        <item m="1" x="426"/>
        <item m="1" x="176"/>
        <item m="1" x="366"/>
        <item m="1" x="759"/>
        <item m="1" x="601"/>
        <item m="1" x="12"/>
        <item m="1" x="92"/>
        <item m="1" x="438"/>
        <item m="1" x="434"/>
        <item m="1" x="121"/>
        <item m="1" x="631"/>
        <item m="1" x="201"/>
        <item m="1" x="156"/>
        <item m="1" x="55"/>
        <item m="1" x="548"/>
        <item sd="0" m="1" x="619"/>
        <item m="1" x="99"/>
        <item m="1" x="767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600"/>
        <item m="1" x="190"/>
        <item m="1" x="226"/>
        <item m="1" x="842"/>
        <item m="1" x="836"/>
        <item m="1" x="492"/>
        <item m="1" x="685"/>
        <item m="1" x="243"/>
        <item m="1" x="56"/>
        <item m="1" x="129"/>
        <item m="1" x="3"/>
        <item m="1" x="49"/>
        <item m="1" x="90"/>
        <item sd="0" m="1" x="202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8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x="0"/>
        <item m="1" x="12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29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3" s="1" nd="1"/>
        <i x="795" s="1" nd="1"/>
        <i x="544" s="1" nd="1"/>
        <i x="149" s="1" nd="1"/>
        <i x="187" s="1" nd="1"/>
        <i x="273" s="1" nd="1"/>
        <i x="11" s="1" nd="1"/>
        <i x="762" s="1" nd="1"/>
        <i x="392" s="1" nd="1"/>
        <i x="713" s="1" nd="1"/>
        <i x="296" s="1" nd="1"/>
        <i x="113" s="1" nd="1"/>
        <i x="271" s="1" nd="1"/>
        <i x="591" s="1" nd="1"/>
        <i x="324" s="1" nd="1"/>
        <i x="676" s="1" nd="1"/>
        <i x="502" s="1" nd="1"/>
        <i x="24" s="1" nd="1"/>
        <i x="582" s="1" nd="1"/>
        <i x="852" s="1" nd="1"/>
        <i x="20" s="1" nd="1"/>
        <i x="758" s="1" nd="1"/>
        <i x="112" s="1" nd="1"/>
        <i x="545" s="1" nd="1"/>
        <i x="828" s="1" nd="1"/>
        <i x="270" s="1" nd="1"/>
        <i x="479" s="1" nd="1"/>
        <i x="773" s="1" nd="1"/>
        <i x="266" s="1" nd="1"/>
        <i x="343" s="1" nd="1"/>
        <i x="677" s="1" nd="1"/>
        <i x="801" s="1" nd="1"/>
        <i x="76" s="1" nd="1"/>
        <i x="47" s="1" nd="1"/>
        <i x="669" s="1" nd="1"/>
        <i x="661" s="1" nd="1"/>
        <i x="469" s="1" nd="1"/>
        <i x="44" s="1" nd="1"/>
        <i x="731" s="1" nd="1"/>
        <i x="690" s="1" nd="1"/>
        <i x="216" s="1" nd="1"/>
        <i x="476" s="1" nd="1"/>
        <i x="634" s="1" nd="1"/>
        <i x="446" s="1" nd="1"/>
        <i x="809" s="1" nd="1"/>
        <i x="668" s="1" nd="1"/>
        <i x="215" s="1" nd="1"/>
        <i x="131" s="1" nd="1"/>
        <i x="222" s="1" nd="1"/>
        <i x="158" s="1" nd="1"/>
        <i x="230" s="1" nd="1"/>
        <i x="109" s="1" nd="1"/>
        <i x="622" s="1" nd="1"/>
        <i x="141" s="1" nd="1"/>
        <i x="617" s="1" nd="1"/>
        <i x="321" s="1" nd="1"/>
        <i x="820" s="1" nd="1"/>
        <i x="322" s="1" nd="1"/>
        <i x="461" s="1" nd="1"/>
        <i x="506" s="1" nd="1"/>
        <i x="554" s="1" nd="1"/>
        <i x="477" s="1" nd="1"/>
        <i x="244" s="1" nd="1"/>
        <i x="848" s="1" nd="1"/>
        <i x="832" s="1" nd="1"/>
        <i x="743" s="1" nd="1"/>
        <i x="240" s="1" nd="1"/>
        <i x="239" s="1" nd="1"/>
        <i x="462" s="1" nd="1"/>
        <i x="286" s="1" nd="1"/>
        <i x="550" s="1" nd="1"/>
        <i x="845" s="1" nd="1"/>
        <i x="445" s="1" nd="1"/>
        <i x="530" s="1" nd="1"/>
        <i x="666" s="1" nd="1"/>
        <i x="519" s="1" nd="1"/>
        <i x="793" s="1" nd="1"/>
        <i x="178" s="1" nd="1"/>
        <i x="58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6" s="1" nd="1"/>
        <i x="183" s="1" nd="1"/>
        <i x="835" s="1" nd="1"/>
        <i x="712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7" s="1" nd="1"/>
        <i x="421" s="1" nd="1"/>
        <i x="80" s="1" nd="1"/>
        <i x="697" s="1" nd="1"/>
        <i x="284" s="1" nd="1"/>
        <i x="846" s="1" nd="1"/>
        <i x="248" s="1" nd="1"/>
        <i x="764" s="1" nd="1"/>
        <i x="425" s="1" nd="1"/>
        <i x="436" s="1" nd="1"/>
        <i x="167" s="1" nd="1"/>
        <i x="543" s="1" nd="1"/>
        <i x="806" s="1" nd="1"/>
        <i x="621" s="1" nd="1"/>
        <i x="4" s="1" nd="1"/>
        <i x="771" s="1" nd="1"/>
        <i x="14" s="1" nd="1"/>
        <i x="740" s="1" nd="1"/>
        <i x="393" s="1" nd="1"/>
        <i x="276" s="1" nd="1"/>
        <i x="65" s="1" nd="1"/>
        <i x="186" s="1" nd="1"/>
        <i x="307" s="1" nd="1"/>
        <i x="177" s="1" nd="1"/>
        <i x="597" s="1" nd="1"/>
        <i x="172" s="1" nd="1"/>
        <i x="615" s="1" nd="1"/>
        <i x="768" s="1" nd="1"/>
        <i x="483" s="1" nd="1"/>
        <i x="52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6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8" s="1" nd="1"/>
        <i x="853" s="1" nd="1"/>
        <i x="829" s="1" nd="1"/>
        <i x="106" s="1" nd="1"/>
        <i x="401" s="1" nd="1"/>
        <i x="114" s="1" nd="1"/>
        <i x="653" s="1" nd="1"/>
        <i x="657" s="1" nd="1"/>
        <i x="796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0" s="1" nd="1"/>
        <i x="457" s="1" nd="1"/>
        <i x="478" s="1" nd="1"/>
        <i x="751" s="1" nd="1"/>
        <i x="639" s="1" nd="1"/>
        <i x="53" s="1" nd="1"/>
        <i x="794" s="1" nd="1"/>
        <i x="717" s="1" nd="1"/>
        <i x="417" s="1" nd="1"/>
        <i x="735" s="1" nd="1"/>
        <i x="813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7" s="1" nd="1"/>
        <i x="59" s="1" nd="1"/>
        <i x="632" s="1" nd="1"/>
        <i x="531" s="1" nd="1"/>
        <i x="295" s="1" nd="1"/>
        <i x="304" s="1" nd="1"/>
        <i x="174" s="1" nd="1"/>
        <i x="101" s="1" nd="1"/>
        <i x="70" s="1" nd="1"/>
        <i x="579" s="1" nd="1"/>
        <i x="799" s="1" nd="1"/>
        <i x="32" s="1" nd="1"/>
        <i x="674" s="1" nd="1"/>
        <i x="287" s="1" nd="1"/>
        <i x="630" s="1" nd="1"/>
        <i x="265" s="1" nd="1"/>
        <i x="115" s="1" nd="1"/>
        <i x="333" s="1" nd="1"/>
        <i x="220" s="1" nd="1"/>
        <i x="510" s="1" nd="1"/>
        <i x="117" s="1" nd="1"/>
        <i x="537" s="1" nd="1"/>
        <i x="83" s="1" nd="1"/>
        <i x="603" s="1" nd="1"/>
        <i x="450" s="1" nd="1"/>
        <i x="349" s="1" nd="1"/>
        <i x="78" s="1" nd="1"/>
        <i x="583" s="1" nd="1"/>
        <i x="18" s="1" nd="1"/>
        <i x="160" s="1" nd="1"/>
        <i x="774" s="1" nd="1"/>
        <i x="580" s="1" nd="1"/>
        <i x="518" s="1" nd="1"/>
        <i x="798" s="1" nd="1"/>
        <i x="165" s="1" nd="1"/>
        <i x="826" s="1" nd="1"/>
        <i x="110" s="1" nd="1"/>
        <i x="422" s="1" nd="1"/>
        <i x="427" s="1" nd="1"/>
        <i x="9" s="1" nd="1"/>
        <i x="42" s="1" nd="1"/>
        <i x="16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2" s="1" nd="1"/>
        <i x="196" s="1" nd="1"/>
        <i x="831" s="1" nd="1"/>
        <i x="765" s="1" nd="1"/>
        <i x="509" s="1" nd="1"/>
        <i x="821" s="1" nd="1"/>
        <i x="341" s="1" nd="1"/>
        <i x="223" s="1" nd="1"/>
        <i x="64" s="1" nd="1"/>
        <i x="636" s="1" nd="1"/>
        <i x="458" s="1" nd="1"/>
        <i x="791" s="1" nd="1"/>
        <i x="704" s="1" nd="1"/>
        <i x="234" s="1" nd="1"/>
        <i x="598" s="1" nd="1"/>
        <i x="43" s="1" nd="1"/>
        <i x="843" s="1" nd="1"/>
        <i x="123" s="1" nd="1"/>
        <i x="267" s="1" nd="1"/>
        <i x="292" s="1" nd="1"/>
        <i x="354" s="1" nd="1"/>
        <i x="98" s="1" nd="1"/>
        <i x="460" s="1" nd="1"/>
        <i x="581" s="1" nd="1"/>
        <i x="353" s="1" nd="1"/>
        <i x="103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41" s="1" nd="1"/>
        <i x="805" s="1" nd="1"/>
        <i x="487" s="1" nd="1"/>
        <i x="443" s="1" nd="1"/>
        <i x="399" s="1" nd="1"/>
        <i x="609" s="1" nd="1"/>
        <i x="153" s="1" nd="1"/>
        <i x="15" s="1" nd="1"/>
        <i x="232" s="1" nd="1"/>
        <i x="241" s="1" nd="1"/>
        <i x="5" s="1" nd="1"/>
        <i x="388" s="1" nd="1"/>
        <i x="370" s="1" nd="1"/>
        <i x="616" s="1" nd="1"/>
        <i x="57" s="1" nd="1"/>
        <i x="708" s="1" nd="1"/>
        <i x="23" s="1" nd="1"/>
        <i x="36" s="1" nd="1"/>
        <i x="8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2" s="1" nd="1"/>
        <i x="143" s="1" nd="1"/>
        <i x="667" s="1" nd="1"/>
        <i x="839" s="1" nd="1"/>
        <i x="38" s="1" nd="1"/>
        <i x="383" s="1" nd="1"/>
        <i x="590" s="1" nd="1"/>
        <i x="748" s="1" nd="1"/>
        <i x="269" s="1" nd="1"/>
        <i x="17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2" s="1" nd="1"/>
        <i x="6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60" s="1" nd="1"/>
        <i x="691" s="1" nd="1"/>
        <i x="21" s="1" nd="1"/>
        <i x="728" s="1" nd="1"/>
        <i x="781" s="1" nd="1"/>
        <i x="640" s="1" nd="1"/>
        <i x="329" s="1" nd="1"/>
        <i x="368" s="1" nd="1"/>
        <i x="815" s="1" nd="1"/>
        <i x="777" s="1" nd="1"/>
        <i x="144" s="1" nd="1"/>
        <i x="498" s="1" nd="1"/>
        <i x="467" s="1" nd="1"/>
        <i x="140" s="1" nd="1"/>
        <i x="757" s="1" nd="1"/>
        <i x="148" s="1" nd="1"/>
        <i x="224" s="1" nd="1"/>
        <i x="721" s="1" nd="1"/>
        <i x="556" s="1" nd="1"/>
        <i x="116" s="1" nd="1"/>
        <i x="376" s="1" nd="1"/>
        <i x="719" s="1" nd="1"/>
        <i x="127" s="1" nd="1"/>
        <i x="33" s="1" nd="1"/>
        <i x="302" s="1" nd="1"/>
        <i x="549" s="1" nd="1"/>
        <i x="60" s="1" nd="1"/>
        <i x="452" s="1" nd="1"/>
        <i x="775" s="1" nd="1"/>
        <i x="485" s="1" nd="1"/>
        <i x="741" s="1" nd="1"/>
        <i x="454" s="1" nd="1"/>
        <i x="521" s="1" nd="1"/>
        <i x="162" s="1" nd="1"/>
        <i x="404" s="1" nd="1"/>
        <i x="742" s="1" nd="1"/>
        <i x="194" s="1" nd="1"/>
        <i x="747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9" s="1" nd="1"/>
        <i x="804" s="1" nd="1"/>
        <i x="91" s="1" nd="1"/>
        <i x="573" s="1" nd="1"/>
        <i x="157" s="1" nd="1"/>
        <i x="561" s="1" nd="1"/>
        <i x="45" s="1" nd="1"/>
        <i x="724" s="1" nd="1"/>
        <i x="749" s="1" nd="1"/>
        <i x="744" s="1" nd="1"/>
        <i x="847" s="1" nd="1"/>
        <i x="124" s="1" nd="1"/>
        <i x="465" s="1" nd="1"/>
        <i x="701" s="1" nd="1"/>
        <i x="428" s="1" nd="1"/>
        <i x="363" s="1" nd="1"/>
        <i x="100" s="1" nd="1"/>
        <i x="481" s="1" nd="1"/>
        <i x="608" s="1" nd="1"/>
        <i x="716" s="1" nd="1"/>
        <i x="54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0" s="1" nd="1"/>
        <i x="2" s="1" nd="1"/>
        <i x="272" s="1" nd="1"/>
        <i x="75" s="1" nd="1"/>
        <i x="130" s="1" nd="1"/>
        <i x="655" s="1" nd="1"/>
        <i x="722" s="1" nd="1"/>
        <i x="642" s="1" nd="1"/>
        <i x="231" s="1" nd="1"/>
        <i x="373" s="1" nd="1"/>
        <i x="736" s="1" nd="1"/>
        <i x="132" s="1" nd="1"/>
        <i x="86" s="1" nd="1"/>
        <i x="209" s="1" nd="1"/>
        <i x="682" s="1" nd="1"/>
        <i x="275" s="1" nd="1"/>
        <i x="472" s="1" nd="1"/>
        <i x="800" s="1" nd="1"/>
        <i x="217" s="1" nd="1"/>
        <i x="827" s="1" nd="1"/>
        <i x="69" s="1" nd="1"/>
        <i x="118" s="1" nd="1"/>
        <i x="646" s="1" nd="1"/>
        <i x="411" s="1" nd="1"/>
        <i x="854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9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0" s="1" nd="1"/>
        <i x="604" s="1" nd="1"/>
        <i x="31" s="1" nd="1"/>
        <i x="268" s="1" nd="1"/>
        <i x="752" s="1" nd="1"/>
        <i x="371" s="1" nd="1"/>
        <i x="246" s="1" nd="1"/>
        <i x="398" s="1" nd="1"/>
        <i x="482" s="1" nd="1"/>
        <i x="338" s="1" nd="1"/>
        <i x="613" s="1" nd="1"/>
        <i x="673" s="1" nd="1"/>
        <i x="838" s="1" nd="1"/>
        <i x="50" s="1" nd="1"/>
        <i x="606" s="1" nd="1"/>
        <i x="84" s="1" nd="1"/>
        <i x="326" s="1" nd="1"/>
        <i x="34" s="1" nd="1"/>
        <i x="496" s="1" nd="1"/>
        <i x="507" s="1" nd="1"/>
        <i x="447" s="1" nd="1"/>
        <i x="166" s="1" nd="1"/>
        <i x="133" s="1" nd="1"/>
        <i x="252" s="1" nd="1"/>
        <i x="300" s="1" nd="1"/>
        <i x="819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4" s="1" nd="1"/>
        <i x="670" s="1" nd="1"/>
        <i x="94" s="1" nd="1"/>
        <i x="440" s="1" nd="1"/>
        <i x="351" s="1" nd="1"/>
        <i x="785" s="1" nd="1"/>
        <i x="499" s="1" nd="1"/>
        <i x="61" s="1" nd="1"/>
        <i x="456" s="1" nd="1"/>
        <i x="82" s="1" nd="1"/>
        <i x="325" s="1" nd="1"/>
        <i x="168" s="1" nd="1"/>
        <i x="332" s="1" nd="1"/>
        <i x="565" s="1" nd="1"/>
        <i x="504" s="1" nd="1"/>
        <i x="228" s="1" nd="1"/>
        <i x="281" s="1" nd="1"/>
        <i x="93" s="1" nd="1"/>
        <i x="407" s="1" nd="1"/>
        <i x="320" s="1" nd="1"/>
        <i x="711" s="1" nd="1"/>
        <i x="535" s="1" nd="1"/>
        <i x="645" s="1" nd="1"/>
        <i x="610" s="1" nd="1"/>
        <i x="834" s="1" nd="1"/>
        <i x="788" s="1" nd="1"/>
        <i x="28" s="1" nd="1"/>
        <i x="783" s="1" nd="1"/>
        <i x="253" s="1" nd="1"/>
        <i x="475" s="1" nd="1"/>
        <i x="812" s="1" nd="1"/>
        <i x="464" s="1" nd="1"/>
        <i x="746" s="1" nd="1"/>
        <i x="649" s="1" nd="1"/>
        <i x="776" s="1" nd="1"/>
        <i x="71" s="1" nd="1"/>
        <i x="714" s="1" nd="1"/>
        <i x="574" s="1" nd="1"/>
        <i x="184" s="1" nd="1"/>
        <i x="718" s="1" nd="1"/>
        <i x="111" s="1" nd="1"/>
        <i x="254" s="1" nd="1"/>
        <i x="512" s="1" nd="1"/>
        <i x="95" s="1" nd="1"/>
        <i x="523" s="1" nd="1"/>
        <i x="790" s="1" nd="1"/>
        <i x="19" s="1" nd="1"/>
        <i x="538" s="1" nd="1"/>
        <i x="637" s="1" nd="1"/>
        <i x="576" s="1" nd="1"/>
        <i x="197" s="1" nd="1"/>
        <i x="575" s="1" nd="1"/>
        <i x="365" s="1" nd="1"/>
        <i x="823" s="1" nd="1"/>
        <i x="336" s="1" nd="1"/>
        <i x="524" s="1" nd="1"/>
        <i x="247" s="1" nd="1"/>
        <i x="10" s="1" nd="1"/>
        <i x="142" s="1" nd="1"/>
        <i x="652" s="1" nd="1"/>
        <i x="605" s="1" nd="1"/>
        <i x="441" s="1" nd="1"/>
        <i x="22" s="1" nd="1"/>
        <i x="595" s="1" nd="1"/>
        <i x="435" s="1" nd="1"/>
        <i x="67" s="1" nd="1"/>
        <i x="656" s="1" nd="1"/>
        <i x="678" s="1" nd="1"/>
        <i x="566" s="1" nd="1"/>
        <i x="515" s="1" nd="1"/>
        <i x="599" s="1" nd="1"/>
        <i x="317" s="1" nd="1"/>
        <i x="782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9" s="1" nd="1"/>
        <i x="567" s="1" nd="1"/>
        <i x="688" s="1" nd="1"/>
        <i x="280" s="1" nd="1"/>
        <i x="525" s="1" nd="1"/>
        <i x="526" s="1" nd="1"/>
        <i x="37" s="1" nd="1"/>
        <i x="593" s="1" nd="1"/>
        <i x="802" s="1" nd="1"/>
        <i x="584" s="1" nd="1"/>
        <i x="750" s="1" nd="1"/>
        <i x="723" s="1" nd="1"/>
        <i x="533" s="1" nd="1"/>
        <i x="46" s="1" nd="1"/>
        <i x="555" s="1" nd="1"/>
        <i x="108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3" s="1" nd="1"/>
        <i x="792" s="1" nd="1"/>
        <i x="200" s="1" nd="1"/>
        <i x="151" s="1" nd="1"/>
        <i x="236" s="1" nd="1"/>
        <i x="503" s="1" nd="1"/>
        <i x="787" s="1" nd="1"/>
        <i x="259" s="1" nd="1"/>
        <i x="753" s="1" nd="1"/>
        <i x="128" s="1" nd="1"/>
        <i x="211" s="1" nd="1"/>
        <i x="833" s="1" nd="1"/>
        <i x="586" s="1" nd="1"/>
        <i x="797" s="1" nd="1"/>
        <i x="727" s="1" nd="1"/>
        <i x="412" s="1" nd="1"/>
        <i x="25" s="1" nd="1"/>
        <i x="342" s="1" nd="1"/>
        <i x="490" s="1" nd="1"/>
        <i x="511" s="1" nd="1"/>
        <i x="770" s="1" nd="1"/>
        <i x="720" s="1" nd="1"/>
        <i x="761" s="1" nd="1"/>
        <i x="520" s="1" nd="1"/>
        <i x="643" s="1" nd="1"/>
        <i x="288" s="1" nd="1"/>
        <i x="180" s="1" nd="1"/>
        <i x="334" s="1" nd="1"/>
        <i x="817" s="1" nd="1"/>
        <i x="611" s="1" nd="1"/>
        <i x="588" s="1" nd="1"/>
        <i x="256" s="1" nd="1"/>
        <i x="551" s="1" nd="1"/>
        <i x="104" s="1" nd="1"/>
        <i x="87" s="1" nd="1"/>
        <i x="755" s="1" nd="1"/>
        <i x="155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3" s="1" nd="1"/>
        <i x="225" s="1" nd="1"/>
        <i x="784" s="1" nd="1"/>
        <i x="725" s="1" nd="1"/>
        <i x="841" s="1" nd="1"/>
        <i x="444" s="1" nd="1"/>
        <i x="193" s="1" nd="1"/>
        <i x="306" s="1" nd="1"/>
        <i x="340" s="1" nd="1"/>
        <i x="96" s="1" nd="1"/>
        <i x="695" s="1" nd="1"/>
        <i x="305" s="1" nd="1"/>
        <i x="355" s="1" nd="1"/>
        <i x="402" s="1" nd="1"/>
        <i x="618" s="1" nd="1"/>
        <i x="614" s="1" nd="1"/>
        <i x="778" s="1" nd="1"/>
        <i x="394" s="1" nd="1"/>
        <i x="400" s="1" nd="1"/>
        <i x="705" s="1" nd="1"/>
        <i x="403" s="1" nd="1"/>
        <i x="830" s="1" nd="1"/>
        <i x="495" s="1" nd="1"/>
        <i x="395" s="1" nd="1"/>
        <i x="671" s="1" nd="1"/>
        <i x="185" s="1" nd="1"/>
        <i x="409" s="1" nd="1"/>
        <i x="474" s="1" nd="1"/>
        <i x="837" s="1" nd="1"/>
        <i x="125" s="1" nd="1"/>
        <i x="152" s="1" nd="1"/>
        <i x="594" s="1" nd="1"/>
        <i x="779" s="1" nd="1"/>
        <i x="612" s="1" nd="1"/>
        <i x="560" s="1" nd="1"/>
        <i x="308" s="1" nd="1"/>
        <i x="654" s="1" nd="1"/>
        <i x="726" s="1" nd="1"/>
        <i x="405" s="1" nd="1"/>
        <i x="745" s="1" nd="1"/>
        <i x="79" s="1" nd="1"/>
        <i x="51" s="1" nd="1"/>
        <i x="851" s="1" nd="1"/>
        <i x="29" s="1" nd="1"/>
        <i x="571" s="1" nd="1"/>
        <i x="513" s="1" nd="1"/>
        <i x="413" s="1" nd="1"/>
        <i x="703" s="1" nd="1"/>
        <i x="204" s="1" nd="1"/>
        <i x="644" s="1" nd="1"/>
        <i x="780" s="1" nd="1"/>
        <i x="468" s="1" nd="1"/>
        <i x="40" s="1" nd="1"/>
        <i x="694" s="1" nd="1"/>
        <i x="664" s="1" nd="1"/>
        <i x="808" s="1" nd="1"/>
        <i x="816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2" s="1" nd="1"/>
        <i x="647" s="1" nd="1"/>
        <i x="48" s="1" nd="1"/>
        <i x="416" s="1" nd="1"/>
        <i x="145" s="1" nd="1"/>
        <i x="729" s="1" nd="1"/>
        <i x="164" s="1" nd="1"/>
        <i x="346" s="1" nd="1"/>
        <i x="119" s="1" nd="1"/>
        <i x="290" s="1" nd="1"/>
        <i x="199" s="1" nd="1"/>
        <i x="205" s="1" nd="1"/>
        <i x="89" s="1" nd="1"/>
        <i x="27" s="1" nd="1"/>
        <i x="278" s="1" nd="1"/>
        <i x="508" s="1" nd="1"/>
        <i x="500" s="1" nd="1"/>
        <i x="68" s="1" nd="1"/>
        <i x="680" s="1" nd="1"/>
        <i x="81" s="1" nd="1"/>
        <i x="635" s="1" nd="1"/>
        <i x="66" s="1" nd="1"/>
        <i x="651" s="1" nd="1"/>
        <i x="489" s="1" nd="1"/>
        <i x="754" s="1" nd="1"/>
        <i x="163" s="1" nd="1"/>
        <i x="191" s="1" nd="1"/>
        <i x="679" s="1" nd="1"/>
        <i x="299" s="1" nd="1"/>
        <i x="589" s="1" nd="1"/>
        <i x="179" s="1" nd="1"/>
        <i x="624" s="1" nd="1"/>
        <i x="63" s="1" nd="1"/>
        <i x="424" s="1" nd="1"/>
        <i x="26" s="1" nd="1"/>
        <i x="766" s="1" nd="1"/>
        <i x="414" s="1" nd="1"/>
        <i x="553" s="1" nd="1"/>
        <i x="97" s="1" nd="1"/>
        <i x="85" s="1" nd="1"/>
        <i x="293" s="1" nd="1"/>
        <i x="195" s="1" nd="1"/>
        <i x="497" s="1" nd="1"/>
        <i x="262" s="1" nd="1"/>
        <i x="30" s="1" nd="1"/>
        <i x="105" s="1" nd="1"/>
        <i x="534" s="1" nd="1"/>
        <i x="297" s="1" nd="1"/>
        <i x="397" s="1" nd="1"/>
        <i x="229" s="1" nd="1"/>
        <i x="7" s="1" nd="1"/>
        <i x="473" s="1" nd="1"/>
        <i x="824" s="1" nd="1"/>
        <i x="35" s="1" nd="1"/>
        <i x="311" s="1" nd="1"/>
        <i x="825" s="1" nd="1"/>
        <i x="563" s="1" nd="1"/>
        <i x="62" s="1" nd="1"/>
        <i x="569" s="1" nd="1"/>
        <i x="431" s="1" nd="1"/>
        <i x="426" s="1" nd="1"/>
        <i x="176" s="1" nd="1"/>
        <i x="366" s="1" nd="1"/>
        <i x="759" s="1" nd="1"/>
        <i x="601" s="1" nd="1"/>
        <i x="12" s="1" nd="1"/>
        <i x="92" s="1" nd="1"/>
        <i x="438" s="1" nd="1"/>
        <i x="434" s="1" nd="1"/>
        <i x="121" s="1" nd="1"/>
        <i x="631" s="1" nd="1"/>
        <i x="201" s="1" nd="1"/>
        <i x="156" s="1" nd="1"/>
        <i x="55" s="1" nd="1"/>
        <i x="548" s="1" nd="1"/>
        <i x="619" s="1" nd="1"/>
        <i x="99" s="1" nd="1"/>
        <i x="767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600" s="1" nd="1"/>
        <i x="190" s="1" nd="1"/>
        <i x="226" s="1" nd="1"/>
        <i x="842" s="1" nd="1"/>
        <i x="836" s="1" nd="1"/>
        <i x="492" s="1" nd="1"/>
        <i x="685" s="1" nd="1"/>
        <i x="243" s="1" nd="1"/>
        <i x="56" s="1" nd="1"/>
        <i x="129" s="1" nd="1"/>
        <i x="3" s="1" nd="1"/>
        <i x="49" s="1" nd="1"/>
        <i x="90" s="1" nd="1"/>
        <i x="202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8" s="1" nd="1"/>
        <i x="19" s="1" nd="1"/>
        <i x="3" s="1" nd="1"/>
        <i x="23" s="1" nd="1"/>
        <i x="6" s="1" nd="1"/>
        <i x="22" s="1" nd="1"/>
        <i x="21" s="1" nd="1"/>
        <i x="12" s="1" nd="1"/>
        <i x="17" s="1" nd="1"/>
        <i x="20" s="1" nd="1"/>
        <i x="2" s="1" nd="1"/>
        <i x="25" s="1" nd="1"/>
        <i x="11" s="1" nd="1"/>
        <i x="14" s="1" nd="1"/>
        <i x="10" s="1" nd="1"/>
        <i x="8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300850</v>
      </c>
      <c r="B2" s="12" t="s">
        <v>579</v>
      </c>
      <c r="C2" s="14">
        <v>46276</v>
      </c>
      <c r="D2" s="14">
        <v>46276</v>
      </c>
      <c r="E2" s="12"/>
      <c r="F2" s="15" t="s">
        <v>580</v>
      </c>
      <c r="G2" s="15" t="s">
        <v>581</v>
      </c>
      <c r="H2" s="15" t="s">
        <v>582</v>
      </c>
      <c r="I2" s="16">
        <v>19431.759999999998</v>
      </c>
      <c r="J2" s="15" t="s">
        <v>583</v>
      </c>
      <c r="K2" s="15" t="s">
        <v>584</v>
      </c>
      <c r="L2" s="15" t="s">
        <v>585</v>
      </c>
      <c r="M2" s="15">
        <v>9277.7099999999991</v>
      </c>
      <c r="N2" s="15">
        <v>5</v>
      </c>
      <c r="O2" s="16">
        <v>152</v>
      </c>
      <c r="P2" s="15" t="s">
        <v>586</v>
      </c>
      <c r="Q2" s="15">
        <v>18.149999999999999</v>
      </c>
      <c r="R2" s="15" t="s">
        <v>587</v>
      </c>
      <c r="S2" s="15">
        <v>4500</v>
      </c>
      <c r="T2" s="15" t="s">
        <v>588</v>
      </c>
      <c r="U2" s="15">
        <v>0</v>
      </c>
      <c r="V2" s="15">
        <v>0</v>
      </c>
      <c r="W2" s="15">
        <v>0</v>
      </c>
      <c r="X2" s="15">
        <v>0</v>
      </c>
      <c r="Y2" s="15">
        <v>9.7200000000000006</v>
      </c>
      <c r="Z2" s="15">
        <v>0</v>
      </c>
      <c r="AA2" s="15">
        <v>4527.87</v>
      </c>
      <c r="AB2" s="15">
        <v>4749.84</v>
      </c>
      <c r="AC2" s="15">
        <v>2412.1999999999998</v>
      </c>
      <c r="AD2" s="15">
        <v>2337.64</v>
      </c>
      <c r="AE2" s="15">
        <v>0</v>
      </c>
      <c r="AF2" s="15">
        <v>2337.64</v>
      </c>
      <c r="AG2" s="17">
        <v>0.252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9277.7099999999991</v>
      </c>
      <c r="F3" s="93"/>
      <c r="G3" s="94"/>
      <c r="H3" s="95">
        <f>'Resumo Detalhado'!C2</f>
        <v>152</v>
      </c>
      <c r="I3" s="96"/>
      <c r="J3" s="97">
        <f>E3/H3</f>
        <v>61.037565789473682</v>
      </c>
      <c r="K3" s="98"/>
      <c r="L3" s="99"/>
      <c r="M3" s="138" t="s">
        <v>236</v>
      </c>
      <c r="N3" s="93"/>
      <c r="O3" s="94"/>
      <c r="P3" s="135">
        <v>3500</v>
      </c>
      <c r="Q3" s="136"/>
      <c r="R3" s="137"/>
      <c r="S3" s="103">
        <f>MIN(H3/P3,1)</f>
        <v>4.3428571428571427E-2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4518.1499999999996</v>
      </c>
      <c r="F7" s="109"/>
      <c r="G7" s="109"/>
      <c r="H7" s="109"/>
      <c r="I7" s="109"/>
      <c r="J7" s="109">
        <f>E7/H3</f>
        <v>29.724671052631578</v>
      </c>
      <c r="K7" s="109"/>
      <c r="L7" s="109"/>
      <c r="M7" s="110">
        <f>E7/E3</f>
        <v>0.48698978519483793</v>
      </c>
      <c r="N7" s="110"/>
      <c r="O7" s="110"/>
      <c r="P7" s="109">
        <f>E11+K11+Q11+E15+K15+Q15+E19+H19+K19</f>
        <v>6754.5204000000003</v>
      </c>
      <c r="Q7" s="109"/>
      <c r="R7" s="109"/>
      <c r="S7" s="109">
        <f>P7/H3</f>
        <v>44.437634210526319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4500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4500</v>
      </c>
      <c r="L11" s="94"/>
      <c r="M11" s="38"/>
      <c r="N11" s="92">
        <f>K11/H3</f>
        <v>29.605263157894736</v>
      </c>
      <c r="O11" s="94"/>
      <c r="P11" s="38"/>
      <c r="Q11" s="92">
        <f>'Resumo Detalhado'!D2</f>
        <v>18.149999999999999</v>
      </c>
      <c r="R11" s="94"/>
      <c r="S11" s="38"/>
      <c r="T11" s="92">
        <f>Q11/H3</f>
        <v>0.1194078947368421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0</v>
      </c>
      <c r="F15" s="113"/>
      <c r="G15" s="113"/>
      <c r="H15" s="113"/>
      <c r="I15" s="114"/>
      <c r="J15" s="38"/>
      <c r="K15" s="116">
        <f>'Resumo Detalhado'!K2+'Resumo Detalhado'!L2</f>
        <v>1484.4335999999998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9.7200000000000006</v>
      </c>
      <c r="F19" s="119"/>
      <c r="G19" s="38"/>
      <c r="H19" s="106">
        <f>'Resumo Detalhado'!J2</f>
        <v>0</v>
      </c>
      <c r="I19" s="108"/>
      <c r="J19" s="38"/>
      <c r="K19" s="106">
        <f>'Resumo Detalhado'!L2</f>
        <v>742.21679999999992</v>
      </c>
      <c r="L19" s="108"/>
      <c r="M19" s="38"/>
      <c r="N19" s="112" t="s">
        <v>345</v>
      </c>
      <c r="O19" s="113"/>
      <c r="P19" s="113"/>
      <c r="Q19" s="113"/>
      <c r="R19" s="119"/>
      <c r="S19" s="112">
        <f>_xlfn.XLOOKUP(N19,Target!C:C,Target!D:D)</f>
        <v>4100</v>
      </c>
      <c r="T19" s="113"/>
      <c r="U19" s="119"/>
      <c r="V19" s="36"/>
      <c r="W19" s="126" t="str">
        <f>IF(D11=S19,"NO TARGET",IF(D11&lt;S19,"ABAIXO DO TARGET",IF(D11&gt;S19,"FORA DO TARGET")))</f>
        <v>FORA DO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4007.6231999999991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0.4319625424808492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218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7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589</v>
      </c>
      <c r="F1" s="29"/>
    </row>
    <row r="2" spans="1:18" x14ac:dyDescent="0.3">
      <c r="B2" s="29">
        <f>SUM(B6:B5000)</f>
        <v>9277.7099999999991</v>
      </c>
      <c r="C2" s="29">
        <f>SUM(C6:C5000)</f>
        <v>152</v>
      </c>
      <c r="D2" s="29">
        <f>SUM(D6:D5000)</f>
        <v>18.149999999999999</v>
      </c>
      <c r="E2" s="29">
        <f>SUM(E6:E5000)</f>
        <v>4500</v>
      </c>
      <c r="F2" s="29">
        <f>SUM(F6:F5000)</f>
        <v>0</v>
      </c>
      <c r="G2" s="29"/>
      <c r="H2" s="29">
        <f t="shared" ref="H2:P2" si="0">SUM(H6:H5000)</f>
        <v>0</v>
      </c>
      <c r="I2" s="29">
        <f t="shared" si="0"/>
        <v>9.7200000000000006</v>
      </c>
      <c r="J2" s="29">
        <f t="shared" si="0"/>
        <v>0</v>
      </c>
      <c r="K2" s="29">
        <f t="shared" si="0"/>
        <v>742.21679999999992</v>
      </c>
      <c r="L2" s="29">
        <f t="shared" si="0"/>
        <v>742.21679999999992</v>
      </c>
      <c r="M2" s="29">
        <f t="shared" si="0"/>
        <v>0</v>
      </c>
      <c r="N2" s="29">
        <f t="shared" si="0"/>
        <v>4007.6231999999991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300850</v>
      </c>
      <c r="B6" s="139">
        <v>9277.7099999999991</v>
      </c>
      <c r="C6" s="140">
        <v>152</v>
      </c>
      <c r="D6" s="139">
        <v>18.149999999999999</v>
      </c>
      <c r="E6" s="139">
        <v>4500</v>
      </c>
      <c r="F6" s="139">
        <v>0</v>
      </c>
      <c r="G6" s="141">
        <v>0.48698978519483793</v>
      </c>
      <c r="H6" s="139">
        <v>0</v>
      </c>
      <c r="I6" s="139">
        <v>9.7200000000000006</v>
      </c>
      <c r="J6" s="139">
        <v>0</v>
      </c>
      <c r="K6" s="139">
        <v>742.21679999999992</v>
      </c>
      <c r="L6" s="139">
        <v>742.21679999999992</v>
      </c>
      <c r="M6" s="139">
        <v>0</v>
      </c>
      <c r="N6" s="139">
        <v>4007.6231999999991</v>
      </c>
      <c r="O6" s="141">
        <v>0.4319625424808492</v>
      </c>
      <c r="Q6"/>
    </row>
    <row r="7" spans="1:18" s="31" customFormat="1" x14ac:dyDescent="0.3">
      <c r="A7" s="9" t="s">
        <v>86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589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9277.7099999999991</v>
      </c>
      <c r="C5" s="10">
        <v>4007.6231999999991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2026-09-16T13:19:59Z</dcterms:modified>
  <cp:category/>
  <cp:contentStatus/>
</cp:coreProperties>
</file>