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870149E-C3C9-4692-A32F-AA5FAEF20D6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<sst xmlns="http://schemas.openxmlformats.org/spreadsheetml/2006/main" count="882" uniqueCount="607">
  <si>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</si>
  <si>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</si>
  <si>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</si>
  <si>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</si>
  <si>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</si>
  <si>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</si>
  <si>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</si>
  <si>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</si>
  <si>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</si>
  <si>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</si>
  <si>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</si>
  <si>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</si>
  <si>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</si>
  <si>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</si>
  <si>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</si>
  <si>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</si>
  <si>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</si>
  <si>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</si>
  <si>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</si>
  <si>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</si>
  <si>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</si>
  <si>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</si>
  <si>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</si>
  <si>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</si>
  <si>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</si>
  <si>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</si>
  <si>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</si>
  <si>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</si>
  <si>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</si>
  <si>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</si>
  <si>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</si>
  <si>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</si>
  <si>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</si>
  <si>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</si>
  <si>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</si>
  <si>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</si>
  <si>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</si>
  <si>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</si>
  <si>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</si>
  <si>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</si>
  <si>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</si>
  <si>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</si>
  <si>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</si>
  <si>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</si>
  <si>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</si>
  <si>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</si>
  <si>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</si>
  <si>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</si>
  <si>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</si>
  <si>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</si>
  <si>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</si>
  <si>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</si>
  <si>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</si>
  <si>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</si>
  <si>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</si>
  <si>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</si>
  <si>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</si>
  <si>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</si>
  <si>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</si>
  <si>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</si>
  <si>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</si>
  <si>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</si>
  <si>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</si>
  <si>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</si>
  <si>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</si>
  <si>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</si>
  <si>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</si>
  <si>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</si>
  <si>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</si>
  <si>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</si>
  <si>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</si>
  <si>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</si>
  <si>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</si>
  <si>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</si>
  <si>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</si>
  <si>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</si>
  <si>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</si>
  <si>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</si>
  <si>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</si>
  <si>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</si>
  <si>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</si>
  <si>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</si>
  <si>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</si>
  <si>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</si>
  <si>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</si>
  <si>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</si>
  <si>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</si>
  <si>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</si>
  <si>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</si>
  <si>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</si>
  <si>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</si>
  <si>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</si>
  <si>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</si>
  <si>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</si>
  <si>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</si>
  <si>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</si>
  <si>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</si>
  <si>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</si>
  <si>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</si>
  <si>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</si>
  <si>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</si>
  <si>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</si>
  <si>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</si>
  <si>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</si>
  <si>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</si>
  <si>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</si>
  <si>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</si>
  <si>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</si>
  <si>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</si>
  <si>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</si>
  <si>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</si>
  <si>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</si>
  <si>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</si>
  <si>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</si>
  <si>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</si>
  <si>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</si>
  <si>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</si>
  <si>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</si>
  <si>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</si>
  <si>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</si>
  <si>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</si>
  <si>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</si>
  <si>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</si>
  <si>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</si>
  <si>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</si>
  <si>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</si>
  <si>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</si>
  <si>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</si>
  <si>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</si>
  <si>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</si>
  <si>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</si>
  <si>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</si>
  <si>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</si>
  <si>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</si>
  <si>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</si>
  <si>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</si>
  <si>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</si>
  <si>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</si>
  <si>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</si>
  <si>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</si>
  <si>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</si>
  <si>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</si>
  <si>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</si>
  <si>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</si>
  <si>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</si>
  <si>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</si>
  <si>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</si>
  <si>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</si>
  <si>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</si>
  <si>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</si>
  <si>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</si>
  <si>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</si>
  <si>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</si>
  <si>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</si>
  <si>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</si>
  <si>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</si>
  <si>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</si>
  <si>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</si>
  <si>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</si>
  <si>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</si>
  <si>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</si>
  <si>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</si>
  <si>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</si>
  <si>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</si>
  <si>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</si>
  <si>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</si>
  <si>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</si>
  <si>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</si>
  <si>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</si>
  <si>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</si>
  <si>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</si>
  <si>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</si>
  <si>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</si>
  <si>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</si>
  <si>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</si>
  <si>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</si>
  <si>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</si>
  <si>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</si>
  <si>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</si>
  <si>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</si>
  <si>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</si>
  <si>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</si>
  <si>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</si>
  <si>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</si>
  <si>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</si>
  <si>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</si>
  <si>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</si>
  <si>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</si>
  <si>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</si>
  <si>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</si>
  <si>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</si>
  <si>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</si>
  <si>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</si>
  <si>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</si>
  <si>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</si>
  <si>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</si>
  <si>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</si>
  <si>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</si>
  <si>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</si>
  <si>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</si>
  <si>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</si>
  <si>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</si>
  <si>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</si>
  <si>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</si>
  <si>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</si>
  <si>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</si>
  <si>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</si>
  <si>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</si>
  <si>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</si>
  <si>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</si>
  <si>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</si>
  <si>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</si>
  <si>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</si>
  <si>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</si>
  <si>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</si>
  <si>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</si>
  <si>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</si>
  <si>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</si>
  <si>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</si>
  <si>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</si>
  <si>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</si>
  <si>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</si>
  <si>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</si>
  <si>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</si>
  <si>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</si>
  <si>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</si>
  <si>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</si>
  <si>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</si>
  <si>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</si>
  <si>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</si>
  <si>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</si>
  <si>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</si>
  <si>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</si>
  <si>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</si>
  <si>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</si>
  <si>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</si>
  <si>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</si>
  <si>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</si>
  <si>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</si>
  <si>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</si>
  <si>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</si>
  <si>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</si>
  <si>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</si>
  <si>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</si>
  <si>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</si>
  <si>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</si>
  <si>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</si>
  <si>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</si>
  <si>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</si>
  <si>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</si>
  <si>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</si>
  <si>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</si>
  <si>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</si>
  <si>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</si>
  <si>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</si>
  <si>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</si>
  <si>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</si>
  <si>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</si>
  <si>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</si>
  <si>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</si>
  <si>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</si>
  <si>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</si>
  <si>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</si>
  <si>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</si>
  <si>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</si>
  <si>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</si>
  <si>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</si>
  <si>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</si>
  <si>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</si>
  <si>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</si>
  <si>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</si>
  <si>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</si>
  <si>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</si>
  <si>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</si>
  <si>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</si>
  <si>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</si>
  <si>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</si>
  <si>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</si>
  <si>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</si>
  <si>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</si>
  <si>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</si>
  <si>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</si>
  <si>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</si>
  <si>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</si>
  <si>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</si>
  <si>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</si>
  <si>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</si>
  <si>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</si>
  <si>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</si>
  <si>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</si>
  <si>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</si>
  <si>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</si>
  <si>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</si>
  <si>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</si>
  <si>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</si>
  <si>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</si>
  <si>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</si>
  <si>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</si>
  <si>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</si>
  <si>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</si>
  <si>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</si>
  <si>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</si>
  <si>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</si>
  <si>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</si>
  <si>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</si>
  <si>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</si>
  <si>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</si>
  <si>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</si>
  <si>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</si>
  <si>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</si>
  <si>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</si>
  <si>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</si>
  <si>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</si>
  <si>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</si>
  <si>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</si>
  <si>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</si>
  <si>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</si>
  <si>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</si>
  <si>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</si>
  <si>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</si>
  <si>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</si>
  <si>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</si>
  <si>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</si>
  <si>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</si>
  <si>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</si>
  <si>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</si>
  <si>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</si>
  <si>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</si>
  <si>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</si>
  <si>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</si>
  <si>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</si>
  <si>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</si>
  <si>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</si>
  <si>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</si>
  <si>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</si>
  <si>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</si>
  <si>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</si>
  <si>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</si>
  <si>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</si>
  <si>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</si>
  <si>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</si>
  <si>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</si>
  <si>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</si>
  <si>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</si>
  <si>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</si>
  <si>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</si>
  <si>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</si>
  <si>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</si>
  <si>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</si>
  <si>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</si>
  <si>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</si>
  <si>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</si>
  <si>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</si>
  <si>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</si>
  <si>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</si>
  <si>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</si>
  <si>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</si>
  <si>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</si>
  <si>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</si>
  <si>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</si>
  <si>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</si>
  <si>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</si>
  <si>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</si>
  <si>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</si>
  <si>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</si>
  <si>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</si>
  <si>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</si>
  <si>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</si>
  <si>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</si>
  <si>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</si>
  <si>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</si>
  <si>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</si>
  <si>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</si>
  <si>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</si>
  <si>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</si>
  <si>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</si>
  <si>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</si>
  <si>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</si>
  <si>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</si>
  <si>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</si>
  <si>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</si>
  <si>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</si>
  <si>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</si>
  <si>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</si>
  <si>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</si>
  <si>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</si>
  <si>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</si>
  <si>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</si>
  <si>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</si>
  <si>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</si>
  <si>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</si>
  <si>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</si>
  <si>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</si>
  <si>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</si>
  <si>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</si>
  <si>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</si>
  <si>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</si>
  <si>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</si>
  <si>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</si>
  <si>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</si>
  <si>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</si>
  <si>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</si>
  <si>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</si>
  <si>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</si>
  <si>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</si>
  <si>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</si>
  <si>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</si>
  <si>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</si>
  <si>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</si>
  <si>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</si>
  <si>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</si>
  <si>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</si>
  <si>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</si>
  <si>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</si>
  <si>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</si>
  <si>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</si>
  <si>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</si>
  <si>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</si>
  <si>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</si>
  <si>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</si>
  <si>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</si>
  <si>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</si>
  <si>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</si>
  <si>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</si>
  <si>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</si>
  <si>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</si>
  <si>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</si>
  <si>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</si>
  <si>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</si>
  <si>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</si>
  <si>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</si>
  <si>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</si>
  <si>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</si>
  <si>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</si>
  <si>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</si>
  <si>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</si>
  <si>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</si>
  <si>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</si>
  <si>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</si>
  <si>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</si>
  <si>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</si>
  <si>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</si>
  <si>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</si>
  <si>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</si>
  <si>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</si>
  <si>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</si>
  <si>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</si>
  <si>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</si>
  <si>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</si>
  <si>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</si>
  <si>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</si>
  <si>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</si>
  <si>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</si>
  <si>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</si>
  <si>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</si>
  <si>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</si>
  <si>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</si>
  <si>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</si>
  <si>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</si>
  <si>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</si>
  <si>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</si>
  <si>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</si>
  <si>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</si>
  <si>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</si>
  <si>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</si>
  <si>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</si>
  <si>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</si>
  <si>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</si>
  <si>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</si>
  <si>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</si>
  <si>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</si>
  <si>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</si>
  <si>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</si>
  <si>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</si>
  <si>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</si>
  <si>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</si>
  <si>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</si>
  <si>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</si>
  <si>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</si>
  <si>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</si>
  <si>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</si>
  <si>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</si>
  <si>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</si>
  <si>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</si>
  <si>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</si>
  <si>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</si>
  <si>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</si>
  <si>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</si>
  <si>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</si>
  <si>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</si>
  <si>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</si>
  <si>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</si>
  <si>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</si>
  <si>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</si>
  <si>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</si>
  <si>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</si>
  <si>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</si>
  <si>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</si>
  <si>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</si>
  <si>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</si>
  <si>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</si>
  <si>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</si>
  <si>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</si>
  <si>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</si>
  <si>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</si>
  <si>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</si>
  <si>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</si>
  <si>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</si>
  <si>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</si>
  <si>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</si>
  <si>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</si>
  <si>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</si>
  <si>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</si>
  <si>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</si>
  <si>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</si>
  <si>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</si>
  <si>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</si>
  <si>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</si>
  <si>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</si>
  <si>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</si>
  <si>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</si>
  <si>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</si>
  <si>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</si>
  <si>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</si>
  <si>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</si>
  <si>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</si>
  <si>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</si>
  <si>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</si>
  <si>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</si>
  <si>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</si>
  <si>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</si>
  <si>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</si>
  <si>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</si>
  <si>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</si>
  <si>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</si>
  <si>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</si>
  <si>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</si>
  <si>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</si>
  <si>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</si>
  <si>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</si>
  <si>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</si>
  <si>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</si>
  <si>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</si>
  <si>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</si>
  <si>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</si>
  <si>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</si>
  <si>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</si>
  <si>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</si>
  <si>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</si>
  <si>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</si>
  <si>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</si>
  <si>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</si>
  <si>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</si>
  <si>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</si>
  <si>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</si>
  <si>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</si>
  <si>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</si>
  <si>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</si>
  <si>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</si>
  <si>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</si>
  <si>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</si>
  <si>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</si>
  <si>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</si>
  <si>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</si>
  <si>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</si>
  <si>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</si>
  <si>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</si>
  <si>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</si>
  <si>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</si>
  <si>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</si>
  <si>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</si>
  <si>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</si>
  <si>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</si>
  <si>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</si>
  <si>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</si>
  <si>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</si>
  <si>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</si>
  <si>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</si>
  <si>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</si>
  <si>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</si>
  <si>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</si>
  <si>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</si>
  <si>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</si>
  <si>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</si>
  <si>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</si>
  <si>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</si>
  <si>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</si>
  <si>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</si>
  <si>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</si>
  <si>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</si>
  <si>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MATRIZ</t>
  </si>
  <si>
    <t>3072-1</t>
  </si>
  <si>
    <t>MAC FER INDUSTR</t>
  </si>
  <si>
    <t>FRANCISCO GILAILTON/SABRI</t>
  </si>
  <si>
    <t>ECONOMICO_250</t>
  </si>
  <si>
    <t>CTE NORMAL</t>
  </si>
  <si>
    <t>GUARULHOS - SP</t>
  </si>
  <si>
    <t>RAFAEL DE FREITAS</t>
  </si>
  <si>
    <t>JOSE EMILTON DA COSTA - O</t>
  </si>
  <si>
    <t>TRANSPORTES RODOVIARIO UP</t>
  </si>
  <si>
    <t>3088-1</t>
  </si>
  <si>
    <t>AC COMERCIAL IM</t>
  </si>
  <si>
    <t>TIAGO SANTANA</t>
  </si>
  <si>
    <t>PERSONALIZADO_L</t>
  </si>
  <si>
    <t>CAJAMAR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</si>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</sst>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[Analise_MOISES_17092026.xlsx]Resumo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9787.35</c:v>
                </c:pt>
                <c:pt idx="1">
                  <c:v>140.1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6271.362000000001</c:v>
                </c:pt>
                <c:pt idx="1">
                  <c:v>20.791999999999994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[Analise_MOISES_17092026.xlsx]Resumo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9787.35</c:v>
                </c:pt>
                <c:pt idx="1">
                  <c:v>140.1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6271.362000000001</c:v>
                </c:pt>
                <c:pt idx="1">
                  <c:v>20.791999999999994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7.4152964120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80"/>
        <n v="319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6T00:00:00" maxDate="2026-09-17T00:00:00"/>
    </cacheField>
    <cacheField name="DATA" numFmtId="14">
      <sharedItems containsNonDate="0" containsDate="1" containsString="0" containsBlank="1" minDate="2026-09-16T00:00:00" maxDate="2026-09-1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C FER INDUSTR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93.91" maxValue="680971.02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0.1" maxValue="9787.35"/>
    </cacheField>
    <cacheField name="VOLUMES" numFmtId="0">
      <sharedItems containsString="0" containsBlank="1" containsNumber="1" containsInteger="1" minValue="9" maxValue="1850"/>
    </cacheField>
    <cacheField name="PESO" numFmtId="0">
      <sharedItems containsString="0" containsBlank="1" containsNumber="1" minValue="86.27" maxValue="12795"/>
    </cacheField>
    <cacheField name="RESP. COLETA" numFmtId="0">
      <sharedItems containsBlank="1"/>
    </cacheField>
    <cacheField name="CUSTO COLETA" numFmtId="0">
      <sharedItems containsString="0" containsBlank="1" containsNumber="1" minValue="0" maxValue="49.8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.809999999999999" maxValue="1174.4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44" maxValue="272.39"/>
    </cacheField>
    <cacheField name="OUTROS" numFmtId="0">
      <sharedItems containsString="0" containsBlank="1" containsNumber="1" containsInteger="1" minValue="0" maxValue="1200"/>
    </cacheField>
    <cacheField name="C.TOTAL" numFmtId="0">
      <sharedItems containsString="0" containsBlank="1" containsNumber="1" minValue="185.72" maxValue="8069.25"/>
    </cacheField>
    <cacheField name="RECEITA" numFmtId="0">
      <sharedItems containsString="0" containsBlank="1" containsNumber="1" minValue="-45.62" maxValue="1718.1"/>
    </cacheField>
    <cacheField name="IMPOSTO" numFmtId="0">
      <sharedItems containsString="0" containsBlank="1" containsNumber="1" minValue="22.42" maxValue="1565.98"/>
    </cacheField>
    <cacheField name="RESULTADO" numFmtId="0">
      <sharedItems containsString="0" containsBlank="1" containsNumber="1" minValue="-68.040000000000006" maxValue="152.12"/>
    </cacheField>
    <cacheField name="COMIS" numFmtId="0">
      <sharedItems containsString="0" containsBlank="1" containsNumber="1" minValue="0" maxValue="86.13"/>
    </cacheField>
    <cacheField name="LUCRO LIQ" numFmtId="0">
      <sharedItems containsString="0" containsBlank="1" containsNumber="1" minValue="-68.040000000000006" maxValue="65.989999999999995"/>
    </cacheField>
    <cacheField name="MARGEM" numFmtId="10">
      <sharedItems containsString="0" containsBlank="1" containsNumber="1" minValue="-0.48570000000000002" maxValue="6.7000000000000002E-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6T00:00:00"/>
    <d v="2026-09-16T00:00:00"/>
    <m/>
    <s v="3072-1"/>
    <x v="0"/>
    <s v="FRANCISCO GILAILTON/SABRI"/>
    <n v="3593.91"/>
    <x v="0"/>
    <s v="CTE NORMAL"/>
    <s v="GUARULHOS - SP"/>
    <n v="140.1"/>
    <n v="9"/>
    <n v="86.27"/>
    <s v="RAFAEL DE FREITAS"/>
    <n v="49.85"/>
    <s v="JOSE EMILTON DA COSTA - O"/>
    <n v="40"/>
    <s v="TRANSPORTES RODOVIARIO UP"/>
    <n v="0"/>
    <n v="16.809999999999999"/>
    <n v="0"/>
    <n v="0"/>
    <n v="1.44"/>
    <n v="0"/>
    <n v="185.72"/>
    <n v="-45.62"/>
    <n v="22.42"/>
    <n v="-68.040000000000006"/>
    <n v="0"/>
    <n v="-68.040000000000006"/>
    <n v="-0.48570000000000002"/>
    <m/>
  </r>
  <r>
    <x v="1"/>
    <s v="MATRIZ"/>
    <m/>
    <d v="2026-09-17T00:00:00"/>
    <m/>
    <s v="3088-1"/>
    <x v="1"/>
    <s v="TIAGO SANTANA"/>
    <n v="680971.02"/>
    <x v="1"/>
    <s v="CTE NORMAL"/>
    <s v="CAJAMAR - SP"/>
    <n v="9787.35"/>
    <n v="1850"/>
    <n v="12795"/>
    <s v="N/D"/>
    <n v="0"/>
    <s v="N/D"/>
    <n v="0"/>
    <s v="TRANSPORTES RODOVIARIO UP"/>
    <n v="0"/>
    <n v="1174.48"/>
    <n v="0"/>
    <n v="0"/>
    <n v="272.39"/>
    <n v="1200"/>
    <n v="8069.25"/>
    <n v="1718.1"/>
    <n v="1565.98"/>
    <n v="152.12"/>
    <n v="86.13"/>
    <n v="65.989999999999995"/>
    <n v="6.7000000000000002E-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5" totalsRowShown="0" headerRowDxfId="92" dataDxfId="90" headerRowBorderDxfId="91" tableBorderDxfId="89" totalsRowBorderDxfId="88">
  <autoFilter ref="A1:D37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3180</v>
      </c>
      <c r="B2" s="12" t="s">
        <v>590</v>
      </c>
      <c r="C2" s="14">
        <v>46281</v>
      </c>
      <c r="D2" s="14">
        <v>46281</v>
      </c>
      <c r="E2" s="12"/>
      <c r="F2" s="15" t="s">
        <v>591</v>
      </c>
      <c r="G2" s="15" t="s">
        <v>592</v>
      </c>
      <c r="H2" s="15" t="s">
        <v>593</v>
      </c>
      <c r="I2" s="16">
        <v>3593.91</v>
      </c>
      <c r="J2" s="15" t="s">
        <v>594</v>
      </c>
      <c r="K2" s="15" t="s">
        <v>595</v>
      </c>
      <c r="L2" s="15" t="s">
        <v>596</v>
      </c>
      <c r="M2" s="15">
        <v>140.1</v>
      </c>
      <c r="N2" s="15">
        <v>9</v>
      </c>
      <c r="O2" s="16">
        <v>86.27</v>
      </c>
      <c r="P2" s="15" t="s">
        <v>597</v>
      </c>
      <c r="Q2" s="15">
        <v>49.85</v>
      </c>
      <c r="R2" s="15" t="s">
        <v>598</v>
      </c>
      <c r="S2" s="15">
        <v>40</v>
      </c>
      <c r="T2" s="15" t="s">
        <v>599</v>
      </c>
      <c r="U2" s="15">
        <v>0</v>
      </c>
      <c r="V2" s="15">
        <v>16.809999999999999</v>
      </c>
      <c r="W2" s="15">
        <v>0</v>
      </c>
      <c r="X2" s="15">
        <v>0</v>
      </c>
      <c r="Y2" s="15">
        <v>1.44</v>
      </c>
      <c r="Z2" s="15">
        <v>0</v>
      </c>
      <c r="AA2" s="15">
        <v>185.72</v>
      </c>
      <c r="AB2" s="15">
        <v>-45.62</v>
      </c>
      <c r="AC2" s="15">
        <v>22.42</v>
      </c>
      <c r="AD2" s="15">
        <v>-68.040000000000006</v>
      </c>
      <c r="AE2" s="15">
        <v>0</v>
      </c>
      <c r="AF2" s="15">
        <v>-68.040000000000006</v>
      </c>
      <c r="AG2" s="17">
        <v>-0.48570000000000002</v>
      </c>
      <c r="AH2" s="15"/>
    </row>
    <row r="3" spans="1:34" s="1" customFormat="1" ht="12" customHeight="1" x14ac:dyDescent="0.3">
      <c r="A3" s="13">
        <v>3198</v>
      </c>
      <c r="B3" s="12" t="s">
        <v>590</v>
      </c>
      <c r="C3" s="14"/>
      <c r="D3" s="14">
        <v>46282</v>
      </c>
      <c r="E3" s="12"/>
      <c r="F3" s="15" t="s">
        <v>600</v>
      </c>
      <c r="G3" s="15" t="s">
        <v>601</v>
      </c>
      <c r="H3" s="15" t="s">
        <v>602</v>
      </c>
      <c r="I3" s="16">
        <v>680971.02</v>
      </c>
      <c r="J3" s="15" t="s">
        <v>603</v>
      </c>
      <c r="K3" s="15" t="s">
        <v>595</v>
      </c>
      <c r="L3" s="15" t="s">
        <v>604</v>
      </c>
      <c r="M3" s="16">
        <v>9787.35</v>
      </c>
      <c r="N3" s="15">
        <v>1850</v>
      </c>
      <c r="O3" s="16">
        <v>12795</v>
      </c>
      <c r="P3" s="15" t="s">
        <v>605</v>
      </c>
      <c r="Q3" s="15">
        <v>0</v>
      </c>
      <c r="R3" s="15" t="s">
        <v>605</v>
      </c>
      <c r="S3" s="15">
        <v>0</v>
      </c>
      <c r="T3" s="15" t="s">
        <v>599</v>
      </c>
      <c r="U3" s="15">
        <v>0</v>
      </c>
      <c r="V3" s="15">
        <v>1174.48</v>
      </c>
      <c r="W3" s="15">
        <v>0</v>
      </c>
      <c r="X3" s="15">
        <v>0</v>
      </c>
      <c r="Y3" s="15">
        <v>272.39</v>
      </c>
      <c r="Z3" s="15">
        <v>1200</v>
      </c>
      <c r="AA3" s="16">
        <v>8069.25</v>
      </c>
      <c r="AB3" s="16">
        <v>1718.1</v>
      </c>
      <c r="AC3" s="15">
        <v>1565.98</v>
      </c>
      <c r="AD3" s="15">
        <v>152.12</v>
      </c>
      <c r="AE3" s="15">
        <v>86.13</v>
      </c>
      <c r="AF3" s="15">
        <v>65.989999999999995</v>
      </c>
      <c r="AG3" s="17">
        <v>6.7000000000000002E-3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9927.4500000000007</v>
      </c>
      <c r="F3" s="93"/>
      <c r="G3" s="94"/>
      <c r="H3" s="95">
        <f>'Resumo Detalhado'!C2</f>
        <v>12881.27</v>
      </c>
      <c r="I3" s="96"/>
      <c r="J3" s="97">
        <f>E3/H3</f>
        <v>0.77068875972633133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0.5855122727272728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5549.85</v>
      </c>
      <c r="F7" s="109"/>
      <c r="G7" s="109"/>
      <c r="H7" s="109"/>
      <c r="I7" s="109"/>
      <c r="J7" s="109">
        <f>E7/H3</f>
        <v>0.43084649262068103</v>
      </c>
      <c r="K7" s="109"/>
      <c r="L7" s="109"/>
      <c r="M7" s="110">
        <f>E7/E3</f>
        <v>0.55904084130365805</v>
      </c>
      <c r="N7" s="110"/>
      <c r="O7" s="110"/>
      <c r="P7" s="109">
        <f>E11+K11+Q11+E15+K15+Q15+E19+H19+K19</f>
        <v>10597.558000000001</v>
      </c>
      <c r="Q7" s="109"/>
      <c r="R7" s="109"/>
      <c r="S7" s="109">
        <f>P7/H3</f>
        <v>0.82271064887235501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5500</v>
      </c>
      <c r="L11" s="94"/>
      <c r="M11" s="38"/>
      <c r="N11" s="92">
        <f>K11/H3</f>
        <v>0.4269765325934477</v>
      </c>
      <c r="O11" s="94"/>
      <c r="P11" s="38"/>
      <c r="Q11" s="92">
        <f>'Resumo Detalhado'!D2</f>
        <v>49.85</v>
      </c>
      <c r="R11" s="94"/>
      <c r="S11" s="38"/>
      <c r="T11" s="92">
        <f>Q11/H3</f>
        <v>3.8699600272333397E-3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1191.29</v>
      </c>
      <c r="F15" s="113"/>
      <c r="G15" s="113"/>
      <c r="H15" s="113"/>
      <c r="I15" s="114"/>
      <c r="J15" s="38"/>
      <c r="K15" s="116">
        <f>'Resumo Detalhado'!K2+'Resumo Detalhado'!L2</f>
        <v>1588.3920000000001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273.83</v>
      </c>
      <c r="F19" s="119"/>
      <c r="G19" s="38"/>
      <c r="H19" s="106">
        <f>'Resumo Detalhado'!J2</f>
        <v>1200</v>
      </c>
      <c r="I19" s="108"/>
      <c r="J19" s="38"/>
      <c r="K19" s="106">
        <f>'Resumo Detalhado'!L2</f>
        <v>794.19600000000003</v>
      </c>
      <c r="L19" s="108"/>
      <c r="M19" s="38"/>
      <c r="N19" s="112" t="s">
        <v>461</v>
      </c>
      <c r="O19" s="113"/>
      <c r="P19" s="113"/>
      <c r="Q19" s="113"/>
      <c r="R19" s="119"/>
      <c r="S19" s="112">
        <f>_xlfn.XLOOKUP(N19,Target!C:C,Target!D:D)</f>
        <v>5500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6292.1540000000014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0.63381371852792012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2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606</v>
      </c>
      <c r="F1" s="29"/>
    </row>
    <row r="2" spans="1:18" x14ac:dyDescent="0.3">
      <c r="B2" s="29">
        <f>SUM(B6:B5000)</f>
        <v>9927.4500000000007</v>
      </c>
      <c r="C2" s="29">
        <f>SUM(C6:C5000)</f>
        <v>12881.27</v>
      </c>
      <c r="D2" s="29">
        <f>SUM(D6:D5000)</f>
        <v>49.85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1191.29</v>
      </c>
      <c r="I2" s="29">
        <f t="shared" si="0"/>
        <v>273.83</v>
      </c>
      <c r="J2" s="29">
        <f t="shared" si="0"/>
        <v>1200</v>
      </c>
      <c r="K2" s="29">
        <f t="shared" si="0"/>
        <v>794.19600000000003</v>
      </c>
      <c r="L2" s="29">
        <f t="shared" si="0"/>
        <v>794.19600000000003</v>
      </c>
      <c r="M2" s="29">
        <f t="shared" si="0"/>
        <v>86.13</v>
      </c>
      <c r="N2" s="29">
        <f t="shared" si="0"/>
        <v>6292.1540000000014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3198</v>
      </c>
      <c r="B6" s="140">
        <v>9787.35</v>
      </c>
      <c r="C6" s="141">
        <v>12795</v>
      </c>
      <c r="D6" s="140">
        <v>0</v>
      </c>
      <c r="E6" s="140">
        <v>0</v>
      </c>
      <c r="F6" s="140">
        <v>0</v>
      </c>
      <c r="G6" s="142">
        <v>0</v>
      </c>
      <c r="H6" s="140">
        <v>1174.48</v>
      </c>
      <c r="I6" s="140">
        <v>272.39</v>
      </c>
      <c r="J6" s="140">
        <v>1200</v>
      </c>
      <c r="K6" s="140">
        <v>782.98800000000006</v>
      </c>
      <c r="L6" s="140">
        <v>782.98800000000006</v>
      </c>
      <c r="M6" s="140">
        <v>86.13</v>
      </c>
      <c r="N6" s="140">
        <v>6271.362000000001</v>
      </c>
      <c r="O6" s="142">
        <v>0.6407620040153873</v>
      </c>
      <c r="Q6"/>
    </row>
    <row r="7" spans="1:18" s="31" customFormat="1" x14ac:dyDescent="0.3">
      <c r="A7" s="9" t="s">
        <v>592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3180</v>
      </c>
      <c r="B8" s="140">
        <v>140.1</v>
      </c>
      <c r="C8" s="141">
        <v>86.27</v>
      </c>
      <c r="D8" s="140">
        <v>49.85</v>
      </c>
      <c r="E8" s="140">
        <v>40</v>
      </c>
      <c r="F8" s="140">
        <v>0</v>
      </c>
      <c r="G8" s="142">
        <v>0.64132762312633829</v>
      </c>
      <c r="H8" s="140">
        <v>16.809999999999999</v>
      </c>
      <c r="I8" s="140">
        <v>1.44</v>
      </c>
      <c r="J8" s="140">
        <v>0</v>
      </c>
      <c r="K8" s="140">
        <v>11.208</v>
      </c>
      <c r="L8" s="140">
        <v>11.208</v>
      </c>
      <c r="M8" s="140">
        <v>0</v>
      </c>
      <c r="N8" s="140">
        <v>20.791999999999994</v>
      </c>
      <c r="O8" s="142">
        <v>0.14840827980014273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606</v>
      </c>
    </row>
    <row r="2" spans="1:4" x14ac:dyDescent="0.3">
      <c r="B2" s="29">
        <f>SUM(B6:B5000)</f>
        <v>140.1</v>
      </c>
      <c r="C2" s="29">
        <f>SUM(C6:C5000)</f>
        <v>20.791999999999994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601</v>
      </c>
      <c r="B5" s="10">
        <v>9787.35</v>
      </c>
      <c r="C5" s="10">
        <v>6271.362000000001</v>
      </c>
    </row>
    <row r="6" spans="1:4" x14ac:dyDescent="0.3">
      <c r="A6" s="9" t="s">
        <v>592</v>
      </c>
      <c r="B6" s="140">
        <v>140.1</v>
      </c>
      <c r="C6" s="140">
        <v>20.791999999999994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2026-09-22T12:58:08Z</dcterms:modified>
  <cp:category/>
  <cp:contentStatus/>
</cp:coreProperties>
</file>