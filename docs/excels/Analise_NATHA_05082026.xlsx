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23CA6B9-6F0A-455D-810C-812E4B6FF909}" xr6:coauthVersionLast="47" xr6:coauthVersionMax="47" xr10:uidLastSave="{00000000-0000-0000-0000-000000000000}"/>
  <bookViews>
    <workbookView xWindow="3312" yWindow="3312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<sst xmlns="http://schemas.openxmlformats.org/spreadsheetml/2006/main" count="866" uniqueCount="591">
  <si>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</si>
  <si>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</si>
  <si>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</si>
  <si>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</si>
  <si>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</si>
  <si>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</si>
  <si>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</si>
  <si>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</si>
  <si>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</si>
  <si>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</si>
  <si>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</si>
  <si>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</si>
  <si>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</si>
  <si>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</si>
  <si>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</si>
  <si>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</si>
  <si>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</si>
  <si>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</si>
  <si>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</si>
  <si>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</si>
  <si>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</si>
  <si>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</si>
  <si>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</si>
  <si>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</si>
  <si>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</si>
  <si>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</si>
  <si>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</si>
  <si>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</si>
  <si>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</si>
  <si>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</si>
  <si>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</si>
  <si>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</si>
  <si>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</si>
  <si>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</si>
  <si>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</si>
  <si>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</si>
  <si>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</si>
  <si>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</si>
  <si>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</si>
  <si>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</si>
  <si>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</si>
  <si>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</si>
  <si>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</si>
  <si>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</si>
  <si>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</si>
  <si>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</si>
  <si>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</si>
  <si>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</si>
  <si>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</si>
  <si>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</si>
  <si>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</si>
  <si>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</si>
  <si>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</si>
  <si>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</si>
  <si>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</si>
  <si>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</si>
  <si>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</si>
  <si>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</si>
  <si>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</si>
  <si>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</si>
  <si>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</si>
  <si>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</si>
  <si>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</si>
  <si>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</si>
  <si>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</si>
  <si>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</si>
  <si>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</si>
  <si>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</si>
  <si>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</si>
  <si>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</si>
  <si>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</si>
  <si>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</si>
  <si>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</si>
  <si>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</si>
  <si>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</si>
  <si>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</si>
  <si>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</si>
  <si>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</si>
  <si>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</si>
  <si>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</si>
  <si>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</si>
  <si>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</si>
  <si>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</si>
  <si>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</si>
  <si>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</si>
  <si>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</si>
  <si>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</si>
  <si>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</si>
  <si>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</si>
  <si>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</si>
  <si>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</si>
  <si>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</si>
  <si>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</si>
  <si>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</si>
  <si>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</si>
  <si>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</si>
  <si>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</si>
  <si>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</si>
  <si>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</si>
  <si>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</si>
  <si>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</si>
  <si>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</si>
  <si>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</si>
  <si>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</si>
  <si>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</si>
  <si>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</si>
  <si>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</si>
  <si>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</si>
  <si>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</si>
  <si>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</si>
  <si>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</si>
  <si>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</si>
  <si>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</si>
  <si>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</si>
  <si>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</si>
  <si>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</si>
  <si>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</si>
  <si>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</si>
  <si>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</si>
  <si>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</si>
  <si>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</si>
  <si>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</si>
  <si>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</si>
  <si>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</si>
  <si>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</si>
  <si>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</si>
  <si>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</si>
  <si>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</si>
  <si>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</si>
  <si>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</si>
  <si>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</si>
  <si>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</si>
  <si>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</si>
  <si>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</si>
  <si>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</si>
  <si>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</si>
  <si>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</si>
  <si>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</si>
  <si>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</si>
  <si>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</si>
  <si>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</si>
  <si>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</si>
  <si>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</si>
  <si>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</si>
  <si>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</si>
  <si>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</si>
  <si>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</si>
  <si>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</si>
  <si>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</si>
  <si>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</si>
  <si>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</si>
  <si>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</si>
  <si>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</si>
  <si>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</si>
  <si>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</si>
  <si>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</si>
  <si>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</si>
  <si>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</si>
  <si>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</si>
  <si>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</si>
  <si>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</si>
  <si>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</si>
  <si>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</si>
  <si>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</si>
  <si>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</si>
  <si>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</si>
  <si>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</si>
  <si>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</si>
  <si>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</si>
  <si>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</si>
  <si>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</si>
  <si>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</si>
  <si>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</si>
  <si>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</si>
  <si>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</si>
  <si>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</si>
  <si>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</si>
  <si>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</si>
  <si>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</si>
  <si>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</si>
  <si>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</si>
  <si>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</si>
  <si>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</si>
  <si>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</si>
  <si>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</si>
  <si>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</si>
  <si>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</si>
  <si>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</si>
  <si>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</si>
  <si>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</si>
  <si>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</si>
  <si>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</si>
  <si>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</si>
  <si>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</si>
  <si>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</si>
  <si>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</si>
  <si>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</si>
  <si>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</si>
  <si>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</si>
  <si>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</si>
  <si>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</si>
  <si>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</si>
  <si>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</si>
  <si>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</si>
  <si>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</si>
  <si>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</si>
  <si>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</si>
  <si>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</si>
  <si>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</si>
  <si>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</si>
  <si>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</si>
  <si>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</si>
  <si>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</si>
  <si>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</si>
  <si>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</si>
  <si>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</si>
  <si>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</si>
  <si>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</si>
  <si>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</si>
  <si>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</si>
  <si>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</si>
  <si>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</si>
  <si>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</si>
  <si>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</si>
  <si>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</si>
  <si>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</si>
  <si>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</si>
  <si>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</si>
  <si>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</si>
  <si>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</si>
  <si>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</si>
  <si>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</si>
  <si>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</si>
  <si>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</si>
  <si>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</si>
  <si>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</si>
  <si>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</si>
  <si>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</si>
  <si>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</si>
  <si>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</si>
  <si>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</si>
  <si>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</si>
  <si>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</si>
  <si>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</si>
  <si>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</si>
  <si>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</si>
  <si>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</si>
  <si>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</si>
  <si>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</si>
  <si>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</si>
  <si>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</si>
  <si>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</si>
  <si>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</si>
  <si>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</si>
  <si>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</si>
  <si>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</si>
  <si>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</si>
  <si>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</si>
  <si>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</si>
  <si>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</si>
  <si>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</si>
  <si>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</si>
  <si>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</si>
  <si>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</si>
  <si>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</si>
  <si>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</si>
  <si>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</si>
  <si>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</si>
  <si>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</si>
  <si>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</si>
  <si>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</si>
  <si>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</si>
  <si>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</si>
  <si>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</si>
  <si>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</si>
  <si>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</si>
  <si>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</si>
  <si>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</si>
  <si>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</si>
  <si>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</si>
  <si>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</si>
  <si>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</si>
  <si>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</si>
  <si>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</si>
  <si>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</si>
  <si>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</si>
  <si>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</si>
  <si>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</si>
  <si>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</si>
  <si>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</si>
  <si>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</si>
  <si>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</si>
  <si>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</si>
  <si>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</si>
  <si>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</si>
  <si>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</si>
  <si>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</si>
  <si>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</si>
  <si>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</si>
  <si>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</si>
  <si>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</si>
  <si>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</si>
  <si>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</si>
  <si>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</si>
  <si>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</si>
  <si>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</si>
  <si>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</si>
  <si>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</si>
  <si>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</si>
  <si>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</si>
  <si>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</si>
  <si>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</si>
  <si>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</si>
  <si>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</si>
  <si>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</si>
  <si>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</si>
  <si>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</si>
  <si>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</si>
  <si>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</si>
  <si>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</si>
  <si>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</si>
  <si>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</si>
  <si>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</si>
  <si>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</si>
  <si>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</si>
  <si>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</si>
  <si>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</si>
  <si>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</si>
  <si>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</si>
  <si>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</si>
  <si>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</si>
  <si>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</si>
  <si>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</si>
  <si>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</si>
  <si>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</si>
  <si>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</si>
  <si>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</si>
  <si>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</si>
  <si>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</si>
  <si>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</si>
  <si>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</si>
  <si>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</si>
  <si>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</si>
  <si>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</si>
  <si>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</si>
  <si>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</si>
  <si>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</si>
  <si>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</si>
  <si>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</si>
  <si>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</si>
  <si>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</si>
  <si>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</si>
  <si>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</si>
  <si>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</si>
  <si>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</si>
  <si>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</si>
  <si>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</si>
  <si>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</si>
  <si>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</si>
  <si>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</si>
  <si>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</si>
  <si>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</si>
  <si>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</si>
  <si>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</si>
  <si>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</si>
  <si>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</si>
  <si>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</si>
  <si>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</si>
  <si>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</si>
  <si>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</si>
  <si>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</si>
  <si>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</si>
  <si>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</si>
  <si>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</si>
  <si>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</si>
  <si>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</si>
  <si>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</si>
  <si>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</si>
  <si>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</si>
  <si>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</si>
  <si>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</si>
  <si>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</si>
  <si>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</si>
  <si>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</si>
  <si>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</si>
  <si>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</si>
  <si>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</si>
  <si>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</si>
  <si>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</si>
  <si>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</si>
  <si>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</si>
  <si>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</si>
  <si>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</si>
  <si>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</si>
  <si>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</si>
  <si>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</si>
  <si>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</si>
  <si>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</si>
  <si>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</si>
  <si>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</si>
  <si>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</si>
  <si>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</si>
  <si>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</si>
  <si>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</si>
  <si>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</si>
  <si>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</si>
  <si>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</si>
  <si>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</si>
  <si>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</si>
  <si>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</si>
  <si>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</si>
  <si>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</si>
  <si>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</si>
  <si>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</si>
  <si>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</si>
  <si>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</si>
  <si>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</si>
  <si>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</si>
  <si>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</si>
  <si>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</si>
  <si>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</si>
  <si>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</si>
  <si>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</si>
  <si>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</si>
  <si>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</si>
  <si>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</si>
  <si>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</si>
  <si>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</si>
  <si>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</si>
  <si>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</si>
  <si>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</si>
  <si>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</si>
  <si>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</si>
  <si>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</si>
  <si>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</si>
  <si>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</si>
  <si>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</si>
  <si>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</si>
  <si>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</si>
  <si>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</si>
  <si>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</si>
  <si>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</si>
  <si>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</si>
  <si>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</si>
  <si>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</si>
  <si>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</si>
  <si>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</si>
  <si>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</si>
  <si>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</si>
  <si>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</si>
  <si>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</si>
  <si>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</si>
  <si>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</si>
  <si>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</si>
  <si>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</si>
  <si>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</si>
  <si>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</si>
  <si>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</si>
  <si>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</si>
  <si>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</si>
  <si>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</si>
  <si>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</si>
  <si>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</si>
  <si>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</si>
  <si>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</si>
  <si>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</si>
  <si>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</si>
  <si>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</si>
  <si>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</si>
  <si>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</si>
  <si>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</si>
  <si>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</si>
  <si>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</si>
  <si>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</si>
  <si>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</si>
  <si>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</si>
  <si>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</si>
  <si>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</si>
  <si>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</si>
  <si>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</si>
  <si>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</si>
  <si>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</si>
  <si>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</si>
  <si>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</si>
  <si>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</si>
  <si>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</si>
  <si>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</si>
  <si>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</si>
  <si>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</si>
  <si>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</si>
  <si>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</si>
  <si>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</si>
  <si>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</si>
  <si>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</si>
  <si>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</si>
  <si>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</si>
  <si>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</si>
  <si>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</si>
  <si>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</si>
  <si>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</si>
  <si>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</si>
  <si>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</si>
  <si>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</si>
  <si>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</si>
  <si>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</si>
  <si>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</si>
  <si>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</si>
  <si>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</si>
  <si>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</si>
  <si>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</si>
  <si>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</si>
  <si>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</si>
  <si>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</si>
  <si>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</si>
  <si>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</si>
  <si>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</si>
  <si>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</si>
  <si>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</si>
  <si>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</si>
  <si>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</si>
  <si>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</si>
  <si>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</si>
  <si>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</si>
  <si>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</si>
  <si>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</si>
  <si>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</si>
  <si>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</si>
  <si>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</si>
  <si>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</si>
  <si>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</si>
  <si>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</si>
  <si>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</si>
  <si>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</si>
  <si>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</si>
  <si>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</si>
  <si>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</si>
  <si>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</si>
  <si>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</si>
  <si>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</si>
  <si>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</si>
  <si>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</si>
  <si>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</si>
  <si>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</si>
  <si>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</si>
  <si>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</si>
  <si>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</si>
  <si>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</si>
  <si>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</si>
  <si>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</si>
  <si>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</si>
  <si>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</si>
  <si>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</si>
  <si>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</si>
  <si>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</si>
  <si>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</si>
  <si>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</si>
  <si>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</si>
  <si>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</si>
  <si>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</si>
  <si>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</si>
  <si>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</si>
  <si>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</si>
  <si>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</si>
  <si>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</si>
  <si>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</si>
  <si>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</si>
  <si>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</si>
  <si>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</si>
  <si>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</si>
  <si>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</si>
  <si>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</si>
  <si>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</si>
  <si>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</si>
  <si>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</si>
  <si>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</si>
  <si>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</si>
  <si>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</si>
  <si>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200640-1</t>
  </si>
  <si>
    <t>BATIKI COM IMPO</t>
  </si>
  <si>
    <t>TIAGO SANTANA</t>
  </si>
  <si>
    <t>ECONOMICO_250</t>
  </si>
  <si>
    <t>CTE NORMAL</t>
  </si>
  <si>
    <t>GUARULHOS - SP</t>
  </si>
  <si>
    <t>LUIZ FELIPE FERNANDES DA</t>
  </si>
  <si>
    <t>N/D</t>
  </si>
  <si>
    <t>PRAZITO TRANSPORTES LTDA</t>
  </si>
  <si>
    <t>200698-1</t>
  </si>
  <si>
    <t>ESAB INDUSTRIA</t>
  </si>
  <si>
    <t>MAURO MARQUES</t>
  </si>
  <si>
    <t>PERSONALIZADO_L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</si>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</sst>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[Analise_NATHA_05082026.xlsx]Resumo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ESAB INDUSTRIA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153.05000000000001</c:v>
                </c:pt>
                <c:pt idx="1">
                  <c:v>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ESAB INDUSTRIA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104.45200000000001</c:v>
                </c:pt>
                <c:pt idx="1">
                  <c:v>7544.9400000000005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[Analise_NATHA_05082026.xlsx]Resumo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ESAB INDUSTRIA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153.05000000000001</c:v>
                </c:pt>
                <c:pt idx="1">
                  <c:v>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ESAB INDUSTRIA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104.45200000000001</c:v>
                </c:pt>
                <c:pt idx="1">
                  <c:v>7544.9400000000005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0.402596990738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5096" count="8000">
        <n v="294978"/>
        <n v="29509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4T00:00:00" maxDate="2026-08-06T00:00:00"/>
    </cacheField>
    <cacheField name="DATA" numFmtId="14">
      <sharedItems containsNonDate="0" containsDate="1" containsString="0" containsBlank="1" minDate="2026-08-04T00:00:00" maxDate="2026-08-06T00:00:00"/>
    </cacheField>
    <cacheField name="FAT" numFmtId="0">
      <sharedItems containsString="0" containsBlank="1" containsNumber="1" containsInteger="1" minValue="64139" maxValue="64139"/>
    </cacheField>
    <cacheField name="CT-E" numFmtId="0">
      <sharedItems containsBlank="1"/>
    </cacheField>
    <cacheField name="CLIENTE TOMADOR" numFmtId="0">
      <sharedItems containsBlank="1" count="855">
        <s v="BATIKI COM IMPO"/>
        <s v="ESAB INDUSTRI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401.18" maxValue="156114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3.05000000000001" maxValue="9900"/>
    </cacheField>
    <cacheField name="VOLUMES" numFmtId="0">
      <sharedItems containsString="0" containsBlank="1" containsNumber="1" containsInteger="1" minValue="7" maxValue="1440"/>
    </cacheField>
    <cacheField name="PESO" numFmtId="0">
      <sharedItems containsString="0" containsBlank="1" containsNumber="1" minValue="35" maxValue="22312.799999999999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8.37" maxValue="69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7" maxValue="78.0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8.84" maxValue="6362.29"/>
    </cacheField>
    <cacheField name="RECEITA" numFmtId="0">
      <sharedItems containsString="0" containsBlank="1" containsNumber="1" minValue="124.21" maxValue="3537.71"/>
    </cacheField>
    <cacheField name="IMPOSTO" numFmtId="0">
      <sharedItems containsString="0" containsBlank="1" containsNumber="1" minValue="39.79" maxValue="2574"/>
    </cacheField>
    <cacheField name="RESULTADO" numFmtId="0">
      <sharedItems containsString="0" containsBlank="1" containsNumber="1" minValue="84.42" maxValue="963.71"/>
    </cacheField>
    <cacheField name="COMIS" numFmtId="0">
      <sharedItems containsString="0" containsBlank="1" containsNumber="1" minValue="0" maxValue="4.04"/>
    </cacheField>
    <cacheField name="LUCRO LIQ" numFmtId="0">
      <sharedItems containsString="0" containsBlank="1" containsNumber="1" minValue="80.38" maxValue="963.71"/>
    </cacheField>
    <cacheField name="MARGEM" numFmtId="10">
      <sharedItems containsString="0" containsBlank="1" containsNumber="1" minValue="9.7299999999999998E-2" maxValue="0.525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4T00:00:00"/>
    <d v="2026-08-04T00:00:00"/>
    <m/>
    <s v="200640-1"/>
    <x v="0"/>
    <s v="TIAGO SANTANA"/>
    <n v="3401.18"/>
    <x v="0"/>
    <s v="CTE NORMAL"/>
    <s v="GUARULHOS - SP"/>
    <n v="153.05000000000001"/>
    <n v="7"/>
    <n v="35"/>
    <s v="LUIZ FELIPE FERNANDES DA"/>
    <n v="0"/>
    <s v="N/D"/>
    <n v="0"/>
    <s v="PRAZITO TRANSPORTES LTDA"/>
    <n v="0"/>
    <n v="18.37"/>
    <n v="0"/>
    <n v="0"/>
    <n v="1.7"/>
    <n v="0"/>
    <n v="28.84"/>
    <n v="124.21"/>
    <n v="39.79"/>
    <n v="84.42"/>
    <n v="4.04"/>
    <n v="80.38"/>
    <n v="0.5252"/>
    <m/>
  </r>
  <r>
    <x v="1"/>
    <s v="MATRIZ"/>
    <d v="2026-08-05T00:00:00"/>
    <d v="2026-08-05T00:00:00"/>
    <n v="64139"/>
    <s v="200698-1"/>
    <x v="1"/>
    <s v="MAURO MARQUES"/>
    <n v="156114"/>
    <x v="1"/>
    <s v="CTE NORMAL"/>
    <s v="GUARULHOS - SP"/>
    <n v="9900"/>
    <n v="1440"/>
    <n v="22312.799999999999"/>
    <s v="MATRIZ"/>
    <n v="0"/>
    <s v="N/D"/>
    <n v="0"/>
    <s v="PRAZITO TRANSPORTES LTDA"/>
    <n v="0"/>
    <n v="693"/>
    <n v="0"/>
    <n v="0"/>
    <n v="78.06"/>
    <n v="0"/>
    <n v="6362.29"/>
    <n v="3537.71"/>
    <n v="2574"/>
    <n v="963.71"/>
    <n v="0"/>
    <n v="963.71"/>
    <n v="9.7299999999999998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7"/>
        <item sd="0" m="1" x="800"/>
        <item m="1" x="77"/>
        <item m="1" x="48"/>
        <item sd="0" m="1" x="669"/>
        <item m="1" x="661"/>
        <item m="1" x="470"/>
        <item m="1" x="45"/>
        <item sd="0" m="1" x="730"/>
        <item m="1" x="690"/>
        <item m="1" x="217"/>
        <item sd="0" m="1" x="477"/>
        <item m="1" x="634"/>
        <item m="1" x="447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0"/>
        <item m="1" x="666"/>
        <item m="1" x="519"/>
        <item m="1" x="792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x="0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6"/>
        <item m="1" x="422"/>
        <item m="1" x="81"/>
        <item m="1" x="697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5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x="1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6"/>
        <item m="1" x="459"/>
        <item m="1" x="790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1"/>
        <item m="1" x="144"/>
        <item m="1" x="667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59"/>
        <item sd="0" m="1" x="691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m="1" x="549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2"/>
        <item m="1" x="276"/>
        <item m="1" x="473"/>
        <item m="1" x="799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5"/>
        <item m="1" x="645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3"/>
        <item m="1" x="789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7"/>
        <item m="1" x="620"/>
        <item m="1" x="731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7"/>
        <item m="1" x="395"/>
        <item m="1" x="401"/>
        <item m="1" x="705"/>
        <item m="1" x="404"/>
        <item m="1" x="830"/>
        <item m="1" x="496"/>
        <item m="1" x="396"/>
        <item m="1" x="671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3"/>
        <item m="1" x="205"/>
        <item sd="0" m="1" x="644"/>
        <item m="1" x="779"/>
        <item sd="0" m="1" x="469"/>
        <item sd="0" m="1" x="41"/>
        <item m="1" x="694"/>
        <item m="1" x="664"/>
        <item sd="0" m="1" x="808"/>
        <item m="1" x="816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3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8"/>
    </i>
    <i>
      <x v="247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50"/>
        <item sd="0" m="1" x="188"/>
        <item sd="0" m="1" x="274"/>
        <item m="1" x="12"/>
        <item m="1" x="761"/>
        <item m="1" x="393"/>
        <item sd="0" m="1" x="712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2"/>
        <item m="1" x="21"/>
        <item m="1" x="757"/>
        <item m="1" x="113"/>
        <item m="1" x="545"/>
        <item m="1" x="828"/>
        <item m="1" x="271"/>
        <item m="1" x="480"/>
        <item m="1" x="772"/>
        <item m="1" x="267"/>
        <item m="1" x="344"/>
        <item m="1" x="677"/>
        <item sd="0" m="1" x="800"/>
        <item m="1" x="77"/>
        <item m="1" x="48"/>
        <item sd="0" m="1" x="669"/>
        <item m="1" x="661"/>
        <item m="1" x="470"/>
        <item m="1" x="45"/>
        <item sd="0" m="1" x="730"/>
        <item m="1" x="690"/>
        <item m="1" x="217"/>
        <item sd="0" m="1" x="477"/>
        <item m="1" x="634"/>
        <item m="1" x="447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m="1" x="507"/>
        <item sd="0" m="1" x="554"/>
        <item m="1" x="478"/>
        <item sd="0" m="1" x="245"/>
        <item m="1" x="848"/>
        <item m="1" x="832"/>
        <item m="1" x="742"/>
        <item m="1" x="241"/>
        <item m="1" x="240"/>
        <item m="1" x="463"/>
        <item m="1" x="287"/>
        <item m="1" x="550"/>
        <item m="1" x="845"/>
        <item m="1" x="446"/>
        <item m="1" x="530"/>
        <item m="1" x="666"/>
        <item m="1" x="519"/>
        <item m="1" x="792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x="0"/>
        <item m="1" x="319"/>
        <item m="1" x="592"/>
        <item m="1" x="596"/>
        <item m="1" x="732"/>
        <item m="1" x="785"/>
        <item m="1" x="184"/>
        <item m="1" x="835"/>
        <item m="1" x="711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6"/>
        <item m="1" x="422"/>
        <item m="1" x="81"/>
        <item m="1" x="697"/>
        <item m="1" x="285"/>
        <item m="1" x="846"/>
        <item m="1" x="249"/>
        <item sd="0" m="1" x="763"/>
        <item m="1" x="426"/>
        <item m="1" x="437"/>
        <item m="1" x="168"/>
        <item m="1" x="543"/>
        <item m="1" x="806"/>
        <item sd="0" m="1" x="621"/>
        <item m="1" x="5"/>
        <item m="1" x="770"/>
        <item m="1" x="15"/>
        <item m="1" x="739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7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3"/>
        <item m="1" x="755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5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0"/>
        <item sd="0" m="1" x="639"/>
        <item m="1" x="54"/>
        <item m="1" x="793"/>
        <item m="1" x="716"/>
        <item m="1" x="418"/>
        <item m="1" x="734"/>
        <item m="1" x="813"/>
        <item m="1" x="562"/>
        <item m="1" x="559"/>
        <item m="1" x="430"/>
        <item m="1" x="714"/>
        <item m="1" x="506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8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3"/>
        <item m="1" x="580"/>
        <item m="1" x="518"/>
        <item m="1" x="797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x="1"/>
        <item m="1" x="211"/>
        <item m="1" x="440"/>
        <item sd="0" m="1" x="103"/>
        <item sd="0" m="1" x="197"/>
        <item m="1" x="831"/>
        <item m="1" x="764"/>
        <item m="1" x="510"/>
        <item m="1" x="821"/>
        <item m="1" x="342"/>
        <item m="1" x="224"/>
        <item m="1" x="65"/>
        <item m="1" x="636"/>
        <item m="1" x="459"/>
        <item m="1" x="790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8"/>
        <item m="1" x="517"/>
        <item sd="0" m="1" x="387"/>
        <item m="1" x="546"/>
        <item m="1" x="214"/>
        <item m="1" x="416"/>
        <item m="1" x="420"/>
        <item m="1" x="802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1"/>
        <item m="1" x="144"/>
        <item m="1" x="667"/>
        <item sd="0" m="1" x="839"/>
        <item sd="0" m="1" x="39"/>
        <item m="1" x="384"/>
        <item m="1" x="590"/>
        <item m="1" x="747"/>
        <item sd="0" m="1" x="270"/>
        <item m="1" x="18"/>
        <item m="1" x="638"/>
        <item m="1" x="390"/>
        <item m="1" x="481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59"/>
        <item sd="0" m="1" x="691"/>
        <item sd="0" m="1" x="22"/>
        <item m="1" x="727"/>
        <item m="1" x="780"/>
        <item m="1" x="640"/>
        <item m="1" x="330"/>
        <item m="1" x="369"/>
        <item m="1" x="815"/>
        <item m="1" x="776"/>
        <item m="1" x="145"/>
        <item m="1" x="499"/>
        <item m="1" x="468"/>
        <item sd="0" m="1" x="141"/>
        <item sd="0" m="1" x="756"/>
        <item m="1" x="149"/>
        <item m="1" x="225"/>
        <item m="1" x="720"/>
        <item m="1" x="556"/>
        <item m="1" x="117"/>
        <item m="1" x="377"/>
        <item m="1" x="718"/>
        <item m="1" x="128"/>
        <item m="1" x="34"/>
        <item m="1" x="303"/>
        <item m="1" x="549"/>
        <item m="1" x="61"/>
        <item m="1" x="453"/>
        <item m="1" x="774"/>
        <item m="1" x="486"/>
        <item m="1" x="740"/>
        <item sd="0" m="1" x="455"/>
        <item m="1" x="521"/>
        <item m="1" x="163"/>
        <item sd="0" m="1" x="405"/>
        <item m="1" x="741"/>
        <item m="1" x="195"/>
        <item m="1" x="746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8"/>
        <item sd="0" m="1" x="804"/>
        <item m="1" x="92"/>
        <item m="1" x="573"/>
        <item m="1" x="158"/>
        <item sd="0" m="1" x="561"/>
        <item m="1" x="46"/>
        <item m="1" x="723"/>
        <item m="1" x="748"/>
        <item m="1" x="743"/>
        <item m="1" x="847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5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1"/>
        <item m="1" x="642"/>
        <item m="1" x="232"/>
        <item m="1" x="374"/>
        <item m="1" x="735"/>
        <item sd="0" m="1" x="133"/>
        <item m="1" x="87"/>
        <item m="1" x="210"/>
        <item m="1" x="682"/>
        <item m="1" x="276"/>
        <item m="1" x="473"/>
        <item m="1" x="799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8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1"/>
        <item m="1" x="372"/>
        <item m="1" x="247"/>
        <item m="1" x="399"/>
        <item sd="0" m="1" x="483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19"/>
        <item m="1" x="170"/>
        <item m="1" x="709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4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0"/>
        <item m="1" x="535"/>
        <item m="1" x="645"/>
        <item m="1" x="610"/>
        <item m="1" x="834"/>
        <item m="1" x="787"/>
        <item m="1" x="29"/>
        <item m="1" x="782"/>
        <item m="1" x="254"/>
        <item m="1" x="476"/>
        <item m="1" x="812"/>
        <item m="1" x="465"/>
        <item m="1" x="745"/>
        <item m="1" x="649"/>
        <item m="1" x="775"/>
        <item sd="0" m="1" x="72"/>
        <item m="1" x="713"/>
        <item m="1" x="574"/>
        <item m="1" x="185"/>
        <item m="1" x="717"/>
        <item m="1" x="112"/>
        <item m="1" x="255"/>
        <item m="1" x="513"/>
        <item m="1" x="96"/>
        <item m="1" x="523"/>
        <item m="1" x="789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1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1"/>
        <item m="1" x="201"/>
        <item m="1" x="152"/>
        <item m="1" x="237"/>
        <item m="1" x="504"/>
        <item m="1" x="786"/>
        <item m="1" x="260"/>
        <item sd="0" m="1" x="752"/>
        <item m="1" x="129"/>
        <item m="1" x="212"/>
        <item m="1" x="833"/>
        <item m="1" x="586"/>
        <item m="1" x="796"/>
        <item m="1" x="726"/>
        <item m="1" x="413"/>
        <item m="1" x="26"/>
        <item m="1" x="343"/>
        <item m="1" x="491"/>
        <item m="1" x="512"/>
        <item m="1" x="769"/>
        <item m="1" x="719"/>
        <item m="1" x="760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4"/>
        <item m="1" x="156"/>
        <item m="1" x="234"/>
        <item m="1" x="239"/>
        <item m="1" x="467"/>
        <item m="1" x="707"/>
        <item m="1" x="620"/>
        <item m="1" x="731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3"/>
        <item m="1" x="724"/>
        <item m="1" x="841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7"/>
        <item m="1" x="395"/>
        <item m="1" x="401"/>
        <item m="1" x="705"/>
        <item m="1" x="404"/>
        <item m="1" x="830"/>
        <item m="1" x="496"/>
        <item m="1" x="396"/>
        <item m="1" x="671"/>
        <item m="1" x="186"/>
        <item sd="0" m="1" x="410"/>
        <item m="1" x="475"/>
        <item m="1" x="837"/>
        <item m="1" x="126"/>
        <item sd="0" m="1" x="153"/>
        <item m="1" x="594"/>
        <item m="1" x="778"/>
        <item m="1" x="612"/>
        <item m="1" x="560"/>
        <item m="1" x="309"/>
        <item m="1" x="654"/>
        <item m="1" x="725"/>
        <item sd="0" m="1" x="406"/>
        <item m="1" x="744"/>
        <item m="1" x="80"/>
        <item m="1" x="52"/>
        <item m="1" x="851"/>
        <item m="1" x="30"/>
        <item sd="0" m="1" x="571"/>
        <item m="1" x="514"/>
        <item m="1" x="414"/>
        <item m="1" x="703"/>
        <item m="1" x="205"/>
        <item sd="0" m="1" x="644"/>
        <item m="1" x="779"/>
        <item sd="0" m="1" x="469"/>
        <item sd="0" m="1" x="41"/>
        <item m="1" x="694"/>
        <item m="1" x="664"/>
        <item sd="0" m="1" x="808"/>
        <item m="1" x="816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29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3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5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8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247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24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50" s="1" nd="1"/>
        <i x="188" s="1" nd="1"/>
        <i x="274" s="1" nd="1"/>
        <i x="12" s="1" nd="1"/>
        <i x="761" s="1" nd="1"/>
        <i x="393" s="1" nd="1"/>
        <i x="712" s="1" nd="1"/>
        <i x="297" s="1" nd="1"/>
        <i x="114" s="1" nd="1"/>
        <i x="272" s="1" nd="1"/>
        <i x="591" s="1" nd="1"/>
        <i x="325" s="1" nd="1"/>
        <i x="676" s="1" nd="1"/>
        <i x="503" s="1" nd="1"/>
        <i x="25" s="1" nd="1"/>
        <i x="582" s="1" nd="1"/>
        <i x="852" s="1" nd="1"/>
        <i x="21" s="1" nd="1"/>
        <i x="757" s="1" nd="1"/>
        <i x="113" s="1" nd="1"/>
        <i x="545" s="1" nd="1"/>
        <i x="828" s="1" nd="1"/>
        <i x="271" s="1" nd="1"/>
        <i x="480" s="1" nd="1"/>
        <i x="772" s="1" nd="1"/>
        <i x="267" s="1" nd="1"/>
        <i x="344" s="1" nd="1"/>
        <i x="677" s="1" nd="1"/>
        <i x="800" s="1" nd="1"/>
        <i x="77" s="1" nd="1"/>
        <i x="48" s="1" nd="1"/>
        <i x="669" s="1" nd="1"/>
        <i x="661" s="1" nd="1"/>
        <i x="470" s="1" nd="1"/>
        <i x="45" s="1" nd="1"/>
        <i x="730" s="1" nd="1"/>
        <i x="690" s="1" nd="1"/>
        <i x="217" s="1" nd="1"/>
        <i x="477" s="1" nd="1"/>
        <i x="634" s="1" nd="1"/>
        <i x="447" s="1" nd="1"/>
        <i x="809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2" s="1" nd="1"/>
        <i x="507" s="1" nd="1"/>
        <i x="554" s="1" nd="1"/>
        <i x="478" s="1" nd="1"/>
        <i x="245" s="1" nd="1"/>
        <i x="848" s="1" nd="1"/>
        <i x="832" s="1" nd="1"/>
        <i x="742" s="1" nd="1"/>
        <i x="241" s="1" nd="1"/>
        <i x="240" s="1" nd="1"/>
        <i x="463" s="1" nd="1"/>
        <i x="287" s="1" nd="1"/>
        <i x="550" s="1" nd="1"/>
        <i x="845" s="1" nd="1"/>
        <i x="446" s="1" nd="1"/>
        <i x="530" s="1" nd="1"/>
        <i x="666" s="1" nd="1"/>
        <i x="519" s="1" nd="1"/>
        <i x="792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4" s="1" nd="1"/>
        <i x="409" s="1" nd="1"/>
        <i x="319" s="1" nd="1"/>
        <i x="592" s="1" nd="1"/>
        <i x="596" s="1" nd="1"/>
        <i x="732" s="1" nd="1"/>
        <i x="785" s="1" nd="1"/>
        <i x="184" s="1" nd="1"/>
        <i x="835" s="1" nd="1"/>
        <i x="711" s="1" nd="1"/>
        <i x="379" s="1" nd="1"/>
        <i x="208" s="1" nd="1"/>
        <i x="522" s="1" nd="1"/>
        <i x="464" s="1" nd="1"/>
        <i x="139" s="1" nd="1"/>
        <i x="662" s="1" nd="1"/>
        <i x="373" s="1" nd="1"/>
        <i x="155" s="1" nd="1"/>
        <i x="252" s="1" nd="1"/>
        <i x="629" s="1" nd="1"/>
        <i x="736" s="1" nd="1"/>
        <i x="422" s="1" nd="1"/>
        <i x="81" s="1" nd="1"/>
        <i x="697" s="1" nd="1"/>
        <i x="285" s="1" nd="1"/>
        <i x="846" s="1" nd="1"/>
        <i x="249" s="1" nd="1"/>
        <i x="763" s="1" nd="1"/>
        <i x="426" s="1" nd="1"/>
        <i x="437" s="1" nd="1"/>
        <i x="168" s="1" nd="1"/>
        <i x="543" s="1" nd="1"/>
        <i x="806" s="1" nd="1"/>
        <i x="621" s="1" nd="1"/>
        <i x="5" s="1" nd="1"/>
        <i x="770" s="1" nd="1"/>
        <i x="15" s="1" nd="1"/>
        <i x="739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7" s="1" nd="1"/>
        <i x="484" s="1" nd="1"/>
        <i x="53" s="1" nd="1"/>
        <i x="650" s="1" nd="1"/>
        <i x="471" s="1" nd="1"/>
        <i x="250" s="1" nd="1"/>
        <i x="329" s="1" nd="1"/>
        <i x="438" s="1" nd="1"/>
        <i x="353" s="1" nd="1"/>
        <i x="572" s="1" nd="1"/>
        <i x="568" s="1" nd="1"/>
        <i x="733" s="1" nd="1"/>
        <i x="755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8" s="1" nd="1"/>
        <i x="853" s="1" nd="1"/>
        <i x="829" s="1" nd="1"/>
        <i x="107" s="1" nd="1"/>
        <i x="402" s="1" nd="1"/>
        <i x="115" s="1" nd="1"/>
        <i x="653" s="1" nd="1"/>
        <i x="657" s="1" nd="1"/>
        <i x="795" s="1" nd="1"/>
        <i x="696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0" s="1" nd="1"/>
        <i x="458" s="1" nd="1"/>
        <i x="479" s="1" nd="1"/>
        <i x="750" s="1" nd="1"/>
        <i x="639" s="1" nd="1"/>
        <i x="54" s="1" nd="1"/>
        <i x="793" s="1" nd="1"/>
        <i x="716" s="1" nd="1"/>
        <i x="418" s="1" nd="1"/>
        <i x="734" s="1" nd="1"/>
        <i x="813" s="1" nd="1"/>
        <i x="562" s="1" nd="1"/>
        <i x="559" s="1" nd="1"/>
        <i x="430" s="1" nd="1"/>
        <i x="714" s="1" nd="1"/>
        <i x="506" s="1" nd="1"/>
        <i x="174" s="1" nd="1"/>
        <i x="628" s="1" nd="1"/>
        <i x="376" s="1" nd="1"/>
        <i x="807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8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1" s="1" nd="1"/>
        <i x="118" s="1" nd="1"/>
        <i x="537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3" s="1" nd="1"/>
        <i x="580" s="1" nd="1"/>
        <i x="518" s="1" nd="1"/>
        <i x="797" s="1" nd="1"/>
        <i x="166" s="1" nd="1"/>
        <i x="826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211" s="1" nd="1"/>
        <i x="440" s="1" nd="1"/>
        <i x="103" s="1" nd="1"/>
        <i x="197" s="1" nd="1"/>
        <i x="831" s="1" nd="1"/>
        <i x="764" s="1" nd="1"/>
        <i x="510" s="1" nd="1"/>
        <i x="821" s="1" nd="1"/>
        <i x="342" s="1" nd="1"/>
        <i x="224" s="1" nd="1"/>
        <i x="65" s="1" nd="1"/>
        <i x="636" s="1" nd="1"/>
        <i x="459" s="1" nd="1"/>
        <i x="790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39" s="1" nd="1"/>
        <i x="209" s="1" nd="1"/>
        <i x="672" s="1" nd="1"/>
        <i x="487" s="1" nd="1"/>
        <i x="641" s="1" nd="1"/>
        <i x="607" s="1" nd="1"/>
        <i x="532" s="1" nd="1"/>
        <i x="564" s="1" nd="1"/>
        <i x="738" s="1" nd="1"/>
        <i x="517" s="1" nd="1"/>
        <i x="387" s="1" nd="1"/>
        <i x="546" s="1" nd="1"/>
        <i x="214" s="1" nd="1"/>
        <i x="416" s="1" nd="1"/>
        <i x="420" s="1" nd="1"/>
        <i x="802" s="1" nd="1"/>
        <i x="42" s="1" nd="1"/>
        <i x="805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1" s="1" nd="1"/>
        <i x="144" s="1" nd="1"/>
        <i x="667" s="1" nd="1"/>
        <i x="839" s="1" nd="1"/>
        <i x="39" s="1" nd="1"/>
        <i x="384" s="1" nd="1"/>
        <i x="590" s="1" nd="1"/>
        <i x="747" s="1" nd="1"/>
        <i x="270" s="1" nd="1"/>
        <i x="18" s="1" nd="1"/>
        <i x="638" s="1" nd="1"/>
        <i x="390" s="1" nd="1"/>
        <i x="481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59" s="1" nd="1"/>
        <i x="691" s="1" nd="1"/>
        <i x="22" s="1" nd="1"/>
        <i x="727" s="1" nd="1"/>
        <i x="780" s="1" nd="1"/>
        <i x="640" s="1" nd="1"/>
        <i x="330" s="1" nd="1"/>
        <i x="369" s="1" nd="1"/>
        <i x="815" s="1" nd="1"/>
        <i x="776" s="1" nd="1"/>
        <i x="145" s="1" nd="1"/>
        <i x="499" s="1" nd="1"/>
        <i x="468" s="1" nd="1"/>
        <i x="141" s="1" nd="1"/>
        <i x="756" s="1" nd="1"/>
        <i x="149" s="1" nd="1"/>
        <i x="225" s="1" nd="1"/>
        <i x="720" s="1" nd="1"/>
        <i x="556" s="1" nd="1"/>
        <i x="117" s="1" nd="1"/>
        <i x="377" s="1" nd="1"/>
        <i x="718" s="1" nd="1"/>
        <i x="128" s="1" nd="1"/>
        <i x="34" s="1" nd="1"/>
        <i x="303" s="1" nd="1"/>
        <i x="549" s="1" nd="1"/>
        <i x="61" s="1" nd="1"/>
        <i x="453" s="1" nd="1"/>
        <i x="774" s="1" nd="1"/>
        <i x="486" s="1" nd="1"/>
        <i x="740" s="1" nd="1"/>
        <i x="455" s="1" nd="1"/>
        <i x="521" s="1" nd="1"/>
        <i x="163" s="1" nd="1"/>
        <i x="405" s="1" nd="1"/>
        <i x="741" s="1" nd="1"/>
        <i x="195" s="1" nd="1"/>
        <i x="746" s="1" nd="1"/>
        <i x="385" s="1" nd="1"/>
        <i x="138" s="1" nd="1"/>
        <i x="659" s="1" nd="1"/>
        <i x="431" s="1" nd="1"/>
        <i x="665" s="1" nd="1"/>
        <i x="494" s="1" nd="1"/>
        <i x="686" s="1" nd="1"/>
        <i x="328" s="1" nd="1"/>
        <i x="768" s="1" nd="1"/>
        <i x="804" s="1" nd="1"/>
        <i x="92" s="1" nd="1"/>
        <i x="573" s="1" nd="1"/>
        <i x="158" s="1" nd="1"/>
        <i x="561" s="1" nd="1"/>
        <i x="46" s="1" nd="1"/>
        <i x="723" s="1" nd="1"/>
        <i x="748" s="1" nd="1"/>
        <i x="743" s="1" nd="1"/>
        <i x="847" s="1" nd="1"/>
        <i x="125" s="1" nd="1"/>
        <i x="466" s="1" nd="1"/>
        <i x="701" s="1" nd="1"/>
        <i x="429" s="1" nd="1"/>
        <i x="364" s="1" nd="1"/>
        <i x="101" s="1" nd="1"/>
        <i x="482" s="1" nd="1"/>
        <i x="608" s="1" nd="1"/>
        <i x="715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1" s="1" nd="1"/>
        <i x="642" s="1" nd="1"/>
        <i x="232" s="1" nd="1"/>
        <i x="374" s="1" nd="1"/>
        <i x="735" s="1" nd="1"/>
        <i x="133" s="1" nd="1"/>
        <i x="87" s="1" nd="1"/>
        <i x="210" s="1" nd="1"/>
        <i x="682" s="1" nd="1"/>
        <i x="276" s="1" nd="1"/>
        <i x="473" s="1" nd="1"/>
        <i x="799" s="1" nd="1"/>
        <i x="218" s="1" nd="1"/>
        <i x="827" s="1" nd="1"/>
        <i x="70" s="1" nd="1"/>
        <i x="119" s="1" nd="1"/>
        <i x="646" s="1" nd="1"/>
        <i x="412" s="1" nd="1"/>
        <i x="854" s="1" nd="1"/>
        <i x="433" s="1" nd="1"/>
        <i x="570" s="1" nd="1"/>
        <i x="489" s="1" nd="1"/>
        <i x="183" s="1" nd="1"/>
        <i x="375" s="1" nd="1"/>
        <i x="243" s="1" nd="1"/>
        <i x="338" s="1" nd="1"/>
        <i x="528" s="1" nd="1"/>
        <i x="424" s="1" nd="1"/>
        <i x="788" s="1" nd="1"/>
        <i x="302" s="1" nd="1"/>
        <i x="310" s="1" nd="1"/>
        <i x="368" s="1" nd="1"/>
        <i x="492" s="1" nd="1"/>
        <i x="663" s="1" nd="1"/>
        <i x="189" s="1" nd="1"/>
        <i x="660" s="1" nd="1"/>
        <i x="222" s="1" nd="1"/>
        <i x="450" s="1" nd="1"/>
        <i x="148" s="1" nd="1"/>
        <i x="363" s="1" nd="1"/>
        <i x="264" s="1" nd="1"/>
        <i x="292" s="1" nd="1"/>
        <i x="541" s="1" nd="1"/>
        <i x="810" s="1" nd="1"/>
        <i x="604" s="1" nd="1"/>
        <i x="32" s="1" nd="1"/>
        <i x="269" s="1" nd="1"/>
        <i x="751" s="1" nd="1"/>
        <i x="372" s="1" nd="1"/>
        <i x="247" s="1" nd="1"/>
        <i x="399" s="1" nd="1"/>
        <i x="483" s="1" nd="1"/>
        <i x="339" s="1" nd="1"/>
        <i x="613" s="1" nd="1"/>
        <i x="673" s="1" nd="1"/>
        <i x="838" s="1" nd="1"/>
        <i x="51" s="1" nd="1"/>
        <i x="606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4" s="1" nd="1"/>
        <i x="500" s="1" nd="1"/>
        <i x="62" s="1" nd="1"/>
        <i x="457" s="1" nd="1"/>
        <i x="83" s="1" nd="1"/>
        <i x="326" s="1" nd="1"/>
        <i x="169" s="1" nd="1"/>
        <i x="333" s="1" nd="1"/>
        <i x="565" s="1" nd="1"/>
        <i x="505" s="1" nd="1"/>
        <i x="229" s="1" nd="1"/>
        <i x="282" s="1" nd="1"/>
        <i x="94" s="1" nd="1"/>
        <i x="408" s="1" nd="1"/>
        <i x="321" s="1" nd="1"/>
        <i x="710" s="1" nd="1"/>
        <i x="535" s="1" nd="1"/>
        <i x="645" s="1" nd="1"/>
        <i x="610" s="1" nd="1"/>
        <i x="834" s="1" nd="1"/>
        <i x="787" s="1" nd="1"/>
        <i x="29" s="1" nd="1"/>
        <i x="782" s="1" nd="1"/>
        <i x="254" s="1" nd="1"/>
        <i x="476" s="1" nd="1"/>
        <i x="812" s="1" nd="1"/>
        <i x="465" s="1" nd="1"/>
        <i x="745" s="1" nd="1"/>
        <i x="649" s="1" nd="1"/>
        <i x="775" s="1" nd="1"/>
        <i x="72" s="1" nd="1"/>
        <i x="713" s="1" nd="1"/>
        <i x="574" s="1" nd="1"/>
        <i x="185" s="1" nd="1"/>
        <i x="717" s="1" nd="1"/>
        <i x="112" s="1" nd="1"/>
        <i x="255" s="1" nd="1"/>
        <i x="513" s="1" nd="1"/>
        <i x="96" s="1" nd="1"/>
        <i x="523" s="1" nd="1"/>
        <i x="789" s="1" nd="1"/>
        <i x="20" s="1" nd="1"/>
        <i x="538" s="1" nd="1"/>
        <i x="637" s="1" nd="1"/>
        <i x="576" s="1" nd="1"/>
        <i x="198" s="1" nd="1"/>
        <i x="575" s="1" nd="1"/>
        <i x="366" s="1" nd="1"/>
        <i x="823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6" s="1" nd="1"/>
        <i x="599" s="1" nd="1"/>
        <i x="318" s="1" nd="1"/>
        <i x="781" s="1" nd="1"/>
        <i x="485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1" s="1" nd="1"/>
        <i x="584" s="1" nd="1"/>
        <i x="749" s="1" nd="1"/>
        <i x="722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5" s="1" nd="1"/>
        <i x="803" s="1" nd="1"/>
        <i x="791" s="1" nd="1"/>
        <i x="201" s="1" nd="1"/>
        <i x="152" s="1" nd="1"/>
        <i x="237" s="1" nd="1"/>
        <i x="504" s="1" nd="1"/>
        <i x="786" s="1" nd="1"/>
        <i x="260" s="1" nd="1"/>
        <i x="752" s="1" nd="1"/>
        <i x="129" s="1" nd="1"/>
        <i x="212" s="1" nd="1"/>
        <i x="833" s="1" nd="1"/>
        <i x="586" s="1" nd="1"/>
        <i x="796" s="1" nd="1"/>
        <i x="726" s="1" nd="1"/>
        <i x="413" s="1" nd="1"/>
        <i x="26" s="1" nd="1"/>
        <i x="343" s="1" nd="1"/>
        <i x="491" s="1" nd="1"/>
        <i x="512" s="1" nd="1"/>
        <i x="769" s="1" nd="1"/>
        <i x="719" s="1" nd="1"/>
        <i x="760" s="1" nd="1"/>
        <i x="520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4" s="1" nd="1"/>
        <i x="156" s="1" nd="1"/>
        <i x="234" s="1" nd="1"/>
        <i x="239" s="1" nd="1"/>
        <i x="467" s="1" nd="1"/>
        <i x="707" s="1" nd="1"/>
        <i x="620" s="1" nd="1"/>
        <i x="731" s="1" nd="1"/>
        <i x="472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3" s="1" nd="1"/>
        <i x="724" s="1" nd="1"/>
        <i x="841" s="1" nd="1"/>
        <i x="445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7" s="1" nd="1"/>
        <i x="395" s="1" nd="1"/>
        <i x="401" s="1" nd="1"/>
        <i x="705" s="1" nd="1"/>
        <i x="404" s="1" nd="1"/>
        <i x="830" s="1" nd="1"/>
        <i x="496" s="1" nd="1"/>
        <i x="396" s="1" nd="1"/>
        <i x="671" s="1" nd="1"/>
        <i x="186" s="1" nd="1"/>
        <i x="410" s="1" nd="1"/>
        <i x="475" s="1" nd="1"/>
        <i x="837" s="1" nd="1"/>
        <i x="126" s="1" nd="1"/>
        <i x="153" s="1" nd="1"/>
        <i x="594" s="1" nd="1"/>
        <i x="778" s="1" nd="1"/>
        <i x="612" s="1" nd="1"/>
        <i x="560" s="1" nd="1"/>
        <i x="309" s="1" nd="1"/>
        <i x="654" s="1" nd="1"/>
        <i x="725" s="1" nd="1"/>
        <i x="406" s="1" nd="1"/>
        <i x="744" s="1" nd="1"/>
        <i x="80" s="1" nd="1"/>
        <i x="52" s="1" nd="1"/>
        <i x="851" s="1" nd="1"/>
        <i x="30" s="1" nd="1"/>
        <i x="571" s="1" nd="1"/>
        <i x="514" s="1" nd="1"/>
        <i x="414" s="1" nd="1"/>
        <i x="703" s="1" nd="1"/>
        <i x="205" s="1" nd="1"/>
        <i x="644" s="1" nd="1"/>
        <i x="779" s="1" nd="1"/>
        <i x="469" s="1" nd="1"/>
        <i x="41" s="1" nd="1"/>
        <i x="694" s="1" nd="1"/>
        <i x="664" s="1" nd="1"/>
        <i x="808" s="1" nd="1"/>
        <i x="816" s="1" nd="1"/>
        <i x="625" s="1" nd="1"/>
        <i x="460" s="1" nd="1"/>
        <i x="692" s="1" nd="1"/>
        <i x="135" s="1" nd="1"/>
        <i x="411" s="1" nd="1"/>
        <i x="693" s="1" nd="1"/>
        <i x="44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29" s="1" nd="1"/>
        <i x="386" s="1" nd="1"/>
        <i x="577" s="1" nd="1"/>
        <i x="361" s="1" nd="1"/>
        <i x="452" s="1" nd="1"/>
        <i x="515" s="1" nd="1"/>
        <i x="123" s="1" nd="1"/>
        <i x="647" s="1" nd="1"/>
        <i x="49" s="1" nd="1"/>
        <i x="417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0" s="1" nd="1"/>
        <i x="82" s="1" nd="1"/>
        <i x="635" s="1" nd="1"/>
        <i x="67" s="1" nd="1"/>
        <i x="651" s="1" nd="1"/>
        <i x="490" s="1" nd="1"/>
        <i x="753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5" s="1" nd="1"/>
        <i x="415" s="1" nd="1"/>
        <i x="553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4" s="1" nd="1"/>
        <i x="36" s="1" nd="1"/>
        <i x="312" s="1" nd="1"/>
        <i x="825" s="1" nd="1"/>
        <i x="563" s="1" nd="1"/>
        <i x="63" s="1" nd="1"/>
        <i x="569" s="1" nd="1"/>
        <i x="432" s="1" nd="1"/>
        <i x="427" s="1" nd="1"/>
        <i x="177" s="1" nd="1"/>
        <i x="367" s="1" nd="1"/>
        <i x="758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3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294978</v>
      </c>
      <c r="B2" s="12" t="s">
        <v>576</v>
      </c>
      <c r="C2" s="14">
        <v>46238</v>
      </c>
      <c r="D2" s="14">
        <v>46238</v>
      </c>
      <c r="E2" s="12"/>
      <c r="F2" s="15" t="s">
        <v>577</v>
      </c>
      <c r="G2" s="15" t="s">
        <v>578</v>
      </c>
      <c r="H2" s="15" t="s">
        <v>579</v>
      </c>
      <c r="I2" s="16">
        <v>3401.18</v>
      </c>
      <c r="J2" s="15" t="s">
        <v>580</v>
      </c>
      <c r="K2" s="15" t="s">
        <v>581</v>
      </c>
      <c r="L2" s="15" t="s">
        <v>582</v>
      </c>
      <c r="M2" s="15">
        <v>153.05000000000001</v>
      </c>
      <c r="N2" s="15">
        <v>7</v>
      </c>
      <c r="O2" s="16">
        <v>35</v>
      </c>
      <c r="P2" s="15" t="s">
        <v>583</v>
      </c>
      <c r="Q2" s="15">
        <v>0</v>
      </c>
      <c r="R2" s="15" t="s">
        <v>584</v>
      </c>
      <c r="S2" s="15">
        <v>0</v>
      </c>
      <c r="T2" s="15" t="s">
        <v>585</v>
      </c>
      <c r="U2" s="15">
        <v>0</v>
      </c>
      <c r="V2" s="15">
        <v>18.37</v>
      </c>
      <c r="W2" s="15">
        <v>0</v>
      </c>
      <c r="X2" s="15">
        <v>0</v>
      </c>
      <c r="Y2" s="15">
        <v>1.7</v>
      </c>
      <c r="Z2" s="15">
        <v>0</v>
      </c>
      <c r="AA2" s="15">
        <v>28.84</v>
      </c>
      <c r="AB2" s="15">
        <v>124.21</v>
      </c>
      <c r="AC2" s="15">
        <v>39.79</v>
      </c>
      <c r="AD2" s="15">
        <v>84.42</v>
      </c>
      <c r="AE2" s="15">
        <v>4.04</v>
      </c>
      <c r="AF2" s="15">
        <v>80.38</v>
      </c>
      <c r="AG2" s="17">
        <v>0.5252</v>
      </c>
      <c r="AH2" s="15"/>
    </row>
    <row r="3" spans="1:34" s="1" customFormat="1" ht="12" customHeight="1" x14ac:dyDescent="0.3">
      <c r="A3" s="13">
        <v>295096</v>
      </c>
      <c r="B3" s="12" t="s">
        <v>576</v>
      </c>
      <c r="C3" s="14">
        <v>46239</v>
      </c>
      <c r="D3" s="14">
        <v>46239</v>
      </c>
      <c r="E3" s="12">
        <v>64139</v>
      </c>
      <c r="F3" s="15" t="s">
        <v>586</v>
      </c>
      <c r="G3" s="15" t="s">
        <v>587</v>
      </c>
      <c r="H3" s="15" t="s">
        <v>588</v>
      </c>
      <c r="I3" s="16">
        <v>156114</v>
      </c>
      <c r="J3" s="15" t="s">
        <v>589</v>
      </c>
      <c r="K3" s="15" t="s">
        <v>581</v>
      </c>
      <c r="L3" s="15" t="s">
        <v>582</v>
      </c>
      <c r="M3" s="16">
        <v>9900</v>
      </c>
      <c r="N3" s="15">
        <v>1440</v>
      </c>
      <c r="O3" s="16">
        <v>22312.799999999999</v>
      </c>
      <c r="P3" s="15" t="s">
        <v>576</v>
      </c>
      <c r="Q3" s="15">
        <v>0</v>
      </c>
      <c r="R3" s="15" t="s">
        <v>584</v>
      </c>
      <c r="S3" s="15">
        <v>0</v>
      </c>
      <c r="T3" s="15" t="s">
        <v>585</v>
      </c>
      <c r="U3" s="15">
        <v>0</v>
      </c>
      <c r="V3" s="15">
        <v>693</v>
      </c>
      <c r="W3" s="15">
        <v>0</v>
      </c>
      <c r="X3" s="15">
        <v>0</v>
      </c>
      <c r="Y3" s="15">
        <v>78.06</v>
      </c>
      <c r="Z3" s="15">
        <v>0</v>
      </c>
      <c r="AA3" s="16">
        <v>6362.29</v>
      </c>
      <c r="AB3" s="16">
        <v>3537.71</v>
      </c>
      <c r="AC3" s="15">
        <v>2574</v>
      </c>
      <c r="AD3" s="15">
        <v>963.71</v>
      </c>
      <c r="AE3" s="15">
        <v>0</v>
      </c>
      <c r="AF3" s="15">
        <v>963.71</v>
      </c>
      <c r="AG3" s="17">
        <v>9.7299999999999998E-2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10053.049999999999</v>
      </c>
      <c r="F3" s="93"/>
      <c r="G3" s="94"/>
      <c r="H3" s="95">
        <f>'Resumo Detalhado'!C2</f>
        <v>22347.8</v>
      </c>
      <c r="I3" s="96"/>
      <c r="J3" s="97">
        <f>E3/H3</f>
        <v>0.44984517491654658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5600</v>
      </c>
      <c r="F7" s="109"/>
      <c r="G7" s="109"/>
      <c r="H7" s="109"/>
      <c r="I7" s="109"/>
      <c r="J7" s="109">
        <f>E7/H3</f>
        <v>0.25058395009799622</v>
      </c>
      <c r="K7" s="109"/>
      <c r="L7" s="109"/>
      <c r="M7" s="110">
        <f>E7/E3</f>
        <v>0.5570448769278975</v>
      </c>
      <c r="N7" s="110"/>
      <c r="O7" s="110"/>
      <c r="P7" s="109">
        <f>E11+K11+Q11+E15+K15+Q15+E19+H19+K19</f>
        <v>8803.862000000001</v>
      </c>
      <c r="Q7" s="109"/>
      <c r="R7" s="109"/>
      <c r="S7" s="109">
        <f>P7/H3</f>
        <v>0.39394759215672243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5600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5600</v>
      </c>
      <c r="L11" s="94"/>
      <c r="M11" s="38"/>
      <c r="N11" s="92">
        <f>K11/H3</f>
        <v>0.25058395009799622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711.37</v>
      </c>
      <c r="F15" s="113"/>
      <c r="G15" s="113"/>
      <c r="H15" s="113"/>
      <c r="I15" s="114"/>
      <c r="J15" s="38"/>
      <c r="K15" s="116">
        <f>'Resumo Detalhado'!K2+'Resumo Detalhado'!L2</f>
        <v>1608.4880000000001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79.760000000000005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804.24400000000003</v>
      </c>
      <c r="L19" s="108"/>
      <c r="M19" s="38"/>
      <c r="N19" s="112" t="s">
        <v>206</v>
      </c>
      <c r="O19" s="113"/>
      <c r="P19" s="113"/>
      <c r="Q19" s="113"/>
      <c r="R19" s="119"/>
      <c r="S19" s="112">
        <f>_xlfn.XLOOKUP(N19,Target!C:C,Target!D:D)</f>
        <v>5500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7649.3920000000007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0.76090261164522222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590</v>
      </c>
      <c r="F1" s="29"/>
    </row>
    <row r="2" spans="1:18" x14ac:dyDescent="0.3">
      <c r="B2" s="29">
        <f>SUM(B6:B5000)</f>
        <v>10053.049999999999</v>
      </c>
      <c r="C2" s="29">
        <f>SUM(C6:C5000)</f>
        <v>22347.8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711.37</v>
      </c>
      <c r="I2" s="29">
        <f t="shared" si="0"/>
        <v>79.760000000000005</v>
      </c>
      <c r="J2" s="29">
        <f t="shared" si="0"/>
        <v>0</v>
      </c>
      <c r="K2" s="29">
        <f t="shared" si="0"/>
        <v>804.24400000000003</v>
      </c>
      <c r="L2" s="29">
        <f t="shared" si="0"/>
        <v>804.24400000000003</v>
      </c>
      <c r="M2" s="29">
        <f t="shared" si="0"/>
        <v>4.04</v>
      </c>
      <c r="N2" s="29">
        <f t="shared" si="0"/>
        <v>7649.3920000000007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294978</v>
      </c>
      <c r="B6" s="140">
        <v>153.05000000000001</v>
      </c>
      <c r="C6" s="141">
        <v>35</v>
      </c>
      <c r="D6" s="140">
        <v>0</v>
      </c>
      <c r="E6" s="140">
        <v>0</v>
      </c>
      <c r="F6" s="140">
        <v>0</v>
      </c>
      <c r="G6" s="142">
        <v>0</v>
      </c>
      <c r="H6" s="140">
        <v>18.37</v>
      </c>
      <c r="I6" s="140">
        <v>1.7</v>
      </c>
      <c r="J6" s="140">
        <v>0</v>
      </c>
      <c r="K6" s="140">
        <v>12.244000000000002</v>
      </c>
      <c r="L6" s="140">
        <v>12.244000000000002</v>
      </c>
      <c r="M6" s="140">
        <v>4.04</v>
      </c>
      <c r="N6" s="140">
        <v>104.45200000000001</v>
      </c>
      <c r="O6" s="142">
        <v>0.68246978111728196</v>
      </c>
      <c r="Q6"/>
    </row>
    <row r="7" spans="1:18" s="31" customFormat="1" x14ac:dyDescent="0.3">
      <c r="A7" s="9" t="s">
        <v>587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295096</v>
      </c>
      <c r="B8" s="140">
        <v>9900</v>
      </c>
      <c r="C8" s="141">
        <v>22312.799999999999</v>
      </c>
      <c r="D8" s="140">
        <v>0</v>
      </c>
      <c r="E8" s="140">
        <v>0</v>
      </c>
      <c r="F8" s="140">
        <v>0</v>
      </c>
      <c r="G8" s="142">
        <v>0</v>
      </c>
      <c r="H8" s="140">
        <v>693</v>
      </c>
      <c r="I8" s="140">
        <v>78.06</v>
      </c>
      <c r="J8" s="140">
        <v>0</v>
      </c>
      <c r="K8" s="140">
        <v>792</v>
      </c>
      <c r="L8" s="140">
        <v>792</v>
      </c>
      <c r="M8" s="140">
        <v>0</v>
      </c>
      <c r="N8" s="140">
        <v>7544.9400000000005</v>
      </c>
      <c r="O8" s="142">
        <v>0.76211515151515152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590</v>
      </c>
    </row>
    <row r="2" spans="1:4" x14ac:dyDescent="0.3">
      <c r="B2" s="29">
        <f>SUM(B6:B5000)</f>
        <v>9900</v>
      </c>
      <c r="C2" s="29">
        <f>SUM(C6:C5000)</f>
        <v>7544.9400000000005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578</v>
      </c>
      <c r="B5" s="10">
        <v>153.05000000000001</v>
      </c>
      <c r="C5" s="10">
        <v>104.45200000000001</v>
      </c>
    </row>
    <row r="6" spans="1:4" x14ac:dyDescent="0.3">
      <c r="A6" s="9" t="s">
        <v>587</v>
      </c>
      <c r="B6" s="140">
        <v>9900</v>
      </c>
      <c r="C6" s="140">
        <v>7544.9400000000005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800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2026-08-06T12:39:51Z</dcterms:modified>
  <cp:category/>
  <cp:contentStatus/>
</cp:coreProperties>
</file>