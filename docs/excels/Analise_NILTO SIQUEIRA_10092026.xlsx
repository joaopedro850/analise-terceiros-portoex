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AC0A84F-7805-4C72-BFB8-BC40E61BE12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<sst xmlns="http://schemas.openxmlformats.org/spreadsheetml/2006/main" count="858" uniqueCount="590">
  <si>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</si>
  <si>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</si>
  <si>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</si>
  <si>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</si>
  <si>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</si>
  <si>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</si>
  <si>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</si>
  <si>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</si>
  <si>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</si>
  <si>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</si>
  <si>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</si>
  <si>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</si>
  <si>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</si>
  <si>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</si>
  <si>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</si>
  <si>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</si>
  <si>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</si>
  <si>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</si>
  <si>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</si>
  <si>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</si>
  <si>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</si>
  <si>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</si>
  <si>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</si>
  <si>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</si>
  <si>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</si>
  <si>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</si>
  <si>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</si>
  <si>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</si>
  <si>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</si>
  <si>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</si>
  <si>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</si>
  <si>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</si>
  <si>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</si>
  <si>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</si>
  <si>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</si>
  <si>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</si>
  <si>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</si>
  <si>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</si>
  <si>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</si>
  <si>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</si>
  <si>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</si>
  <si>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</si>
  <si>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</si>
  <si>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</si>
  <si>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</si>
  <si>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</si>
  <si>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</si>
  <si>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</si>
  <si>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</si>
  <si>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</si>
  <si>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</si>
  <si>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</si>
  <si>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</si>
  <si>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</si>
  <si>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</si>
  <si>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</si>
  <si>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</si>
  <si>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</si>
  <si>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</si>
  <si>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</si>
  <si>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</si>
  <si>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</si>
  <si>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</si>
  <si>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</si>
  <si>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</si>
  <si>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</si>
  <si>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</si>
  <si>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</si>
  <si>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</si>
  <si>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</si>
  <si>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</si>
  <si>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</si>
  <si>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</si>
  <si>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</si>
  <si>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</si>
  <si>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</si>
  <si>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</si>
  <si>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</si>
  <si>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</si>
  <si>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</si>
  <si>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</si>
  <si>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</si>
  <si>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</si>
  <si>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</si>
  <si>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</si>
  <si>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</si>
  <si>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</si>
  <si>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</si>
  <si>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</si>
  <si>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</si>
  <si>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</si>
  <si>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</si>
  <si>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</si>
  <si>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</si>
  <si>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</si>
  <si>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</si>
  <si>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</si>
  <si>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</si>
  <si>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</si>
  <si>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</si>
  <si>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</si>
  <si>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</si>
  <si>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</si>
  <si>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</si>
  <si>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</si>
  <si>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</si>
  <si>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</si>
  <si>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</si>
  <si>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</si>
  <si>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</si>
  <si>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</si>
  <si>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</si>
  <si>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</si>
  <si>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</si>
  <si>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</si>
  <si>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</si>
  <si>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</si>
  <si>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</si>
  <si>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</si>
  <si>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</si>
  <si>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</si>
  <si>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</si>
  <si>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</si>
  <si>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</si>
  <si>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</si>
  <si>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</si>
  <si>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</si>
  <si>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</si>
  <si>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</si>
  <si>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</si>
  <si>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</si>
  <si>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</si>
  <si>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</si>
  <si>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</si>
  <si>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</si>
  <si>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</si>
  <si>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</si>
  <si>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</si>
  <si>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</si>
  <si>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</si>
  <si>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</si>
  <si>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</si>
  <si>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</si>
  <si>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</si>
  <si>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</si>
  <si>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</si>
  <si>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</si>
  <si>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</si>
  <si>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</si>
  <si>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</si>
  <si>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</si>
  <si>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</si>
  <si>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</si>
  <si>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</si>
  <si>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</si>
  <si>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</si>
  <si>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</si>
  <si>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</si>
  <si>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</si>
  <si>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</si>
  <si>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</si>
  <si>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</si>
  <si>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</si>
  <si>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</si>
  <si>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</si>
  <si>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</si>
  <si>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</si>
  <si>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</si>
  <si>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</si>
  <si>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</si>
  <si>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</si>
  <si>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</si>
  <si>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</si>
  <si>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</si>
  <si>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</si>
  <si>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</si>
  <si>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</si>
  <si>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</si>
  <si>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</si>
  <si>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</si>
  <si>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</si>
  <si>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</si>
  <si>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</si>
  <si>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</si>
  <si>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</si>
  <si>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</si>
  <si>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</si>
  <si>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</si>
  <si>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</si>
  <si>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</si>
  <si>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</si>
  <si>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</si>
  <si>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</si>
  <si>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</si>
  <si>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</si>
  <si>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</si>
  <si>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</si>
  <si>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</si>
  <si>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</si>
  <si>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</si>
  <si>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</si>
  <si>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</si>
  <si>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</si>
  <si>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</si>
  <si>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</si>
  <si>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</si>
  <si>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</si>
  <si>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</si>
  <si>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</si>
  <si>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</si>
  <si>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</si>
  <si>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</si>
  <si>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</si>
  <si>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</si>
  <si>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</si>
  <si>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</si>
  <si>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</si>
  <si>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</si>
  <si>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</si>
  <si>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</si>
  <si>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</si>
  <si>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</si>
  <si>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</si>
  <si>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</si>
  <si>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</si>
  <si>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</si>
  <si>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</si>
  <si>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</si>
  <si>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</si>
  <si>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</si>
  <si>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</si>
  <si>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</si>
  <si>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</si>
  <si>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</si>
  <si>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</si>
  <si>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</si>
  <si>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</si>
  <si>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</si>
  <si>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</si>
  <si>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</si>
  <si>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</si>
  <si>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</si>
  <si>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</si>
  <si>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</si>
  <si>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</si>
  <si>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</si>
  <si>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</si>
  <si>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</si>
  <si>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</si>
  <si>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</si>
  <si>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</si>
  <si>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</si>
  <si>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</si>
  <si>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</si>
  <si>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</si>
  <si>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</si>
  <si>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</si>
  <si>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</si>
  <si>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</si>
  <si>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</si>
  <si>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</si>
  <si>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</si>
  <si>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</si>
  <si>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</si>
  <si>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</si>
  <si>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</si>
  <si>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</si>
  <si>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</si>
  <si>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</si>
  <si>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</si>
  <si>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</si>
  <si>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</si>
  <si>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</si>
  <si>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</si>
  <si>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</si>
  <si>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</si>
  <si>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</si>
  <si>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</si>
  <si>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</si>
  <si>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</si>
  <si>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</si>
  <si>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</si>
  <si>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</si>
  <si>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</si>
  <si>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</si>
  <si>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</si>
  <si>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</si>
  <si>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</si>
  <si>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</si>
  <si>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</si>
  <si>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</si>
  <si>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</si>
  <si>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</si>
  <si>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</si>
  <si>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</si>
  <si>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</si>
  <si>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</si>
  <si>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</si>
  <si>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</si>
  <si>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</si>
  <si>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</si>
  <si>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</si>
  <si>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</si>
  <si>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</si>
  <si>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</si>
  <si>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</si>
  <si>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</si>
  <si>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</si>
  <si>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</si>
  <si>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</si>
  <si>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</si>
  <si>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</si>
  <si>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</si>
  <si>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</si>
  <si>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</si>
  <si>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</si>
  <si>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</si>
  <si>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</si>
  <si>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</si>
  <si>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</si>
  <si>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</si>
  <si>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</si>
  <si>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</si>
  <si>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</si>
  <si>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</si>
  <si>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</si>
  <si>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</si>
  <si>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</si>
  <si>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</si>
  <si>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</si>
  <si>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</si>
  <si>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</si>
  <si>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</si>
  <si>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</si>
  <si>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</si>
  <si>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</si>
  <si>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</si>
  <si>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</si>
  <si>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</si>
  <si>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</si>
  <si>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</si>
  <si>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</si>
  <si>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</si>
  <si>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</si>
  <si>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</si>
  <si>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</si>
  <si>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</si>
  <si>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</si>
  <si>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</si>
  <si>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</si>
  <si>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</si>
  <si>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</si>
  <si>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</si>
  <si>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</si>
  <si>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</si>
  <si>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</si>
  <si>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</si>
  <si>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</si>
  <si>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</si>
  <si>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</si>
  <si>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</si>
  <si>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</si>
  <si>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</si>
  <si>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</si>
  <si>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</si>
  <si>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</si>
  <si>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</si>
  <si>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</si>
  <si>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</si>
  <si>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</si>
  <si>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</si>
  <si>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</si>
  <si>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</si>
  <si>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</si>
  <si>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</si>
  <si>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</si>
  <si>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</si>
  <si>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</si>
  <si>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</si>
  <si>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</si>
  <si>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</si>
  <si>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</si>
  <si>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</si>
  <si>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</si>
  <si>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</si>
  <si>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</si>
  <si>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</si>
  <si>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</si>
  <si>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</si>
  <si>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</si>
  <si>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</si>
  <si>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</si>
  <si>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</si>
  <si>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</si>
  <si>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</si>
  <si>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</si>
  <si>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</si>
  <si>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</si>
  <si>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</si>
  <si>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</si>
  <si>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</si>
  <si>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</si>
  <si>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</si>
  <si>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</si>
  <si>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</si>
  <si>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</si>
  <si>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</si>
  <si>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</si>
  <si>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</si>
  <si>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</si>
  <si>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</si>
  <si>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</si>
  <si>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</si>
  <si>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</si>
  <si>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</si>
  <si>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</si>
  <si>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</si>
  <si>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</si>
  <si>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</si>
  <si>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</si>
  <si>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</si>
  <si>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</si>
  <si>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</si>
  <si>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</si>
  <si>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</si>
  <si>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</si>
  <si>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</si>
  <si>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</si>
  <si>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</si>
  <si>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</si>
  <si>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</si>
  <si>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</si>
  <si>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</si>
  <si>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</si>
  <si>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</si>
  <si>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</si>
  <si>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</si>
  <si>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</si>
  <si>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</si>
  <si>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</si>
  <si>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</si>
  <si>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</si>
  <si>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</si>
  <si>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</si>
  <si>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</si>
  <si>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</si>
  <si>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</si>
  <si>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</si>
  <si>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</si>
  <si>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</si>
  <si>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</si>
  <si>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</si>
  <si>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</si>
  <si>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</si>
  <si>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</si>
  <si>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</si>
  <si>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</si>
  <si>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</si>
  <si>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</si>
  <si>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</si>
  <si>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</si>
  <si>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</si>
  <si>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</si>
  <si>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</si>
  <si>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</si>
  <si>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</si>
  <si>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</si>
  <si>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</si>
  <si>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</si>
  <si>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</si>
  <si>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</si>
  <si>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</si>
  <si>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</si>
  <si>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</si>
  <si>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</si>
  <si>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</si>
  <si>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</si>
  <si>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</si>
  <si>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</si>
  <si>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</si>
  <si>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</si>
  <si>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</si>
  <si>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</si>
  <si>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</si>
  <si>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</si>
  <si>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</si>
  <si>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</si>
  <si>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</si>
  <si>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</si>
  <si>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</si>
  <si>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</si>
  <si>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</si>
  <si>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</si>
  <si>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</si>
  <si>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</si>
  <si>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</si>
  <si>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</si>
  <si>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</si>
  <si>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</si>
  <si>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</si>
  <si>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</si>
  <si>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</si>
  <si>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</si>
  <si>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</si>
  <si>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</si>
  <si>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</si>
  <si>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</si>
  <si>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</si>
  <si>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</si>
  <si>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</si>
  <si>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</si>
  <si>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</si>
  <si>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</si>
  <si>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</si>
  <si>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</si>
  <si>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</si>
  <si>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</si>
  <si>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</si>
  <si>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</si>
  <si>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</si>
  <si>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</si>
  <si>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</si>
  <si>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</si>
  <si>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</si>
  <si>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</si>
  <si>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</si>
  <si>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</si>
  <si>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</si>
  <si>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</si>
  <si>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</si>
  <si>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</si>
  <si>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</si>
  <si>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</si>
  <si>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</si>
  <si>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</si>
  <si>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</si>
  <si>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</si>
  <si>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</si>
  <si>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</si>
  <si>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</si>
  <si>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</si>
  <si>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</si>
  <si>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</si>
  <si>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</si>
  <si>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</si>
  <si>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</si>
  <si>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</si>
  <si>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</si>
  <si>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</si>
  <si>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</si>
  <si>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</si>
  <si>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</si>
  <si>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</si>
  <si>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</si>
  <si>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</si>
  <si>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</si>
  <si>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</si>
  <si>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</si>
  <si>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</si>
  <si>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</si>
  <si>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</si>
  <si>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</si>
  <si>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</si>
  <si>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</si>
  <si>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</si>
  <si>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</si>
  <si>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</si>
  <si>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</si>
  <si>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</si>
  <si>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</si>
  <si>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</si>
  <si>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</si>
  <si>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</si>
  <si>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</si>
  <si>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</si>
  <si>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</si>
  <si>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</si>
  <si>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</si>
  <si>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</si>
  <si>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</si>
  <si>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202922-1</t>
  </si>
  <si>
    <t>SAMSONITE BRASI</t>
  </si>
  <si>
    <t>MARLON MARQUES</t>
  </si>
  <si>
    <t>PERSONALIZADO_L</t>
  </si>
  <si>
    <t>CTE NORMAL</t>
  </si>
  <si>
    <t>RIO DE JANEIRO - RJ</t>
  </si>
  <si>
    <t>NILTO SIQUEIRA NETO</t>
  </si>
  <si>
    <t>INDEFINIDO</t>
  </si>
  <si>
    <t>Navegantes-Sc X Rio de Janeiro-Rjcarreta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</si>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</sst>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[Analise_NILTO SIQUEIRA_10092026.xlsx]Resumo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SAMSONITE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14684.38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SAMSONITE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2076.1495999999993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[Analise_NILTO SIQUEIRA_10092026.xlsx]Resumo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SAMSONITE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14684.38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SAMSONITE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2076.1495999999993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0.41729907407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0392" count="8000">
        <n v="30039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0T00:00:00" maxDate="2026-09-11T00:00:00"/>
    </cacheField>
    <cacheField name="DATA" numFmtId="14">
      <sharedItems containsNonDate="0" containsDate="1" containsString="0" containsBlank="1" minDate="2026-09-10T00:00:00" maxDate="2026-09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AMSONITE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42709.32" maxValue="342709.32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684.38" maxValue="14684.38"/>
    </cacheField>
    <cacheField name="VOLUMES" numFmtId="0">
      <sharedItems containsString="0" containsBlank="1" containsNumber="1" containsInteger="1" minValue="758" maxValue="758"/>
    </cacheField>
    <cacheField name="PESO" numFmtId="0">
      <sharedItems containsString="0" containsBlank="1" containsNumber="1" minValue="3935.15" maxValue="3935.1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4750" maxValue="475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4750" maxValue="475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762.13" maxValue="1762.1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71.35" maxValue="171.3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1433.48" maxValue="11433.48"/>
    </cacheField>
    <cacheField name="RECEITA" numFmtId="0">
      <sharedItems containsString="0" containsBlank="1" containsNumber="1" minValue="3250.9" maxValue="3250.9"/>
    </cacheField>
    <cacheField name="IMPOSTO" numFmtId="0">
      <sharedItems containsString="0" containsBlank="1" containsNumber="1" minValue="3817.94" maxValue="3817.94"/>
    </cacheField>
    <cacheField name="RESULTADO" numFmtId="0">
      <sharedItems containsString="0" containsBlank="1" containsNumber="1" minValue="-567.04" maxValue="-567.0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567.04" maxValue="-567.04"/>
    </cacheField>
    <cacheField name="MARGEM" numFmtId="10">
      <sharedItems containsString="0" containsBlank="1" containsNumber="1" minValue="-3.8599999999999995E-2" maxValue="-3.8599999999999995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0T00:00:00"/>
    <d v="2026-09-10T00:00:00"/>
    <m/>
    <s v="202922-1"/>
    <x v="0"/>
    <s v="MARLON MARQUES"/>
    <n v="342709.32"/>
    <x v="0"/>
    <s v="CTE NORMAL"/>
    <s v="RIO DE JANEIRO - RJ"/>
    <n v="14684.38"/>
    <n v="758"/>
    <n v="3935.15"/>
    <s v="NILTO SIQUEIRA NETO"/>
    <n v="4750"/>
    <s v="NILTO SIQUEIRA NETO"/>
    <n v="4750"/>
    <s v="INDEFINIDO"/>
    <n v="0"/>
    <n v="1762.13"/>
    <n v="0"/>
    <n v="0"/>
    <n v="171.35"/>
    <n v="0"/>
    <n v="11433.48"/>
    <n v="3250.9"/>
    <n v="3817.94"/>
    <n v="-567.04"/>
    <n v="0"/>
    <n v="-567.04"/>
    <n v="-3.8599999999999995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m="1" x="19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3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7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5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4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6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8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67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m="1" x="19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3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7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5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4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6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8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6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19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3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7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5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4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6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8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300392</v>
      </c>
      <c r="B2" s="12" t="s">
        <v>579</v>
      </c>
      <c r="C2" s="14">
        <v>46275</v>
      </c>
      <c r="D2" s="14">
        <v>46275</v>
      </c>
      <c r="E2" s="12"/>
      <c r="F2" s="15" t="s">
        <v>580</v>
      </c>
      <c r="G2" s="15" t="s">
        <v>581</v>
      </c>
      <c r="H2" s="15" t="s">
        <v>582</v>
      </c>
      <c r="I2" s="16">
        <v>342709.32</v>
      </c>
      <c r="J2" s="15" t="s">
        <v>583</v>
      </c>
      <c r="K2" s="15" t="s">
        <v>584</v>
      </c>
      <c r="L2" s="15" t="s">
        <v>585</v>
      </c>
      <c r="M2" s="15">
        <v>14684.38</v>
      </c>
      <c r="N2" s="15">
        <v>758</v>
      </c>
      <c r="O2" s="16">
        <v>3935.15</v>
      </c>
      <c r="P2" s="15" t="s">
        <v>586</v>
      </c>
      <c r="Q2" s="15">
        <v>4750</v>
      </c>
      <c r="R2" s="15" t="s">
        <v>586</v>
      </c>
      <c r="S2" s="15">
        <v>4750</v>
      </c>
      <c r="T2" s="15" t="s">
        <v>587</v>
      </c>
      <c r="U2" s="15">
        <v>0</v>
      </c>
      <c r="V2" s="15">
        <v>1762.13</v>
      </c>
      <c r="W2" s="15">
        <v>0</v>
      </c>
      <c r="X2" s="15">
        <v>0</v>
      </c>
      <c r="Y2" s="15">
        <v>171.35</v>
      </c>
      <c r="Z2" s="15">
        <v>0</v>
      </c>
      <c r="AA2" s="15">
        <v>11433.48</v>
      </c>
      <c r="AB2" s="15">
        <v>3250.9</v>
      </c>
      <c r="AC2" s="15">
        <v>3817.94</v>
      </c>
      <c r="AD2" s="15">
        <v>-567.04</v>
      </c>
      <c r="AE2" s="15">
        <v>0</v>
      </c>
      <c r="AF2" s="15">
        <v>-567.04</v>
      </c>
      <c r="AG2" s="17">
        <v>-3.8599999999999995E-2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14684.38</v>
      </c>
      <c r="F3" s="93"/>
      <c r="G3" s="94"/>
      <c r="H3" s="95">
        <f>'Resumo Detalhado'!C2</f>
        <v>3935.15</v>
      </c>
      <c r="I3" s="96"/>
      <c r="J3" s="97">
        <f>E3/H3</f>
        <v>3.73159345895328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0.17887045454545455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14250</v>
      </c>
      <c r="F7" s="109"/>
      <c r="G7" s="109"/>
      <c r="H7" s="109"/>
      <c r="I7" s="109"/>
      <c r="J7" s="109">
        <f>E7/H3</f>
        <v>3.621208848455586</v>
      </c>
      <c r="K7" s="109"/>
      <c r="L7" s="109"/>
      <c r="M7" s="110">
        <f>E7/E3</f>
        <v>0.97041890771009742</v>
      </c>
      <c r="N7" s="110"/>
      <c r="O7" s="110"/>
      <c r="P7" s="109">
        <f>E11+K11+Q11+E15+K15+Q15+E19+H19+K19</f>
        <v>19707.731199999998</v>
      </c>
      <c r="Q7" s="109"/>
      <c r="R7" s="109"/>
      <c r="S7" s="109">
        <f>P7/H3</f>
        <v>5.0081270599595946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9500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9500</v>
      </c>
      <c r="L11" s="94"/>
      <c r="M11" s="38"/>
      <c r="N11" s="92">
        <f>K11/H3</f>
        <v>2.4141392323037243</v>
      </c>
      <c r="O11" s="94"/>
      <c r="P11" s="38"/>
      <c r="Q11" s="92">
        <f>'Resumo Detalhado'!D2</f>
        <v>4750</v>
      </c>
      <c r="R11" s="94"/>
      <c r="S11" s="38"/>
      <c r="T11" s="92">
        <f>Q11/H3</f>
        <v>1.2070696161518621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1762.13</v>
      </c>
      <c r="F15" s="113"/>
      <c r="G15" s="113"/>
      <c r="H15" s="113"/>
      <c r="I15" s="114"/>
      <c r="J15" s="38"/>
      <c r="K15" s="116">
        <f>'Resumo Detalhado'!K2+'Resumo Detalhado'!L2</f>
        <v>2349.5007999999998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171.35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1174.7503999999999</v>
      </c>
      <c r="L19" s="108"/>
      <c r="M19" s="38"/>
      <c r="N19" s="112" t="s">
        <v>588</v>
      </c>
      <c r="O19" s="113"/>
      <c r="P19" s="113"/>
      <c r="Q19" s="113"/>
      <c r="R19" s="119"/>
      <c r="S19" s="112">
        <v>9500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2076.1495999999993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0.14138490014559685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12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14684.38</v>
      </c>
      <c r="C2" s="29">
        <f>SUM(C6:C5000)</f>
        <v>3935.15</v>
      </c>
      <c r="D2" s="29">
        <f>SUM(D6:D5000)</f>
        <v>4750</v>
      </c>
      <c r="E2" s="29">
        <f>SUM(E6:E5000)</f>
        <v>4750</v>
      </c>
      <c r="F2" s="29">
        <f>SUM(F6:F5000)</f>
        <v>0</v>
      </c>
      <c r="G2" s="29"/>
      <c r="H2" s="29">
        <f t="shared" ref="H2:P2" si="0">SUM(H6:H5000)</f>
        <v>1762.13</v>
      </c>
      <c r="I2" s="29">
        <f t="shared" si="0"/>
        <v>171.35</v>
      </c>
      <c r="J2" s="29">
        <f t="shared" si="0"/>
        <v>0</v>
      </c>
      <c r="K2" s="29">
        <f t="shared" si="0"/>
        <v>1174.7503999999999</v>
      </c>
      <c r="L2" s="29">
        <f t="shared" si="0"/>
        <v>1174.7503999999999</v>
      </c>
      <c r="M2" s="29">
        <f t="shared" si="0"/>
        <v>0</v>
      </c>
      <c r="N2" s="29">
        <f t="shared" si="0"/>
        <v>2076.1495999999993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300392</v>
      </c>
      <c r="B6" s="140">
        <v>14684.38</v>
      </c>
      <c r="C6" s="141">
        <v>3935.15</v>
      </c>
      <c r="D6" s="140">
        <v>4750</v>
      </c>
      <c r="E6" s="140">
        <v>4750</v>
      </c>
      <c r="F6" s="140">
        <v>0</v>
      </c>
      <c r="G6" s="142">
        <v>0.64694593847339832</v>
      </c>
      <c r="H6" s="140">
        <v>1762.13</v>
      </c>
      <c r="I6" s="140">
        <v>171.35</v>
      </c>
      <c r="J6" s="140">
        <v>0</v>
      </c>
      <c r="K6" s="140">
        <v>1174.7503999999999</v>
      </c>
      <c r="L6" s="140">
        <v>1174.7503999999999</v>
      </c>
      <c r="M6" s="140">
        <v>0</v>
      </c>
      <c r="N6" s="140">
        <v>2076.1495999999993</v>
      </c>
      <c r="O6" s="142">
        <v>0.14138490014559685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14684.38</v>
      </c>
      <c r="C5" s="10">
        <v>2076.1495999999993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3" t="s">
        <v>588</v>
      </c>
      <c r="D368" s="87">
        <v>9500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2026-09-15T13:01:06Z</dcterms:modified>
  <cp:category/>
  <cp:contentStatus/>
</cp:coreProperties>
</file>