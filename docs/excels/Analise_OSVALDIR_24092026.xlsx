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FA1CB364-E24C-4899-87FC-E626D57BA28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<sst xmlns="http://schemas.openxmlformats.org/spreadsheetml/2006/main" count="900" uniqueCount="624">
  <si>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</si>
  <si>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</si>
  <si>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</si>
  <si>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</si>
  <si>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</si>
  <si>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</si>
  <si>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</si>
  <si>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</si>
  <si>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</si>
  <si>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</si>
  <si>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</si>
  <si>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</si>
  <si>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</si>
  <si>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</si>
  <si>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</si>
  <si>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</si>
  <si>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</si>
  <si>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</si>
  <si>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</si>
  <si>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</si>
  <si>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</si>
  <si>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</si>
  <si>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</si>
  <si>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</si>
  <si>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</si>
  <si>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</si>
  <si>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</si>
  <si>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</si>
  <si>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</si>
  <si>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</si>
  <si>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</si>
  <si>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</si>
  <si>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</si>
  <si>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</si>
  <si>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</si>
  <si>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</si>
  <si>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</si>
  <si>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</si>
  <si>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</si>
  <si>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</si>
  <si>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</si>
  <si>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</si>
  <si>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</si>
  <si>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</si>
  <si>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</si>
  <si>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</si>
  <si>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</si>
  <si>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</si>
  <si>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</si>
  <si>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</si>
  <si>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</si>
  <si>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</si>
  <si>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</si>
  <si>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</si>
  <si>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</si>
  <si>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</si>
  <si>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</si>
  <si>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</si>
  <si>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</si>
  <si>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</si>
  <si>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</si>
  <si>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</si>
  <si>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</si>
  <si>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</si>
  <si>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</si>
  <si>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</si>
  <si>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</si>
  <si>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</si>
  <si>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</si>
  <si>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</si>
  <si>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</si>
  <si>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</si>
  <si>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</si>
  <si>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</si>
  <si>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</si>
  <si>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</si>
  <si>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</si>
  <si>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</si>
  <si>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</si>
  <si>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</si>
  <si>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</si>
  <si>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</si>
  <si>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</si>
  <si>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</si>
  <si>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</si>
  <si>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</si>
  <si>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</si>
  <si>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</si>
  <si>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</si>
  <si>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</si>
  <si>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</si>
  <si>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</si>
  <si>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</si>
  <si>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</si>
  <si>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</si>
  <si>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</si>
  <si>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</si>
  <si>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</si>
  <si>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</si>
  <si>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</si>
  <si>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</si>
  <si>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</si>
  <si>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</si>
  <si>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</si>
  <si>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</si>
  <si>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</si>
  <si>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</si>
  <si>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</si>
  <si>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</si>
  <si>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</si>
  <si>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</si>
  <si>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</si>
  <si>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</si>
  <si>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</si>
  <si>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</si>
  <si>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</si>
  <si>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</si>
  <si>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</si>
  <si>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</si>
  <si>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</si>
  <si>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</si>
  <si>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</si>
  <si>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</si>
  <si>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</si>
  <si>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</si>
  <si>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</si>
  <si>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</si>
  <si>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</si>
  <si>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</si>
  <si>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</si>
  <si>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</si>
  <si>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</si>
  <si>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</si>
  <si>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</si>
  <si>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</si>
  <si>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</si>
  <si>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</si>
  <si>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</si>
  <si>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</si>
  <si>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</si>
  <si>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</si>
  <si>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</si>
  <si>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</si>
  <si>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</si>
  <si>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</si>
  <si>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</si>
  <si>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</si>
  <si>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</si>
  <si>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</si>
  <si>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</si>
  <si>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</si>
  <si>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</si>
  <si>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</si>
  <si>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</si>
  <si>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</si>
  <si>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</si>
  <si>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</si>
  <si>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</si>
  <si>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</si>
  <si>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</si>
  <si>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</si>
  <si>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</si>
  <si>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</si>
  <si>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</si>
  <si>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</si>
  <si>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</si>
  <si>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</si>
  <si>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</si>
  <si>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</si>
  <si>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</si>
  <si>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</si>
  <si>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</si>
  <si>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</si>
  <si>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</si>
  <si>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</si>
  <si>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</si>
  <si>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</si>
  <si>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</si>
  <si>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</si>
  <si>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</si>
  <si>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</si>
  <si>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</si>
  <si>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</si>
  <si>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</si>
  <si>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</si>
  <si>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</si>
  <si>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</si>
  <si>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</si>
  <si>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</si>
  <si>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</si>
  <si>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</si>
  <si>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</si>
  <si>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</si>
  <si>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</si>
  <si>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</si>
  <si>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</si>
  <si>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</si>
  <si>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</si>
  <si>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</si>
  <si>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</si>
  <si>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</si>
  <si>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</si>
  <si>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</si>
  <si>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</si>
  <si>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</si>
  <si>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</si>
  <si>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</si>
  <si>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</si>
  <si>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</si>
  <si>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</si>
  <si>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</si>
  <si>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</si>
  <si>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</si>
  <si>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</si>
  <si>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</si>
  <si>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</si>
  <si>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</si>
  <si>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</si>
  <si>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</si>
  <si>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</si>
  <si>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</si>
  <si>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</si>
  <si>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</si>
  <si>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</si>
  <si>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</si>
  <si>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</si>
  <si>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</si>
  <si>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</si>
  <si>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</si>
  <si>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</si>
  <si>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</si>
  <si>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</si>
  <si>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</si>
  <si>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</si>
  <si>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</si>
  <si>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</si>
  <si>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</si>
  <si>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</si>
  <si>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</si>
  <si>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</si>
  <si>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</si>
  <si>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</si>
  <si>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</si>
  <si>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</si>
  <si>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</si>
  <si>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</si>
  <si>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</si>
  <si>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</si>
  <si>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</si>
  <si>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</si>
  <si>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</si>
  <si>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</si>
  <si>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</si>
  <si>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</si>
  <si>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</si>
  <si>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</si>
  <si>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</si>
  <si>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</si>
  <si>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</si>
  <si>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</si>
  <si>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</si>
  <si>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</si>
  <si>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</si>
  <si>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</si>
  <si>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</si>
  <si>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</si>
  <si>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</si>
  <si>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</si>
  <si>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</si>
  <si>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</si>
  <si>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</si>
  <si>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</si>
  <si>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</si>
  <si>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</si>
  <si>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</si>
  <si>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</si>
  <si>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</si>
  <si>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</si>
  <si>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</si>
  <si>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</si>
  <si>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</si>
  <si>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</si>
  <si>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</si>
  <si>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</si>
  <si>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</si>
  <si>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</si>
  <si>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</si>
  <si>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</si>
  <si>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</si>
  <si>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</si>
  <si>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</si>
  <si>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</si>
  <si>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</si>
  <si>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</si>
  <si>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</si>
  <si>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</si>
  <si>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</si>
  <si>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</si>
  <si>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</si>
  <si>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</si>
  <si>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</si>
  <si>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</si>
  <si>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</si>
  <si>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</si>
  <si>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</si>
  <si>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</si>
  <si>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</si>
  <si>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</si>
  <si>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</si>
  <si>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</si>
  <si>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</si>
  <si>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</si>
  <si>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</si>
  <si>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</si>
  <si>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</si>
  <si>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</si>
  <si>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</si>
  <si>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</si>
  <si>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</si>
  <si>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</si>
  <si>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</si>
  <si>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</si>
  <si>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</si>
  <si>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</si>
  <si>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</si>
  <si>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</si>
  <si>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</si>
  <si>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</si>
  <si>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</si>
  <si>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</si>
  <si>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</si>
  <si>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</si>
  <si>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</si>
  <si>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</si>
  <si>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</si>
  <si>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</si>
  <si>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</si>
  <si>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</si>
  <si>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</si>
  <si>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</si>
  <si>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</si>
  <si>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</si>
  <si>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</si>
  <si>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</si>
  <si>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</si>
  <si>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</si>
  <si>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</si>
  <si>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</si>
  <si>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</si>
  <si>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</si>
  <si>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</si>
  <si>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</si>
  <si>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</si>
  <si>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</si>
  <si>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</si>
  <si>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</si>
  <si>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</si>
  <si>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</si>
  <si>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</si>
  <si>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</si>
  <si>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</si>
  <si>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</si>
  <si>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</si>
  <si>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</si>
  <si>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</si>
  <si>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</si>
  <si>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</si>
  <si>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</si>
  <si>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</si>
  <si>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</si>
  <si>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</si>
  <si>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</si>
  <si>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</si>
  <si>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</si>
  <si>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</si>
  <si>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</si>
  <si>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</si>
  <si>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</si>
  <si>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</si>
  <si>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</si>
  <si>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</si>
  <si>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</si>
  <si>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</si>
  <si>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</si>
  <si>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</si>
  <si>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</si>
  <si>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</si>
  <si>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</si>
  <si>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</si>
  <si>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</si>
  <si>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</si>
  <si>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</si>
  <si>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</si>
  <si>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</si>
  <si>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</si>
  <si>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</si>
  <si>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</si>
  <si>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</si>
  <si>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</si>
  <si>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</si>
  <si>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</si>
  <si>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</si>
  <si>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</si>
  <si>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</si>
  <si>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</si>
  <si>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</si>
  <si>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</si>
  <si>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</si>
  <si>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</si>
  <si>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</si>
  <si>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</si>
  <si>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</si>
  <si>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</si>
  <si>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</si>
  <si>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</si>
  <si>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</si>
  <si>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</si>
  <si>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</si>
  <si>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</si>
  <si>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</si>
  <si>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</si>
  <si>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</si>
  <si>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</si>
  <si>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</si>
  <si>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</si>
  <si>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</si>
  <si>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</si>
  <si>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</si>
  <si>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</si>
  <si>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</si>
  <si>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</si>
  <si>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</si>
  <si>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</si>
  <si>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</si>
  <si>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</si>
  <si>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</si>
  <si>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</si>
  <si>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</si>
  <si>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</si>
  <si>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</si>
  <si>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</si>
  <si>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</si>
  <si>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</si>
  <si>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</si>
  <si>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</si>
  <si>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</si>
  <si>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</si>
  <si>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</si>
  <si>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</si>
  <si>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</si>
  <si>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</si>
  <si>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</si>
  <si>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</si>
  <si>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</si>
  <si>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</si>
  <si>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</si>
  <si>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</si>
  <si>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</si>
  <si>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</si>
  <si>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</si>
  <si>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</si>
  <si>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</si>
  <si>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</si>
  <si>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</si>
  <si>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</si>
  <si>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</si>
  <si>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</si>
  <si>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</si>
  <si>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</si>
  <si>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</si>
  <si>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</si>
  <si>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</si>
  <si>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</si>
  <si>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</si>
  <si>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</si>
  <si>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</si>
  <si>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</si>
  <si>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</si>
  <si>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</si>
  <si>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</si>
  <si>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</si>
  <si>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</si>
  <si>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</si>
  <si>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</si>
  <si>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</si>
  <si>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</si>
  <si>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</si>
  <si>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</si>
  <si>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</si>
  <si>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</si>
  <si>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</si>
  <si>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</si>
  <si>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</si>
  <si>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</si>
  <si>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</si>
  <si>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</si>
  <si>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</si>
  <si>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</si>
  <si>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</si>
  <si>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</si>
  <si>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</si>
  <si>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</si>
  <si>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</si>
  <si>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</si>
  <si>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</si>
  <si>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</si>
  <si>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</si>
  <si>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</si>
  <si>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</si>
  <si>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</si>
  <si>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</si>
  <si>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</si>
  <si>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</si>
  <si>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</si>
  <si>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</si>
  <si>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</si>
  <si>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</si>
  <si>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</si>
  <si>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</si>
  <si>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</si>
  <si>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</si>
  <si>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</si>
  <si>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</si>
  <si>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</si>
  <si>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</si>
  <si>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</si>
  <si>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</si>
  <si>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</si>
  <si>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</si>
  <si>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</si>
  <si>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</si>
  <si>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</si>
  <si>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</si>
  <si>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</si>
  <si>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</si>
  <si>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</si>
  <si>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</si>
  <si>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</si>
  <si>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</si>
  <si>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</si>
  <si>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</si>
  <si>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</si>
  <si>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</si>
  <si>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</si>
  <si>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</si>
  <si>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</si>
  <si>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</si>
  <si>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</si>
  <si>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</si>
  <si>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</si>
  <si>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</si>
  <si>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</si>
  <si>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</si>
  <si>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</si>
  <si>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</si>
  <si>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</si>
  <si>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</si>
  <si>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</si>
  <si>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</si>
  <si>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</si>
  <si>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</si>
  <si>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</si>
  <si>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</si>
  <si>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</si>
  <si>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</si>
  <si>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</si>
  <si>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</si>
  <si>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</si>
  <si>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</si>
  <si>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</si>
  <si>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</si>
  <si>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</si>
  <si>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</si>
  <si>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</si>
  <si>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</si>
  <si>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</si>
  <si>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</si>
  <si>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</si>
  <si>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</si>
  <si>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</si>
  <si>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</si>
  <si>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</si>
  <si>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</si>
  <si>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</si>
  <si>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</si>
  <si>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</si>
  <si>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</si>
  <si>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</si>
  <si>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</si>
  <si>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</si>
  <si>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</si>
  <si>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</si>
  <si>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</si>
  <si>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</si>
  <si>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</si>
  <si>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</si>
  <si>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</si>
  <si>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</si>
  <si>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</si>
  <si>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</si>
  <si>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</si>
  <si>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</si>
  <si>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</si>
  <si>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</si>
  <si>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</si>
  <si>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</si>
  <si>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MATRIZ</t>
  </si>
  <si>
    <t>202872-1</t>
  </si>
  <si>
    <t>SAMSONITE BRASI</t>
  </si>
  <si>
    <t>MARLON MARQUES</t>
  </si>
  <si>
    <t>PERSONALIZADO_L</t>
  </si>
  <si>
    <t>CTE NORMAL</t>
  </si>
  <si>
    <t>BARUERI - SP</t>
  </si>
  <si>
    <t>VANDERLANDE SILVA DE SOUS</t>
  </si>
  <si>
    <t>ALEMAOZINHO EXPRESS TRANS</t>
  </si>
  <si>
    <t>MIRANDA &amp;AMP; DEJALMA TRANSPO</t>
  </si>
  <si>
    <t>203761-1</t>
  </si>
  <si>
    <t>BATIKI COM IMPO</t>
  </si>
  <si>
    <t>TIAGO SANTANA</t>
  </si>
  <si>
    <t>ECONOMICO_250</t>
  </si>
  <si>
    <t>GUARULHOS - SP</t>
  </si>
  <si>
    <t>ITAUAN GONZAGA DA SILVA</t>
  </si>
  <si>
    <t>JOSE EMILTON DA COSTA - O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</si>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</sst>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5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[Analise_OSVALDIR_24092026.xlsx]Resumo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144.72999999999999</c:v>
                </c:pt>
                <c:pt idx="1">
                  <c:v>6900.01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56.611599999999989</c:v>
                </c:pt>
                <c:pt idx="1">
                  <c:v>372.31920000000036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[Analise_OSVALDIR_24092026.xlsx]Resumo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144.72999999999999</c:v>
                </c:pt>
                <c:pt idx="1">
                  <c:v>6900.01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BATIKI COM IMPO</c:v>
                </c:pt>
                <c:pt idx="1">
                  <c:v>SAMSONITE BRASI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56.611599999999989</c:v>
                </c:pt>
                <c:pt idx="1">
                  <c:v>372.31920000000036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535532405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302456" count="8000">
        <n v="300240"/>
        <n v="302456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09T00:00:00" maxDate="2026-09-25T00:00:00"/>
    </cacheField>
    <cacheField name="DATA" numFmtId="14">
      <sharedItems containsNonDate="0" containsDate="1" containsString="0" containsBlank="1" minDate="2026-09-09T00:00:00" maxDate="2026-09-25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SAMSONITE BRASI"/>
        <s v="BATIKI COM IMPO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216.26" maxValue="629061.43000000005"/>
    </cacheField>
    <cacheField name="SERVICO" numFmtId="0">
      <sharedItems containsBlank="1" count="27">
        <s v="PERSONALIZADO_L"/>
        <s v="ECONOMICO_250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44.72999999999999" maxValue="6900.01"/>
    </cacheField>
    <cacheField name="VOLUMES" numFmtId="0">
      <sharedItems containsString="0" containsBlank="1" containsNumber="1" containsInteger="1" minValue="9" maxValue="258"/>
    </cacheField>
    <cacheField name="PESO" numFmtId="0">
      <sharedItems containsString="0" containsBlank="1" containsNumber="1" containsInteger="1" minValue="45" maxValue="2301"/>
    </cacheField>
    <cacheField name="RESP. COLETA" numFmtId="0">
      <sharedItems containsBlank="1"/>
    </cacheField>
    <cacheField name="CUSTO COLETA" numFmtId="0">
      <sharedItems containsString="0" containsBlank="1" containsNumber="1" minValue="12.91" maxValue="328.41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40" maxValue="410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7.37" maxValue="82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61" maxValue="314.52999999999997"/>
    </cacheField>
    <cacheField name="OUTROS" numFmtId="0">
      <sharedItems containsString="0" containsBlank="1" containsNumber="1" minValue="0.83" maxValue="404.75"/>
    </cacheField>
    <cacheField name="C.TOTAL" numFmtId="0">
      <sharedItems containsString="0" containsBlank="1" containsNumber="1" minValue="95.74" maxValue="7152.67"/>
    </cacheField>
    <cacheField name="RECEITA" numFmtId="0">
      <sharedItems containsString="0" containsBlank="1" containsNumber="1" minValue="-252.66" maxValue="48.99"/>
    </cacheField>
    <cacheField name="IMPOSTO" numFmtId="0">
      <sharedItems containsString="0" containsBlank="1" containsNumber="1" minValue="37.630000000000003" maxValue="1794"/>
    </cacheField>
    <cacheField name="RESULTADO" numFmtId="0">
      <sharedItems containsString="0" containsBlank="1" containsNumber="1" minValue="-2046.66" maxValue="11.36"/>
    </cacheField>
    <cacheField name="COMIS" numFmtId="0">
      <sharedItems containsString="0" containsBlank="1" containsNumber="1" minValue="0" maxValue="3.82"/>
    </cacheField>
    <cacheField name="LUCRO LIQ" numFmtId="0">
      <sharedItems containsString="0" containsBlank="1" containsNumber="1" minValue="-2046.66" maxValue="7.54"/>
    </cacheField>
    <cacheField name="MARGEM" numFmtId="10">
      <sharedItems containsString="0" containsBlank="1" containsNumber="1" minValue="-0.29659999999999997" maxValue="5.2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09T00:00:00"/>
    <d v="2026-09-09T00:00:00"/>
    <m/>
    <s v="202872-1"/>
    <x v="0"/>
    <s v="MARLON MARQUES"/>
    <n v="629061.43000000005"/>
    <x v="0"/>
    <s v="CTE NORMAL"/>
    <s v="BARUERI - SP"/>
    <n v="6900.01"/>
    <n v="258"/>
    <n v="2301"/>
    <s v="VANDERLANDE SILVA DE SOUS"/>
    <n v="328.41"/>
    <s v="ALEMAOZINHO EXPRESS TRANS"/>
    <n v="4100"/>
    <s v="MIRANDA &amp;AMP; DEJALMA TRANSPO"/>
    <n v="0"/>
    <n v="828"/>
    <n v="0"/>
    <n v="0"/>
    <n v="314.52999999999997"/>
    <n v="404.75"/>
    <n v="7152.67"/>
    <n v="-252.66"/>
    <n v="1794"/>
    <n v="-2046.66"/>
    <n v="0"/>
    <n v="-2046.66"/>
    <n v="-0.29659999999999997"/>
    <m/>
  </r>
  <r>
    <x v="1"/>
    <s v="MATRIZ"/>
    <d v="2026-09-24T00:00:00"/>
    <d v="2026-09-24T00:00:00"/>
    <m/>
    <s v="203761-1"/>
    <x v="1"/>
    <s v="TIAGO SANTANA"/>
    <n v="3216.26"/>
    <x v="1"/>
    <s v="CTE NORMAL"/>
    <s v="GUARULHOS - SP"/>
    <n v="144.72999999999999"/>
    <n v="9"/>
    <n v="45"/>
    <s v="ITAUAN GONZAGA DA SILVA"/>
    <n v="12.91"/>
    <s v="JOSE EMILTON DA COSTA - O"/>
    <n v="40"/>
    <s v="MIRANDA &amp;AMP; DEJALMA TRANSPO"/>
    <n v="0"/>
    <n v="17.37"/>
    <n v="0"/>
    <n v="0"/>
    <n v="1.61"/>
    <n v="0.83"/>
    <n v="95.74"/>
    <n v="48.99"/>
    <n v="37.630000000000003"/>
    <n v="11.36"/>
    <n v="3.82"/>
    <n v="7.54"/>
    <n v="5.21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3"/>
        <item m="1" x="602"/>
        <item sd="0" m="1" x="450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6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8"/>
        <item m="1" x="153"/>
        <item m="1" x="15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7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x="0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92"/>
    </i>
    <i r="1">
      <x v="7999"/>
    </i>
    <i>
      <x v="671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2"/>
        <item sd="0" m="1" x="712"/>
        <item m="1" x="296"/>
        <item sd="0" m="1" x="113"/>
        <item m="1" x="271"/>
        <item m="1" x="590"/>
        <item m="1" x="324"/>
        <item sd="0" m="1" x="675"/>
        <item sd="0" m="1" x="502"/>
        <item m="1" x="24"/>
        <item m="1" x="581"/>
        <item m="1" x="852"/>
        <item m="1" x="20"/>
        <item m="1" x="757"/>
        <item m="1" x="112"/>
        <item m="1" x="544"/>
        <item m="1" x="828"/>
        <item m="1" x="270"/>
        <item m="1" x="479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9"/>
        <item m="1" x="44"/>
        <item sd="0" m="1" x="730"/>
        <item m="1" x="689"/>
        <item m="1" x="216"/>
        <item sd="0" m="1" x="476"/>
        <item m="1" x="633"/>
        <item m="1" x="446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1"/>
        <item m="1" x="506"/>
        <item sd="0" m="1" x="553"/>
        <item m="1" x="477"/>
        <item sd="0" m="1" x="244"/>
        <item m="1" x="848"/>
        <item m="1" x="832"/>
        <item m="1" x="742"/>
        <item m="1" x="240"/>
        <item m="1" x="239"/>
        <item m="1" x="462"/>
        <item m="1" x="286"/>
        <item m="1" x="549"/>
        <item m="1" x="845"/>
        <item m="1" x="445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3"/>
        <item m="1" x="408"/>
        <item x="1"/>
        <item m="1" x="318"/>
        <item m="1" x="591"/>
        <item m="1" x="595"/>
        <item m="1" x="732"/>
        <item m="1" x="785"/>
        <item m="1" x="183"/>
        <item m="1" x="835"/>
        <item m="1" x="711"/>
        <item m="1" x="378"/>
        <item m="1" x="207"/>
        <item sd="0" m="1" x="521"/>
        <item m="1" x="463"/>
        <item m="1" x="138"/>
        <item m="1" x="661"/>
        <item m="1" x="372"/>
        <item m="1" x="154"/>
        <item m="1" x="251"/>
        <item m="1" x="628"/>
        <item m="1" x="736"/>
        <item m="1" x="421"/>
        <item m="1" x="80"/>
        <item m="1" x="696"/>
        <item m="1" x="284"/>
        <item m="1" x="846"/>
        <item m="1" x="248"/>
        <item sd="0" m="1" x="763"/>
        <item m="1" x="425"/>
        <item m="1" x="436"/>
        <item m="1" x="167"/>
        <item m="1" x="542"/>
        <item m="1" x="806"/>
        <item sd="0" m="1" x="620"/>
        <item m="1" x="5"/>
        <item m="1" x="770"/>
        <item m="1" x="14"/>
        <item m="1" x="739"/>
        <item m="1" x="393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3"/>
        <item m="1" x="52"/>
        <item m="1" x="649"/>
        <item m="1" x="470"/>
        <item m="1" x="249"/>
        <item m="1" x="328"/>
        <item m="1" x="437"/>
        <item m="1" x="352"/>
        <item sd="0" m="1" x="571"/>
        <item m="1" x="567"/>
        <item sd="0" m="1" x="733"/>
        <item m="1" x="755"/>
        <item m="1" x="120"/>
        <item m="1" x="390"/>
        <item sd="0" m="1" x="88"/>
        <item m="1" x="382"/>
        <item m="1" x="814"/>
        <item m="1" x="396"/>
        <item m="1" x="258"/>
        <item m="1" x="377"/>
        <item m="1" x="849"/>
        <item sd="0" m="1" x="647"/>
        <item m="1" x="853"/>
        <item sd="0" m="1" x="829"/>
        <item m="1" x="106"/>
        <item m="1" x="401"/>
        <item m="1" x="114"/>
        <item sd="0" m="1" x="652"/>
        <item m="1" x="656"/>
        <item m="1" x="795"/>
        <item sd="0" m="1" x="695"/>
        <item m="1" x="455"/>
        <item m="1" x="381"/>
        <item m="1" x="448"/>
        <item m="1" x="159"/>
        <item m="1" x="277"/>
        <item sd="0" m="1" x="203"/>
        <item m="1" x="494"/>
        <item m="1" x="289"/>
        <item m="1" x="526"/>
        <item m="1" x="257"/>
        <item m="1" x="406"/>
        <item m="1" x="840"/>
        <item m="1" x="457"/>
        <item sd="0" m="1" x="478"/>
        <item m="1" x="750"/>
        <item sd="0" m="1" x="638"/>
        <item m="1" x="53"/>
        <item m="1" x="793"/>
        <item m="1" x="716"/>
        <item m="1" x="417"/>
        <item m="1" x="734"/>
        <item m="1" x="813"/>
        <item m="1" x="561"/>
        <item m="1" x="558"/>
        <item m="1" x="429"/>
        <item m="1" x="714"/>
        <item m="1" x="505"/>
        <item m="1" x="173"/>
        <item m="1" x="627"/>
        <item m="1" x="375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10"/>
        <item m="1" x="117"/>
        <item sd="0" m="1" x="536"/>
        <item m="1" x="83"/>
        <item m="1" x="602"/>
        <item sd="0" m="1" x="450"/>
        <item m="1" x="349"/>
        <item m="1" x="78"/>
        <item m="1" x="582"/>
        <item m="1" x="18"/>
        <item m="1" x="160"/>
        <item m="1" x="773"/>
        <item m="1" x="579"/>
        <item m="1" x="517"/>
        <item m="1" x="797"/>
        <item m="1" x="165"/>
        <item sd="0" m="1" x="826"/>
        <item m="1" x="110"/>
        <item m="1" x="422"/>
        <item m="1" x="427"/>
        <item sd="0" m="1" x="10"/>
        <item m="1" x="42"/>
        <item m="1" x="16"/>
        <item m="1" x="622"/>
        <item m="1" x="556"/>
        <item m="1" x="626"/>
        <item m="1" x="345"/>
        <item m="1" x="433"/>
        <item m="1" x="708"/>
        <item m="1" x="210"/>
        <item m="1" x="439"/>
        <item sd="0" m="1" x="102"/>
        <item sd="0" m="1" x="196"/>
        <item m="1" x="831"/>
        <item m="1" x="764"/>
        <item m="1" x="509"/>
        <item m="1" x="821"/>
        <item m="1" x="341"/>
        <item m="1" x="223"/>
        <item m="1" x="64"/>
        <item m="1" x="635"/>
        <item m="1" x="458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60"/>
        <item m="1" x="580"/>
        <item m="1" x="353"/>
        <item m="1" x="103"/>
        <item sd="0" m="1" x="538"/>
        <item m="1" x="208"/>
        <item m="1" x="671"/>
        <item m="1" x="486"/>
        <item m="1" x="640"/>
        <item m="1" x="606"/>
        <item m="1" x="531"/>
        <item sd="0" m="1" x="563"/>
        <item m="1" x="738"/>
        <item m="1" x="516"/>
        <item sd="0" m="1" x="386"/>
        <item m="1" x="545"/>
        <item m="1" x="213"/>
        <item m="1" x="415"/>
        <item m="1" x="419"/>
        <item m="1" x="802"/>
        <item m="1" x="41"/>
        <item m="1" x="805"/>
        <item sd="0" m="1" x="487"/>
        <item m="1" x="443"/>
        <item m="1" x="399"/>
        <item sd="0" m="1" x="608"/>
        <item m="1" x="153"/>
        <item m="1" x="15"/>
        <item m="1" x="232"/>
        <item m="1" x="241"/>
        <item m="1" x="6"/>
        <item m="1" x="388"/>
        <item m="1" x="370"/>
        <item m="1" x="615"/>
        <item m="1" x="57"/>
        <item m="1" x="707"/>
        <item m="1" x="23"/>
        <item m="1" x="36"/>
        <item m="1" x="9"/>
        <item m="1" x="418"/>
        <item sd="0" m="1" x="683"/>
        <item m="1" x="285"/>
        <item m="1" x="316"/>
        <item m="1" x="380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3"/>
        <item m="1" x="589"/>
        <item m="1" x="747"/>
        <item sd="0" m="1" x="269"/>
        <item m="1" x="17"/>
        <item m="1" x="637"/>
        <item m="1" x="389"/>
        <item m="1" x="480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9"/>
        <item sd="0" m="1" x="335"/>
        <item sd="0" m="1" x="175"/>
        <item m="1" x="420"/>
        <item m="1" x="701"/>
        <item m="1" x="697"/>
        <item m="1" x="379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8"/>
        <item m="1" x="815"/>
        <item m="1" x="776"/>
        <item m="1" x="144"/>
        <item m="1" x="498"/>
        <item m="1" x="467"/>
        <item sd="0" m="1" x="140"/>
        <item sd="0" m="1" x="756"/>
        <item m="1" x="148"/>
        <item m="1" x="224"/>
        <item m="1" x="720"/>
        <item m="1" x="555"/>
        <item m="1" x="116"/>
        <item m="1" x="376"/>
        <item m="1" x="718"/>
        <item m="1" x="127"/>
        <item m="1" x="33"/>
        <item m="1" x="302"/>
        <item m="1" x="548"/>
        <item m="1" x="60"/>
        <item m="1" x="452"/>
        <item m="1" x="774"/>
        <item m="1" x="485"/>
        <item m="1" x="740"/>
        <item sd="0" m="1" x="454"/>
        <item m="1" x="520"/>
        <item m="1" x="162"/>
        <item sd="0" m="1" x="404"/>
        <item m="1" x="741"/>
        <item m="1" x="194"/>
        <item m="1" x="746"/>
        <item m="1" x="384"/>
        <item sd="0" m="1" x="137"/>
        <item m="1" x="658"/>
        <item m="1" x="430"/>
        <item m="1" x="664"/>
        <item m="1" x="493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5"/>
        <item m="1" x="700"/>
        <item m="1" x="428"/>
        <item m="1" x="363"/>
        <item m="1" x="100"/>
        <item m="1" x="481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3"/>
        <item m="1" x="735"/>
        <item sd="0" m="1" x="132"/>
        <item m="1" x="86"/>
        <item m="1" x="209"/>
        <item m="1" x="681"/>
        <item m="1" x="275"/>
        <item m="1" x="472"/>
        <item m="1" x="799"/>
        <item m="1" x="217"/>
        <item m="1" x="827"/>
        <item m="1" x="69"/>
        <item m="1" x="118"/>
        <item m="1" x="645"/>
        <item m="1" x="411"/>
        <item m="1" x="854"/>
        <item m="1" x="432"/>
        <item m="1" x="569"/>
        <item m="1" x="488"/>
        <item m="1" x="182"/>
        <item sd="0" m="1" x="374"/>
        <item m="1" x="242"/>
        <item m="1" x="337"/>
        <item m="1" x="527"/>
        <item m="1" x="423"/>
        <item m="1" x="788"/>
        <item m="1" x="301"/>
        <item m="1" x="309"/>
        <item m="1" x="367"/>
        <item m="1" x="491"/>
        <item m="1" x="662"/>
        <item m="1" x="188"/>
        <item m="1" x="659"/>
        <item m="1" x="221"/>
        <item m="1" x="449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1"/>
        <item m="1" x="246"/>
        <item m="1" x="398"/>
        <item sd="0" m="1" x="482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6"/>
        <item sd="0" m="1" x="507"/>
        <item m="1" x="447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1"/>
        <item m="1" x="657"/>
        <item m="1" x="310"/>
        <item m="1" x="74"/>
        <item sd="0" m="1" x="669"/>
        <item m="1" x="94"/>
        <item m="1" x="440"/>
        <item sd="0" m="1" x="351"/>
        <item m="1" x="784"/>
        <item m="1" x="499"/>
        <item m="1" x="61"/>
        <item m="1" x="456"/>
        <item m="1" x="82"/>
        <item m="1" x="325"/>
        <item sd="0" m="1" x="168"/>
        <item m="1" x="332"/>
        <item m="1" x="564"/>
        <item m="1" x="504"/>
        <item m="1" x="228"/>
        <item m="1" x="281"/>
        <item m="1" x="93"/>
        <item m="1" x="407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5"/>
        <item m="1" x="812"/>
        <item m="1" x="464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2"/>
        <item m="1" x="95"/>
        <item m="1" x="522"/>
        <item m="1" x="789"/>
        <item m="1" x="19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1"/>
        <item m="1" x="22"/>
        <item m="1" x="594"/>
        <item m="1" x="435"/>
        <item m="1" x="67"/>
        <item m="1" x="655"/>
        <item m="1" x="677"/>
        <item m="1" x="565"/>
        <item m="1" x="515"/>
        <item m="1" x="598"/>
        <item m="1" x="317"/>
        <item m="1" x="781"/>
        <item m="1" x="484"/>
        <item m="1" x="313"/>
        <item m="1" x="347"/>
        <item m="1" x="282"/>
        <item m="1" x="323"/>
        <item m="1" x="844"/>
        <item m="1" x="358"/>
        <item sd="0" m="1" x="387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1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3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2"/>
        <item m="1" x="25"/>
        <item m="1" x="342"/>
        <item m="1" x="490"/>
        <item m="1" x="511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6"/>
        <item m="1" x="706"/>
        <item m="1" x="619"/>
        <item m="1" x="731"/>
        <item m="1" x="471"/>
        <item m="1" x="551"/>
        <item m="1" x="264"/>
        <item m="1" x="250"/>
        <item m="1" x="632"/>
        <item m="1" x="699"/>
        <item m="1" x="357"/>
        <item x="0"/>
        <item m="1" x="225"/>
        <item m="1" x="783"/>
        <item m="1" x="724"/>
        <item m="1" x="841"/>
        <item m="1" x="444"/>
        <item m="1" x="193"/>
        <item m="1" x="306"/>
        <item m="1" x="340"/>
        <item sd="0" m="1" x="96"/>
        <item m="1" x="694"/>
        <item m="1" x="305"/>
        <item sd="0" m="1" x="355"/>
        <item m="1" x="402"/>
        <item m="1" x="617"/>
        <item m="1" x="613"/>
        <item m="1" x="777"/>
        <item m="1" x="394"/>
        <item m="1" x="400"/>
        <item m="1" x="704"/>
        <item m="1" x="403"/>
        <item m="1" x="830"/>
        <item m="1" x="495"/>
        <item m="1" x="395"/>
        <item m="1" x="670"/>
        <item m="1" x="185"/>
        <item sd="0" m="1" x="409"/>
        <item m="1" x="474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5"/>
        <item m="1" x="744"/>
        <item m="1" x="79"/>
        <item m="1" x="51"/>
        <item m="1" x="851"/>
        <item m="1" x="29"/>
        <item sd="0" m="1" x="570"/>
        <item m="1" x="513"/>
        <item m="1" x="413"/>
        <item m="1" x="702"/>
        <item m="1" x="204"/>
        <item sd="0" m="1" x="643"/>
        <item m="1" x="779"/>
        <item sd="0" m="1" x="468"/>
        <item sd="0" m="1" x="40"/>
        <item m="1" x="693"/>
        <item m="1" x="663"/>
        <item sd="0" m="1" x="808"/>
        <item m="1" x="816"/>
        <item m="1" x="624"/>
        <item m="1" x="459"/>
        <item m="1" x="691"/>
        <item sd="0" m="1" x="134"/>
        <item m="1" x="410"/>
        <item m="1" x="692"/>
        <item m="1" x="442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5"/>
        <item m="1" x="576"/>
        <item m="1" x="360"/>
        <item m="1" x="451"/>
        <item m="1" x="514"/>
        <item m="1" x="122"/>
        <item m="1" x="646"/>
        <item m="1" x="48"/>
        <item m="1" x="416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8"/>
        <item sd="0" m="1" x="500"/>
        <item m="1" x="68"/>
        <item m="1" x="679"/>
        <item m="1" x="81"/>
        <item m="1" x="634"/>
        <item m="1" x="66"/>
        <item m="1" x="650"/>
        <item m="1" x="489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4"/>
        <item sd="0" m="1" x="26"/>
        <item sd="0" m="1" x="765"/>
        <item m="1" x="414"/>
        <item sd="0" m="1" x="552"/>
        <item m="1" x="97"/>
        <item m="1" x="85"/>
        <item sd="0" m="1" x="293"/>
        <item m="1" x="195"/>
        <item sd="0" m="1" x="497"/>
        <item m="1" x="262"/>
        <item m="1" x="30"/>
        <item m="1" x="105"/>
        <item m="1" x="533"/>
        <item sd="0" m="1" x="297"/>
        <item sd="0" m="1" x="397"/>
        <item sd="0" m="1" x="229"/>
        <item sd="0" m="1" x="8"/>
        <item m="1" x="473"/>
        <item sd="0" m="1" x="824"/>
        <item m="1" x="35"/>
        <item m="1" x="311"/>
        <item m="1" x="825"/>
        <item m="1" x="562"/>
        <item m="1" x="62"/>
        <item m="1" x="568"/>
        <item m="1" x="431"/>
        <item m="1" x="426"/>
        <item m="1" x="176"/>
        <item m="1" x="366"/>
        <item m="1" x="758"/>
        <item m="1" x="600"/>
        <item m="1" x="13"/>
        <item m="1" x="92"/>
        <item m="1" x="438"/>
        <item m="1" x="434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2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92"/>
    </i>
    <i>
      <x v="671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671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2" s="1" nd="1"/>
        <i x="712" s="1" nd="1"/>
        <i x="296" s="1" nd="1"/>
        <i x="113" s="1" nd="1"/>
        <i x="271" s="1" nd="1"/>
        <i x="590" s="1" nd="1"/>
        <i x="324" s="1" nd="1"/>
        <i x="675" s="1" nd="1"/>
        <i x="502" s="1" nd="1"/>
        <i x="24" s="1" nd="1"/>
        <i x="581" s="1" nd="1"/>
        <i x="852" s="1" nd="1"/>
        <i x="20" s="1" nd="1"/>
        <i x="757" s="1" nd="1"/>
        <i x="112" s="1" nd="1"/>
        <i x="544" s="1" nd="1"/>
        <i x="828" s="1" nd="1"/>
        <i x="270" s="1" nd="1"/>
        <i x="479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9" s="1" nd="1"/>
        <i x="44" s="1" nd="1"/>
        <i x="730" s="1" nd="1"/>
        <i x="689" s="1" nd="1"/>
        <i x="216" s="1" nd="1"/>
        <i x="476" s="1" nd="1"/>
        <i x="633" s="1" nd="1"/>
        <i x="446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1" s="1" nd="1"/>
        <i x="506" s="1" nd="1"/>
        <i x="553" s="1" nd="1"/>
        <i x="477" s="1" nd="1"/>
        <i x="244" s="1" nd="1"/>
        <i x="848" s="1" nd="1"/>
        <i x="832" s="1" nd="1"/>
        <i x="742" s="1" nd="1"/>
        <i x="240" s="1" nd="1"/>
        <i x="239" s="1" nd="1"/>
        <i x="462" s="1" nd="1"/>
        <i x="286" s="1" nd="1"/>
        <i x="549" s="1" nd="1"/>
        <i x="845" s="1" nd="1"/>
        <i x="445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3" s="1" nd="1"/>
        <i x="408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8" s="1" nd="1"/>
        <i x="207" s="1" nd="1"/>
        <i x="521" s="1" nd="1"/>
        <i x="463" s="1" nd="1"/>
        <i x="138" s="1" nd="1"/>
        <i x="661" s="1" nd="1"/>
        <i x="372" s="1" nd="1"/>
        <i x="154" s="1" nd="1"/>
        <i x="251" s="1" nd="1"/>
        <i x="628" s="1" nd="1"/>
        <i x="736" s="1" nd="1"/>
        <i x="421" s="1" nd="1"/>
        <i x="80" s="1" nd="1"/>
        <i x="696" s="1" nd="1"/>
        <i x="284" s="1" nd="1"/>
        <i x="846" s="1" nd="1"/>
        <i x="248" s="1" nd="1"/>
        <i x="763" s="1" nd="1"/>
        <i x="425" s="1" nd="1"/>
        <i x="436" s="1" nd="1"/>
        <i x="167" s="1" nd="1"/>
        <i x="542" s="1" nd="1"/>
        <i x="806" s="1" nd="1"/>
        <i x="620" s="1" nd="1"/>
        <i x="5" s="1" nd="1"/>
        <i x="770" s="1" nd="1"/>
        <i x="14" s="1" nd="1"/>
        <i x="739" s="1" nd="1"/>
        <i x="393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3" s="1" nd="1"/>
        <i x="52" s="1" nd="1"/>
        <i x="649" s="1" nd="1"/>
        <i x="470" s="1" nd="1"/>
        <i x="249" s="1" nd="1"/>
        <i x="328" s="1" nd="1"/>
        <i x="437" s="1" nd="1"/>
        <i x="352" s="1" nd="1"/>
        <i x="571" s="1" nd="1"/>
        <i x="567" s="1" nd="1"/>
        <i x="733" s="1" nd="1"/>
        <i x="755" s="1" nd="1"/>
        <i x="120" s="1" nd="1"/>
        <i x="390" s="1" nd="1"/>
        <i x="88" s="1" nd="1"/>
        <i x="382" s="1" nd="1"/>
        <i x="814" s="1" nd="1"/>
        <i x="396" s="1" nd="1"/>
        <i x="258" s="1" nd="1"/>
        <i x="377" s="1" nd="1"/>
        <i x="849" s="1" nd="1"/>
        <i x="647" s="1" nd="1"/>
        <i x="853" s="1" nd="1"/>
        <i x="829" s="1" nd="1"/>
        <i x="106" s="1" nd="1"/>
        <i x="401" s="1" nd="1"/>
        <i x="114" s="1" nd="1"/>
        <i x="652" s="1" nd="1"/>
        <i x="656" s="1" nd="1"/>
        <i x="795" s="1" nd="1"/>
        <i x="695" s="1" nd="1"/>
        <i x="455" s="1" nd="1"/>
        <i x="381" s="1" nd="1"/>
        <i x="448" s="1" nd="1"/>
        <i x="159" s="1" nd="1"/>
        <i x="277" s="1" nd="1"/>
        <i x="203" s="1" nd="1"/>
        <i x="494" s="1" nd="1"/>
        <i x="289" s="1" nd="1"/>
        <i x="526" s="1" nd="1"/>
        <i x="257" s="1" nd="1"/>
        <i x="406" s="1" nd="1"/>
        <i x="840" s="1" nd="1"/>
        <i x="457" s="1" nd="1"/>
        <i x="478" s="1" nd="1"/>
        <i x="750" s="1" nd="1"/>
        <i x="638" s="1" nd="1"/>
        <i x="53" s="1" nd="1"/>
        <i x="793" s="1" nd="1"/>
        <i x="716" s="1" nd="1"/>
        <i x="417" s="1" nd="1"/>
        <i x="734" s="1" nd="1"/>
        <i x="813" s="1" nd="1"/>
        <i x="561" s="1" nd="1"/>
        <i x="558" s="1" nd="1"/>
        <i x="429" s="1" nd="1"/>
        <i x="714" s="1" nd="1"/>
        <i x="505" s="1" nd="1"/>
        <i x="173" s="1" nd="1"/>
        <i x="627" s="1" nd="1"/>
        <i x="375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10" s="1" nd="1"/>
        <i x="117" s="1" nd="1"/>
        <i x="536" s="1" nd="1"/>
        <i x="83" s="1" nd="1"/>
        <i x="602" s="1" nd="1"/>
        <i x="450" s="1" nd="1"/>
        <i x="349" s="1" nd="1"/>
        <i x="78" s="1" nd="1"/>
        <i x="582" s="1" nd="1"/>
        <i x="18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2" s="1" nd="1"/>
        <i x="427" s="1" nd="1"/>
        <i x="10" s="1" nd="1"/>
        <i x="42" s="1" nd="1"/>
        <i x="16" s="1" nd="1"/>
        <i x="622" s="1" nd="1"/>
        <i x="556" s="1" nd="1"/>
        <i x="626" s="1" nd="1"/>
        <i x="345" s="1" nd="1"/>
        <i x="433" s="1" nd="1"/>
        <i x="708" s="1" nd="1"/>
        <i x="210" s="1" nd="1"/>
        <i x="439" s="1" nd="1"/>
        <i x="102" s="1" nd="1"/>
        <i x="196" s="1" nd="1"/>
        <i x="831" s="1" nd="1"/>
        <i x="764" s="1" nd="1"/>
        <i x="509" s="1" nd="1"/>
        <i x="821" s="1" nd="1"/>
        <i x="341" s="1" nd="1"/>
        <i x="223" s="1" nd="1"/>
        <i x="64" s="1" nd="1"/>
        <i x="635" s="1" nd="1"/>
        <i x="458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60" s="1" nd="1"/>
        <i x="580" s="1" nd="1"/>
        <i x="353" s="1" nd="1"/>
        <i x="103" s="1" nd="1"/>
        <i x="538" s="1" nd="1"/>
        <i x="208" s="1" nd="1"/>
        <i x="671" s="1" nd="1"/>
        <i x="486" s="1" nd="1"/>
        <i x="640" s="1" nd="1"/>
        <i x="606" s="1" nd="1"/>
        <i x="531" s="1" nd="1"/>
        <i x="563" s="1" nd="1"/>
        <i x="738" s="1" nd="1"/>
        <i x="516" s="1" nd="1"/>
        <i x="386" s="1" nd="1"/>
        <i x="545" s="1" nd="1"/>
        <i x="213" s="1" nd="1"/>
        <i x="415" s="1" nd="1"/>
        <i x="419" s="1" nd="1"/>
        <i x="802" s="1" nd="1"/>
        <i x="41" s="1" nd="1"/>
        <i x="805" s="1" nd="1"/>
        <i x="487" s="1" nd="1"/>
        <i x="443" s="1" nd="1"/>
        <i x="399" s="1" nd="1"/>
        <i x="608" s="1" nd="1"/>
        <i x="153" s="1" nd="1"/>
        <i x="15" s="1" nd="1"/>
        <i x="232" s="1" nd="1"/>
        <i x="241" s="1" nd="1"/>
        <i x="6" s="1" nd="1"/>
        <i x="388" s="1" nd="1"/>
        <i x="370" s="1" nd="1"/>
        <i x="615" s="1" nd="1"/>
        <i x="57" s="1" nd="1"/>
        <i x="707" s="1" nd="1"/>
        <i x="23" s="1" nd="1"/>
        <i x="36" s="1" nd="1"/>
        <i x="9" s="1" nd="1"/>
        <i x="418" s="1" nd="1"/>
        <i x="683" s="1" nd="1"/>
        <i x="285" s="1" nd="1"/>
        <i x="316" s="1" nd="1"/>
        <i x="380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3" s="1" nd="1"/>
        <i x="589" s="1" nd="1"/>
        <i x="747" s="1" nd="1"/>
        <i x="269" s="1" nd="1"/>
        <i x="17" s="1" nd="1"/>
        <i x="637" s="1" nd="1"/>
        <i x="389" s="1" nd="1"/>
        <i x="480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9" s="1" nd="1"/>
        <i x="335" s="1" nd="1"/>
        <i x="175" s="1" nd="1"/>
        <i x="420" s="1" nd="1"/>
        <i x="701" s="1" nd="1"/>
        <i x="697" s="1" nd="1"/>
        <i x="379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8" s="1" nd="1"/>
        <i x="815" s="1" nd="1"/>
        <i x="776" s="1" nd="1"/>
        <i x="144" s="1" nd="1"/>
        <i x="498" s="1" nd="1"/>
        <i x="467" s="1" nd="1"/>
        <i x="140" s="1" nd="1"/>
        <i x="756" s="1" nd="1"/>
        <i x="148" s="1" nd="1"/>
        <i x="224" s="1" nd="1"/>
        <i x="720" s="1" nd="1"/>
        <i x="555" s="1" nd="1"/>
        <i x="116" s="1" nd="1"/>
        <i x="376" s="1" nd="1"/>
        <i x="718" s="1" nd="1"/>
        <i x="127" s="1" nd="1"/>
        <i x="33" s="1" nd="1"/>
        <i x="302" s="1" nd="1"/>
        <i x="548" s="1" nd="1"/>
        <i x="60" s="1" nd="1"/>
        <i x="452" s="1" nd="1"/>
        <i x="774" s="1" nd="1"/>
        <i x="485" s="1" nd="1"/>
        <i x="740" s="1" nd="1"/>
        <i x="454" s="1" nd="1"/>
        <i x="520" s="1" nd="1"/>
        <i x="162" s="1" nd="1"/>
        <i x="404" s="1" nd="1"/>
        <i x="741" s="1" nd="1"/>
        <i x="194" s="1" nd="1"/>
        <i x="746" s="1" nd="1"/>
        <i x="384" s="1" nd="1"/>
        <i x="137" s="1" nd="1"/>
        <i x="658" s="1" nd="1"/>
        <i x="430" s="1" nd="1"/>
        <i x="664" s="1" nd="1"/>
        <i x="493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5" s="1" nd="1"/>
        <i x="700" s="1" nd="1"/>
        <i x="428" s="1" nd="1"/>
        <i x="363" s="1" nd="1"/>
        <i x="100" s="1" nd="1"/>
        <i x="481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3" s="1" nd="1"/>
        <i x="735" s="1" nd="1"/>
        <i x="132" s="1" nd="1"/>
        <i x="86" s="1" nd="1"/>
        <i x="209" s="1" nd="1"/>
        <i x="681" s="1" nd="1"/>
        <i x="275" s="1" nd="1"/>
        <i x="472" s="1" nd="1"/>
        <i x="799" s="1" nd="1"/>
        <i x="217" s="1" nd="1"/>
        <i x="827" s="1" nd="1"/>
        <i x="69" s="1" nd="1"/>
        <i x="118" s="1" nd="1"/>
        <i x="645" s="1" nd="1"/>
        <i x="411" s="1" nd="1"/>
        <i x="854" s="1" nd="1"/>
        <i x="432" s="1" nd="1"/>
        <i x="569" s="1" nd="1"/>
        <i x="488" s="1" nd="1"/>
        <i x="182" s="1" nd="1"/>
        <i x="374" s="1" nd="1"/>
        <i x="242" s="1" nd="1"/>
        <i x="337" s="1" nd="1"/>
        <i x="527" s="1" nd="1"/>
        <i x="423" s="1" nd="1"/>
        <i x="788" s="1" nd="1"/>
        <i x="301" s="1" nd="1"/>
        <i x="309" s="1" nd="1"/>
        <i x="367" s="1" nd="1"/>
        <i x="491" s="1" nd="1"/>
        <i x="662" s="1" nd="1"/>
        <i x="188" s="1" nd="1"/>
        <i x="659" s="1" nd="1"/>
        <i x="221" s="1" nd="1"/>
        <i x="449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1" s="1" nd="1"/>
        <i x="246" s="1" nd="1"/>
        <i x="398" s="1" nd="1"/>
        <i x="482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6" s="1" nd="1"/>
        <i x="507" s="1" nd="1"/>
        <i x="447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1" s="1" nd="1"/>
        <i x="657" s="1" nd="1"/>
        <i x="310" s="1" nd="1"/>
        <i x="74" s="1" nd="1"/>
        <i x="669" s="1" nd="1"/>
        <i x="94" s="1" nd="1"/>
        <i x="440" s="1" nd="1"/>
        <i x="351" s="1" nd="1"/>
        <i x="784" s="1" nd="1"/>
        <i x="499" s="1" nd="1"/>
        <i x="61" s="1" nd="1"/>
        <i x="456" s="1" nd="1"/>
        <i x="82" s="1" nd="1"/>
        <i x="325" s="1" nd="1"/>
        <i x="168" s="1" nd="1"/>
        <i x="332" s="1" nd="1"/>
        <i x="564" s="1" nd="1"/>
        <i x="504" s="1" nd="1"/>
        <i x="228" s="1" nd="1"/>
        <i x="281" s="1" nd="1"/>
        <i x="93" s="1" nd="1"/>
        <i x="407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5" s="1" nd="1"/>
        <i x="812" s="1" nd="1"/>
        <i x="464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2" s="1" nd="1"/>
        <i x="95" s="1" nd="1"/>
        <i x="522" s="1" nd="1"/>
        <i x="789" s="1" nd="1"/>
        <i x="19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1" s="1" nd="1"/>
        <i x="22" s="1" nd="1"/>
        <i x="594" s="1" nd="1"/>
        <i x="435" s="1" nd="1"/>
        <i x="67" s="1" nd="1"/>
        <i x="655" s="1" nd="1"/>
        <i x="677" s="1" nd="1"/>
        <i x="565" s="1" nd="1"/>
        <i x="515" s="1" nd="1"/>
        <i x="598" s="1" nd="1"/>
        <i x="317" s="1" nd="1"/>
        <i x="781" s="1" nd="1"/>
        <i x="484" s="1" nd="1"/>
        <i x="313" s="1" nd="1"/>
        <i x="347" s="1" nd="1"/>
        <i x="282" s="1" nd="1"/>
        <i x="323" s="1" nd="1"/>
        <i x="844" s="1" nd="1"/>
        <i x="358" s="1" nd="1"/>
        <i x="387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1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3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2" s="1" nd="1"/>
        <i x="25" s="1" nd="1"/>
        <i x="342" s="1" nd="1"/>
        <i x="490" s="1" nd="1"/>
        <i x="511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6" s="1" nd="1"/>
        <i x="706" s="1" nd="1"/>
        <i x="619" s="1" nd="1"/>
        <i x="731" s="1" nd="1"/>
        <i x="471" s="1" nd="1"/>
        <i x="551" s="1" nd="1"/>
        <i x="264" s="1" nd="1"/>
        <i x="250" s="1" nd="1"/>
        <i x="632" s="1" nd="1"/>
        <i x="699" s="1" nd="1"/>
        <i x="357" s="1" nd="1"/>
        <i x="225" s="1" nd="1"/>
        <i x="783" s="1" nd="1"/>
        <i x="724" s="1" nd="1"/>
        <i x="841" s="1" nd="1"/>
        <i x="444" s="1" nd="1"/>
        <i x="193" s="1" nd="1"/>
        <i x="306" s="1" nd="1"/>
        <i x="340" s="1" nd="1"/>
        <i x="96" s="1" nd="1"/>
        <i x="694" s="1" nd="1"/>
        <i x="305" s="1" nd="1"/>
        <i x="355" s="1" nd="1"/>
        <i x="402" s="1" nd="1"/>
        <i x="617" s="1" nd="1"/>
        <i x="613" s="1" nd="1"/>
        <i x="777" s="1" nd="1"/>
        <i x="394" s="1" nd="1"/>
        <i x="400" s="1" nd="1"/>
        <i x="704" s="1" nd="1"/>
        <i x="403" s="1" nd="1"/>
        <i x="830" s="1" nd="1"/>
        <i x="495" s="1" nd="1"/>
        <i x="395" s="1" nd="1"/>
        <i x="670" s="1" nd="1"/>
        <i x="185" s="1" nd="1"/>
        <i x="409" s="1" nd="1"/>
        <i x="474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5" s="1" nd="1"/>
        <i x="744" s="1" nd="1"/>
        <i x="79" s="1" nd="1"/>
        <i x="51" s="1" nd="1"/>
        <i x="851" s="1" nd="1"/>
        <i x="29" s="1" nd="1"/>
        <i x="570" s="1" nd="1"/>
        <i x="513" s="1" nd="1"/>
        <i x="413" s="1" nd="1"/>
        <i x="702" s="1" nd="1"/>
        <i x="204" s="1" nd="1"/>
        <i x="643" s="1" nd="1"/>
        <i x="779" s="1" nd="1"/>
        <i x="468" s="1" nd="1"/>
        <i x="40" s="1" nd="1"/>
        <i x="693" s="1" nd="1"/>
        <i x="663" s="1" nd="1"/>
        <i x="808" s="1" nd="1"/>
        <i x="816" s="1" nd="1"/>
        <i x="624" s="1" nd="1"/>
        <i x="459" s="1" nd="1"/>
        <i x="691" s="1" nd="1"/>
        <i x="134" s="1" nd="1"/>
        <i x="410" s="1" nd="1"/>
        <i x="692" s="1" nd="1"/>
        <i x="442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5" s="1" nd="1"/>
        <i x="576" s="1" nd="1"/>
        <i x="360" s="1" nd="1"/>
        <i x="451" s="1" nd="1"/>
        <i x="514" s="1" nd="1"/>
        <i x="122" s="1" nd="1"/>
        <i x="646" s="1" nd="1"/>
        <i x="48" s="1" nd="1"/>
        <i x="416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8" s="1" nd="1"/>
        <i x="500" s="1" nd="1"/>
        <i x="68" s="1" nd="1"/>
        <i x="679" s="1" nd="1"/>
        <i x="81" s="1" nd="1"/>
        <i x="634" s="1" nd="1"/>
        <i x="66" s="1" nd="1"/>
        <i x="650" s="1" nd="1"/>
        <i x="489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4" s="1" nd="1"/>
        <i x="26" s="1" nd="1"/>
        <i x="765" s="1" nd="1"/>
        <i x="414" s="1" nd="1"/>
        <i x="552" s="1" nd="1"/>
        <i x="97" s="1" nd="1"/>
        <i x="85" s="1" nd="1"/>
        <i x="293" s="1" nd="1"/>
        <i x="195" s="1" nd="1"/>
        <i x="497" s="1" nd="1"/>
        <i x="262" s="1" nd="1"/>
        <i x="30" s="1" nd="1"/>
        <i x="105" s="1" nd="1"/>
        <i x="533" s="1" nd="1"/>
        <i x="297" s="1" nd="1"/>
        <i x="397" s="1" nd="1"/>
        <i x="229" s="1" nd="1"/>
        <i x="8" s="1" nd="1"/>
        <i x="473" s="1" nd="1"/>
        <i x="824" s="1" nd="1"/>
        <i x="35" s="1" nd="1"/>
        <i x="311" s="1" nd="1"/>
        <i x="825" s="1" nd="1"/>
        <i x="562" s="1" nd="1"/>
        <i x="62" s="1" nd="1"/>
        <i x="568" s="1" nd="1"/>
        <i x="431" s="1" nd="1"/>
        <i x="426" s="1" nd="1"/>
        <i x="176" s="1" nd="1"/>
        <i x="366" s="1" nd="1"/>
        <i x="758" s="1" nd="1"/>
        <i x="600" s="1" nd="1"/>
        <i x="13" s="1" nd="1"/>
        <i x="92" s="1" nd="1"/>
        <i x="438" s="1" nd="1"/>
        <i x="434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2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87" totalsRowShown="0" headerRowDxfId="92" dataDxfId="90" headerRowBorderDxfId="91" tableBorderDxfId="89" totalsRowBorderDxfId="88">
  <autoFilter ref="A1:D387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300240</v>
      </c>
      <c r="B2" s="12" t="s">
        <v>606</v>
      </c>
      <c r="C2" s="14">
        <v>46274</v>
      </c>
      <c r="D2" s="14">
        <v>46274</v>
      </c>
      <c r="E2" s="12"/>
      <c r="F2" s="15" t="s">
        <v>607</v>
      </c>
      <c r="G2" s="15" t="s">
        <v>608</v>
      </c>
      <c r="H2" s="15" t="s">
        <v>609</v>
      </c>
      <c r="I2" s="16">
        <v>629061.43000000005</v>
      </c>
      <c r="J2" s="15" t="s">
        <v>610</v>
      </c>
      <c r="K2" s="15" t="s">
        <v>611</v>
      </c>
      <c r="L2" s="15" t="s">
        <v>612</v>
      </c>
      <c r="M2" s="15">
        <v>6900.01</v>
      </c>
      <c r="N2" s="15">
        <v>258</v>
      </c>
      <c r="O2" s="16">
        <v>2301</v>
      </c>
      <c r="P2" s="15" t="s">
        <v>613</v>
      </c>
      <c r="Q2" s="15">
        <v>328.41</v>
      </c>
      <c r="R2" s="15" t="s">
        <v>614</v>
      </c>
      <c r="S2" s="15">
        <v>4100</v>
      </c>
      <c r="T2" s="15" t="s">
        <v>615</v>
      </c>
      <c r="U2" s="15">
        <v>0</v>
      </c>
      <c r="V2" s="15">
        <v>828</v>
      </c>
      <c r="W2" s="15">
        <v>0</v>
      </c>
      <c r="X2" s="15">
        <v>0</v>
      </c>
      <c r="Y2" s="15">
        <v>314.52999999999997</v>
      </c>
      <c r="Z2" s="15">
        <v>404.75</v>
      </c>
      <c r="AA2" s="15">
        <v>7152.67</v>
      </c>
      <c r="AB2" s="15">
        <v>-252.66</v>
      </c>
      <c r="AC2" s="15">
        <v>1794</v>
      </c>
      <c r="AD2" s="15">
        <v>-2046.66</v>
      </c>
      <c r="AE2" s="15">
        <v>0</v>
      </c>
      <c r="AF2" s="15">
        <v>-2046.66</v>
      </c>
      <c r="AG2" s="17">
        <v>-0.29659999999999997</v>
      </c>
      <c r="AH2" s="15"/>
    </row>
    <row r="3" spans="1:34" s="1" customFormat="1" ht="12" customHeight="1" x14ac:dyDescent="0.3">
      <c r="A3" s="13">
        <v>302456</v>
      </c>
      <c r="B3" s="12" t="s">
        <v>606</v>
      </c>
      <c r="C3" s="14">
        <v>46289</v>
      </c>
      <c r="D3" s="14">
        <v>46289</v>
      </c>
      <c r="E3" s="12"/>
      <c r="F3" s="15" t="s">
        <v>616</v>
      </c>
      <c r="G3" s="15" t="s">
        <v>617</v>
      </c>
      <c r="H3" s="15" t="s">
        <v>618</v>
      </c>
      <c r="I3" s="16">
        <v>3216.26</v>
      </c>
      <c r="J3" s="15" t="s">
        <v>619</v>
      </c>
      <c r="K3" s="15" t="s">
        <v>611</v>
      </c>
      <c r="L3" s="15" t="s">
        <v>620</v>
      </c>
      <c r="M3" s="16">
        <v>144.72999999999999</v>
      </c>
      <c r="N3" s="15">
        <v>9</v>
      </c>
      <c r="O3" s="16">
        <v>45</v>
      </c>
      <c r="P3" s="15" t="s">
        <v>621</v>
      </c>
      <c r="Q3" s="15">
        <v>12.91</v>
      </c>
      <c r="R3" s="15" t="s">
        <v>622</v>
      </c>
      <c r="S3" s="15">
        <v>40</v>
      </c>
      <c r="T3" s="15" t="s">
        <v>615</v>
      </c>
      <c r="U3" s="15">
        <v>0</v>
      </c>
      <c r="V3" s="15">
        <v>17.37</v>
      </c>
      <c r="W3" s="15">
        <v>0</v>
      </c>
      <c r="X3" s="15">
        <v>0</v>
      </c>
      <c r="Y3" s="15">
        <v>1.61</v>
      </c>
      <c r="Z3" s="15">
        <v>0.83</v>
      </c>
      <c r="AA3" s="16">
        <v>95.74</v>
      </c>
      <c r="AB3" s="16">
        <v>48.99</v>
      </c>
      <c r="AC3" s="15">
        <v>37.630000000000003</v>
      </c>
      <c r="AD3" s="15">
        <v>11.36</v>
      </c>
      <c r="AE3" s="15">
        <v>3.82</v>
      </c>
      <c r="AF3" s="15">
        <v>7.54</v>
      </c>
      <c r="AG3" s="17">
        <v>5.21E-2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7044.74</v>
      </c>
      <c r="F3" s="89"/>
      <c r="G3" s="90"/>
      <c r="H3" s="133">
        <f>'Resumo Detalhado'!C2</f>
        <v>2346</v>
      </c>
      <c r="I3" s="134"/>
      <c r="J3" s="135">
        <f>E3/H3</f>
        <v>3.0028729752770671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0.21327272727272728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1541.3200000000002</v>
      </c>
      <c r="F7" s="112"/>
      <c r="G7" s="112"/>
      <c r="H7" s="112"/>
      <c r="I7" s="112"/>
      <c r="J7" s="112">
        <f>E7/H3</f>
        <v>0.65699914748508104</v>
      </c>
      <c r="K7" s="112"/>
      <c r="L7" s="112"/>
      <c r="M7" s="130">
        <f>E7/E3</f>
        <v>0.21879018955987023</v>
      </c>
      <c r="N7" s="130"/>
      <c r="O7" s="130"/>
      <c r="P7" s="112">
        <f>E11+K11+Q11+E15+K15+Q15+E19+H19+K19</f>
        <v>4799.1476000000002</v>
      </c>
      <c r="Q7" s="112"/>
      <c r="R7" s="112"/>
      <c r="S7" s="112">
        <f>P7/H3</f>
        <v>2.0456724637681161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1200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1200</v>
      </c>
      <c r="L11" s="90"/>
      <c r="M11" s="38"/>
      <c r="N11" s="88">
        <f>K11/H3</f>
        <v>0.51150895140664965</v>
      </c>
      <c r="O11" s="90"/>
      <c r="P11" s="38"/>
      <c r="Q11" s="88">
        <f>'Resumo Detalhado'!D2</f>
        <v>341.32000000000005</v>
      </c>
      <c r="R11" s="90"/>
      <c r="S11" s="38"/>
      <c r="T11" s="88">
        <f>Q11/H3</f>
        <v>0.14549019607843139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845.37</v>
      </c>
      <c r="F15" s="119"/>
      <c r="G15" s="119"/>
      <c r="H15" s="119"/>
      <c r="I15" s="132"/>
      <c r="J15" s="38"/>
      <c r="K15" s="113">
        <f>'Resumo Detalhado'!K2+'Resumo Detalhado'!L2</f>
        <v>1127.1584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316.14</v>
      </c>
      <c r="F19" s="120"/>
      <c r="G19" s="38"/>
      <c r="H19" s="122">
        <f>'Resumo Detalhado'!J2</f>
        <v>405.58</v>
      </c>
      <c r="I19" s="123"/>
      <c r="J19" s="38"/>
      <c r="K19" s="122">
        <f>'Resumo Detalhado'!L2</f>
        <v>563.57920000000001</v>
      </c>
      <c r="L19" s="123"/>
      <c r="M19" s="38"/>
      <c r="N19" s="121" t="s">
        <v>603</v>
      </c>
      <c r="O19" s="119"/>
      <c r="P19" s="119"/>
      <c r="Q19" s="119"/>
      <c r="R19" s="120"/>
      <c r="S19" s="121">
        <f>_xlfn.XLOOKUP(N19,Target!C:C,Target!D:D)</f>
        <v>1200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428.93080000000037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6.0886675732532411E-2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10.5546875" style="5" bestFit="1" customWidth="1"/>
    <col min="5" max="5" width="12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5546875" bestFit="1" customWidth="1"/>
    <col min="11" max="11" width="10.77734375" bestFit="1" customWidth="1"/>
    <col min="12" max="12" width="10.5546875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623</v>
      </c>
      <c r="F1" s="29"/>
    </row>
    <row r="2" spans="1:18" x14ac:dyDescent="0.3">
      <c r="B2" s="29">
        <f>SUM(B6:B5000)</f>
        <v>7044.74</v>
      </c>
      <c r="C2" s="29">
        <f>SUM(C6:C5000)</f>
        <v>2346</v>
      </c>
      <c r="D2" s="29">
        <f>SUM(D6:D5000)</f>
        <v>341.32000000000005</v>
      </c>
      <c r="E2" s="29">
        <f>SUM(E6:E5000)</f>
        <v>4140</v>
      </c>
      <c r="F2" s="29">
        <f>SUM(F6:F5000)</f>
        <v>0</v>
      </c>
      <c r="G2" s="29"/>
      <c r="H2" s="29">
        <f t="shared" ref="H2:P2" si="0">SUM(H6:H5000)</f>
        <v>845.37</v>
      </c>
      <c r="I2" s="29">
        <f t="shared" si="0"/>
        <v>316.14</v>
      </c>
      <c r="J2" s="29">
        <f t="shared" si="0"/>
        <v>405.58</v>
      </c>
      <c r="K2" s="29">
        <f t="shared" si="0"/>
        <v>563.57920000000001</v>
      </c>
      <c r="L2" s="29">
        <f t="shared" si="0"/>
        <v>563.57920000000001</v>
      </c>
      <c r="M2" s="29">
        <f t="shared" si="0"/>
        <v>3.82</v>
      </c>
      <c r="N2" s="29">
        <f t="shared" si="0"/>
        <v>428.93080000000037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617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302456</v>
      </c>
      <c r="B6" s="140">
        <v>144.72999999999999</v>
      </c>
      <c r="C6" s="141">
        <v>45</v>
      </c>
      <c r="D6" s="140">
        <v>12.91</v>
      </c>
      <c r="E6" s="140">
        <v>40</v>
      </c>
      <c r="F6" s="140">
        <v>0</v>
      </c>
      <c r="G6" s="142">
        <v>0.36557728183514132</v>
      </c>
      <c r="H6" s="140">
        <v>17.37</v>
      </c>
      <c r="I6" s="140">
        <v>1.61</v>
      </c>
      <c r="J6" s="140">
        <v>0.83</v>
      </c>
      <c r="K6" s="140">
        <v>11.5784</v>
      </c>
      <c r="L6" s="140">
        <v>11.5784</v>
      </c>
      <c r="M6" s="140">
        <v>3.82</v>
      </c>
      <c r="N6" s="140">
        <v>56.611599999999989</v>
      </c>
      <c r="O6" s="142">
        <v>0.39115318178677533</v>
      </c>
      <c r="Q6"/>
    </row>
    <row r="7" spans="1:18" s="31" customFormat="1" x14ac:dyDescent="0.3">
      <c r="A7" s="139" t="s">
        <v>608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300240</v>
      </c>
      <c r="B8" s="140">
        <v>6900.01</v>
      </c>
      <c r="C8" s="141">
        <v>2301</v>
      </c>
      <c r="D8" s="140">
        <v>328.41</v>
      </c>
      <c r="E8" s="140">
        <v>4100</v>
      </c>
      <c r="F8" s="140">
        <v>0</v>
      </c>
      <c r="G8" s="142">
        <v>0.64179762058315848</v>
      </c>
      <c r="H8" s="140">
        <v>828</v>
      </c>
      <c r="I8" s="140">
        <v>314.52999999999997</v>
      </c>
      <c r="J8" s="140">
        <v>404.75</v>
      </c>
      <c r="K8" s="140">
        <v>552.00080000000003</v>
      </c>
      <c r="L8" s="140">
        <v>552.00080000000003</v>
      </c>
      <c r="M8" s="140">
        <v>0</v>
      </c>
      <c r="N8" s="140">
        <v>372.31920000000036</v>
      </c>
      <c r="O8" s="142">
        <v>5.3959226146049116E-2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623</v>
      </c>
    </row>
    <row r="2" spans="1:4" x14ac:dyDescent="0.3">
      <c r="B2" s="29">
        <f>SUM(B6:B5000)</f>
        <v>6900.01</v>
      </c>
      <c r="C2" s="29">
        <f>SUM(C6:C5000)</f>
        <v>372.31920000000036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43" t="s">
        <v>617</v>
      </c>
      <c r="B5" s="10">
        <v>144.72999999999999</v>
      </c>
      <c r="C5" s="10">
        <v>56.611599999999989</v>
      </c>
    </row>
    <row r="6" spans="1:4" x14ac:dyDescent="0.3">
      <c r="A6" s="144" t="s">
        <v>608</v>
      </c>
      <c r="B6" s="140">
        <v>6900.01</v>
      </c>
      <c r="C6" s="140">
        <v>372.31920000000036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87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2026-09-29T13:31:36Z</dcterms:modified>
  <cp:category/>
  <cp:contentStatus/>
</cp:coreProperties>
</file>