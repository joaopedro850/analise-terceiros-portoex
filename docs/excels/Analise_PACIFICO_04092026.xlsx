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D016C7C-5FAD-426D-8EEC-AD49373EFEB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<sst xmlns="http://schemas.openxmlformats.org/spreadsheetml/2006/main" count="869" uniqueCount="598">
  <si>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</si>
  <si>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</si>
  <si>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</si>
  <si>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</si>
  <si>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</si>
  <si>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</si>
  <si>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</si>
  <si>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</si>
  <si>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</si>
  <si>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</si>
  <si>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</si>
  <si>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</si>
  <si>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</si>
  <si>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</si>
  <si>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</si>
  <si>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</si>
  <si>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</si>
  <si>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</si>
  <si>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</si>
  <si>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</si>
  <si>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</si>
  <si>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</si>
  <si>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</si>
  <si>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</si>
  <si>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</si>
  <si>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</si>
  <si>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</si>
  <si>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</si>
  <si>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</si>
  <si>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</si>
  <si>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</si>
  <si>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</si>
  <si>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</si>
  <si>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</si>
  <si>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</si>
  <si>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</si>
  <si>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</si>
  <si>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</si>
  <si>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</si>
  <si>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</si>
  <si>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</si>
  <si>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</si>
  <si>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</si>
  <si>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</si>
  <si>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</si>
  <si>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</si>
  <si>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</si>
  <si>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</si>
  <si>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</si>
  <si>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</si>
  <si>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</si>
  <si>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</si>
  <si>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</si>
  <si>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</si>
  <si>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</si>
  <si>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</si>
  <si>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</si>
  <si>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</si>
  <si>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</si>
  <si>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</si>
  <si>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</si>
  <si>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</si>
  <si>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</si>
  <si>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</si>
  <si>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</si>
  <si>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</si>
  <si>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</si>
  <si>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</si>
  <si>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</si>
  <si>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</si>
  <si>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</si>
  <si>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</si>
  <si>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</si>
  <si>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</si>
  <si>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</si>
  <si>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</si>
  <si>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</si>
  <si>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</si>
  <si>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</si>
  <si>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</si>
  <si>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</si>
  <si>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</si>
  <si>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</si>
  <si>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</si>
  <si>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</si>
  <si>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</si>
  <si>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</si>
  <si>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</si>
  <si>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</si>
  <si>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</si>
  <si>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</si>
  <si>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</si>
  <si>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</si>
  <si>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</si>
  <si>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</si>
  <si>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</si>
  <si>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</si>
  <si>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</si>
  <si>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</si>
  <si>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</si>
  <si>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</si>
  <si>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</si>
  <si>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</si>
  <si>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</si>
  <si>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</si>
  <si>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</si>
  <si>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</si>
  <si>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</si>
  <si>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</si>
  <si>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</si>
  <si>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</si>
  <si>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</si>
  <si>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</si>
  <si>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</si>
  <si>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</si>
  <si>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</si>
  <si>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</si>
  <si>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</si>
  <si>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</si>
  <si>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</si>
  <si>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</si>
  <si>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</si>
  <si>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</si>
  <si>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</si>
  <si>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</si>
  <si>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</si>
  <si>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</si>
  <si>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</si>
  <si>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</si>
  <si>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</si>
  <si>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</si>
  <si>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</si>
  <si>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</si>
  <si>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</si>
  <si>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</si>
  <si>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</si>
  <si>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</si>
  <si>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</si>
  <si>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</si>
  <si>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</si>
  <si>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</si>
  <si>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</si>
  <si>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</si>
  <si>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</si>
  <si>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</si>
  <si>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</si>
  <si>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</si>
  <si>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</si>
  <si>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</si>
  <si>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</si>
  <si>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</si>
  <si>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</si>
  <si>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</si>
  <si>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</si>
  <si>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</si>
  <si>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</si>
  <si>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</si>
  <si>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</si>
  <si>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</si>
  <si>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</si>
  <si>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</si>
  <si>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</si>
  <si>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</si>
  <si>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</si>
  <si>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</si>
  <si>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</si>
  <si>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</si>
  <si>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</si>
  <si>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</si>
  <si>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</si>
  <si>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</si>
  <si>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</si>
  <si>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</si>
  <si>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</si>
  <si>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</si>
  <si>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</si>
  <si>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</si>
  <si>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</si>
  <si>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</si>
  <si>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</si>
  <si>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</si>
  <si>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</si>
  <si>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</si>
  <si>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</si>
  <si>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</si>
  <si>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</si>
  <si>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</si>
  <si>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</si>
  <si>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</si>
  <si>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</si>
  <si>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</si>
  <si>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</si>
  <si>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</si>
  <si>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</si>
  <si>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</si>
  <si>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</si>
  <si>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</si>
  <si>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</si>
  <si>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</si>
  <si>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</si>
  <si>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</si>
  <si>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</si>
  <si>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</si>
  <si>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</si>
  <si>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</si>
  <si>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</si>
  <si>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</si>
  <si>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</si>
  <si>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</si>
  <si>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</si>
  <si>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</si>
  <si>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</si>
  <si>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</si>
  <si>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</si>
  <si>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</si>
  <si>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</si>
  <si>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</si>
  <si>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</si>
  <si>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</si>
  <si>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</si>
  <si>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</si>
  <si>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</si>
  <si>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</si>
  <si>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</si>
  <si>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</si>
  <si>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</si>
  <si>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</si>
  <si>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</si>
  <si>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</si>
  <si>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</si>
  <si>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</si>
  <si>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</si>
  <si>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</si>
  <si>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</si>
  <si>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</si>
  <si>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</si>
  <si>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</si>
  <si>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</si>
  <si>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</si>
  <si>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</si>
  <si>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</si>
  <si>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</si>
  <si>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</si>
  <si>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</si>
  <si>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</si>
  <si>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</si>
  <si>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</si>
  <si>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</si>
  <si>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</si>
  <si>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</si>
  <si>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</si>
  <si>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</si>
  <si>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</si>
  <si>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</si>
  <si>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</si>
  <si>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</si>
  <si>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</si>
  <si>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</si>
  <si>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</si>
  <si>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</si>
  <si>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</si>
  <si>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</si>
  <si>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</si>
  <si>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</si>
  <si>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</si>
  <si>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</si>
  <si>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</si>
  <si>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</si>
  <si>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</si>
  <si>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</si>
  <si>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</si>
  <si>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</si>
  <si>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</si>
  <si>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</si>
  <si>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</si>
  <si>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</si>
  <si>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</si>
  <si>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</si>
  <si>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</si>
  <si>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</si>
  <si>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</si>
  <si>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</si>
  <si>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</si>
  <si>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</si>
  <si>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</si>
  <si>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</si>
  <si>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</si>
  <si>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</si>
  <si>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</si>
  <si>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</si>
  <si>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</si>
  <si>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</si>
  <si>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</si>
  <si>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</si>
  <si>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</si>
  <si>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</si>
  <si>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</si>
  <si>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</si>
  <si>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</si>
  <si>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</si>
  <si>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</si>
  <si>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</si>
  <si>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</si>
  <si>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</si>
  <si>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</si>
  <si>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</si>
  <si>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</si>
  <si>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</si>
  <si>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</si>
  <si>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</si>
  <si>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</si>
  <si>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</si>
  <si>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</si>
  <si>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</si>
  <si>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</si>
  <si>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</si>
  <si>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</si>
  <si>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</si>
  <si>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</si>
  <si>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</si>
  <si>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</si>
  <si>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</si>
  <si>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</si>
  <si>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</si>
  <si>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</si>
  <si>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</si>
  <si>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</si>
  <si>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</si>
  <si>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</si>
  <si>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</si>
  <si>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</si>
  <si>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</si>
  <si>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</si>
  <si>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</si>
  <si>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</si>
  <si>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</si>
  <si>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</si>
  <si>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</si>
  <si>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</si>
  <si>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</si>
  <si>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</si>
  <si>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</si>
  <si>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</si>
  <si>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</si>
  <si>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</si>
  <si>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</si>
  <si>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</si>
  <si>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</si>
  <si>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</si>
  <si>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</si>
  <si>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</si>
  <si>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</si>
  <si>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</si>
  <si>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</si>
  <si>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</si>
  <si>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</si>
  <si>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</si>
  <si>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</si>
  <si>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</si>
  <si>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</si>
  <si>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</si>
  <si>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</si>
  <si>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</si>
  <si>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</si>
  <si>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</si>
  <si>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</si>
  <si>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</si>
  <si>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</si>
  <si>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</si>
  <si>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</si>
  <si>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</si>
  <si>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</si>
  <si>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</si>
  <si>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</si>
  <si>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</si>
  <si>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</si>
  <si>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</si>
  <si>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</si>
  <si>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</si>
  <si>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</si>
  <si>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</si>
  <si>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</si>
  <si>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</si>
  <si>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</si>
  <si>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</si>
  <si>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</si>
  <si>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</si>
  <si>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</si>
  <si>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</si>
  <si>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</si>
  <si>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</si>
  <si>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</si>
  <si>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</si>
  <si>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</si>
  <si>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</si>
  <si>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</si>
  <si>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</si>
  <si>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</si>
  <si>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</si>
  <si>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</si>
  <si>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</si>
  <si>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</si>
  <si>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</si>
  <si>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</si>
  <si>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</si>
  <si>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</si>
  <si>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</si>
  <si>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</si>
  <si>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</si>
  <si>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</si>
  <si>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</si>
  <si>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</si>
  <si>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</si>
  <si>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</si>
  <si>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</si>
  <si>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</si>
  <si>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</si>
  <si>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</si>
  <si>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</si>
  <si>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</si>
  <si>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</si>
  <si>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</si>
  <si>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</si>
  <si>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</si>
  <si>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</si>
  <si>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</si>
  <si>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</si>
  <si>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</si>
  <si>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</si>
  <si>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</si>
  <si>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</si>
  <si>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</si>
  <si>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</si>
  <si>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</si>
  <si>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</si>
  <si>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</si>
  <si>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</si>
  <si>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</si>
  <si>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</si>
  <si>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</si>
  <si>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</si>
  <si>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</si>
  <si>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</si>
  <si>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</si>
  <si>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</si>
  <si>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</si>
  <si>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</si>
  <si>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</si>
  <si>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</si>
  <si>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</si>
  <si>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</si>
  <si>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</si>
  <si>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</si>
  <si>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</si>
  <si>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</si>
  <si>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</si>
  <si>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</si>
  <si>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</si>
  <si>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</si>
  <si>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</si>
  <si>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</si>
  <si>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</si>
  <si>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</si>
  <si>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</si>
  <si>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</si>
  <si>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</si>
  <si>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</si>
  <si>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</si>
  <si>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</si>
  <si>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</si>
  <si>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</si>
  <si>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</si>
  <si>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</si>
  <si>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</si>
  <si>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</si>
  <si>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</si>
  <si>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</si>
  <si>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</si>
  <si>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</si>
  <si>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</si>
  <si>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</si>
  <si>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</si>
  <si>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</si>
  <si>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</si>
  <si>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</si>
  <si>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</si>
  <si>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</si>
  <si>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</si>
  <si>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</si>
  <si>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</si>
  <si>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</si>
  <si>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</si>
  <si>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</si>
  <si>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</si>
  <si>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</si>
  <si>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</si>
  <si>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</si>
  <si>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</si>
  <si>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</si>
  <si>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</si>
  <si>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</si>
  <si>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</si>
  <si>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</si>
  <si>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</si>
  <si>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</si>
  <si>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</si>
  <si>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</si>
  <si>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</si>
  <si>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</si>
  <si>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</si>
  <si>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</si>
  <si>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</si>
  <si>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</si>
  <si>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</si>
  <si>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</si>
  <si>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</si>
  <si>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</si>
  <si>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</si>
  <si>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</si>
  <si>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</si>
  <si>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</si>
  <si>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</si>
  <si>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</si>
  <si>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</si>
  <si>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</si>
  <si>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</si>
  <si>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</si>
  <si>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</si>
  <si>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</si>
  <si>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</si>
  <si>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</si>
  <si>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</si>
  <si>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</si>
  <si>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</si>
  <si>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</si>
  <si>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</si>
  <si>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</si>
  <si>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</si>
  <si>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</si>
  <si>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</si>
  <si>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</si>
  <si>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</si>
  <si>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</si>
  <si>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</si>
  <si>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</si>
  <si>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</si>
  <si>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</si>
  <si>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</si>
  <si>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</si>
  <si>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</si>
  <si>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</si>
  <si>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</si>
  <si>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</si>
  <si>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</si>
  <si>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</si>
  <si>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</si>
  <si>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</si>
  <si>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</si>
  <si>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</si>
  <si>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</si>
  <si>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</si>
  <si>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</si>
  <si>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</si>
  <si>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</si>
  <si>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</si>
  <si>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</si>
  <si>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</si>
  <si>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</si>
  <si>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</si>
  <si>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</si>
  <si>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</si>
  <si>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</si>
  <si>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</si>
  <si>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</si>
  <si>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</si>
  <si>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</si>
  <si>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</si>
  <si>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</si>
  <si>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</si>
  <si>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</si>
  <si>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202623-1</t>
  </si>
  <si>
    <t>ESAB INDUSTRIA</t>
  </si>
  <si>
    <t>MAURO MARQUES</t>
  </si>
  <si>
    <t>EXPRESSO_250</t>
  </si>
  <si>
    <t>CTE NORMAL</t>
  </si>
  <si>
    <t>NAO-ME-TOQUE - RS</t>
  </si>
  <si>
    <t>ROBSON BARBOSA FERREIRA</t>
  </si>
  <si>
    <t>N/D</t>
  </si>
  <si>
    <t>PACIFICO DE FREITAS MADEI</t>
  </si>
  <si>
    <t>202713-1</t>
  </si>
  <si>
    <t>MEU RODAPE LTDA</t>
  </si>
  <si>
    <t>TIAGO SANTANA</t>
  </si>
  <si>
    <t>ECONOMICO_250</t>
  </si>
  <si>
    <t>SAO PAULO - SP</t>
  </si>
  <si>
    <t>RAFAEL DE FREITAS</t>
  </si>
  <si>
    <t>JOSE EMILTON DA COSTA - O</t>
  </si>
  <si>
    <t>Itajai-Sc X Nao Me Toque-Rstruck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</si>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</sst>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[Analise_PACIFICO_04092026.xlsx]Resumo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MEU RODAPE LTDA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5115.5200000000004</c:v>
                </c:pt>
                <c:pt idx="1">
                  <c:v>146.49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MEU RODAPE LTDA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3874.5983999999999</c:v>
                </c:pt>
                <c:pt idx="1">
                  <c:v>75.210800000000006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[Analise_PACIFICO_04092026.xlsx]Resumo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MEU RODAPE LTDA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5115.5200000000004</c:v>
                </c:pt>
                <c:pt idx="1">
                  <c:v>146.49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ESAB INDUSTRIA</c:v>
                </c:pt>
                <c:pt idx="1">
                  <c:v>MEU RODAPE LTDA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3874.5983999999999</c:v>
                </c:pt>
                <c:pt idx="1">
                  <c:v>75.210800000000006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48969710648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799" count="8000">
        <n v="299660"/>
        <n v="29979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3T00:00:00" maxDate="2026-09-04T00:00:00"/>
    </cacheField>
    <cacheField name="DATA" numFmtId="14">
      <sharedItems containsNonDate="0" containsDate="1" containsString="0" containsBlank="1" minDate="2026-09-03T00:00:00" maxDate="2026-09-0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ESAB INDUSTRIA"/>
        <s v="MEU RODAPE LTD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69.37" maxValue="50413.67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6.49" maxValue="5115.5200000000004"/>
    </cacheField>
    <cacheField name="VOLUMES" numFmtId="0">
      <sharedItems containsString="0" containsBlank="1" containsNumber="1" containsInteger="1" minValue="2" maxValue="3"/>
    </cacheField>
    <cacheField name="PESO" numFmtId="0">
      <sharedItems containsString="0" containsBlank="1" containsNumber="1" minValue="90.15" maxValue="3346.92"/>
    </cacheField>
    <cacheField name="RESP. COLETA" numFmtId="0">
      <sharedItems containsBlank="1"/>
    </cacheField>
    <cacheField name="CUSTO COLETA" numFmtId="0">
      <sharedItems containsString="0" containsBlank="1" containsNumber="1" minValue="0" maxValue="133.9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579999999999998" maxValue="613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43" maxValue="25.21"/>
    </cacheField>
    <cacheField name="OUTROS" numFmtId="0">
      <sharedItems containsString="0" containsBlank="1" containsNumber="1" minValue="0.55000000000000004" maxValue="58.68"/>
    </cacheField>
    <cacheField name="C.TOTAL" numFmtId="0">
      <sharedItems containsString="0" containsBlank="1" containsNumber="1" minValue="125.13" maxValue="3266.11"/>
    </cacheField>
    <cacheField name="RECEITA" numFmtId="0">
      <sharedItems containsString="0" containsBlank="1" containsNumber="1" minValue="21.36" maxValue="1849.41"/>
    </cacheField>
    <cacheField name="IMPOSTO" numFmtId="0">
      <sharedItems containsString="0" containsBlank="1" containsNumber="1" minValue="38.090000000000003" maxValue="1330.04"/>
    </cacheField>
    <cacheField name="RESULTADO" numFmtId="0">
      <sharedItems containsString="0" containsBlank="1" containsNumber="1" minValue="-20.6" maxValue="519.3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0.6" maxValue="519.37"/>
    </cacheField>
    <cacheField name="MARGEM" numFmtId="10">
      <sharedItems containsString="0" containsBlank="1" containsNumber="1" minValue="-0.1406" maxValue="0.1015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3T00:00:00"/>
    <d v="2026-09-03T00:00:00"/>
    <m/>
    <s v="202623-1"/>
    <x v="0"/>
    <s v="MAURO MARQUES"/>
    <n v="50413.67"/>
    <x v="0"/>
    <s v="CTE NORMAL"/>
    <s v="NAO-ME-TOQUE - RS"/>
    <n v="5115.5200000000004"/>
    <n v="3"/>
    <n v="3346.92"/>
    <s v="ROBSON BARBOSA FERREIRA"/>
    <n v="133.93"/>
    <s v="N/D"/>
    <n v="0"/>
    <s v="PACIFICO DE FREITAS MADEI"/>
    <n v="0"/>
    <n v="613.86"/>
    <n v="0"/>
    <n v="0"/>
    <n v="25.21"/>
    <n v="58.68"/>
    <n v="3266.11"/>
    <n v="1849.41"/>
    <n v="1330.04"/>
    <n v="519.37"/>
    <n v="0"/>
    <n v="519.37"/>
    <n v="0.10150000000000001"/>
    <m/>
  </r>
  <r>
    <x v="1"/>
    <s v="MATRIZ"/>
    <d v="2026-09-03T00:00:00"/>
    <d v="2026-09-04T00:00:00"/>
    <m/>
    <s v="202713-1"/>
    <x v="1"/>
    <s v="TIAGO SANTANA"/>
    <n v="2869.37"/>
    <x v="1"/>
    <s v="CTE NORMAL"/>
    <s v="SAO PAULO - SP"/>
    <n v="146.49"/>
    <n v="2"/>
    <n v="90.15"/>
    <s v="RAFAEL DE FREITAS"/>
    <n v="0"/>
    <s v="JOSE EMILTON DA COSTA - O"/>
    <n v="40"/>
    <s v="PACIFICO DE FREITAS MADEI"/>
    <n v="0"/>
    <n v="17.579999999999998"/>
    <n v="0"/>
    <n v="0"/>
    <n v="1.43"/>
    <n v="0.55000000000000004"/>
    <n v="125.13"/>
    <n v="21.36"/>
    <n v="38.090000000000003"/>
    <n v="-20.6"/>
    <n v="0"/>
    <n v="-20.6"/>
    <n v="-0.1406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7"/>
        <item m="1" x="48"/>
        <item sd="0" m="1" x="669"/>
        <item m="1" x="661"/>
        <item m="1" x="469"/>
        <item m="1" x="45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1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4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8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x="0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6"/>
        <item m="1" x="458"/>
        <item m="1" x="790"/>
        <item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9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2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4"/>
        <item m="1" x="302"/>
        <item m="1" x="549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2"/>
        <item m="1" x="573"/>
        <item m="1" x="157"/>
        <item sd="0" m="1" x="561"/>
        <item m="1" x="46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7"/>
        <item m="1" x="209"/>
        <item m="1" x="682"/>
        <item m="1" x="275"/>
        <item m="1" x="472"/>
        <item m="1" x="799"/>
        <item m="1" x="217"/>
        <item m="1" x="827"/>
        <item m="1" x="70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5"/>
        <item sd="0" m="1" x="670"/>
        <item x="1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0"/>
        <item m="1" x="535"/>
        <item m="1" x="645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9"/>
        <item m="1" x="775"/>
        <item sd="0" m="1" x="72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8"/>
        <item m="1" x="754"/>
        <item m="1" x="155"/>
        <item m="1" x="233"/>
        <item m="1" x="238"/>
        <item m="1" x="466"/>
        <item m="1" x="707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7"/>
        <item m="1" x="86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47"/>
    </i>
    <i r="1">
      <x v="7998"/>
    </i>
    <i>
      <x v="51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7"/>
        <item m="1" x="48"/>
        <item sd="0" m="1" x="669"/>
        <item m="1" x="661"/>
        <item m="1" x="469"/>
        <item m="1" x="45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1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4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8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x="0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6"/>
        <item m="1" x="458"/>
        <item m="1" x="790"/>
        <item sd="0"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9"/>
        <item m="1" x="383"/>
        <item m="1" x="590"/>
        <item m="1" x="747"/>
        <item sd="0" m="1" x="269"/>
        <item m="1" x="18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2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4"/>
        <item m="1" x="302"/>
        <item m="1" x="549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2"/>
        <item m="1" x="573"/>
        <item m="1" x="157"/>
        <item sd="0" m="1" x="561"/>
        <item m="1" x="46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7"/>
        <item m="1" x="209"/>
        <item m="1" x="682"/>
        <item m="1" x="275"/>
        <item m="1" x="472"/>
        <item m="1" x="799"/>
        <item m="1" x="217"/>
        <item m="1" x="827"/>
        <item m="1" x="70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5"/>
        <item sd="0" m="1" x="670"/>
        <item x="1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0"/>
        <item m="1" x="535"/>
        <item m="1" x="645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9"/>
        <item m="1" x="775"/>
        <item sd="0" m="1" x="72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8"/>
        <item m="1" x="754"/>
        <item m="1" x="155"/>
        <item m="1" x="233"/>
        <item m="1" x="238"/>
        <item m="1" x="466"/>
        <item m="1" x="707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7"/>
        <item m="1" x="86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47"/>
    </i>
    <i>
      <x v="51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51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7" s="1" nd="1"/>
        <i x="48" s="1" nd="1"/>
        <i x="669" s="1" nd="1"/>
        <i x="661" s="1" nd="1"/>
        <i x="469" s="1" nd="1"/>
        <i x="45" s="1" nd="1"/>
        <i x="730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1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4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60" s="1" nd="1"/>
        <i x="632" s="1" nd="1"/>
        <i x="531" s="1" nd="1"/>
        <i x="295" s="1" nd="1"/>
        <i x="304" s="1" nd="1"/>
        <i x="174" s="1" nd="1"/>
        <i x="101" s="1" nd="1"/>
        <i x="71" s="1" nd="1"/>
        <i x="579" s="1" nd="1"/>
        <i x="798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6" s="1" nd="1"/>
        <i x="458" s="1" nd="1"/>
        <i x="790" s="1" nd="1"/>
        <i x="704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9" s="1" nd="1"/>
        <i x="383" s="1" nd="1"/>
        <i x="590" s="1" nd="1"/>
        <i x="747" s="1" nd="1"/>
        <i x="269" s="1" nd="1"/>
        <i x="18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2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4" s="1" nd="1"/>
        <i x="302" s="1" nd="1"/>
        <i x="549" s="1" nd="1"/>
        <i x="61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2" s="1" nd="1"/>
        <i x="573" s="1" nd="1"/>
        <i x="157" s="1" nd="1"/>
        <i x="561" s="1" nd="1"/>
        <i x="46" s="1" nd="1"/>
        <i x="723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5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6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7" s="1" nd="1"/>
        <i x="209" s="1" nd="1"/>
        <i x="682" s="1" nd="1"/>
        <i x="275" s="1" nd="1"/>
        <i x="472" s="1" nd="1"/>
        <i x="799" s="1" nd="1"/>
        <i x="217" s="1" nd="1"/>
        <i x="827" s="1" nd="1"/>
        <i x="70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4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2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8" s="1" nd="1"/>
        <i x="754" s="1" nd="1"/>
        <i x="155" s="1" nd="1"/>
        <i x="233" s="1" nd="1"/>
        <i x="238" s="1" nd="1"/>
        <i x="466" s="1" nd="1"/>
        <i x="707" s="1" nd="1"/>
        <i x="620" s="1" nd="1"/>
        <i x="731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79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5" s="1" nd="1"/>
        <i x="414" s="1" nd="1"/>
        <i x="553" s="1" nd="1"/>
        <i x="97" s="1" nd="1"/>
        <i x="86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3" s="1" nd="1"/>
        <i x="569" s="1" nd="1"/>
        <i x="431" s="1" nd="1"/>
        <i x="426" s="1" nd="1"/>
        <i x="176" s="1" nd="1"/>
        <i x="366" s="1" nd="1"/>
        <i x="758" s="1" nd="1"/>
        <i x="601" s="1" nd="1"/>
        <i x="13" s="1" nd="1"/>
        <i x="93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299660</v>
      </c>
      <c r="B2" s="12" t="s">
        <v>579</v>
      </c>
      <c r="C2" s="14">
        <v>46268</v>
      </c>
      <c r="D2" s="14">
        <v>46268</v>
      </c>
      <c r="E2" s="12"/>
      <c r="F2" s="15" t="s">
        <v>580</v>
      </c>
      <c r="G2" s="15" t="s">
        <v>581</v>
      </c>
      <c r="H2" s="15" t="s">
        <v>582</v>
      </c>
      <c r="I2" s="16">
        <v>50413.67</v>
      </c>
      <c r="J2" s="15" t="s">
        <v>583</v>
      </c>
      <c r="K2" s="15" t="s">
        <v>584</v>
      </c>
      <c r="L2" s="15" t="s">
        <v>585</v>
      </c>
      <c r="M2" s="15">
        <v>5115.5200000000004</v>
      </c>
      <c r="N2" s="15">
        <v>3</v>
      </c>
      <c r="O2" s="16">
        <v>3346.92</v>
      </c>
      <c r="P2" s="15" t="s">
        <v>586</v>
      </c>
      <c r="Q2" s="15">
        <v>133.93</v>
      </c>
      <c r="R2" s="15" t="s">
        <v>587</v>
      </c>
      <c r="S2" s="15">
        <v>0</v>
      </c>
      <c r="T2" s="15" t="s">
        <v>588</v>
      </c>
      <c r="U2" s="15">
        <v>0</v>
      </c>
      <c r="V2" s="15">
        <v>613.86</v>
      </c>
      <c r="W2" s="15">
        <v>0</v>
      </c>
      <c r="X2" s="15">
        <v>0</v>
      </c>
      <c r="Y2" s="15">
        <v>25.21</v>
      </c>
      <c r="Z2" s="15">
        <v>58.68</v>
      </c>
      <c r="AA2" s="15">
        <v>3266.11</v>
      </c>
      <c r="AB2" s="15">
        <v>1849.41</v>
      </c>
      <c r="AC2" s="15">
        <v>1330.04</v>
      </c>
      <c r="AD2" s="15">
        <v>519.37</v>
      </c>
      <c r="AE2" s="15">
        <v>0</v>
      </c>
      <c r="AF2" s="15">
        <v>519.37</v>
      </c>
      <c r="AG2" s="17">
        <v>0.10150000000000001</v>
      </c>
      <c r="AH2" s="15"/>
    </row>
    <row r="3" spans="1:34" s="1" customFormat="1" ht="12" customHeight="1" x14ac:dyDescent="0.3">
      <c r="A3" s="13">
        <v>299799</v>
      </c>
      <c r="B3" s="12" t="s">
        <v>579</v>
      </c>
      <c r="C3" s="14">
        <v>46268</v>
      </c>
      <c r="D3" s="14">
        <v>46269</v>
      </c>
      <c r="E3" s="12"/>
      <c r="F3" s="15" t="s">
        <v>589</v>
      </c>
      <c r="G3" s="15" t="s">
        <v>590</v>
      </c>
      <c r="H3" s="15" t="s">
        <v>591</v>
      </c>
      <c r="I3" s="16">
        <v>2869.37</v>
      </c>
      <c r="J3" s="15" t="s">
        <v>592</v>
      </c>
      <c r="K3" s="15" t="s">
        <v>584</v>
      </c>
      <c r="L3" s="15" t="s">
        <v>593</v>
      </c>
      <c r="M3" s="16">
        <v>146.49</v>
      </c>
      <c r="N3" s="15">
        <v>2</v>
      </c>
      <c r="O3" s="16">
        <v>90.15</v>
      </c>
      <c r="P3" s="15" t="s">
        <v>594</v>
      </c>
      <c r="Q3" s="15">
        <v>0</v>
      </c>
      <c r="R3" s="15" t="s">
        <v>595</v>
      </c>
      <c r="S3" s="15">
        <v>40</v>
      </c>
      <c r="T3" s="15" t="s">
        <v>588</v>
      </c>
      <c r="U3" s="15">
        <v>0</v>
      </c>
      <c r="V3" s="15">
        <v>17.579999999999998</v>
      </c>
      <c r="W3" s="15">
        <v>0</v>
      </c>
      <c r="X3" s="15">
        <v>0</v>
      </c>
      <c r="Y3" s="15">
        <v>1.43</v>
      </c>
      <c r="Z3" s="15">
        <v>0.55000000000000004</v>
      </c>
      <c r="AA3" s="16">
        <v>125.13</v>
      </c>
      <c r="AB3" s="16">
        <v>21.36</v>
      </c>
      <c r="AC3" s="15">
        <v>38.090000000000003</v>
      </c>
      <c r="AD3" s="15">
        <v>-20.6</v>
      </c>
      <c r="AE3" s="15">
        <v>0</v>
      </c>
      <c r="AF3" s="15">
        <v>-20.6</v>
      </c>
      <c r="AG3" s="17">
        <v>-0.1406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5262.01</v>
      </c>
      <c r="F3" s="93"/>
      <c r="G3" s="94"/>
      <c r="H3" s="95">
        <f>'Resumo Detalhado'!C2</f>
        <v>3437.07</v>
      </c>
      <c r="I3" s="96"/>
      <c r="J3" s="97">
        <f>E3/H3</f>
        <v>1.5309580543893491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0.31246090909090912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2633.93</v>
      </c>
      <c r="F7" s="109"/>
      <c r="G7" s="109"/>
      <c r="H7" s="109"/>
      <c r="I7" s="109"/>
      <c r="J7" s="109">
        <f>E7/H3</f>
        <v>0.76633004273989169</v>
      </c>
      <c r="K7" s="109"/>
      <c r="L7" s="109"/>
      <c r="M7" s="110">
        <f>E7/E3</f>
        <v>0.50055587123551637</v>
      </c>
      <c r="N7" s="110"/>
      <c r="O7" s="110"/>
      <c r="P7" s="109">
        <f>E11+K11+Q11+E15+K15+Q15+E19+H19+K19</f>
        <v>4614.1224000000002</v>
      </c>
      <c r="Q7" s="109"/>
      <c r="R7" s="109"/>
      <c r="S7" s="109">
        <f>P7/H3</f>
        <v>1.3424580820291703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2500</v>
      </c>
      <c r="L11" s="94"/>
      <c r="M11" s="38"/>
      <c r="N11" s="92">
        <f>K11/H3</f>
        <v>0.72736371386093379</v>
      </c>
      <c r="O11" s="94"/>
      <c r="P11" s="38"/>
      <c r="Q11" s="92">
        <f>'Resumo Detalhado'!D2</f>
        <v>133.93</v>
      </c>
      <c r="R11" s="94"/>
      <c r="S11" s="38"/>
      <c r="T11" s="92">
        <f>Q11/H3</f>
        <v>3.896632887895795E-2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631.44000000000005</v>
      </c>
      <c r="F15" s="113"/>
      <c r="G15" s="113"/>
      <c r="H15" s="113"/>
      <c r="I15" s="114"/>
      <c r="J15" s="38"/>
      <c r="K15" s="116">
        <f>'Resumo Detalhado'!K2+'Resumo Detalhado'!L2</f>
        <v>841.92160000000013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26.64</v>
      </c>
      <c r="F19" s="119"/>
      <c r="G19" s="38"/>
      <c r="H19" s="106">
        <f>'Resumo Detalhado'!J2</f>
        <v>59.23</v>
      </c>
      <c r="I19" s="108"/>
      <c r="J19" s="38"/>
      <c r="K19" s="106">
        <f>'Resumo Detalhado'!L2</f>
        <v>420.96080000000006</v>
      </c>
      <c r="L19" s="108"/>
      <c r="M19" s="38"/>
      <c r="N19" s="112" t="s">
        <v>596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3949.8091999999997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0.75062745984899293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597</v>
      </c>
      <c r="F1" s="29"/>
    </row>
    <row r="2" spans="1:18" x14ac:dyDescent="0.3">
      <c r="B2" s="29">
        <f>SUM(B6:B5000)</f>
        <v>5262.01</v>
      </c>
      <c r="C2" s="29">
        <f>SUM(C6:C5000)</f>
        <v>3437.07</v>
      </c>
      <c r="D2" s="29">
        <f>SUM(D6:D5000)</f>
        <v>133.93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631.44000000000005</v>
      </c>
      <c r="I2" s="29">
        <f t="shared" si="0"/>
        <v>26.64</v>
      </c>
      <c r="J2" s="29">
        <f t="shared" si="0"/>
        <v>59.23</v>
      </c>
      <c r="K2" s="29">
        <f t="shared" si="0"/>
        <v>420.96080000000006</v>
      </c>
      <c r="L2" s="29">
        <f t="shared" si="0"/>
        <v>420.96080000000006</v>
      </c>
      <c r="M2" s="29">
        <f t="shared" si="0"/>
        <v>0</v>
      </c>
      <c r="N2" s="29">
        <f t="shared" si="0"/>
        <v>3949.8091999999997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299660</v>
      </c>
      <c r="B6" s="139">
        <v>5115.5200000000004</v>
      </c>
      <c r="C6" s="140">
        <v>3346.92</v>
      </c>
      <c r="D6" s="139">
        <v>133.93</v>
      </c>
      <c r="E6" s="139">
        <v>0</v>
      </c>
      <c r="F6" s="139">
        <v>0</v>
      </c>
      <c r="G6" s="141">
        <v>2.6181111597647942E-2</v>
      </c>
      <c r="H6" s="139">
        <v>613.86</v>
      </c>
      <c r="I6" s="139">
        <v>25.21</v>
      </c>
      <c r="J6" s="139">
        <v>58.68</v>
      </c>
      <c r="K6" s="139">
        <v>409.24160000000006</v>
      </c>
      <c r="L6" s="139">
        <v>409.24160000000006</v>
      </c>
      <c r="M6" s="139">
        <v>0</v>
      </c>
      <c r="N6" s="139">
        <v>3874.5983999999999</v>
      </c>
      <c r="O6" s="141">
        <v>0.75742024271237318</v>
      </c>
      <c r="Q6"/>
    </row>
    <row r="7" spans="1:18" s="31" customFormat="1" x14ac:dyDescent="0.3">
      <c r="A7" s="9" t="s">
        <v>590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299799</v>
      </c>
      <c r="B8" s="139">
        <v>146.49</v>
      </c>
      <c r="C8" s="140">
        <v>90.15</v>
      </c>
      <c r="D8" s="139">
        <v>0</v>
      </c>
      <c r="E8" s="139">
        <v>40</v>
      </c>
      <c r="F8" s="139">
        <v>0</v>
      </c>
      <c r="G8" s="141">
        <v>0.27305618130930437</v>
      </c>
      <c r="H8" s="139">
        <v>17.579999999999998</v>
      </c>
      <c r="I8" s="139">
        <v>1.43</v>
      </c>
      <c r="J8" s="139">
        <v>0.55000000000000004</v>
      </c>
      <c r="K8" s="139">
        <v>11.719200000000001</v>
      </c>
      <c r="L8" s="139">
        <v>11.719200000000001</v>
      </c>
      <c r="M8" s="139">
        <v>0</v>
      </c>
      <c r="N8" s="139">
        <v>75.210800000000006</v>
      </c>
      <c r="O8" s="141">
        <v>0.51341934603044581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597</v>
      </c>
    </row>
    <row r="2" spans="1:4" x14ac:dyDescent="0.3">
      <c r="B2" s="29">
        <f>SUM(B6:B5000)</f>
        <v>146.49</v>
      </c>
      <c r="C2" s="29">
        <f>SUM(C6:C5000)</f>
        <v>75.210800000000006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5115.5200000000004</v>
      </c>
      <c r="C5" s="10">
        <v>3874.5983999999999</v>
      </c>
    </row>
    <row r="6" spans="1:4" x14ac:dyDescent="0.3">
      <c r="A6" s="9" t="s">
        <v>590</v>
      </c>
      <c r="B6" s="139">
        <v>146.49</v>
      </c>
      <c r="C6" s="139">
        <v>75.210800000000006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2026-09-10T14:45:17Z</dcterms:modified>
  <cp:category/>
  <cp:contentStatus/>
</cp:coreProperties>
</file>