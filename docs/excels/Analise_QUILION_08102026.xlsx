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D4712F6-7438-4CAD-8AEF-B9767C67E566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<sst xmlns="http://schemas.openxmlformats.org/spreadsheetml/2006/main" count="903" uniqueCount="628">
  <si>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</si>
  <si>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</si>
  <si>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</si>
  <si>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</si>
  <si>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</si>
  <si>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</si>
  <si>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</si>
  <si>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</si>
  <si>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</si>
  <si>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</si>
  <si>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</si>
  <si>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</si>
  <si>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</si>
  <si>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</si>
  <si>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</si>
  <si>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</si>
  <si>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</si>
  <si>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</si>
  <si>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</si>
  <si>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</si>
  <si>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</si>
  <si>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</si>
  <si>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</si>
  <si>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</si>
  <si>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</si>
  <si>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</si>
  <si>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</si>
  <si>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</si>
  <si>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</si>
  <si>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</si>
  <si>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</si>
  <si>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</si>
  <si>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</si>
  <si>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</si>
  <si>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</si>
  <si>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</si>
  <si>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</si>
  <si>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</si>
  <si>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</si>
  <si>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</si>
  <si>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</si>
  <si>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</si>
  <si>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</si>
  <si>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</si>
  <si>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</si>
  <si>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</si>
  <si>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</si>
  <si>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</si>
  <si>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</si>
  <si>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</si>
  <si>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</si>
  <si>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</si>
  <si>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</si>
  <si>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</si>
  <si>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</si>
  <si>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</si>
  <si>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</si>
  <si>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</si>
  <si>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</si>
  <si>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</si>
  <si>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</si>
  <si>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</si>
  <si>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</si>
  <si>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</si>
  <si>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</si>
  <si>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</si>
  <si>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</si>
  <si>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</si>
  <si>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</si>
  <si>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</si>
  <si>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</si>
  <si>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</si>
  <si>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</si>
  <si>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</si>
  <si>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</si>
  <si>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</si>
  <si>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</si>
  <si>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</si>
  <si>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</si>
  <si>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</si>
  <si>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</si>
  <si>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</si>
  <si>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</si>
  <si>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</si>
  <si>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</si>
  <si>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</si>
  <si>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</si>
  <si>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</si>
  <si>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</si>
  <si>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</si>
  <si>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</si>
  <si>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</si>
  <si>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</si>
  <si>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</si>
  <si>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</si>
  <si>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</si>
  <si>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</si>
  <si>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</si>
  <si>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</si>
  <si>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</si>
  <si>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</si>
  <si>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</si>
  <si>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</si>
  <si>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</si>
  <si>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</si>
  <si>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</si>
  <si>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</si>
  <si>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</si>
  <si>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</si>
  <si>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</si>
  <si>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</si>
  <si>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</si>
  <si>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</si>
  <si>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</si>
  <si>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</si>
  <si>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</si>
  <si>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</si>
  <si>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</si>
  <si>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</si>
  <si>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</si>
  <si>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</si>
  <si>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</si>
  <si>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</si>
  <si>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</si>
  <si>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</si>
  <si>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</si>
  <si>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</si>
  <si>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</si>
  <si>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</si>
  <si>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</si>
  <si>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</si>
  <si>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</si>
  <si>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</si>
  <si>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</si>
  <si>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</si>
  <si>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</si>
  <si>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</si>
  <si>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</si>
  <si>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</si>
  <si>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</si>
  <si>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</si>
  <si>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</si>
  <si>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</si>
  <si>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</si>
  <si>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</si>
  <si>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</si>
  <si>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</si>
  <si>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</si>
  <si>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</si>
  <si>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</si>
  <si>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</si>
  <si>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</si>
  <si>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</si>
  <si>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</si>
  <si>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</si>
  <si>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</si>
  <si>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</si>
  <si>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</si>
  <si>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</si>
  <si>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</si>
  <si>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</si>
  <si>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</si>
  <si>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</si>
  <si>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</si>
  <si>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</si>
  <si>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</si>
  <si>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</si>
  <si>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</si>
  <si>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</si>
  <si>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</si>
  <si>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</si>
  <si>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</si>
  <si>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</si>
  <si>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</si>
  <si>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</si>
  <si>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</si>
  <si>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</si>
  <si>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</si>
  <si>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</si>
  <si>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</si>
  <si>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</si>
  <si>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</si>
  <si>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</si>
  <si>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</si>
  <si>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</si>
  <si>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</si>
  <si>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</si>
  <si>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</si>
  <si>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</si>
  <si>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</si>
  <si>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</si>
  <si>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</si>
  <si>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</si>
  <si>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</si>
  <si>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</si>
  <si>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</si>
  <si>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</si>
  <si>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</si>
  <si>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</si>
  <si>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</si>
  <si>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</si>
  <si>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</si>
  <si>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</si>
  <si>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</si>
  <si>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</si>
  <si>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</si>
  <si>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</si>
  <si>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</si>
  <si>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</si>
  <si>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</si>
  <si>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</si>
  <si>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</si>
  <si>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</si>
  <si>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</si>
  <si>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</si>
  <si>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</si>
  <si>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</si>
  <si>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</si>
  <si>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</si>
  <si>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</si>
  <si>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</si>
  <si>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</si>
  <si>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</si>
  <si>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</si>
  <si>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</si>
  <si>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</si>
  <si>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</si>
  <si>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</si>
  <si>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</si>
  <si>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</si>
  <si>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</si>
  <si>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</si>
  <si>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</si>
  <si>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</si>
  <si>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</si>
  <si>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</si>
  <si>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</si>
  <si>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</si>
  <si>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</si>
  <si>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</si>
  <si>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</si>
  <si>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</si>
  <si>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</si>
  <si>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</si>
  <si>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</si>
  <si>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</si>
  <si>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</si>
  <si>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</si>
  <si>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</si>
  <si>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</si>
  <si>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</si>
  <si>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</si>
  <si>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</si>
  <si>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</si>
  <si>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</si>
  <si>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</si>
  <si>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</si>
  <si>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</si>
  <si>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</si>
  <si>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</si>
  <si>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</si>
  <si>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</si>
  <si>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</si>
  <si>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</si>
  <si>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</si>
  <si>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</si>
  <si>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</si>
  <si>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</si>
  <si>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</si>
  <si>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</si>
  <si>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</si>
  <si>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</si>
  <si>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</si>
  <si>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</si>
  <si>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</si>
  <si>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</si>
  <si>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</si>
  <si>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</si>
  <si>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</si>
  <si>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</si>
  <si>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</si>
  <si>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</si>
  <si>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</si>
  <si>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</si>
  <si>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</si>
  <si>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</si>
  <si>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</si>
  <si>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</si>
  <si>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</si>
  <si>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</si>
  <si>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</si>
  <si>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</si>
  <si>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</si>
  <si>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</si>
  <si>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</si>
  <si>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</si>
  <si>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</si>
  <si>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</si>
  <si>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</si>
  <si>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</si>
  <si>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</si>
  <si>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</si>
  <si>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</si>
  <si>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</si>
  <si>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</si>
  <si>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</si>
  <si>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</si>
  <si>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</si>
  <si>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</si>
  <si>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</si>
  <si>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</si>
  <si>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</si>
  <si>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</si>
  <si>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</si>
  <si>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</si>
  <si>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</si>
  <si>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</si>
  <si>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</si>
  <si>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</si>
  <si>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</si>
  <si>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</si>
  <si>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</si>
  <si>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</si>
  <si>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</si>
  <si>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</si>
  <si>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</si>
  <si>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</si>
  <si>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</si>
  <si>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</si>
  <si>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</si>
  <si>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</si>
  <si>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</si>
  <si>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</si>
  <si>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</si>
  <si>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</si>
  <si>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</si>
  <si>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</si>
  <si>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</si>
  <si>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</si>
  <si>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</si>
  <si>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</si>
  <si>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</si>
  <si>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</si>
  <si>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</si>
  <si>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</si>
  <si>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</si>
  <si>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</si>
  <si>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</si>
  <si>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</si>
  <si>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</si>
  <si>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</si>
  <si>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</si>
  <si>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</si>
  <si>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</si>
  <si>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</si>
  <si>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</si>
  <si>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</si>
  <si>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</si>
  <si>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</si>
  <si>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</si>
  <si>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</si>
  <si>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</si>
  <si>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</si>
  <si>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</si>
  <si>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</si>
  <si>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</si>
  <si>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</si>
  <si>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</si>
  <si>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</si>
  <si>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</si>
  <si>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</si>
  <si>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</si>
  <si>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</si>
  <si>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</si>
  <si>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</si>
  <si>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</si>
  <si>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</si>
  <si>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</si>
  <si>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</si>
  <si>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</si>
  <si>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</si>
  <si>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</si>
  <si>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</si>
  <si>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</si>
  <si>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</si>
  <si>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</si>
  <si>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</si>
  <si>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</si>
  <si>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</si>
  <si>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</si>
  <si>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</si>
  <si>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</si>
  <si>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</si>
  <si>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</si>
  <si>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</si>
  <si>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</si>
  <si>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</si>
  <si>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</si>
  <si>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</si>
  <si>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</si>
  <si>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</si>
  <si>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</si>
  <si>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</si>
  <si>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</si>
  <si>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</si>
  <si>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</si>
  <si>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</si>
  <si>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</si>
  <si>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</si>
  <si>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</si>
  <si>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</si>
  <si>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</si>
  <si>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</si>
  <si>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</si>
  <si>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</si>
  <si>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</si>
  <si>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</si>
  <si>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</si>
  <si>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</si>
  <si>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</si>
  <si>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</si>
  <si>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</si>
  <si>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</si>
  <si>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</si>
  <si>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</si>
  <si>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</si>
  <si>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</si>
  <si>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</si>
  <si>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</si>
  <si>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</si>
  <si>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</si>
  <si>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</si>
  <si>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</si>
  <si>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</si>
  <si>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</si>
  <si>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</si>
  <si>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</si>
  <si>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</si>
  <si>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</si>
  <si>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</si>
  <si>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</si>
  <si>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</si>
  <si>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</si>
  <si>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</si>
  <si>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</si>
  <si>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</si>
  <si>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</si>
  <si>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</si>
  <si>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</si>
  <si>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</si>
  <si>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</si>
  <si>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</si>
  <si>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</si>
  <si>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</si>
  <si>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</si>
  <si>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</si>
  <si>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</si>
  <si>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</si>
  <si>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</si>
  <si>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</si>
  <si>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</si>
  <si>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</si>
  <si>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</si>
  <si>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</si>
  <si>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</si>
  <si>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</si>
  <si>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</si>
  <si>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</si>
  <si>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</si>
  <si>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</si>
  <si>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</si>
  <si>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</si>
  <si>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</si>
  <si>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</si>
  <si>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</si>
  <si>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</si>
  <si>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</si>
  <si>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</si>
  <si>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</si>
  <si>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</si>
  <si>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</si>
  <si>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</si>
  <si>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</si>
  <si>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</si>
  <si>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</si>
  <si>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</si>
  <si>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</si>
  <si>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</si>
  <si>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</si>
  <si>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</si>
  <si>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</si>
  <si>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</si>
  <si>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</si>
  <si>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</si>
  <si>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</si>
  <si>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</si>
  <si>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</si>
  <si>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</si>
  <si>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</si>
  <si>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</si>
  <si>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</si>
  <si>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</si>
  <si>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</si>
  <si>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</si>
  <si>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</si>
  <si>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</si>
  <si>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</si>
  <si>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</si>
  <si>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</si>
  <si>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</si>
  <si>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</si>
  <si>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</si>
  <si>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</si>
  <si>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</si>
  <si>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</si>
  <si>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</si>
  <si>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</si>
  <si>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</si>
  <si>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</si>
  <si>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</si>
  <si>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</si>
  <si>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</si>
  <si>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</si>
  <si>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</si>
  <si>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</si>
  <si>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</si>
  <si>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</si>
  <si>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</si>
  <si>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</si>
  <si>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</si>
  <si>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</si>
  <si>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</si>
  <si>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</si>
  <si>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</si>
  <si>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</si>
  <si>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</si>
  <si>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</si>
  <si>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</si>
  <si>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</si>
  <si>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</si>
  <si>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</si>
  <si>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</si>
  <si>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</si>
  <si>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</si>
  <si>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</si>
  <si>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</si>
  <si>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</si>
  <si>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</si>
  <si>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</si>
  <si>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</si>
  <si>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</si>
  <si>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</si>
  <si>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</si>
  <si>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</si>
  <si>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</si>
  <si>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</si>
  <si>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</si>
  <si>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</si>
  <si>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</si>
  <si>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</si>
  <si>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</si>
  <si>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</si>
  <si>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</si>
  <si>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</si>
  <si>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</si>
  <si>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</si>
  <si>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</si>
  <si>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</si>
  <si>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</si>
  <si>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</si>
  <si>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</si>
  <si>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</si>
  <si>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</si>
  <si>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</si>
  <si>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</si>
  <si>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</si>
  <si>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</si>
  <si>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</si>
  <si>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</si>
  <si>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</si>
  <si>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</si>
  <si>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</si>
  <si>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</si>
  <si>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</si>
  <si>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</si>
  <si>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</si>
  <si>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</si>
  <si>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</si>
  <si>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</si>
  <si>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</si>
  <si>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</si>
  <si>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</si>
  <si>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</si>
  <si>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</si>
  <si>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</si>
  <si>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</si>
  <si>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</si>
  <si>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</si>
  <si>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</si>
  <si>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</si>
  <si>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</si>
  <si>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</si>
  <si>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</si>
  <si>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</si>
  <si>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</si>
  <si>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</si>
  <si>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</si>
  <si>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</si>
  <si>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</si>
  <si>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</si>
  <si>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</si>
  <si>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</si>
  <si>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</si>
  <si>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</si>
  <si>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</si>
  <si>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</si>
  <si>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</si>
  <si>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3524-1</t>
  </si>
  <si>
    <t>CRONOS LOGISTIC</t>
  </si>
  <si>
    <t>URIEL CORREA</t>
  </si>
  <si>
    <t>PERSONALIZADO_L</t>
  </si>
  <si>
    <t>CTE NORMAL</t>
  </si>
  <si>
    <t>CAMPINAS - SP</t>
  </si>
  <si>
    <t>N/D</t>
  </si>
  <si>
    <t>UILIAN PRAZITO RODRIGUES</t>
  </si>
  <si>
    <t>INDEFINIDO</t>
  </si>
  <si>
    <t>Jaragua do Sul-Sc X Campinas-Sptruck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</si>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</sst>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[Analise_QUILION_08102026.xlsx]Resumo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1529.73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[Analise_QUILION_08102026.xlsx]Resumo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CRONOS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1529.73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8444884259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4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8T00:00:00"/>
    </cacheField>
    <cacheField name="DATA" numFmtId="14">
      <sharedItems containsNonDate="0" containsDate="1" containsString="0" containsBlank="1" minDate="2026-10-08T00:00:00" maxDate="2026-10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05370.82" maxValue="405370.82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6839" maxValue="6839"/>
    </cacheField>
    <cacheField name="VOLUMES" numFmtId="0">
      <sharedItems containsString="0" containsBlank="1" containsNumber="1" containsInteger="1" minValue="432" maxValue="432"/>
    </cacheField>
    <cacheField name="PESO" numFmtId="0">
      <sharedItems containsString="0" containsBlank="1" containsNumber="1" minValue="9045.59" maxValue="9045.5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600" maxValue="46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62.15" maxValue="162.1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862.1499999999996" maxValue="4862.1499999999996"/>
    </cacheField>
    <cacheField name="RECEITA" numFmtId="0">
      <sharedItems containsString="0" containsBlank="1" containsNumber="1" minValue="1976.85" maxValue="1976.85"/>
    </cacheField>
    <cacheField name="IMPOSTO" numFmtId="0">
      <sharedItems containsString="0" containsBlank="1" containsNumber="1" minValue="1778.14" maxValue="1778.14"/>
    </cacheField>
    <cacheField name="RESULTADO" numFmtId="0">
      <sharedItems containsString="0" containsBlank="1" containsNumber="1" minValue="-6.46" maxValue="-6.4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6.46" maxValue="-6.46"/>
    </cacheField>
    <cacheField name="MARGEM" numFmtId="10">
      <sharedItems containsString="0" containsBlank="1" containsNumber="1" minValue="-8.9999999999999998E-4" maxValue="-8.9999999999999998E-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7T00:00:00"/>
    <d v="2026-10-08T00:00:00"/>
    <m/>
    <s v="3524-1"/>
    <x v="0"/>
    <s v="URIEL CORREA"/>
    <n v="405370.82"/>
    <x v="0"/>
    <s v="CTE NORMAL"/>
    <s v="CAMPINAS - SP"/>
    <n v="6839"/>
    <n v="432"/>
    <n v="9045.59"/>
    <s v="N/D"/>
    <n v="0"/>
    <s v="UILIAN PRAZITO RODRIGUES"/>
    <n v="4600"/>
    <s v="INDEFINIDO"/>
    <n v="0"/>
    <n v="0"/>
    <n v="0"/>
    <n v="0"/>
    <n v="162.15"/>
    <n v="0"/>
    <n v="4862.1499999999996"/>
    <n v="1976.85"/>
    <n v="1778.14"/>
    <n v="-6.46"/>
    <n v="0"/>
    <n v="-6.46"/>
    <n v="-8.9999999999999998E-4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18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x="0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9"/>
        <item m="1" x="89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3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3645</v>
      </c>
      <c r="B2" s="12" t="s">
        <v>616</v>
      </c>
      <c r="C2" s="14">
        <v>46302</v>
      </c>
      <c r="D2" s="14">
        <v>46303</v>
      </c>
      <c r="E2" s="12"/>
      <c r="F2" s="15" t="s">
        <v>617</v>
      </c>
      <c r="G2" s="15" t="s">
        <v>618</v>
      </c>
      <c r="H2" s="15" t="s">
        <v>619</v>
      </c>
      <c r="I2" s="16">
        <v>405370.82</v>
      </c>
      <c r="J2" s="15" t="s">
        <v>620</v>
      </c>
      <c r="K2" s="15" t="s">
        <v>621</v>
      </c>
      <c r="L2" s="15" t="s">
        <v>622</v>
      </c>
      <c r="M2" s="15">
        <v>6839</v>
      </c>
      <c r="N2" s="15">
        <v>432</v>
      </c>
      <c r="O2" s="16">
        <v>9045.59</v>
      </c>
      <c r="P2" s="15" t="s">
        <v>623</v>
      </c>
      <c r="Q2" s="15">
        <v>0</v>
      </c>
      <c r="R2" s="15" t="s">
        <v>624</v>
      </c>
      <c r="S2" s="15">
        <v>4600</v>
      </c>
      <c r="T2" s="15" t="s">
        <v>625</v>
      </c>
      <c r="U2" s="15">
        <v>0</v>
      </c>
      <c r="V2" s="15">
        <v>0</v>
      </c>
      <c r="W2" s="15">
        <v>0</v>
      </c>
      <c r="X2" s="15">
        <v>0</v>
      </c>
      <c r="Y2" s="15">
        <v>162.15</v>
      </c>
      <c r="Z2" s="15">
        <v>0</v>
      </c>
      <c r="AA2" s="15">
        <v>4862.1499999999996</v>
      </c>
      <c r="AB2" s="15">
        <v>1976.85</v>
      </c>
      <c r="AC2" s="15">
        <v>1778.14</v>
      </c>
      <c r="AD2" s="15">
        <v>-6.46</v>
      </c>
      <c r="AE2" s="15">
        <v>0</v>
      </c>
      <c r="AF2" s="15">
        <v>-6.46</v>
      </c>
      <c r="AG2" s="17">
        <v>-8.9999999999999998E-4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6839</v>
      </c>
      <c r="F3" s="89"/>
      <c r="G3" s="90"/>
      <c r="H3" s="133">
        <f>'Resumo Detalhado'!C2</f>
        <v>9045.59</v>
      </c>
      <c r="I3" s="134"/>
      <c r="J3" s="135">
        <f>E3/H3</f>
        <v>0.756059029869804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0.82232636363636369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4600</v>
      </c>
      <c r="F7" s="112"/>
      <c r="G7" s="112"/>
      <c r="H7" s="112"/>
      <c r="I7" s="112"/>
      <c r="J7" s="112">
        <f>E7/H3</f>
        <v>0.5085350983186282</v>
      </c>
      <c r="K7" s="112"/>
      <c r="L7" s="112"/>
      <c r="M7" s="130">
        <f>E7/E3</f>
        <v>0.6726129551103962</v>
      </c>
      <c r="N7" s="130"/>
      <c r="O7" s="130"/>
      <c r="P7" s="112">
        <f>E11+K11+Q11+E15+K15+Q15+E19+H19+K19</f>
        <v>6503.5099999999993</v>
      </c>
      <c r="Q7" s="112"/>
      <c r="R7" s="112"/>
      <c r="S7" s="112">
        <f>P7/H3</f>
        <v>0.7189702385361264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4600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4600</v>
      </c>
      <c r="L11" s="90"/>
      <c r="M11" s="38"/>
      <c r="N11" s="88">
        <f>K11/H3</f>
        <v>0.5085350983186282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0</v>
      </c>
      <c r="F15" s="119"/>
      <c r="G15" s="119"/>
      <c r="H15" s="119"/>
      <c r="I15" s="132"/>
      <c r="J15" s="38"/>
      <c r="K15" s="113">
        <f>'Resumo Detalhado'!K2+'Resumo Detalhado'!L2</f>
        <v>1094.24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162.15</v>
      </c>
      <c r="F19" s="120"/>
      <c r="G19" s="38"/>
      <c r="H19" s="122">
        <v>100</v>
      </c>
      <c r="I19" s="123"/>
      <c r="J19" s="38"/>
      <c r="K19" s="122">
        <f>'Resumo Detalhado'!L2</f>
        <v>547.12</v>
      </c>
      <c r="L19" s="123"/>
      <c r="M19" s="38"/>
      <c r="N19" s="121" t="s">
        <v>626</v>
      </c>
      <c r="O19" s="119"/>
      <c r="P19" s="119"/>
      <c r="Q19" s="119"/>
      <c r="R19" s="120"/>
      <c r="S19" s="121">
        <v>4600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1529.73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0.22367743822196229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627</v>
      </c>
      <c r="F1" s="29"/>
    </row>
    <row r="2" spans="1:18" x14ac:dyDescent="0.3">
      <c r="B2" s="29">
        <f>SUM(B6:B5000)</f>
        <v>6839</v>
      </c>
      <c r="C2" s="29">
        <f>SUM(C6:C5000)</f>
        <v>9045.59</v>
      </c>
      <c r="D2" s="29">
        <f>SUM(D6:D5000)</f>
        <v>0</v>
      </c>
      <c r="E2" s="29">
        <f>SUM(E6:E5000)</f>
        <v>4600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162.15</v>
      </c>
      <c r="J2" s="29">
        <f t="shared" si="0"/>
        <v>0</v>
      </c>
      <c r="K2" s="29">
        <f t="shared" si="0"/>
        <v>547.12</v>
      </c>
      <c r="L2" s="29">
        <f t="shared" si="0"/>
        <v>547.12</v>
      </c>
      <c r="M2" s="29">
        <f t="shared" si="0"/>
        <v>0</v>
      </c>
      <c r="N2" s="29">
        <f t="shared" si="0"/>
        <v>1529.73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3645</v>
      </c>
      <c r="B6" s="139">
        <v>6839</v>
      </c>
      <c r="C6" s="140">
        <v>9045.59</v>
      </c>
      <c r="D6" s="139">
        <v>0</v>
      </c>
      <c r="E6" s="139">
        <v>4600</v>
      </c>
      <c r="F6" s="139">
        <v>0</v>
      </c>
      <c r="G6" s="141">
        <v>0.6726129551103962</v>
      </c>
      <c r="H6" s="139">
        <v>0</v>
      </c>
      <c r="I6" s="139">
        <v>162.15</v>
      </c>
      <c r="J6" s="139">
        <v>0</v>
      </c>
      <c r="K6" s="139">
        <v>547.12</v>
      </c>
      <c r="L6" s="139">
        <v>547.12</v>
      </c>
      <c r="M6" s="139">
        <v>0</v>
      </c>
      <c r="N6" s="139">
        <v>1529.73</v>
      </c>
      <c r="O6" s="141">
        <v>0.22367743822196229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627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6839</v>
      </c>
      <c r="C5" s="10">
        <v>1529.73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626</v>
      </c>
      <c r="D395" s="87">
        <v>4600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2026-10-14T14:37:46Z</dcterms:modified>
  <cp:category/>
  <cp:contentStatus/>
</cp:coreProperties>
</file>