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7F9D7CD7-F67D-4F09-9CE2-CD8A7130C1F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27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<sst xmlns="http://schemas.openxmlformats.org/spreadsheetml/2006/main" count="874" uniqueCount="601">
  <si>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</si>
  <si>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</si>
  <si>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</si>
  <si>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</si>
  <si>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</si>
  <si>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</si>
  <si>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</si>
  <si>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</si>
  <si>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</si>
  <si>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</si>
  <si>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</si>
  <si>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</si>
  <si>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</si>
  <si>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</si>
  <si>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</si>
  <si>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</si>
  <si>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</si>
  <si>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</si>
  <si>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</si>
  <si>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</si>
  <si>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</si>
  <si>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</si>
  <si>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</si>
  <si>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</si>
  <si>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</si>
  <si>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</si>
  <si>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</si>
  <si>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</si>
  <si>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</si>
  <si>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</si>
  <si>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</si>
  <si>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</si>
  <si>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</si>
  <si>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</si>
  <si>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</si>
  <si>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</si>
  <si>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</si>
  <si>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</si>
  <si>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</si>
  <si>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</si>
  <si>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</si>
  <si>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</si>
  <si>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</si>
  <si>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</si>
  <si>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</si>
  <si>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</si>
  <si>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</si>
  <si>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</si>
  <si>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</si>
  <si>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</si>
  <si>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</si>
  <si>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</si>
  <si>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</si>
  <si>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</si>
  <si>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</si>
  <si>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</si>
  <si>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</si>
  <si>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</si>
  <si>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</si>
  <si>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</si>
  <si>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</si>
  <si>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</si>
  <si>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</si>
  <si>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</si>
  <si>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</si>
  <si>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</si>
  <si>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</si>
  <si>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</si>
  <si>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</si>
  <si>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</si>
  <si>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</si>
  <si>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</si>
  <si>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</si>
  <si>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</si>
  <si>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</si>
  <si>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</si>
  <si>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</si>
  <si>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</si>
  <si>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</si>
  <si>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</si>
  <si>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</si>
  <si>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</si>
  <si>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</si>
  <si>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</si>
  <si>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</si>
  <si>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</si>
  <si>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</si>
  <si>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</si>
  <si>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</si>
  <si>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</si>
  <si>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</si>
  <si>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</si>
  <si>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</si>
  <si>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</si>
  <si>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</si>
  <si>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</si>
  <si>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</si>
  <si>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</si>
  <si>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</si>
  <si>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</si>
  <si>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</si>
  <si>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</si>
  <si>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</si>
  <si>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</si>
  <si>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</si>
  <si>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</si>
  <si>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</si>
  <si>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</si>
  <si>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</si>
  <si>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</si>
  <si>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</si>
  <si>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</si>
  <si>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</si>
  <si>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</si>
  <si>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</si>
  <si>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</si>
  <si>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</si>
  <si>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</si>
  <si>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</si>
  <si>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</si>
  <si>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</si>
  <si>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</si>
  <si>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</si>
  <si>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</si>
  <si>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</si>
  <si>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</si>
  <si>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</si>
  <si>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</si>
  <si>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</si>
  <si>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</si>
  <si>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</si>
  <si>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</si>
  <si>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</si>
  <si>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</si>
  <si>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</si>
  <si>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</si>
  <si>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</si>
  <si>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</si>
  <si>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</si>
  <si>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</si>
  <si>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</si>
  <si>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</si>
  <si>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</si>
  <si>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</si>
  <si>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</si>
  <si>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</si>
  <si>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</si>
  <si>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</si>
  <si>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</si>
  <si>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</si>
  <si>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</si>
  <si>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</si>
  <si>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</si>
  <si>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</si>
  <si>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</si>
  <si>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</si>
  <si>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</si>
  <si>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</si>
  <si>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</si>
  <si>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</si>
  <si>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</si>
  <si>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</si>
  <si>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</si>
  <si>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</si>
  <si>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</si>
  <si>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</si>
  <si>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</si>
  <si>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</si>
  <si>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</si>
  <si>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</si>
  <si>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</si>
  <si>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</si>
  <si>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</si>
  <si>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</si>
  <si>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</si>
  <si>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</si>
  <si>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</si>
  <si>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</si>
  <si>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</si>
  <si>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</si>
  <si>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</si>
  <si>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</si>
  <si>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</si>
  <si>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</si>
  <si>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</si>
  <si>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</si>
  <si>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</si>
  <si>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</si>
  <si>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</si>
  <si>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</si>
  <si>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</si>
  <si>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</si>
  <si>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</si>
  <si>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</si>
  <si>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</si>
  <si>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</si>
  <si>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</si>
  <si>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</si>
  <si>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</si>
  <si>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</si>
  <si>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</si>
  <si>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</si>
  <si>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</si>
  <si>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</si>
  <si>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</si>
  <si>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</si>
  <si>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</si>
  <si>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</si>
  <si>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</si>
  <si>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</si>
  <si>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</si>
  <si>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</si>
  <si>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</si>
  <si>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</si>
  <si>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</si>
  <si>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</si>
  <si>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</si>
  <si>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</si>
  <si>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</si>
  <si>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</si>
  <si>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</si>
  <si>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</si>
  <si>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</si>
  <si>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</si>
  <si>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</si>
  <si>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</si>
  <si>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</si>
  <si>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</si>
  <si>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</si>
  <si>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</si>
  <si>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</si>
  <si>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</si>
  <si>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</si>
  <si>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</si>
  <si>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</si>
  <si>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</si>
  <si>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</si>
  <si>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</si>
  <si>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</si>
  <si>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</si>
  <si>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</si>
  <si>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</si>
  <si>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</si>
  <si>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</si>
  <si>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</si>
  <si>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</si>
  <si>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</si>
  <si>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</si>
  <si>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</si>
  <si>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</si>
  <si>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</si>
  <si>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</si>
  <si>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</si>
  <si>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</si>
  <si>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</si>
  <si>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</si>
  <si>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</si>
  <si>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</si>
  <si>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</si>
  <si>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</si>
  <si>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</si>
  <si>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</si>
  <si>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</si>
  <si>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</si>
  <si>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</si>
  <si>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</si>
  <si>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</si>
  <si>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</si>
  <si>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</si>
  <si>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</si>
  <si>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</si>
  <si>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</si>
  <si>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</si>
  <si>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</si>
  <si>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</si>
  <si>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</si>
  <si>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</si>
  <si>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</si>
  <si>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</si>
  <si>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</si>
  <si>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</si>
  <si>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</si>
  <si>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</si>
  <si>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</si>
  <si>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</si>
  <si>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</si>
  <si>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</si>
  <si>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</si>
  <si>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</si>
  <si>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</si>
  <si>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</si>
  <si>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</si>
  <si>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</si>
  <si>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</si>
  <si>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</si>
  <si>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</si>
  <si>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</si>
  <si>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</si>
  <si>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</si>
  <si>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</si>
  <si>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</si>
  <si>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</si>
  <si>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</si>
  <si>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</si>
  <si>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</si>
  <si>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</si>
  <si>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</si>
  <si>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</si>
  <si>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</si>
  <si>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</si>
  <si>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</si>
  <si>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</si>
  <si>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</si>
  <si>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</si>
  <si>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</si>
  <si>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</si>
  <si>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</si>
  <si>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</si>
  <si>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</si>
  <si>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</si>
  <si>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</si>
  <si>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</si>
  <si>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</si>
  <si>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</si>
  <si>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</si>
  <si>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</si>
  <si>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</si>
  <si>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</si>
  <si>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</si>
  <si>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</si>
  <si>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</si>
  <si>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</si>
  <si>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</si>
  <si>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</si>
  <si>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</si>
  <si>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</si>
  <si>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</si>
  <si>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</si>
  <si>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</si>
  <si>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</si>
  <si>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</si>
  <si>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</si>
  <si>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</si>
  <si>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</si>
  <si>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</si>
  <si>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</si>
  <si>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</si>
  <si>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</si>
  <si>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</si>
  <si>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</si>
  <si>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</si>
  <si>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</si>
  <si>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</si>
  <si>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</si>
  <si>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</si>
  <si>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</si>
  <si>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</si>
  <si>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</si>
  <si>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</si>
  <si>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</si>
  <si>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</si>
  <si>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</si>
  <si>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</si>
  <si>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</si>
  <si>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</si>
  <si>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</si>
  <si>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</si>
  <si>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</si>
  <si>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</si>
  <si>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</si>
  <si>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</si>
  <si>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</si>
  <si>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</si>
  <si>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</si>
  <si>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</si>
  <si>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</si>
  <si>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</si>
  <si>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</si>
  <si>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</si>
  <si>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</si>
  <si>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</si>
  <si>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</si>
  <si>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</si>
  <si>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</si>
  <si>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</si>
  <si>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</si>
  <si>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</si>
  <si>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</si>
  <si>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</si>
  <si>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</si>
  <si>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</si>
  <si>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</si>
  <si>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</si>
  <si>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</si>
  <si>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</si>
  <si>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</si>
  <si>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</si>
  <si>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</si>
  <si>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</si>
  <si>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</si>
  <si>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</si>
  <si>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</si>
  <si>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</si>
  <si>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</si>
  <si>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</si>
  <si>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</si>
  <si>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</si>
  <si>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</si>
  <si>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</si>
  <si>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</si>
  <si>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</si>
  <si>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</si>
  <si>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</si>
  <si>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</si>
  <si>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</si>
  <si>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</si>
  <si>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</si>
  <si>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</si>
  <si>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</si>
  <si>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</si>
  <si>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</si>
  <si>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</si>
  <si>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</si>
  <si>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</si>
  <si>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</si>
  <si>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</si>
  <si>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</si>
  <si>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</si>
  <si>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</si>
  <si>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</si>
  <si>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</si>
  <si>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</si>
  <si>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</si>
  <si>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</si>
  <si>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</si>
  <si>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</si>
  <si>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</si>
  <si>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</si>
  <si>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</si>
  <si>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</si>
  <si>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</si>
  <si>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</si>
  <si>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</si>
  <si>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</si>
  <si>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</si>
  <si>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</si>
  <si>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</si>
  <si>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</si>
  <si>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</si>
  <si>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</si>
  <si>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</si>
  <si>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</si>
  <si>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</si>
  <si>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</si>
  <si>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</si>
  <si>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</si>
  <si>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</si>
  <si>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</si>
  <si>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</si>
  <si>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</si>
  <si>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</si>
  <si>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</si>
  <si>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</si>
  <si>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</si>
  <si>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</si>
  <si>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</si>
  <si>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</si>
  <si>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</si>
  <si>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</si>
  <si>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</si>
  <si>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</si>
  <si>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</si>
  <si>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</si>
  <si>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</si>
  <si>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</si>
  <si>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</si>
  <si>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</si>
  <si>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</si>
  <si>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</si>
  <si>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</si>
  <si>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</si>
  <si>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</si>
  <si>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</si>
  <si>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</si>
  <si>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</si>
  <si>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</si>
  <si>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</si>
  <si>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</si>
  <si>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</si>
  <si>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</si>
  <si>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</si>
  <si>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</si>
  <si>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</si>
  <si>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</si>
  <si>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</si>
  <si>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</si>
  <si>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</si>
  <si>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</si>
  <si>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</si>
  <si>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</si>
  <si>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</si>
  <si>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</si>
  <si>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</si>
  <si>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</si>
  <si>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</si>
  <si>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</si>
  <si>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</si>
  <si>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</si>
  <si>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</si>
  <si>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</si>
  <si>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</si>
  <si>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</si>
  <si>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</si>
  <si>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</si>
  <si>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</si>
  <si>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</si>
  <si>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</si>
  <si>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</si>
  <si>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</si>
  <si>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</si>
  <si>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</si>
  <si>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</si>
  <si>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</si>
  <si>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</si>
  <si>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</si>
  <si>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</si>
  <si>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</si>
  <si>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</si>
  <si>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</si>
  <si>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</si>
  <si>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</si>
  <si>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</si>
  <si>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</si>
  <si>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</si>
  <si>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</si>
  <si>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</si>
  <si>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</si>
  <si>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</si>
  <si>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</si>
  <si>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</si>
  <si>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</si>
  <si>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</si>
  <si>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</si>
  <si>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</si>
  <si>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</si>
  <si>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</si>
  <si>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</si>
  <si>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</si>
  <si>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</si>
  <si>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</si>
  <si>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</si>
  <si>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</si>
  <si>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</si>
  <si>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</si>
  <si>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</si>
  <si>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</si>
  <si>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</si>
  <si>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</si>
  <si>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</si>
  <si>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</si>
  <si>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</si>
  <si>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</si>
  <si>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</si>
  <si>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</si>
  <si>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</si>
  <si>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</si>
  <si>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</si>
  <si>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</si>
  <si>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</si>
  <si>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</si>
  <si>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</si>
  <si>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</si>
  <si>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</si>
  <si>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</si>
  <si>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</si>
  <si>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</si>
  <si>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Itajai-Sc X Porto Feliz-Sptruck</t>
  </si>
  <si>
    <t>Pomerode-Sc X Guarulhos-Sp3/4</t>
  </si>
  <si>
    <t>Caxias do Sul-Rs X Itajai-Scvan</t>
  </si>
  <si>
    <t>Navegantes-Sc X Canoas-Rstruck</t>
  </si>
  <si>
    <t>Navegantes-Sc X São Bernardo do Campo-Sptoco</t>
  </si>
  <si>
    <t>Navegantes-Sc X Jaboatão dos Guararapes-Petoco</t>
  </si>
  <si>
    <t>São Paulo-Sp X Camboriu-Sctruck</t>
  </si>
  <si>
    <t>Navegantes-Sc X Guarulhos-Sptoco</t>
  </si>
  <si>
    <t>MATRIZ</t>
  </si>
  <si>
    <t>3027-1</t>
  </si>
  <si>
    <t>MAC FER INDUSTR</t>
  </si>
  <si>
    <t>FRANCISCO GILAILTON/SABRI</t>
  </si>
  <si>
    <t>ECONOMICO_250</t>
  </si>
  <si>
    <t>CTE NORMAL</t>
  </si>
  <si>
    <t>SAO PAULO - SP</t>
  </si>
  <si>
    <t>SILVIO DA COSTA SOLANO</t>
  </si>
  <si>
    <t>NICKSON DOS SANTOS MONTEI</t>
  </si>
  <si>
    <t>REITER TRANSPORTES EIRELI</t>
  </si>
  <si>
    <t>3037-1</t>
  </si>
  <si>
    <t>AC COMERCIAL IM</t>
  </si>
  <si>
    <t>TIAGO SANTANA</t>
  </si>
  <si>
    <t>PERSONALIZADO_L</t>
  </si>
  <si>
    <t>JABOATAO DOS GUARARAPES - PE</t>
  </si>
  <si>
    <t>N/D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</si>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</sst>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[Analise_RAFAEL_15092026.xlsx]Resumo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22716.32</c:v>
                </c:pt>
                <c:pt idx="1">
                  <c:v>100.02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19254.404399999999</c:v>
                </c:pt>
                <c:pt idx="1">
                  <c:v>25.418399999999995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[Analise_RAFAEL_15092026.xlsx]Resumo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22716.32</c:v>
                </c:pt>
                <c:pt idx="1">
                  <c:v>100.02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19254.404399999999</c:v>
                </c:pt>
                <c:pt idx="1">
                  <c:v>25.418399999999995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83.459300925926" createdVersion="4" refreshedVersion="8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3130"/>
        <n v="3137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9-14T00:00:00" maxDate="2026-09-16T00:00:00"/>
    </cacheField>
    <cacheField name="DATA" numFmtId="14">
      <sharedItems containsNonDate="0" containsDate="1" containsString="0" containsBlank="1" minDate="2026-09-14T00:00:00" maxDate="2026-09-16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C FER INDUSTR"/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1008.06" maxValue="136185.64000000001"/>
    </cacheField>
    <cacheField name="SERVICO" numFmtId="0">
      <sharedItems containsBlank="1" count="27">
        <s v="ECONOMICO_250"/>
        <s v="PERSONALIZADO_L"/>
        <m/>
        <s v="REPASSE" u="1"/>
        <s v="EXPRESSO_250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0.02" maxValue="22716.32"/>
    </cacheField>
    <cacheField name="VOLUMES" numFmtId="0">
      <sharedItems containsString="0" containsBlank="1" containsNumber="1" containsInteger="1" minValue="4" maxValue="6"/>
    </cacheField>
    <cacheField name="PESO" numFmtId="0">
      <sharedItems containsString="0" containsBlank="1" containsNumber="1" minValue="42.96" maxValue="2136.6"/>
    </cacheField>
    <cacheField name="RESP. COLETA" numFmtId="0">
      <sharedItems containsBlank="1"/>
    </cacheField>
    <cacheField name="CUSTO COLETA" numFmtId="0">
      <sharedItems containsString="0" containsBlank="1" containsNumber="1" minValue="0" maxValue="14.2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4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" maxValue="1590.14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0.4" maxValue="54.47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145.07" maxValue="19466.14"/>
    </cacheField>
    <cacheField name="RECEITA" numFmtId="0">
      <sharedItems containsString="0" containsBlank="1" containsNumber="1" minValue="-45.05" maxValue="3250.18"/>
    </cacheField>
    <cacheField name="IMPOSTO" numFmtId="0">
      <sharedItems containsString="0" containsBlank="1" containsNumber="1" minValue="16" maxValue="3634.61"/>
    </cacheField>
    <cacheField name="RESULTADO" numFmtId="0">
      <sharedItems containsString="0" containsBlank="1" containsNumber="1" minValue="-595.69000000000005" maxValue="-61.05"/>
    </cacheField>
    <cacheField name="COMIS" numFmtId="0">
      <sharedItems containsString="0" containsBlank="1" containsNumber="1" containsInteger="1" minValue="0" maxValue="0"/>
    </cacheField>
    <cacheField name="LUCRO LIQ" numFmtId="0">
      <sharedItems containsString="0" containsBlank="1" containsNumber="1" minValue="-595.69000000000005" maxValue="-61.05"/>
    </cacheField>
    <cacheField name="MARGEM" numFmtId="10">
      <sharedItems containsString="0" containsBlank="1" containsNumber="1" minValue="-0.61039999999999994" maxValue="-2.6200000000000001E-2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9-14T00:00:00"/>
    <d v="2026-09-14T00:00:00"/>
    <m/>
    <s v="3027-1"/>
    <x v="0"/>
    <s v="FRANCISCO GILAILTON/SABRI"/>
    <n v="1008.06"/>
    <x v="0"/>
    <s v="CTE NORMAL"/>
    <s v="SAO PAULO - SP"/>
    <n v="100.02"/>
    <n v="4"/>
    <n v="42.96"/>
    <s v="SILVIO DA COSTA SOLANO"/>
    <n v="14.2"/>
    <s v="NICKSON DOS SANTOS MONTEI"/>
    <n v="40"/>
    <s v="REITER TRANSPORTES EIRELI"/>
    <n v="0"/>
    <n v="12"/>
    <n v="0"/>
    <n v="0"/>
    <n v="0.4"/>
    <n v="0"/>
    <n v="145.07"/>
    <n v="-45.05"/>
    <n v="16"/>
    <n v="-61.05"/>
    <n v="0"/>
    <n v="-61.05"/>
    <n v="-0.61039999999999994"/>
    <m/>
  </r>
  <r>
    <x v="1"/>
    <s v="MATRIZ"/>
    <d v="2026-09-15T00:00:00"/>
    <d v="2026-09-15T00:00:00"/>
    <m/>
    <s v="3037-1"/>
    <x v="1"/>
    <s v="TIAGO SANTANA"/>
    <n v="136185.64000000001"/>
    <x v="1"/>
    <s v="CTE NORMAL"/>
    <s v="JABOATAO DOS GUARARAPES - PE"/>
    <n v="22716.32"/>
    <n v="6"/>
    <n v="2136.6"/>
    <s v="MATRIZ"/>
    <n v="0"/>
    <s v="N/D"/>
    <n v="0"/>
    <s v="REITER TRANSPORTES EIRELI"/>
    <n v="0"/>
    <n v="1590.14"/>
    <n v="0"/>
    <n v="0"/>
    <n v="54.47"/>
    <n v="0"/>
    <n v="19466.14"/>
    <n v="3250.18"/>
    <n v="3634.61"/>
    <n v="-595.69000000000005"/>
    <n v="0"/>
    <n v="-595.69000000000005"/>
    <n v="-2.6200000000000001E-2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27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m="1" x="4"/>
        <item m="1" x="11"/>
        <item m="1" x="14"/>
        <item m="1" x="25"/>
        <item m="1" x="19"/>
        <item x="2"/>
        <item m="1" x="8"/>
        <item m="1" x="3"/>
        <item m="1" x="10"/>
        <item m="1" x="22"/>
        <item m="1" x="5"/>
        <item m="1" x="7"/>
        <item m="1" x="16"/>
        <item m="1" x="15"/>
        <item m="1" x="24"/>
        <item m="1" x="21"/>
        <item m="1" x="23"/>
        <item m="1" x="6"/>
        <item m="1" x="13"/>
        <item m="1" x="26"/>
        <item m="1" x="9"/>
        <item m="1" x="17"/>
        <item m="1" x="12"/>
        <item m="1" x="20"/>
        <item m="1" x="18"/>
        <item x="1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2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6" s="1" nd="1"/>
        <i x="15" s="1" nd="1"/>
        <i x="16" s="1" nd="1"/>
        <i x="24" s="1" nd="1"/>
        <i x="5" s="1" nd="1"/>
        <i x="8" s="1" nd="1"/>
        <i x="13" s="1" nd="1"/>
        <i x="19" s="1" nd="1"/>
        <i x="20" s="1" nd="1"/>
        <i x="4" s="1" nd="1"/>
        <i x="23" s="1" nd="1"/>
        <i x="7" s="1" nd="1"/>
        <i x="22" s="1" nd="1"/>
        <i x="21" s="1" nd="1"/>
        <i x="12" s="1" nd="1"/>
        <i x="18" s="1" nd="1"/>
        <i x="3" s="1" nd="1"/>
        <i x="25" s="1" nd="1"/>
        <i x="11" s="1" nd="1"/>
        <i x="14" s="1" nd="1"/>
        <i x="10" s="1" nd="1"/>
        <i x="9" s="1" nd="1"/>
        <i x="26" s="1" nd="1"/>
        <i x="17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83" dataDxfId="81" headerRowBorderDxfId="82" tableBorderDxfId="80">
  <autoFilter ref="A1:AH95" xr:uid="{00000000-0009-0000-0100-000002000000}"/>
  <tableColumns count="34">
    <tableColumn id="1" xr3:uid="{00000000-0010-0000-0000-000001000000}" name="MINUTA" dataDxfId="79"/>
    <tableColumn id="2" xr3:uid="{00000000-0010-0000-0000-000002000000}" name="BASE" dataDxfId="78"/>
    <tableColumn id="3" xr3:uid="{00000000-0010-0000-0000-000003000000}" name="DATA COLETA" dataDxfId="77"/>
    <tableColumn id="4" xr3:uid="{00000000-0010-0000-0000-000004000000}" name="DATA" dataDxfId="76"/>
    <tableColumn id="5" xr3:uid="{00000000-0010-0000-0000-000005000000}" name="FAT" dataDxfId="75"/>
    <tableColumn id="6" xr3:uid="{00000000-0010-0000-0000-000006000000}" name="CT-E" dataDxfId="74"/>
    <tableColumn id="7" xr3:uid="{00000000-0010-0000-0000-000007000000}" name="CLIENTE TOMADOR" dataDxfId="73"/>
    <tableColumn id="8" xr3:uid="{00000000-0010-0000-0000-000008000000}" name="VENDEDOR" dataDxfId="72"/>
    <tableColumn id="9" xr3:uid="{00000000-0010-0000-0000-000009000000}" name="VALOR NF" dataDxfId="71"/>
    <tableColumn id="10" xr3:uid="{00000000-0010-0000-0000-00000A000000}" name="SERVICO" dataDxfId="70"/>
    <tableColumn id="11" xr3:uid="{00000000-0010-0000-0000-00000B000000}" name="TIPO CTE" dataDxfId="69"/>
    <tableColumn id="12" xr3:uid="{00000000-0010-0000-0000-00000C000000}" name="DESTINO" dataDxfId="68"/>
    <tableColumn id="13" xr3:uid="{00000000-0010-0000-0000-00000D000000}" name="FRETE" dataDxfId="67"/>
    <tableColumn id="14" xr3:uid="{00000000-0010-0000-0000-00000E000000}" name="VOLUMES" dataDxfId="66"/>
    <tableColumn id="15" xr3:uid="{00000000-0010-0000-0000-00000F000000}" name="PESO" dataDxfId="65"/>
    <tableColumn id="16" xr3:uid="{00000000-0010-0000-0000-000010000000}" name="RESP. COLETA" dataDxfId="64"/>
    <tableColumn id="17" xr3:uid="{00000000-0010-0000-0000-000011000000}" name="CUSTO COLETA" dataDxfId="63"/>
    <tableColumn id="18" xr3:uid="{00000000-0010-0000-0000-000012000000}" name="RESP. ENTREGA" dataDxfId="62"/>
    <tableColumn id="19" xr3:uid="{00000000-0010-0000-0000-000013000000}" name="CUSTO ENTREGA" dataDxfId="61"/>
    <tableColumn id="20" xr3:uid="{00000000-0010-0000-0000-000014000000}" name="RESP. TRANSF" dataDxfId="60"/>
    <tableColumn id="21" xr3:uid="{00000000-0010-0000-0000-000015000000}" name="CUSTO TRANSF" dataDxfId="59"/>
    <tableColumn id="22" xr3:uid="{00000000-0010-0000-0000-000016000000}" name="ICMS/ISS" dataDxfId="58"/>
    <tableColumn id="23" xr3:uid="{00000000-0010-0000-0000-000017000000}" name="DIFAL" dataDxfId="57"/>
    <tableColumn id="24" xr3:uid="{00000000-0010-0000-0000-000018000000}" name="C.DESPACHO" dataDxfId="56"/>
    <tableColumn id="25" xr3:uid="{00000000-0010-0000-0000-000019000000}" name="SEGURO" dataDxfId="55"/>
    <tableColumn id="26" xr3:uid="{00000000-0010-0000-0000-00001A000000}" name="OUTROS" dataDxfId="54"/>
    <tableColumn id="27" xr3:uid="{00000000-0010-0000-0000-00001B000000}" name="C.TOTAL" dataDxfId="53"/>
    <tableColumn id="28" xr3:uid="{00000000-0010-0000-0000-00001C000000}" name="RECEITA" dataDxfId="52"/>
    <tableColumn id="29" xr3:uid="{00000000-0010-0000-0000-00001D000000}" name="IMPOSTO" dataDxfId="51"/>
    <tableColumn id="30" xr3:uid="{00000000-0010-0000-0000-00001E000000}" name="RESULTADO" dataDxfId="50"/>
    <tableColumn id="31" xr3:uid="{00000000-0010-0000-0000-00001F000000}" name="COMIS" dataDxfId="49"/>
    <tableColumn id="32" xr3:uid="{00000000-0010-0000-0000-000020000000}" name="LUCRO LIQ" dataDxfId="48"/>
    <tableColumn id="33" xr3:uid="{00000000-0010-0000-0000-000021000000}" name="MARGEM" dataDxfId="47"/>
    <tableColumn id="34" xr3:uid="{00000000-0010-0000-0000-000022000000}" name="Coluna1" dataDxfId="46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72" totalsRowShown="0" headerRowDxfId="92" dataDxfId="90" headerRowBorderDxfId="91" tableBorderDxfId="89" totalsRowBorderDxfId="88">
  <autoFilter ref="A1:D372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87"/>
    <tableColumn id="2" xr3:uid="{AAA88DB3-D1F7-47B3-9D90-8B90F797E4CC}" name="TIPO VEÍCULO" dataDxfId="86"/>
    <tableColumn id="3" xr3:uid="{B311F3EE-5953-428C-8BC5-A618FCB30C40}" name="CONCATENADO" dataDxfId="85"/>
    <tableColumn id="4" xr3:uid="{C6AA6B7E-6BA2-42D2-8775-75C2F076115E}" name="VALOR" dataDxfId="84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3130</v>
      </c>
      <c r="B2" s="12" t="s">
        <v>584</v>
      </c>
      <c r="C2" s="14">
        <v>46279</v>
      </c>
      <c r="D2" s="14">
        <v>46279</v>
      </c>
      <c r="E2" s="12"/>
      <c r="F2" s="15" t="s">
        <v>585</v>
      </c>
      <c r="G2" s="15" t="s">
        <v>586</v>
      </c>
      <c r="H2" s="15" t="s">
        <v>587</v>
      </c>
      <c r="I2" s="16">
        <v>1008.06</v>
      </c>
      <c r="J2" s="15" t="s">
        <v>588</v>
      </c>
      <c r="K2" s="15" t="s">
        <v>589</v>
      </c>
      <c r="L2" s="15" t="s">
        <v>590</v>
      </c>
      <c r="M2" s="15">
        <v>100.02</v>
      </c>
      <c r="N2" s="15">
        <v>4</v>
      </c>
      <c r="O2" s="16">
        <v>42.96</v>
      </c>
      <c r="P2" s="15" t="s">
        <v>591</v>
      </c>
      <c r="Q2" s="15">
        <v>14.2</v>
      </c>
      <c r="R2" s="15" t="s">
        <v>592</v>
      </c>
      <c r="S2" s="15">
        <v>40</v>
      </c>
      <c r="T2" s="15" t="s">
        <v>593</v>
      </c>
      <c r="U2" s="15">
        <v>0</v>
      </c>
      <c r="V2" s="15">
        <v>12</v>
      </c>
      <c r="W2" s="15">
        <v>0</v>
      </c>
      <c r="X2" s="15">
        <v>0</v>
      </c>
      <c r="Y2" s="15">
        <v>0.4</v>
      </c>
      <c r="Z2" s="15">
        <v>0</v>
      </c>
      <c r="AA2" s="15">
        <v>145.07</v>
      </c>
      <c r="AB2" s="15">
        <v>-45.05</v>
      </c>
      <c r="AC2" s="15">
        <v>16</v>
      </c>
      <c r="AD2" s="15">
        <v>-61.05</v>
      </c>
      <c r="AE2" s="15">
        <v>0</v>
      </c>
      <c r="AF2" s="15">
        <v>-61.05</v>
      </c>
      <c r="AG2" s="17">
        <v>-0.61039999999999994</v>
      </c>
      <c r="AH2" s="15"/>
    </row>
    <row r="3" spans="1:34" s="1" customFormat="1" ht="12" customHeight="1" x14ac:dyDescent="0.3">
      <c r="A3" s="13">
        <v>3137</v>
      </c>
      <c r="B3" s="12" t="s">
        <v>584</v>
      </c>
      <c r="C3" s="14">
        <v>46280</v>
      </c>
      <c r="D3" s="14">
        <v>46280</v>
      </c>
      <c r="E3" s="12"/>
      <c r="F3" s="15" t="s">
        <v>594</v>
      </c>
      <c r="G3" s="15" t="s">
        <v>595</v>
      </c>
      <c r="H3" s="15" t="s">
        <v>596</v>
      </c>
      <c r="I3" s="16">
        <v>136185.64000000001</v>
      </c>
      <c r="J3" s="15" t="s">
        <v>597</v>
      </c>
      <c r="K3" s="15" t="s">
        <v>589</v>
      </c>
      <c r="L3" s="15" t="s">
        <v>598</v>
      </c>
      <c r="M3" s="16">
        <v>22716.32</v>
      </c>
      <c r="N3" s="15">
        <v>6</v>
      </c>
      <c r="O3" s="16">
        <v>2136.6</v>
      </c>
      <c r="P3" s="15" t="s">
        <v>584</v>
      </c>
      <c r="Q3" s="15">
        <v>0</v>
      </c>
      <c r="R3" s="15" t="s">
        <v>599</v>
      </c>
      <c r="S3" s="15">
        <v>0</v>
      </c>
      <c r="T3" s="15" t="s">
        <v>593</v>
      </c>
      <c r="U3" s="15">
        <v>0</v>
      </c>
      <c r="V3" s="15">
        <v>1590.14</v>
      </c>
      <c r="W3" s="15">
        <v>0</v>
      </c>
      <c r="X3" s="15">
        <v>0</v>
      </c>
      <c r="Y3" s="15">
        <v>54.47</v>
      </c>
      <c r="Z3" s="15">
        <v>0</v>
      </c>
      <c r="AA3" s="16">
        <v>19466.14</v>
      </c>
      <c r="AB3" s="16">
        <v>3250.18</v>
      </c>
      <c r="AC3" s="15">
        <v>3634.61</v>
      </c>
      <c r="AD3" s="15">
        <v>-595.69000000000005</v>
      </c>
      <c r="AE3" s="15">
        <v>0</v>
      </c>
      <c r="AF3" s="15">
        <v>-595.69000000000005</v>
      </c>
      <c r="AG3" s="17">
        <v>-2.6200000000000001E-2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22816.34</v>
      </c>
      <c r="F3" s="89"/>
      <c r="G3" s="90"/>
      <c r="H3" s="133">
        <f>'Resumo Detalhado'!C2</f>
        <v>2179.56</v>
      </c>
      <c r="I3" s="134"/>
      <c r="J3" s="135">
        <f>E3/H3</f>
        <v>10.468323881884418</v>
      </c>
      <c r="K3" s="136"/>
      <c r="L3" s="137"/>
      <c r="M3" s="138" t="s">
        <v>60</v>
      </c>
      <c r="N3" s="89"/>
      <c r="O3" s="90"/>
      <c r="P3" s="106">
        <v>6000</v>
      </c>
      <c r="Q3" s="107"/>
      <c r="R3" s="108"/>
      <c r="S3" s="103">
        <f>MIN(H3/P3,1)</f>
        <v>0.36325999999999997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17914.2</v>
      </c>
      <c r="F7" s="112"/>
      <c r="G7" s="112"/>
      <c r="H7" s="112"/>
      <c r="I7" s="112"/>
      <c r="J7" s="112">
        <f>E7/H3</f>
        <v>8.2191818532180818</v>
      </c>
      <c r="K7" s="112"/>
      <c r="L7" s="112"/>
      <c r="M7" s="130">
        <f>E7/E3</f>
        <v>0.78514783703258284</v>
      </c>
      <c r="N7" s="130"/>
      <c r="O7" s="130"/>
      <c r="P7" s="112">
        <f>E11+K11+Q11+E15+K15+Q15+E19+H19+K19</f>
        <v>25047.131599999997</v>
      </c>
      <c r="Q7" s="112"/>
      <c r="R7" s="112"/>
      <c r="S7" s="112">
        <f>P7/H3</f>
        <v>11.491829360054322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17900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17900</v>
      </c>
      <c r="L11" s="90"/>
      <c r="M11" s="38"/>
      <c r="N11" s="88">
        <f>K11/H3</f>
        <v>8.2126667767806349</v>
      </c>
      <c r="O11" s="90"/>
      <c r="P11" s="38"/>
      <c r="Q11" s="88">
        <f>'Resumo Detalhado'!D2</f>
        <v>14.2</v>
      </c>
      <c r="R11" s="90"/>
      <c r="S11" s="38"/>
      <c r="T11" s="88">
        <f>Q11/H3</f>
        <v>6.5150764374460896E-3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1602.14</v>
      </c>
      <c r="F15" s="119"/>
      <c r="G15" s="119"/>
      <c r="H15" s="119"/>
      <c r="I15" s="132"/>
      <c r="J15" s="38"/>
      <c r="K15" s="113">
        <f>'Resumo Detalhado'!K2+'Resumo Detalhado'!L2</f>
        <v>3650.6143999999999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54.87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1825.3072</v>
      </c>
      <c r="L19" s="123"/>
      <c r="M19" s="38"/>
      <c r="N19" s="121" t="s">
        <v>581</v>
      </c>
      <c r="O19" s="119"/>
      <c r="P19" s="119"/>
      <c r="Q19" s="119"/>
      <c r="R19" s="120"/>
      <c r="S19" s="121">
        <f>_xlfn.XLOOKUP(N19,Target!C:C,Target!D:D)</f>
        <v>16000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19279.822799999998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0.84500067933770262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8" priority="10" operator="between">
      <formula>0.1001</formula>
      <formula>100</formula>
    </cfRule>
    <cfRule type="cellIs" dxfId="7" priority="11" operator="between">
      <formula>0.07</formula>
      <formula>0.1</formula>
    </cfRule>
    <cfRule type="cellIs" dxfId="6" priority="12" operator="between">
      <formula>-100000%</formula>
      <formula>0.0699</formula>
    </cfRule>
  </conditionalFormatting>
  <conditionalFormatting sqref="S3:U3">
    <cfRule type="cellIs" dxfId="5" priority="4" operator="between">
      <formula>0.801</formula>
      <formula>1</formula>
    </cfRule>
    <cfRule type="cellIs" dxfId="4" priority="5" operator="between">
      <formula>0.501</formula>
      <formula>0.8</formula>
    </cfRule>
    <cfRule type="cellIs" dxfId="3" priority="6" operator="between">
      <formula>0</formula>
      <formula>0.5</formula>
    </cfRule>
  </conditionalFormatting>
  <conditionalFormatting sqref="W19:Y23">
    <cfRule type="cellIs" dxfId="2" priority="1" operator="equal">
      <formula>"NO TARGET"</formula>
    </cfRule>
    <cfRule type="cellIs" dxfId="1" priority="2" operator="equal">
      <formula>"FORA DO TARGET"</formula>
    </cfRule>
    <cfRule type="cellIs" dxfId="0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4414062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2" bestFit="1" customWidth="1"/>
    <col min="9" max="9" width="9.6640625" style="4" bestFit="1" customWidth="1"/>
    <col min="10" max="10" width="9.77734375" bestFit="1" customWidth="1"/>
    <col min="11" max="12" width="12" bestFit="1" customWidth="1"/>
    <col min="13" max="13" width="8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600</v>
      </c>
      <c r="F1" s="29"/>
    </row>
    <row r="2" spans="1:18" x14ac:dyDescent="0.3">
      <c r="B2" s="29">
        <f>SUM(B6:B5000)</f>
        <v>22816.34</v>
      </c>
      <c r="C2" s="29">
        <f>SUM(C6:C5000)</f>
        <v>2179.56</v>
      </c>
      <c r="D2" s="29">
        <f>SUM(D6:D5000)</f>
        <v>14.2</v>
      </c>
      <c r="E2" s="29">
        <f>SUM(E6:E5000)</f>
        <v>40</v>
      </c>
      <c r="F2" s="29">
        <f>SUM(F6:F5000)</f>
        <v>0</v>
      </c>
      <c r="G2" s="29"/>
      <c r="H2" s="29">
        <f t="shared" ref="H2:P2" si="0">SUM(H6:H5000)</f>
        <v>1602.14</v>
      </c>
      <c r="I2" s="29">
        <f t="shared" si="0"/>
        <v>54.87</v>
      </c>
      <c r="J2" s="29">
        <f t="shared" si="0"/>
        <v>0</v>
      </c>
      <c r="K2" s="29">
        <f t="shared" si="0"/>
        <v>1825.3072</v>
      </c>
      <c r="L2" s="29">
        <f t="shared" si="0"/>
        <v>1825.3072</v>
      </c>
      <c r="M2" s="29">
        <f t="shared" si="0"/>
        <v>0</v>
      </c>
      <c r="N2" s="29">
        <f t="shared" si="0"/>
        <v>19279.822799999998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595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3137</v>
      </c>
      <c r="B6" s="140">
        <v>22716.32</v>
      </c>
      <c r="C6" s="141">
        <v>2136.6</v>
      </c>
      <c r="D6" s="140">
        <v>0</v>
      </c>
      <c r="E6" s="140">
        <v>0</v>
      </c>
      <c r="F6" s="140">
        <v>0</v>
      </c>
      <c r="G6" s="142">
        <v>0</v>
      </c>
      <c r="H6" s="140">
        <v>1590.14</v>
      </c>
      <c r="I6" s="140">
        <v>54.47</v>
      </c>
      <c r="J6" s="140">
        <v>0</v>
      </c>
      <c r="K6" s="140">
        <v>1817.3055999999999</v>
      </c>
      <c r="L6" s="140">
        <v>1817.3055999999999</v>
      </c>
      <c r="M6" s="140">
        <v>0</v>
      </c>
      <c r="N6" s="140">
        <v>19254.404399999999</v>
      </c>
      <c r="O6" s="142">
        <v>0.84760227008599986</v>
      </c>
      <c r="Q6"/>
    </row>
    <row r="7" spans="1:18" s="31" customFormat="1" x14ac:dyDescent="0.3">
      <c r="A7" s="9" t="s">
        <v>586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3130</v>
      </c>
      <c r="B8" s="140">
        <v>100.02</v>
      </c>
      <c r="C8" s="141">
        <v>42.96</v>
      </c>
      <c r="D8" s="140">
        <v>14.2</v>
      </c>
      <c r="E8" s="140">
        <v>40</v>
      </c>
      <c r="F8" s="140">
        <v>0</v>
      </c>
      <c r="G8" s="142">
        <v>0.54189162167566496</v>
      </c>
      <c r="H8" s="140">
        <v>12</v>
      </c>
      <c r="I8" s="140">
        <v>0.4</v>
      </c>
      <c r="J8" s="140">
        <v>0</v>
      </c>
      <c r="K8" s="140">
        <v>8.0015999999999998</v>
      </c>
      <c r="L8" s="140">
        <v>8.0015999999999998</v>
      </c>
      <c r="M8" s="140">
        <v>0</v>
      </c>
      <c r="N8" s="140">
        <v>25.418399999999995</v>
      </c>
      <c r="O8" s="142">
        <v>0.25413317336532687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3.10937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600</v>
      </c>
    </row>
    <row r="2" spans="1:4" x14ac:dyDescent="0.3">
      <c r="B2" s="29">
        <f>SUM(B6:B5000)</f>
        <v>100.02</v>
      </c>
      <c r="C2" s="29">
        <f>SUM(C6:C5000)</f>
        <v>25.418399999999995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595</v>
      </c>
      <c r="B5" s="10">
        <v>22716.32</v>
      </c>
      <c r="C5" s="10">
        <v>19254.404399999999</v>
      </c>
    </row>
    <row r="6" spans="1:4" x14ac:dyDescent="0.3">
      <c r="A6" s="9" t="s">
        <v>586</v>
      </c>
      <c r="B6" s="140">
        <v>100.02</v>
      </c>
      <c r="C6" s="140">
        <v>25.418399999999995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72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  <row r="365" spans="1:4" x14ac:dyDescent="0.3">
      <c r="A365" s="81"/>
      <c r="B365" s="68"/>
      <c r="C365" s="81" t="s">
        <v>576</v>
      </c>
      <c r="D365" s="87">
        <v>4600</v>
      </c>
    </row>
    <row r="366" spans="1:4" x14ac:dyDescent="0.3">
      <c r="A366" s="81"/>
      <c r="B366" s="68"/>
      <c r="C366" s="81" t="s">
        <v>577</v>
      </c>
      <c r="D366" s="87">
        <v>3200</v>
      </c>
    </row>
    <row r="367" spans="1:4" x14ac:dyDescent="0.3">
      <c r="A367" s="81"/>
      <c r="B367" s="68"/>
      <c r="C367" s="81" t="s">
        <v>578</v>
      </c>
      <c r="D367" s="87">
        <v>2600</v>
      </c>
    </row>
    <row r="368" spans="1:4" x14ac:dyDescent="0.3">
      <c r="A368" s="81"/>
      <c r="B368" s="68"/>
      <c r="C368" s="81" t="s">
        <v>579</v>
      </c>
      <c r="D368" s="87">
        <v>3900</v>
      </c>
    </row>
    <row r="369" spans="1:4" x14ac:dyDescent="0.3">
      <c r="A369" s="81"/>
      <c r="B369" s="68"/>
      <c r="C369" s="81" t="s">
        <v>580</v>
      </c>
      <c r="D369" s="87">
        <v>3800</v>
      </c>
    </row>
    <row r="370" spans="1:4" x14ac:dyDescent="0.3">
      <c r="A370" s="81"/>
      <c r="B370" s="68"/>
      <c r="C370" s="81" t="s">
        <v>581</v>
      </c>
      <c r="D370" s="87">
        <v>16000</v>
      </c>
    </row>
    <row r="371" spans="1:4" x14ac:dyDescent="0.3">
      <c r="A371" s="81"/>
      <c r="B371" s="68"/>
      <c r="C371" s="81" t="s">
        <v>582</v>
      </c>
      <c r="D371" s="87">
        <v>2500</v>
      </c>
    </row>
    <row r="372" spans="1:4" x14ac:dyDescent="0.3">
      <c r="A372" s="81"/>
      <c r="B372" s="68"/>
      <c r="C372" s="81" t="s">
        <v>583</v>
      </c>
      <c r="D372" s="87">
        <v>3800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2026-09-18T14:01:30Z</dcterms:modified>
  <cp:category/>
  <cp:contentStatus/>
</cp:coreProperties>
</file>