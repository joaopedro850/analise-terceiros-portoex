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2A78543-8543-43F9-8D53-B2E10B000FC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<sst xmlns="http://schemas.openxmlformats.org/spreadsheetml/2006/main" count="854" uniqueCount="587">
  <si>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</si>
  <si>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</si>
  <si>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</si>
  <si>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</si>
  <si>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</si>
  <si>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</si>
  <si>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</si>
  <si>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</si>
  <si>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</si>
  <si>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</si>
  <si>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</si>
  <si>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</si>
  <si>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</si>
  <si>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</si>
  <si>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</si>
  <si>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</si>
  <si>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</si>
  <si>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</si>
  <si>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</si>
  <si>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</si>
  <si>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</si>
  <si>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</si>
  <si>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</si>
  <si>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</si>
  <si>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</si>
  <si>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</si>
  <si>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</si>
  <si>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</si>
  <si>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</si>
  <si>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</si>
  <si>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</si>
  <si>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</si>
  <si>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</si>
  <si>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</si>
  <si>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</si>
  <si>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</si>
  <si>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</si>
  <si>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</si>
  <si>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</si>
  <si>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</si>
  <si>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</si>
  <si>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</si>
  <si>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</si>
  <si>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</si>
  <si>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</si>
  <si>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</si>
  <si>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</si>
  <si>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</si>
  <si>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</si>
  <si>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</si>
  <si>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</si>
  <si>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</si>
  <si>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</si>
  <si>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</si>
  <si>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</si>
  <si>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</si>
  <si>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</si>
  <si>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</si>
  <si>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</si>
  <si>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</si>
  <si>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</si>
  <si>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</si>
  <si>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</si>
  <si>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</si>
  <si>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</si>
  <si>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</si>
  <si>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</si>
  <si>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</si>
  <si>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</si>
  <si>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</si>
  <si>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</si>
  <si>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</si>
  <si>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</si>
  <si>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</si>
  <si>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</si>
  <si>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</si>
  <si>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</si>
  <si>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</si>
  <si>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</si>
  <si>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</si>
  <si>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</si>
  <si>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</si>
  <si>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</si>
  <si>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</si>
  <si>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</si>
  <si>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</si>
  <si>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</si>
  <si>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</si>
  <si>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</si>
  <si>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</si>
  <si>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</si>
  <si>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</si>
  <si>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</si>
  <si>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</si>
  <si>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</si>
  <si>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</si>
  <si>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</si>
  <si>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</si>
  <si>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</si>
  <si>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</si>
  <si>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</si>
  <si>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</si>
  <si>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</si>
  <si>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</si>
  <si>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</si>
  <si>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</si>
  <si>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</si>
  <si>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</si>
  <si>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</si>
  <si>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</si>
  <si>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</si>
  <si>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</si>
  <si>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</si>
  <si>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</si>
  <si>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</si>
  <si>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</si>
  <si>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</si>
  <si>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</si>
  <si>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</si>
  <si>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</si>
  <si>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</si>
  <si>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</si>
  <si>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</si>
  <si>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</si>
  <si>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</si>
  <si>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</si>
  <si>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</si>
  <si>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</si>
  <si>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</si>
  <si>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</si>
  <si>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</si>
  <si>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</si>
  <si>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</si>
  <si>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</si>
  <si>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</si>
  <si>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</si>
  <si>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</si>
  <si>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</si>
  <si>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</si>
  <si>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</si>
  <si>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</si>
  <si>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</si>
  <si>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</si>
  <si>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</si>
  <si>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</si>
  <si>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</si>
  <si>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</si>
  <si>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</si>
  <si>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</si>
  <si>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</si>
  <si>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</si>
  <si>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</si>
  <si>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</si>
  <si>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</si>
  <si>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</si>
  <si>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</si>
  <si>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</si>
  <si>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</si>
  <si>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</si>
  <si>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</si>
  <si>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</si>
  <si>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</si>
  <si>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</si>
  <si>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</si>
  <si>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</si>
  <si>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</si>
  <si>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</si>
  <si>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</si>
  <si>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</si>
  <si>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</si>
  <si>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</si>
  <si>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</si>
  <si>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</si>
  <si>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</si>
  <si>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</si>
  <si>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</si>
  <si>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</si>
  <si>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</si>
  <si>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</si>
  <si>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</si>
  <si>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</si>
  <si>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</si>
  <si>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</si>
  <si>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</si>
  <si>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</si>
  <si>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</si>
  <si>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</si>
  <si>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</si>
  <si>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</si>
  <si>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</si>
  <si>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</si>
  <si>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</si>
  <si>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</si>
  <si>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</si>
  <si>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</si>
  <si>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</si>
  <si>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</si>
  <si>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</si>
  <si>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</si>
  <si>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</si>
  <si>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</si>
  <si>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</si>
  <si>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</si>
  <si>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</si>
  <si>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</si>
  <si>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</si>
  <si>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</si>
  <si>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</si>
  <si>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</si>
  <si>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</si>
  <si>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</si>
  <si>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</si>
  <si>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</si>
  <si>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</si>
  <si>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</si>
  <si>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</si>
  <si>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</si>
  <si>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</si>
  <si>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</si>
  <si>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</si>
  <si>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</si>
  <si>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</si>
  <si>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</si>
  <si>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</si>
  <si>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</si>
  <si>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</si>
  <si>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</si>
  <si>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</si>
  <si>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</si>
  <si>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</si>
  <si>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</si>
  <si>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</si>
  <si>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</si>
  <si>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</si>
  <si>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</si>
  <si>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</si>
  <si>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</si>
  <si>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</si>
  <si>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</si>
  <si>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</si>
  <si>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</si>
  <si>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</si>
  <si>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</si>
  <si>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</si>
  <si>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</si>
  <si>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</si>
  <si>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</si>
  <si>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</si>
  <si>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</si>
  <si>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</si>
  <si>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</si>
  <si>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</si>
  <si>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</si>
  <si>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</si>
  <si>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</si>
  <si>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</si>
  <si>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</si>
  <si>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</si>
  <si>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</si>
  <si>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</si>
  <si>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</si>
  <si>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</si>
  <si>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</si>
  <si>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</si>
  <si>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</si>
  <si>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</si>
  <si>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</si>
  <si>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</si>
  <si>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</si>
  <si>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</si>
  <si>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</si>
  <si>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</si>
  <si>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</si>
  <si>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</si>
  <si>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</si>
  <si>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</si>
  <si>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</si>
  <si>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</si>
  <si>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</si>
  <si>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</si>
  <si>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</si>
  <si>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</si>
  <si>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</si>
  <si>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</si>
  <si>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</si>
  <si>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</si>
  <si>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</si>
  <si>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</si>
  <si>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</si>
  <si>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</si>
  <si>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</si>
  <si>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</si>
  <si>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</si>
  <si>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</si>
  <si>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</si>
  <si>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</si>
  <si>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</si>
  <si>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</si>
  <si>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</si>
  <si>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</si>
  <si>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</si>
  <si>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</si>
  <si>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</si>
  <si>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</si>
  <si>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</si>
  <si>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</si>
  <si>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</si>
  <si>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</si>
  <si>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</si>
  <si>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</si>
  <si>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</si>
  <si>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</si>
  <si>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</si>
  <si>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</si>
  <si>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</si>
  <si>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</si>
  <si>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</si>
  <si>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</si>
  <si>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</si>
  <si>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</si>
  <si>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</si>
  <si>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</si>
  <si>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</si>
  <si>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</si>
  <si>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</si>
  <si>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</si>
  <si>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</si>
  <si>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</si>
  <si>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</si>
  <si>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</si>
  <si>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</si>
  <si>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</si>
  <si>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</si>
  <si>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</si>
  <si>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</si>
  <si>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</si>
  <si>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</si>
  <si>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</si>
  <si>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</si>
  <si>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</si>
  <si>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</si>
  <si>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</si>
  <si>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</si>
  <si>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</si>
  <si>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</si>
  <si>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</si>
  <si>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</si>
  <si>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</si>
  <si>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</si>
  <si>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</si>
  <si>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</si>
  <si>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</si>
  <si>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</si>
  <si>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</si>
  <si>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</si>
  <si>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</si>
  <si>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</si>
  <si>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</si>
  <si>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</si>
  <si>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</si>
  <si>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</si>
  <si>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</si>
  <si>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</si>
  <si>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</si>
  <si>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</si>
  <si>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</si>
  <si>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</si>
  <si>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</si>
  <si>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</si>
  <si>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</si>
  <si>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</si>
  <si>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</si>
  <si>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</si>
  <si>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</si>
  <si>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</si>
  <si>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</si>
  <si>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</si>
  <si>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</si>
  <si>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</si>
  <si>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</si>
  <si>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</si>
  <si>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</si>
  <si>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</si>
  <si>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</si>
  <si>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</si>
  <si>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</si>
  <si>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</si>
  <si>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</si>
  <si>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</si>
  <si>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</si>
  <si>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</si>
  <si>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</si>
  <si>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</si>
  <si>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</si>
  <si>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</si>
  <si>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</si>
  <si>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</si>
  <si>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</si>
  <si>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</si>
  <si>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</si>
  <si>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</si>
  <si>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</si>
  <si>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</si>
  <si>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</si>
  <si>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</si>
  <si>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</si>
  <si>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</si>
  <si>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</si>
  <si>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</si>
  <si>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</si>
  <si>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</si>
  <si>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</si>
  <si>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</si>
  <si>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</si>
  <si>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</si>
  <si>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</si>
  <si>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</si>
  <si>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</si>
  <si>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</si>
  <si>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</si>
  <si>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</si>
  <si>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</si>
  <si>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</si>
  <si>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</si>
  <si>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</si>
  <si>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</si>
  <si>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</si>
  <si>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</si>
  <si>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</si>
  <si>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</si>
  <si>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</si>
  <si>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</si>
  <si>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</si>
  <si>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</si>
  <si>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</si>
  <si>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</si>
  <si>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</si>
  <si>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</si>
  <si>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</si>
  <si>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</si>
  <si>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</si>
  <si>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</si>
  <si>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</si>
  <si>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</si>
  <si>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</si>
  <si>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</si>
  <si>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</si>
  <si>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</si>
  <si>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</si>
  <si>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</si>
  <si>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</si>
  <si>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</si>
  <si>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</si>
  <si>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</si>
  <si>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</si>
  <si>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</si>
  <si>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</si>
  <si>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</si>
  <si>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</si>
  <si>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</si>
  <si>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</si>
  <si>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</si>
  <si>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</si>
  <si>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</si>
  <si>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</si>
  <si>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</si>
  <si>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</si>
  <si>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</si>
  <si>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</si>
  <si>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</si>
  <si>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</si>
  <si>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</si>
  <si>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</si>
  <si>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</si>
  <si>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</si>
  <si>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</si>
  <si>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</si>
  <si>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</si>
  <si>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</si>
  <si>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</si>
  <si>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</si>
  <si>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</si>
  <si>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</si>
  <si>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</si>
  <si>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</si>
  <si>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</si>
  <si>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</si>
  <si>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</si>
  <si>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</si>
  <si>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</si>
  <si>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</si>
  <si>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</si>
  <si>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</si>
  <si>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</si>
  <si>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</si>
  <si>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</si>
  <si>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</si>
  <si>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</si>
  <si>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</si>
  <si>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</si>
  <si>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</si>
  <si>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</si>
  <si>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</si>
  <si>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</si>
  <si>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</si>
  <si>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</si>
  <si>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</si>
  <si>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</si>
  <si>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</si>
  <si>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</si>
  <si>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</si>
  <si>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</si>
  <si>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</si>
  <si>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</si>
  <si>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</si>
  <si>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</si>
  <si>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</si>
  <si>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</si>
  <si>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</si>
  <si>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</si>
  <si>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</si>
  <si>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</si>
  <si>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</si>
  <si>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</si>
  <si>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</si>
  <si>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</si>
  <si>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</si>
  <si>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</si>
  <si>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</si>
  <si>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</si>
  <si>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</si>
  <si>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</si>
  <si>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</si>
  <si>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</si>
  <si>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</si>
  <si>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</si>
  <si>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</si>
  <si>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</si>
  <si>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</si>
  <si>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</si>
  <si>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</si>
  <si>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</si>
  <si>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</si>
  <si>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</si>
  <si>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</si>
  <si>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</si>
  <si>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</si>
  <si>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</si>
  <si>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</si>
  <si>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</si>
  <si>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</si>
  <si>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</si>
  <si>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</si>
  <si>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</si>
  <si>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</si>
  <si>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</si>
  <si>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</si>
  <si>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</si>
  <si>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</si>
  <si>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</si>
  <si>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</si>
  <si>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</si>
  <si>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</si>
  <si>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</si>
  <si>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</si>
  <si>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</si>
  <si>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</si>
  <si>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</si>
  <si>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</si>
  <si>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</si>
  <si>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</si>
  <si>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</si>
  <si>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</si>
  <si>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</si>
  <si>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</si>
  <si>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</si>
  <si>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</si>
  <si>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201500-1</t>
  </si>
  <si>
    <t>TBM-TEXTIL BEZE</t>
  </si>
  <si>
    <t>MAURO MARQUES</t>
  </si>
  <si>
    <t>EXPRESSO_250</t>
  </si>
  <si>
    <t>CTE NORMAL</t>
  </si>
  <si>
    <t>PORTO FELIZ - SP</t>
  </si>
  <si>
    <t>RAFAEL ADRIANO FERRETTI</t>
  </si>
  <si>
    <t>INDEFINIDO</t>
  </si>
  <si>
    <t>Itajai-Sc X Porto Feliz-Sptruck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</si>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</sst>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0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TBM-TEXTIL BEZE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7934.05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TBM-TEXTIL BEZE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670.90200000000016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TBM-TEXTIL BEZE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7934.05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TBM-TEXTIL BEZE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670.90200000000016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5.44509826388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7050" count="8000">
        <n v="29705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8T00:00:00" maxDate="2026-08-19T00:00:00"/>
    </cacheField>
    <cacheField name="DATA" numFmtId="14">
      <sharedItems containsNonDate="0" containsDate="1" containsString="0" containsBlank="1" minDate="2026-08-18T00:00:00" maxDate="2026-08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TBM-TEXTIL BEZ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3219.28" maxValue="83219.28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934.05" maxValue="7934.05"/>
    </cacheField>
    <cacheField name="VOLUMES" numFmtId="0">
      <sharedItems containsString="0" containsBlank="1" containsNumber="1" containsInteger="1" minValue="319" maxValue="319"/>
    </cacheField>
    <cacheField name="PESO" numFmtId="0">
      <sharedItems containsString="0" containsBlank="1" containsNumber="1" minValue="10891.65" maxValue="10891.6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5000" maxValue="5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952.09" maxValue="952.0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41.61" maxValue="41.6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993.7" maxValue="5993.7"/>
    </cacheField>
    <cacheField name="RECEITA" numFmtId="0">
      <sharedItems containsString="0" containsBlank="1" containsNumber="1" minValue="1940.35" maxValue="1940.35"/>
    </cacheField>
    <cacheField name="IMPOSTO" numFmtId="0">
      <sharedItems containsString="0" containsBlank="1" containsNumber="1" minValue="2062.85" maxValue="2062.85"/>
    </cacheField>
    <cacheField name="RESULTADO" numFmtId="0">
      <sharedItems containsString="0" containsBlank="1" containsNumber="1" minValue="-122.5" maxValue="-122.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22.5" maxValue="-122.5"/>
    </cacheField>
    <cacheField name="MARGEM" numFmtId="10">
      <sharedItems containsString="0" containsBlank="1" containsNumber="1" minValue="-1.54E-2" maxValue="-1.54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8T00:00:00"/>
    <d v="2026-08-18T00:00:00"/>
    <m/>
    <s v="201500-1"/>
    <x v="0"/>
    <s v="MAURO MARQUES"/>
    <n v="83219.28"/>
    <x v="0"/>
    <s v="CTE NORMAL"/>
    <s v="PORTO FELIZ - SP"/>
    <n v="7934.05"/>
    <n v="319"/>
    <n v="10891.65"/>
    <s v="MATRIZ"/>
    <n v="0"/>
    <s v="RAFAEL ADRIANO FERRETTI"/>
    <n v="5000"/>
    <s v="INDEFINIDO"/>
    <n v="0"/>
    <n v="952.09"/>
    <n v="0"/>
    <n v="0"/>
    <n v="41.61"/>
    <n v="0"/>
    <n v="5993.7"/>
    <n v="1940.35"/>
    <n v="2062.85"/>
    <n v="-122.5"/>
    <n v="0"/>
    <n v="-122.5"/>
    <n v="-1.54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8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5"/>
        <item m="1" x="232"/>
        <item m="1" x="241"/>
        <item m="1" x="5"/>
        <item m="1" x="388"/>
        <item m="1" x="370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7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19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1"/>
        <item m="1" x="569"/>
        <item m="1" x="487"/>
        <item m="1" x="182"/>
        <item sd="0" m="1" x="374"/>
        <item m="1" x="242"/>
        <item m="1" x="337"/>
        <item m="1" x="527"/>
        <item m="1" x="422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x="0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754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8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5"/>
        <item m="1" x="232"/>
        <item m="1" x="241"/>
        <item m="1" x="5"/>
        <item m="1" x="388"/>
        <item m="1" x="370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7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19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1"/>
        <item m="1" x="569"/>
        <item m="1" x="487"/>
        <item m="1" x="182"/>
        <item sd="0" m="1" x="374"/>
        <item m="1" x="242"/>
        <item m="1" x="337"/>
        <item m="1" x="527"/>
        <item m="1" x="422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x="0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75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3" s="1" nd="1"/>
        <i x="11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8" s="1" nd="1"/>
        <i x="802" s="1" nd="1"/>
        <i x="41" s="1" nd="1"/>
        <i x="805" s="1" nd="1"/>
        <i x="486" s="1" nd="1"/>
        <i x="442" s="1" nd="1"/>
        <i x="399" s="1" nd="1"/>
        <i x="608" s="1" nd="1"/>
        <i x="153" s="1" nd="1"/>
        <i x="15" s="1" nd="1"/>
        <i x="232" s="1" nd="1"/>
        <i x="241" s="1" nd="1"/>
        <i x="5" s="1" nd="1"/>
        <i x="388" s="1" nd="1"/>
        <i x="370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7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19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2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1" s="1" nd="1"/>
        <i x="569" s="1" nd="1"/>
        <i x="487" s="1" nd="1"/>
        <i x="182" s="1" nd="1"/>
        <i x="374" s="1" nd="1"/>
        <i x="242" s="1" nd="1"/>
        <i x="337" s="1" nd="1"/>
        <i x="527" s="1" nd="1"/>
        <i x="422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3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8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7" s="1" nd="1"/>
        <i x="229" s="1" nd="1"/>
        <i x="7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92" dataDxfId="90" headerRowBorderDxfId="91" tableBorderDxfId="89" totalsRowBorderDxfId="88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297050</v>
      </c>
      <c r="B2" s="12" t="s">
        <v>576</v>
      </c>
      <c r="C2" s="14">
        <v>46252</v>
      </c>
      <c r="D2" s="14">
        <v>46252</v>
      </c>
      <c r="E2" s="12"/>
      <c r="F2" s="15" t="s">
        <v>577</v>
      </c>
      <c r="G2" s="15" t="s">
        <v>578</v>
      </c>
      <c r="H2" s="15" t="s">
        <v>579</v>
      </c>
      <c r="I2" s="16">
        <v>83219.28</v>
      </c>
      <c r="J2" s="15" t="s">
        <v>580</v>
      </c>
      <c r="K2" s="15" t="s">
        <v>581</v>
      </c>
      <c r="L2" s="15" t="s">
        <v>582</v>
      </c>
      <c r="M2" s="15">
        <v>7934.05</v>
      </c>
      <c r="N2" s="15">
        <v>319</v>
      </c>
      <c r="O2" s="16">
        <v>10891.65</v>
      </c>
      <c r="P2" s="15" t="s">
        <v>576</v>
      </c>
      <c r="Q2" s="15">
        <v>0</v>
      </c>
      <c r="R2" s="15" t="s">
        <v>583</v>
      </c>
      <c r="S2" s="15">
        <v>5000</v>
      </c>
      <c r="T2" s="15" t="s">
        <v>584</v>
      </c>
      <c r="U2" s="15">
        <v>0</v>
      </c>
      <c r="V2" s="15">
        <v>952.09</v>
      </c>
      <c r="W2" s="15">
        <v>0</v>
      </c>
      <c r="X2" s="15">
        <v>0</v>
      </c>
      <c r="Y2" s="15">
        <v>41.61</v>
      </c>
      <c r="Z2" s="15">
        <v>0</v>
      </c>
      <c r="AA2" s="15">
        <v>5993.7</v>
      </c>
      <c r="AB2" s="15">
        <v>1940.35</v>
      </c>
      <c r="AC2" s="15">
        <v>2062.85</v>
      </c>
      <c r="AD2" s="15">
        <v>-122.5</v>
      </c>
      <c r="AE2" s="15">
        <v>0</v>
      </c>
      <c r="AF2" s="15">
        <v>-122.5</v>
      </c>
      <c r="AG2" s="17">
        <v>-1.54E-2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34"/>
    </row>
    <row r="2" spans="4:25" ht="15" thickBot="1" x14ac:dyDescent="0.35">
      <c r="D2" s="55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36"/>
    </row>
    <row r="3" spans="4:25" ht="15" thickBot="1" x14ac:dyDescent="0.35">
      <c r="D3" s="55"/>
      <c r="E3" s="93">
        <f>'Resumo Detalhado'!B2</f>
        <v>7934.05</v>
      </c>
      <c r="F3" s="94"/>
      <c r="G3" s="95"/>
      <c r="H3" s="96">
        <f>'Resumo Detalhado'!C2</f>
        <v>10891.65</v>
      </c>
      <c r="I3" s="97"/>
      <c r="J3" s="98">
        <f>E3/H3</f>
        <v>0.72845253014924283</v>
      </c>
      <c r="K3" s="99"/>
      <c r="L3" s="100"/>
      <c r="M3" s="136" t="s">
        <v>58</v>
      </c>
      <c r="N3" s="94"/>
      <c r="O3" s="95"/>
      <c r="P3" s="137">
        <v>11000</v>
      </c>
      <c r="Q3" s="138"/>
      <c r="R3" s="139"/>
      <c r="S3" s="104">
        <f>MIN(H3/P3,1)</f>
        <v>0.99014999999999997</v>
      </c>
      <c r="T3" s="105"/>
      <c r="U3" s="106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36"/>
    </row>
    <row r="6" spans="4:25" ht="15" thickBot="1" x14ac:dyDescent="0.35">
      <c r="D6" s="55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36"/>
    </row>
    <row r="7" spans="4:25" ht="15" thickBot="1" x14ac:dyDescent="0.35">
      <c r="D7" s="55"/>
      <c r="E7" s="110">
        <f>E11+K11+Q11</f>
        <v>5000</v>
      </c>
      <c r="F7" s="110"/>
      <c r="G7" s="110"/>
      <c r="H7" s="110"/>
      <c r="I7" s="110"/>
      <c r="J7" s="110">
        <f>E7/H3</f>
        <v>0.45906726712665208</v>
      </c>
      <c r="K7" s="110"/>
      <c r="L7" s="110"/>
      <c r="M7" s="111">
        <f>E7/E3</f>
        <v>0.63019517144459636</v>
      </c>
      <c r="N7" s="111"/>
      <c r="O7" s="111"/>
      <c r="P7" s="110">
        <f>E11+K11+Q11+E15+K15+Q15+E19+H19+K19</f>
        <v>7897.8720000000003</v>
      </c>
      <c r="Q7" s="110"/>
      <c r="R7" s="110"/>
      <c r="S7" s="110">
        <f>P7/H3</f>
        <v>0.72513090303122119</v>
      </c>
      <c r="T7" s="110"/>
      <c r="U7" s="110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36"/>
    </row>
    <row r="10" spans="4:25" ht="15" thickBot="1" x14ac:dyDescent="0.35">
      <c r="D10" s="55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36"/>
    </row>
    <row r="11" spans="4:25" ht="15" thickBot="1" x14ac:dyDescent="0.35">
      <c r="D11" s="55">
        <f>IF(E11=0,K11,E11)</f>
        <v>5000</v>
      </c>
      <c r="E11" s="126">
        <f>ROUNDUP('Resumo Detalhado'!F2,0)</f>
        <v>0</v>
      </c>
      <c r="F11" s="95"/>
      <c r="G11" s="38"/>
      <c r="H11" s="93">
        <f>E11/H3</f>
        <v>0</v>
      </c>
      <c r="I11" s="95"/>
      <c r="J11" s="38"/>
      <c r="K11" s="93">
        <v>5000</v>
      </c>
      <c r="L11" s="95"/>
      <c r="M11" s="38"/>
      <c r="N11" s="93">
        <f>K11/H3</f>
        <v>0.45906726712665208</v>
      </c>
      <c r="O11" s="95"/>
      <c r="P11" s="38"/>
      <c r="Q11" s="93">
        <f>'Resumo Detalhado'!D2</f>
        <v>0</v>
      </c>
      <c r="R11" s="95"/>
      <c r="S11" s="38"/>
      <c r="T11" s="93">
        <f>Q11/H3</f>
        <v>0</v>
      </c>
      <c r="U11" s="95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1" t="s">
        <v>59</v>
      </c>
      <c r="F14" s="102"/>
      <c r="G14" s="102"/>
      <c r="H14" s="102"/>
      <c r="I14" s="112"/>
      <c r="K14" s="116" t="s">
        <v>128</v>
      </c>
      <c r="L14" s="102"/>
      <c r="M14" s="102"/>
      <c r="N14" s="102"/>
      <c r="O14" s="112"/>
      <c r="Q14" s="116"/>
      <c r="R14" s="102"/>
      <c r="S14" s="102"/>
      <c r="T14" s="102"/>
      <c r="U14" s="103"/>
      <c r="V14" s="36"/>
      <c r="W14" s="35" t="s">
        <v>60</v>
      </c>
      <c r="Y14" s="46">
        <v>6000</v>
      </c>
    </row>
    <row r="15" spans="4:25" ht="15" thickBot="1" x14ac:dyDescent="0.35">
      <c r="D15" s="55"/>
      <c r="E15" s="113">
        <f>'Resumo Detalhado'!H2</f>
        <v>952.09</v>
      </c>
      <c r="F15" s="114"/>
      <c r="G15" s="114"/>
      <c r="H15" s="114"/>
      <c r="I15" s="115"/>
      <c r="J15" s="38"/>
      <c r="K15" s="117">
        <f>'Resumo Detalhado'!K2+'Resumo Detalhado'!L2</f>
        <v>1269.4480000000001</v>
      </c>
      <c r="L15" s="108"/>
      <c r="M15" s="108"/>
      <c r="N15" s="108"/>
      <c r="O15" s="118"/>
      <c r="P15" s="38"/>
      <c r="Q15" s="119"/>
      <c r="R15" s="114"/>
      <c r="S15" s="114"/>
      <c r="T15" s="114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0" t="s">
        <v>63</v>
      </c>
      <c r="F17" s="91"/>
      <c r="G17" s="91"/>
      <c r="H17" s="91"/>
      <c r="I17" s="91"/>
      <c r="J17" s="91"/>
      <c r="K17" s="91"/>
      <c r="L17" s="91"/>
      <c r="M17" s="50"/>
      <c r="N17" s="50"/>
      <c r="O17" s="91" t="s">
        <v>64</v>
      </c>
      <c r="P17" s="91"/>
      <c r="Q17" s="91"/>
      <c r="R17" s="91"/>
      <c r="S17" s="91"/>
      <c r="T17" s="91"/>
      <c r="U17" s="92"/>
      <c r="V17" s="36"/>
    </row>
    <row r="18" spans="4:25" ht="15" thickBot="1" x14ac:dyDescent="0.35">
      <c r="D18" s="55"/>
      <c r="E18" s="121" t="s">
        <v>65</v>
      </c>
      <c r="F18" s="122"/>
      <c r="H18" s="121" t="s">
        <v>66</v>
      </c>
      <c r="I18" s="122"/>
      <c r="K18" s="121" t="s">
        <v>67</v>
      </c>
      <c r="L18" s="122"/>
      <c r="N18" s="123" t="s">
        <v>68</v>
      </c>
      <c r="O18" s="124"/>
      <c r="P18" s="124"/>
      <c r="Q18" s="124"/>
      <c r="R18" s="125"/>
      <c r="S18" s="123" t="s">
        <v>69</v>
      </c>
      <c r="T18" s="124"/>
      <c r="U18" s="125"/>
      <c r="V18" s="36"/>
      <c r="W18" s="93" t="s">
        <v>70</v>
      </c>
      <c r="X18" s="94"/>
      <c r="Y18" s="95"/>
    </row>
    <row r="19" spans="4:25" ht="15" thickBot="1" x14ac:dyDescent="0.35">
      <c r="D19" s="55"/>
      <c r="E19" s="113">
        <f>'Resumo Detalhado'!I2</f>
        <v>41.61</v>
      </c>
      <c r="F19" s="120"/>
      <c r="G19" s="38"/>
      <c r="H19" s="107">
        <f>'Resumo Detalhado'!J2</f>
        <v>0</v>
      </c>
      <c r="I19" s="109"/>
      <c r="J19" s="38"/>
      <c r="K19" s="107">
        <f>'Resumo Detalhado'!L2</f>
        <v>634.72400000000005</v>
      </c>
      <c r="L19" s="109"/>
      <c r="M19" s="38"/>
      <c r="N19" s="113" t="s">
        <v>585</v>
      </c>
      <c r="O19" s="114"/>
      <c r="P19" s="114"/>
      <c r="Q19" s="114"/>
      <c r="R19" s="120"/>
      <c r="S19" s="113">
        <v>4600</v>
      </c>
      <c r="T19" s="114"/>
      <c r="U19" s="120"/>
      <c r="V19" s="36"/>
      <c r="W19" s="127" t="str">
        <f>IF(D11=S19,"NO TARGET",IF(D11&lt;S19,"ABAIXO DO TARGET",IF(D11&gt;S19,"FORA DO TARGET")))</f>
        <v>FORA DO TARGET</v>
      </c>
      <c r="X19" s="128"/>
      <c r="Y19" s="129"/>
    </row>
    <row r="20" spans="4:25" ht="15" thickBot="1" x14ac:dyDescent="0.35">
      <c r="D20" s="55"/>
      <c r="V20" s="36"/>
      <c r="W20" s="130"/>
      <c r="X20" s="131"/>
      <c r="Y20" s="132"/>
    </row>
    <row r="21" spans="4:25" ht="15" thickBot="1" x14ac:dyDescent="0.35">
      <c r="D21" s="55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36"/>
      <c r="W21" s="130"/>
      <c r="X21" s="131"/>
      <c r="Y21" s="132"/>
    </row>
    <row r="22" spans="4:25" ht="15" thickBot="1" x14ac:dyDescent="0.35">
      <c r="D22" s="55"/>
      <c r="E22" s="101" t="s">
        <v>71</v>
      </c>
      <c r="F22" s="102"/>
      <c r="G22" s="102"/>
      <c r="H22" s="102"/>
      <c r="I22" s="102"/>
      <c r="J22" s="102"/>
      <c r="K22" s="102"/>
      <c r="L22" s="103"/>
      <c r="N22" s="101" t="s">
        <v>72</v>
      </c>
      <c r="O22" s="102"/>
      <c r="P22" s="102"/>
      <c r="Q22" s="102"/>
      <c r="R22" s="102"/>
      <c r="S22" s="102"/>
      <c r="T22" s="102"/>
      <c r="U22" s="103"/>
      <c r="V22" s="36"/>
      <c r="W22" s="130"/>
      <c r="X22" s="131"/>
      <c r="Y22" s="132"/>
    </row>
    <row r="23" spans="4:25" ht="15" thickBot="1" x14ac:dyDescent="0.35">
      <c r="D23" s="55"/>
      <c r="E23" s="107">
        <f>'Resumo Detalhado'!N2</f>
        <v>670.90200000000016</v>
      </c>
      <c r="F23" s="108"/>
      <c r="G23" s="108"/>
      <c r="H23" s="108"/>
      <c r="I23" s="108"/>
      <c r="J23" s="108"/>
      <c r="K23" s="108"/>
      <c r="L23" s="109"/>
      <c r="M23" s="38"/>
      <c r="N23" s="104">
        <f>E23/E3</f>
        <v>8.4559840182504536E-2</v>
      </c>
      <c r="O23" s="105"/>
      <c r="P23" s="105"/>
      <c r="Q23" s="105"/>
      <c r="R23" s="105"/>
      <c r="S23" s="105"/>
      <c r="T23" s="105"/>
      <c r="U23" s="106"/>
      <c r="V23" s="36"/>
      <c r="W23" s="133"/>
      <c r="X23" s="134"/>
      <c r="Y23" s="135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586</v>
      </c>
      <c r="F1" s="29"/>
    </row>
    <row r="2" spans="1:18" x14ac:dyDescent="0.3">
      <c r="B2" s="29">
        <f>SUM(B6:B5000)</f>
        <v>7934.05</v>
      </c>
      <c r="C2" s="29">
        <f>SUM(C6:C5000)</f>
        <v>10891.65</v>
      </c>
      <c r="D2" s="29">
        <f>SUM(D6:D5000)</f>
        <v>0</v>
      </c>
      <c r="E2" s="29">
        <f>SUM(E6:E5000)</f>
        <v>5000</v>
      </c>
      <c r="F2" s="29">
        <f>SUM(F6:F5000)</f>
        <v>0</v>
      </c>
      <c r="G2" s="29"/>
      <c r="H2" s="29">
        <f t="shared" ref="H2:P2" si="0">SUM(H6:H5000)</f>
        <v>952.09</v>
      </c>
      <c r="I2" s="29">
        <f t="shared" si="0"/>
        <v>41.61</v>
      </c>
      <c r="J2" s="29">
        <f t="shared" si="0"/>
        <v>0</v>
      </c>
      <c r="K2" s="29">
        <f t="shared" si="0"/>
        <v>634.72400000000005</v>
      </c>
      <c r="L2" s="29">
        <f t="shared" si="0"/>
        <v>634.72400000000005</v>
      </c>
      <c r="M2" s="29">
        <f t="shared" si="0"/>
        <v>0</v>
      </c>
      <c r="N2" s="29">
        <f t="shared" si="0"/>
        <v>670.90200000000016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297050</v>
      </c>
      <c r="B6" s="88">
        <v>7934.05</v>
      </c>
      <c r="C6" s="51">
        <v>10891.65</v>
      </c>
      <c r="D6" s="88">
        <v>0</v>
      </c>
      <c r="E6" s="88">
        <v>5000</v>
      </c>
      <c r="F6" s="88">
        <v>0</v>
      </c>
      <c r="G6" s="52">
        <v>0.63019517144459636</v>
      </c>
      <c r="H6" s="88">
        <v>952.09</v>
      </c>
      <c r="I6" s="88">
        <v>41.61</v>
      </c>
      <c r="J6" s="88">
        <v>0</v>
      </c>
      <c r="K6" s="88">
        <v>634.72400000000005</v>
      </c>
      <c r="L6" s="88">
        <v>634.72400000000005</v>
      </c>
      <c r="M6" s="88">
        <v>0</v>
      </c>
      <c r="N6" s="88">
        <v>670.90200000000016</v>
      </c>
      <c r="O6" s="52">
        <v>8.4559840182504536E-2</v>
      </c>
      <c r="Q6"/>
    </row>
    <row r="7" spans="1:18" s="31" customFormat="1" x14ac:dyDescent="0.3">
      <c r="A7" s="9" t="s">
        <v>86</v>
      </c>
      <c r="B7" s="88"/>
      <c r="C7" s="51"/>
      <c r="D7" s="88"/>
      <c r="E7" s="88"/>
      <c r="F7" s="88"/>
      <c r="G7" s="52"/>
      <c r="H7" s="88"/>
      <c r="I7" s="88"/>
      <c r="J7" s="88"/>
      <c r="K7" s="88"/>
      <c r="L7" s="88"/>
      <c r="M7" s="88"/>
      <c r="N7" s="88"/>
      <c r="O7" s="5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586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578</v>
      </c>
      <c r="B5" s="10">
        <v>7934.05</v>
      </c>
      <c r="C5" s="10">
        <v>670.90200000000016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2026-08-21T13:49:00Z</dcterms:modified>
  <cp:category/>
  <cp:contentStatus/>
</cp:coreProperties>
</file>