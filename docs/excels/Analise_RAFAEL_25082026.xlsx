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BBED95F-8E54-4B6C-8B26-EBE2B7430FE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<sst xmlns="http://schemas.openxmlformats.org/spreadsheetml/2006/main" count="869" uniqueCount="597">
  <si>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</si>
  <si>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</si>
  <si>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</si>
  <si>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</si>
  <si>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</si>
  <si>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</si>
  <si>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</si>
  <si>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</si>
  <si>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</si>
  <si>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</si>
  <si>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</si>
  <si>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</si>
  <si>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</si>
  <si>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</si>
  <si>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</si>
  <si>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</si>
  <si>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</si>
  <si>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</si>
  <si>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</si>
  <si>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</si>
  <si>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</si>
  <si>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</si>
  <si>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</si>
  <si>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</si>
  <si>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</si>
  <si>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</si>
  <si>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</si>
  <si>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</si>
  <si>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</si>
  <si>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</si>
  <si>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</si>
  <si>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</si>
  <si>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</si>
  <si>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</si>
  <si>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</si>
  <si>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</si>
  <si>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</si>
  <si>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</si>
  <si>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</si>
  <si>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</si>
  <si>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</si>
  <si>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</si>
  <si>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</si>
  <si>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</si>
  <si>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</si>
  <si>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</si>
  <si>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</si>
  <si>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</si>
  <si>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</si>
  <si>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</si>
  <si>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</si>
  <si>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</si>
  <si>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</si>
  <si>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</si>
  <si>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</si>
  <si>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</si>
  <si>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</si>
  <si>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</si>
  <si>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</si>
  <si>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</si>
  <si>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</si>
  <si>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</si>
  <si>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</si>
  <si>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</si>
  <si>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</si>
  <si>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</si>
  <si>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</si>
  <si>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</si>
  <si>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</si>
  <si>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</si>
  <si>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</si>
  <si>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</si>
  <si>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</si>
  <si>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</si>
  <si>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</si>
  <si>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</si>
  <si>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</si>
  <si>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</si>
  <si>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</si>
  <si>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</si>
  <si>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</si>
  <si>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</si>
  <si>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</si>
  <si>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</si>
  <si>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</si>
  <si>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</si>
  <si>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</si>
  <si>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</si>
  <si>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</si>
  <si>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</si>
  <si>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</si>
  <si>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</si>
  <si>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</si>
  <si>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</si>
  <si>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</si>
  <si>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</si>
  <si>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</si>
  <si>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</si>
  <si>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</si>
  <si>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</si>
  <si>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</si>
  <si>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</si>
  <si>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</si>
  <si>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</si>
  <si>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</si>
  <si>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</si>
  <si>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</si>
  <si>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</si>
  <si>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</si>
  <si>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</si>
  <si>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</si>
  <si>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</si>
  <si>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</si>
  <si>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</si>
  <si>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</si>
  <si>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</si>
  <si>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</si>
  <si>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</si>
  <si>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</si>
  <si>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</si>
  <si>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</si>
  <si>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</si>
  <si>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</si>
  <si>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</si>
  <si>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</si>
  <si>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</si>
  <si>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</si>
  <si>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</si>
  <si>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</si>
  <si>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</si>
  <si>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</si>
  <si>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</si>
  <si>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</si>
  <si>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</si>
  <si>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</si>
  <si>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</si>
  <si>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</si>
  <si>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</si>
  <si>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</si>
  <si>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</si>
  <si>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</si>
  <si>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</si>
  <si>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</si>
  <si>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</si>
  <si>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</si>
  <si>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</si>
  <si>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</si>
  <si>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</si>
  <si>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</si>
  <si>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</si>
  <si>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</si>
  <si>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</si>
  <si>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</si>
  <si>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</si>
  <si>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</si>
  <si>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</si>
  <si>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</si>
  <si>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</si>
  <si>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</si>
  <si>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</si>
  <si>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</si>
  <si>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</si>
  <si>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</si>
  <si>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</si>
  <si>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</si>
  <si>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</si>
  <si>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</si>
  <si>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</si>
  <si>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</si>
  <si>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</si>
  <si>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</si>
  <si>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</si>
  <si>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</si>
  <si>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</si>
  <si>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</si>
  <si>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</si>
  <si>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</si>
  <si>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</si>
  <si>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</si>
  <si>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</si>
  <si>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</si>
  <si>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</si>
  <si>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</si>
  <si>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</si>
  <si>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</si>
  <si>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</si>
  <si>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</si>
  <si>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</si>
  <si>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</si>
  <si>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</si>
  <si>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</si>
  <si>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</si>
  <si>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</si>
  <si>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</si>
  <si>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</si>
  <si>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</si>
  <si>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</si>
  <si>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</si>
  <si>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</si>
  <si>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</si>
  <si>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</si>
  <si>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</si>
  <si>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</si>
  <si>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</si>
  <si>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</si>
  <si>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</si>
  <si>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</si>
  <si>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</si>
  <si>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</si>
  <si>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</si>
  <si>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</si>
  <si>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</si>
  <si>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</si>
  <si>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</si>
  <si>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</si>
  <si>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</si>
  <si>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</si>
  <si>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</si>
  <si>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</si>
  <si>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</si>
  <si>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</si>
  <si>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</si>
  <si>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</si>
  <si>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</si>
  <si>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</si>
  <si>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</si>
  <si>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</si>
  <si>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</si>
  <si>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</si>
  <si>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</si>
  <si>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</si>
  <si>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</si>
  <si>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</si>
  <si>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</si>
  <si>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</si>
  <si>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</si>
  <si>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</si>
  <si>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</si>
  <si>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</si>
  <si>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</si>
  <si>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</si>
  <si>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</si>
  <si>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</si>
  <si>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</si>
  <si>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</si>
  <si>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</si>
  <si>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</si>
  <si>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</si>
  <si>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</si>
  <si>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</si>
  <si>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</si>
  <si>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</si>
  <si>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</si>
  <si>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</si>
  <si>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</si>
  <si>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</si>
  <si>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</si>
  <si>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</si>
  <si>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</si>
  <si>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</si>
  <si>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</si>
  <si>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</si>
  <si>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</si>
  <si>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</si>
  <si>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</si>
  <si>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</si>
  <si>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</si>
  <si>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</si>
  <si>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</si>
  <si>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</si>
  <si>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</si>
  <si>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</si>
  <si>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</si>
  <si>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</si>
  <si>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</si>
  <si>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</si>
  <si>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</si>
  <si>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</si>
  <si>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</si>
  <si>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</si>
  <si>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</si>
  <si>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</si>
  <si>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</si>
  <si>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</si>
  <si>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</si>
  <si>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</si>
  <si>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</si>
  <si>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</si>
  <si>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</si>
  <si>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</si>
  <si>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</si>
  <si>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</si>
  <si>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</si>
  <si>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</si>
  <si>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</si>
  <si>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</si>
  <si>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</si>
  <si>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</si>
  <si>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</si>
  <si>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</si>
  <si>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</si>
  <si>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</si>
  <si>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</si>
  <si>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</si>
  <si>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</si>
  <si>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</si>
  <si>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</si>
  <si>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</si>
  <si>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</si>
  <si>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</si>
  <si>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</si>
  <si>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</si>
  <si>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</si>
  <si>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</si>
  <si>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</si>
  <si>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</si>
  <si>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</si>
  <si>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</si>
  <si>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</si>
  <si>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</si>
  <si>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</si>
  <si>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</si>
  <si>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</si>
  <si>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</si>
  <si>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</si>
  <si>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</si>
  <si>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</si>
  <si>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</si>
  <si>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</si>
  <si>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</si>
  <si>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</si>
  <si>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</si>
  <si>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</si>
  <si>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</si>
  <si>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</si>
  <si>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</si>
  <si>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</si>
  <si>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</si>
  <si>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</si>
  <si>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</si>
  <si>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</si>
  <si>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</si>
  <si>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</si>
  <si>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</si>
  <si>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</si>
  <si>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</si>
  <si>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</si>
  <si>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</si>
  <si>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</si>
  <si>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</si>
  <si>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</si>
  <si>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</si>
  <si>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</si>
  <si>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</si>
  <si>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</si>
  <si>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</si>
  <si>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</si>
  <si>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</si>
  <si>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</si>
  <si>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</si>
  <si>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</si>
  <si>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</si>
  <si>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</si>
  <si>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</si>
  <si>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</si>
  <si>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</si>
  <si>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</si>
  <si>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</si>
  <si>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</si>
  <si>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</si>
  <si>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</si>
  <si>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</si>
  <si>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</si>
  <si>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</si>
  <si>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</si>
  <si>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</si>
  <si>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</si>
  <si>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</si>
  <si>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</si>
  <si>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</si>
  <si>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</si>
  <si>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</si>
  <si>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</si>
  <si>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</si>
  <si>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</si>
  <si>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</si>
  <si>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</si>
  <si>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</si>
  <si>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</si>
  <si>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</si>
  <si>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</si>
  <si>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</si>
  <si>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</si>
  <si>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</si>
  <si>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</si>
  <si>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</si>
  <si>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</si>
  <si>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</si>
  <si>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</si>
  <si>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</si>
  <si>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</si>
  <si>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</si>
  <si>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</si>
  <si>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</si>
  <si>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</si>
  <si>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</si>
  <si>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</si>
  <si>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</si>
  <si>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</si>
  <si>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</si>
  <si>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</si>
  <si>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</si>
  <si>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</si>
  <si>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</si>
  <si>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</si>
  <si>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</si>
  <si>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</si>
  <si>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</si>
  <si>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</si>
  <si>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</si>
  <si>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</si>
  <si>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</si>
  <si>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</si>
  <si>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</si>
  <si>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</si>
  <si>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</si>
  <si>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</si>
  <si>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</si>
  <si>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</si>
  <si>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</si>
  <si>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</si>
  <si>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</si>
  <si>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</si>
  <si>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</si>
  <si>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</si>
  <si>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</si>
  <si>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</si>
  <si>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</si>
  <si>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</si>
  <si>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</si>
  <si>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</si>
  <si>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</si>
  <si>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</si>
  <si>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</si>
  <si>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</si>
  <si>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</si>
  <si>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</si>
  <si>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</si>
  <si>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</si>
  <si>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</si>
  <si>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</si>
  <si>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</si>
  <si>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</si>
  <si>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</si>
  <si>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</si>
  <si>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</si>
  <si>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</si>
  <si>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</si>
  <si>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</si>
  <si>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</si>
  <si>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</si>
  <si>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</si>
  <si>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</si>
  <si>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</si>
  <si>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</si>
  <si>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</si>
  <si>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</si>
  <si>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</si>
  <si>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</si>
  <si>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</si>
  <si>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</si>
  <si>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</si>
  <si>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</si>
  <si>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</si>
  <si>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</si>
  <si>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</si>
  <si>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</si>
  <si>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</si>
  <si>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</si>
  <si>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</si>
  <si>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</si>
  <si>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</si>
  <si>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</si>
  <si>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</si>
  <si>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</si>
  <si>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</si>
  <si>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</si>
  <si>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</si>
  <si>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</si>
  <si>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</si>
  <si>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</si>
  <si>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</si>
  <si>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</si>
  <si>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</si>
  <si>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</si>
  <si>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</si>
  <si>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</si>
  <si>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</si>
  <si>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</si>
  <si>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</si>
  <si>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</si>
  <si>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</si>
  <si>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</si>
  <si>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</si>
  <si>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</si>
  <si>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</si>
  <si>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</si>
  <si>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</si>
  <si>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</si>
  <si>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</si>
  <si>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</si>
  <si>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</si>
  <si>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</si>
  <si>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</si>
  <si>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</si>
  <si>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</si>
  <si>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</si>
  <si>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</si>
  <si>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</si>
  <si>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</si>
  <si>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</si>
  <si>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</si>
  <si>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</si>
  <si>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</si>
  <si>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</si>
  <si>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</si>
  <si>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</si>
  <si>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</si>
  <si>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</si>
  <si>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</si>
  <si>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</si>
  <si>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</si>
  <si>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</si>
  <si>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</si>
  <si>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</si>
  <si>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</si>
  <si>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</si>
  <si>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</si>
  <si>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</si>
  <si>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</si>
  <si>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</si>
  <si>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</si>
  <si>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</si>
  <si>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</si>
  <si>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</si>
  <si>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</si>
  <si>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</si>
  <si>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</si>
  <si>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</si>
  <si>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</si>
  <si>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</si>
  <si>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</si>
  <si>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</si>
  <si>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</si>
  <si>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</si>
  <si>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</si>
  <si>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</si>
  <si>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</si>
  <si>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</si>
  <si>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</si>
  <si>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</si>
  <si>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</si>
  <si>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</si>
  <si>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</si>
  <si>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</si>
  <si>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</si>
  <si>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</si>
  <si>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</si>
  <si>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</si>
  <si>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</si>
  <si>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</si>
  <si>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</si>
  <si>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</si>
  <si>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</si>
  <si>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</si>
  <si>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</si>
  <si>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</si>
  <si>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</si>
  <si>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</si>
  <si>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</si>
  <si>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201440-1</t>
  </si>
  <si>
    <t>SAMSONITE BRASI</t>
  </si>
  <si>
    <t>MARLON MARQUES</t>
  </si>
  <si>
    <t>PERSONALIZADO_L</t>
  </si>
  <si>
    <t>CTE NORMAL</t>
  </si>
  <si>
    <t>CAJAMAR - SP</t>
  </si>
  <si>
    <t>FABIO LUIZ SANTOS VALASQU</t>
  </si>
  <si>
    <t>N/D</t>
  </si>
  <si>
    <t>RAFAEL ADRIANO FERRETTI</t>
  </si>
  <si>
    <t>201971-1</t>
  </si>
  <si>
    <t>LEE TRADING IMP</t>
  </si>
  <si>
    <t>TIAGO SANTANA</t>
  </si>
  <si>
    <t>ECONOMICO_250</t>
  </si>
  <si>
    <t>SAO PAULO - SP</t>
  </si>
  <si>
    <t>ROBSON BARBOSA FERREIRA</t>
  </si>
  <si>
    <t>EDSON SANTOS DA SILVA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</si>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</sst>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LEE TRADING IMP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149</c:v>
                </c:pt>
                <c:pt idx="1">
                  <c:v>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LEE TRADING IMP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42.519999999999996</c:v>
                </c:pt>
                <c:pt idx="1">
                  <c:v>4788.55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LEE TRADING IMP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149</c:v>
                </c:pt>
                <c:pt idx="1">
                  <c:v>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LEE TRADING IMP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42.519999999999996</c:v>
                </c:pt>
                <c:pt idx="1">
                  <c:v>4788.55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2.45805925926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8059" count="8000">
        <n v="296987"/>
        <n v="29805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8-25T00:00:00"/>
    </cacheField>
    <cacheField name="DATA" numFmtId="14">
      <sharedItems containsNonDate="0" containsDate="1" containsString="0" containsBlank="1" minDate="2026-08-18T00:00:00" maxDate="2026-08-2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LEE TRADING IMP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60.01" maxValue="134082.01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149" maxValue="7200"/>
    </cacheField>
    <cacheField name="VOLUMES" numFmtId="0">
      <sharedItems containsString="0" containsBlank="1" containsNumber="1" containsInteger="1" minValue="2" maxValue="326"/>
    </cacheField>
    <cacheField name="PESO" numFmtId="0">
      <sharedItems containsString="0" containsBlank="1" containsNumber="1" minValue="49.6" maxValue="1401.6"/>
    </cacheField>
    <cacheField name="RESP. COLETA" numFmtId="0">
      <sharedItems containsBlank="1"/>
    </cacheField>
    <cacheField name="CUSTO COLETA" numFmtId="0">
      <sharedItems containsString="0" containsBlank="1" containsNumber="1" minValue="23.78" maxValue="328.4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88" maxValue="86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8" maxValue="67.0400000000000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22.77" maxValue="5219.32"/>
    </cacheField>
    <cacheField name="RECEITA" numFmtId="0">
      <sharedItems containsString="0" containsBlank="1" containsNumber="1" minValue="-73.77" maxValue="1980.68"/>
    </cacheField>
    <cacheField name="IMPOSTO" numFmtId="0">
      <sharedItems containsString="0" containsBlank="1" containsNumber="1" minValue="38.74" maxValue="1872"/>
    </cacheField>
    <cacheField name="RESULTADO" numFmtId="0">
      <sharedItems containsString="0" containsBlank="1" containsNumber="1" minValue="-112.51" maxValue="108.6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12.51" maxValue="108.68"/>
    </cacheField>
    <cacheField name="MARGEM" numFmtId="10">
      <sharedItems containsString="0" containsBlank="1" containsNumber="1" minValue="-0.7551000000000001" maxValue="1.51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8T00:00:00"/>
    <d v="2026-08-18T00:00:00"/>
    <m/>
    <s v="201440-1"/>
    <x v="0"/>
    <s v="MARLON MARQUES"/>
    <n v="134082.01"/>
    <x v="0"/>
    <s v="CTE NORMAL"/>
    <s v="CAJAMAR - SP"/>
    <n v="7200"/>
    <n v="326"/>
    <n v="1401.6"/>
    <s v="FABIO LUIZ SANTOS VALASQU"/>
    <n v="328.41"/>
    <s v="N/D"/>
    <n v="0"/>
    <s v="RAFAEL ADRIANO FERRETTI"/>
    <n v="0"/>
    <n v="864"/>
    <n v="0"/>
    <n v="0"/>
    <n v="67.040000000000006"/>
    <n v="0"/>
    <n v="5219.32"/>
    <n v="1980.68"/>
    <n v="1872"/>
    <n v="108.68"/>
    <n v="0"/>
    <n v="108.68"/>
    <n v="1.5100000000000001E-2"/>
    <m/>
  </r>
  <r>
    <x v="1"/>
    <s v="MATRIZ"/>
    <d v="2026-08-24T00:00:00"/>
    <d v="2026-08-24T00:00:00"/>
    <m/>
    <s v="201971-1"/>
    <x v="1"/>
    <s v="TIAGO SANTANA"/>
    <n v="1960.01"/>
    <x v="1"/>
    <s v="CTE NORMAL"/>
    <s v="SAO PAULO - SP"/>
    <n v="149"/>
    <n v="2"/>
    <n v="49.6"/>
    <s v="ROBSON BARBOSA FERREIRA"/>
    <n v="23.78"/>
    <s v="EDSON SANTOS DA SILVA"/>
    <n v="40"/>
    <s v="RAFAEL ADRIANO FERRETTI"/>
    <n v="0"/>
    <n v="17.88"/>
    <n v="0"/>
    <n v="0"/>
    <n v="0.98"/>
    <n v="0"/>
    <n v="222.77"/>
    <n v="-73.77"/>
    <n v="38.74"/>
    <n v="-112.51"/>
    <n v="0"/>
    <n v="-112.51"/>
    <n v="-0.7551000000000001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4"/>
        <item m="1" x="581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1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3"/>
        <item m="1" x="602"/>
        <item sd="0" m="1" x="450"/>
        <item m="1" x="349"/>
        <item m="1" x="78"/>
        <item m="1" x="582"/>
        <item m="1" x="18"/>
        <item m="1" x="160"/>
        <item m="1" x="773"/>
        <item m="1" x="579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6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8"/>
        <item m="1" x="153"/>
        <item m="1" x="15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7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6"/>
        <item sd="0" m="1" x="237"/>
        <item m="1" x="557"/>
        <item x="1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3"/>
        <item m="1" x="31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09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6"/>
        <item m="1" x="687"/>
        <item m="1" x="280"/>
        <item m="1" x="525"/>
        <item m="1" x="526"/>
        <item m="1" x="37"/>
        <item m="1" x="592"/>
        <item m="1" x="801"/>
        <item m="1" x="583"/>
        <item m="1" x="749"/>
        <item m="1" x="722"/>
        <item m="1" x="533"/>
        <item sd="0" m="1" x="46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x="0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30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4"/>
        <item m="1" x="581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30"/>
        <item m="1" x="665"/>
        <item m="1" x="519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6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0"/>
        <item m="1" x="5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1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3"/>
        <item m="1" x="602"/>
        <item sd="0" m="1" x="450"/>
        <item m="1" x="349"/>
        <item m="1" x="78"/>
        <item m="1" x="582"/>
        <item m="1" x="18"/>
        <item m="1" x="160"/>
        <item m="1" x="773"/>
        <item m="1" x="579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6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9"/>
        <item m="1" x="208"/>
        <item m="1" x="671"/>
        <item m="1" x="486"/>
        <item m="1" x="640"/>
        <item m="1" x="606"/>
        <item m="1" x="532"/>
        <item sd="0" m="1" x="563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8"/>
        <item m="1" x="153"/>
        <item m="1" x="15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7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6"/>
        <item sd="0" m="1" x="237"/>
        <item m="1" x="557"/>
        <item x="1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3"/>
        <item m="1" x="31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09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6"/>
        <item m="1" x="575"/>
        <item sd="0" m="1" x="197"/>
        <item m="1" x="574"/>
        <item m="1" x="365"/>
        <item m="1" x="823"/>
        <item m="1" x="336"/>
        <item m="1" x="524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6"/>
        <item m="1" x="687"/>
        <item m="1" x="280"/>
        <item m="1" x="525"/>
        <item m="1" x="526"/>
        <item m="1" x="37"/>
        <item m="1" x="592"/>
        <item m="1" x="801"/>
        <item m="1" x="583"/>
        <item m="1" x="749"/>
        <item m="1" x="722"/>
        <item m="1" x="533"/>
        <item sd="0" m="1" x="46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x="0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30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4" s="1" nd="1"/>
        <i x="581" s="1" nd="1"/>
        <i x="852" s="1" nd="1"/>
        <i x="20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9" s="1" nd="1"/>
        <i x="44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30" s="1" nd="1"/>
        <i x="665" s="1" nd="1"/>
        <i x="519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516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0" s="1" nd="1"/>
        <i x="5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2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59" s="1" nd="1"/>
        <i x="631" s="1" nd="1"/>
        <i x="531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2" s="1" nd="1"/>
        <i x="450" s="1" nd="1"/>
        <i x="349" s="1" nd="1"/>
        <i x="78" s="1" nd="1"/>
        <i x="582" s="1" nd="1"/>
        <i x="18" s="1" nd="1"/>
        <i x="160" s="1" nd="1"/>
        <i x="773" s="1" nd="1"/>
        <i x="579" s="1" nd="1"/>
        <i x="518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6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5" s="1" nd="1"/>
        <i x="458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9" s="1" nd="1"/>
        <i x="208" s="1" nd="1"/>
        <i x="671" s="1" nd="1"/>
        <i x="486" s="1" nd="1"/>
        <i x="640" s="1" nd="1"/>
        <i x="606" s="1" nd="1"/>
        <i x="532" s="1" nd="1"/>
        <i x="563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8" s="1" nd="1"/>
        <i x="153" s="1" nd="1"/>
        <i x="15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7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4" s="1" nd="1"/>
        <i x="298" s="1" nd="1"/>
        <i x="682" s="1" nd="1"/>
        <i x="135" s="1" nd="1"/>
        <i x="330" s="1" nd="1"/>
        <i x="536" s="1" nd="1"/>
        <i x="237" s="1" nd="1"/>
        <i x="557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4" s="1" nd="1"/>
        <i x="609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19" s="1" nd="1"/>
        <i x="538" s="1" nd="1"/>
        <i x="636" s="1" nd="1"/>
        <i x="575" s="1" nd="1"/>
        <i x="197" s="1" nd="1"/>
        <i x="574" s="1" nd="1"/>
        <i x="365" s="1" nd="1"/>
        <i x="823" s="1" nd="1"/>
        <i x="336" s="1" nd="1"/>
        <i x="524" s="1" nd="1"/>
        <i x="247" s="1" nd="1"/>
        <i x="11" s="1" nd="1"/>
        <i x="142" s="1" nd="1"/>
        <i x="651" s="1" nd="1"/>
        <i x="604" s="1" nd="1"/>
        <i x="441" s="1" nd="1"/>
        <i x="22" s="1" nd="1"/>
        <i x="594" s="1" nd="1"/>
        <i x="435" s="1" nd="1"/>
        <i x="67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6" s="1" nd="1"/>
        <i x="687" s="1" nd="1"/>
        <i x="280" s="1" nd="1"/>
        <i x="525" s="1" nd="1"/>
        <i x="526" s="1" nd="1"/>
        <i x="37" s="1" nd="1"/>
        <i x="592" s="1" nd="1"/>
        <i x="801" s="1" nd="1"/>
        <i x="583" s="1" nd="1"/>
        <i x="749" s="1" nd="1"/>
        <i x="722" s="1" nd="1"/>
        <i x="533" s="1" nd="1"/>
        <i x="46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0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79" s="1" nd="1"/>
        <i x="81" s="1" nd="1"/>
        <i x="634" s="1" nd="1"/>
        <i x="66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5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296987</v>
      </c>
      <c r="B2" s="12" t="s">
        <v>579</v>
      </c>
      <c r="C2" s="14">
        <v>46252</v>
      </c>
      <c r="D2" s="14">
        <v>46252</v>
      </c>
      <c r="E2" s="12"/>
      <c r="F2" s="15" t="s">
        <v>580</v>
      </c>
      <c r="G2" s="15" t="s">
        <v>581</v>
      </c>
      <c r="H2" s="15" t="s">
        <v>582</v>
      </c>
      <c r="I2" s="16">
        <v>134082.01</v>
      </c>
      <c r="J2" s="15" t="s">
        <v>583</v>
      </c>
      <c r="K2" s="15" t="s">
        <v>584</v>
      </c>
      <c r="L2" s="15" t="s">
        <v>585</v>
      </c>
      <c r="M2" s="15">
        <v>7200</v>
      </c>
      <c r="N2" s="15">
        <v>326</v>
      </c>
      <c r="O2" s="16">
        <v>1401.6</v>
      </c>
      <c r="P2" s="15" t="s">
        <v>586</v>
      </c>
      <c r="Q2" s="15">
        <v>328.41</v>
      </c>
      <c r="R2" s="15" t="s">
        <v>587</v>
      </c>
      <c r="S2" s="15">
        <v>0</v>
      </c>
      <c r="T2" s="15" t="s">
        <v>588</v>
      </c>
      <c r="U2" s="15">
        <v>0</v>
      </c>
      <c r="V2" s="15">
        <v>864</v>
      </c>
      <c r="W2" s="15">
        <v>0</v>
      </c>
      <c r="X2" s="15">
        <v>0</v>
      </c>
      <c r="Y2" s="15">
        <v>67.040000000000006</v>
      </c>
      <c r="Z2" s="15">
        <v>0</v>
      </c>
      <c r="AA2" s="15">
        <v>5219.32</v>
      </c>
      <c r="AB2" s="15">
        <v>1980.68</v>
      </c>
      <c r="AC2" s="15">
        <v>1872</v>
      </c>
      <c r="AD2" s="15">
        <v>108.68</v>
      </c>
      <c r="AE2" s="15">
        <v>0</v>
      </c>
      <c r="AF2" s="15">
        <v>108.68</v>
      </c>
      <c r="AG2" s="17">
        <v>1.5100000000000001E-2</v>
      </c>
      <c r="AH2" s="15"/>
    </row>
    <row r="3" spans="1:34" s="1" customFormat="1" ht="12" customHeight="1" x14ac:dyDescent="0.3">
      <c r="A3" s="13">
        <v>298059</v>
      </c>
      <c r="B3" s="12" t="s">
        <v>579</v>
      </c>
      <c r="C3" s="14">
        <v>46258</v>
      </c>
      <c r="D3" s="14">
        <v>46258</v>
      </c>
      <c r="E3" s="12"/>
      <c r="F3" s="15" t="s">
        <v>589</v>
      </c>
      <c r="G3" s="15" t="s">
        <v>590</v>
      </c>
      <c r="H3" s="15" t="s">
        <v>591</v>
      </c>
      <c r="I3" s="16">
        <v>1960.01</v>
      </c>
      <c r="J3" s="15" t="s">
        <v>592</v>
      </c>
      <c r="K3" s="15" t="s">
        <v>584</v>
      </c>
      <c r="L3" s="15" t="s">
        <v>593</v>
      </c>
      <c r="M3" s="16">
        <v>149</v>
      </c>
      <c r="N3" s="15">
        <v>2</v>
      </c>
      <c r="O3" s="16">
        <v>49.6</v>
      </c>
      <c r="P3" s="15" t="s">
        <v>594</v>
      </c>
      <c r="Q3" s="15">
        <v>23.78</v>
      </c>
      <c r="R3" s="15" t="s">
        <v>595</v>
      </c>
      <c r="S3" s="15">
        <v>40</v>
      </c>
      <c r="T3" s="15" t="s">
        <v>588</v>
      </c>
      <c r="U3" s="15">
        <v>0</v>
      </c>
      <c r="V3" s="15">
        <v>17.88</v>
      </c>
      <c r="W3" s="15">
        <v>0</v>
      </c>
      <c r="X3" s="15">
        <v>0</v>
      </c>
      <c r="Y3" s="15">
        <v>0.98</v>
      </c>
      <c r="Z3" s="15">
        <v>0</v>
      </c>
      <c r="AA3" s="16">
        <v>222.77</v>
      </c>
      <c r="AB3" s="16">
        <v>-73.77</v>
      </c>
      <c r="AC3" s="15">
        <v>38.74</v>
      </c>
      <c r="AD3" s="15">
        <v>-112.51</v>
      </c>
      <c r="AE3" s="15">
        <v>0</v>
      </c>
      <c r="AF3" s="15">
        <v>-112.51</v>
      </c>
      <c r="AG3" s="17">
        <v>-0.7551000000000001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7349</v>
      </c>
      <c r="F3" s="89"/>
      <c r="G3" s="90"/>
      <c r="H3" s="133">
        <f>'Resumo Detalhado'!C2</f>
        <v>1451.1999999999998</v>
      </c>
      <c r="I3" s="134"/>
      <c r="J3" s="135">
        <f>E3/H3</f>
        <v>5.0640848952590964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0.1319272727272727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4452.1900000000005</v>
      </c>
      <c r="F7" s="112"/>
      <c r="G7" s="112"/>
      <c r="H7" s="112"/>
      <c r="I7" s="112"/>
      <c r="J7" s="112">
        <f>E7/H3</f>
        <v>3.0679368798235949</v>
      </c>
      <c r="K7" s="112"/>
      <c r="L7" s="112"/>
      <c r="M7" s="130">
        <f>E7/E3</f>
        <v>0.60582256089263853</v>
      </c>
      <c r="N7" s="130"/>
      <c r="O7" s="130"/>
      <c r="P7" s="112">
        <f>E11+K11+Q11+E15+K15+Q15+E19+H19+K19</f>
        <v>7165.8500000000013</v>
      </c>
      <c r="Q7" s="112"/>
      <c r="R7" s="112"/>
      <c r="S7" s="112">
        <f>P7/H3</f>
        <v>4.9378789966923939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2.8252480705622935</v>
      </c>
      <c r="O11" s="90"/>
      <c r="P11" s="38"/>
      <c r="Q11" s="88">
        <f>'Resumo Detalhado'!D2</f>
        <v>352.19000000000005</v>
      </c>
      <c r="R11" s="90"/>
      <c r="S11" s="38"/>
      <c r="T11" s="88">
        <f>Q11/H3</f>
        <v>0.24268880926130107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881.88</v>
      </c>
      <c r="F15" s="119"/>
      <c r="G15" s="119"/>
      <c r="H15" s="119"/>
      <c r="I15" s="132"/>
      <c r="J15" s="38"/>
      <c r="K15" s="113">
        <f>'Resumo Detalhado'!K2+'Resumo Detalhado'!L2</f>
        <v>1175.8399999999999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68.02000000000001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587.91999999999996</v>
      </c>
      <c r="L19" s="123"/>
      <c r="M19" s="38"/>
      <c r="N19" s="121" t="s">
        <v>202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4831.0700000000006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0.65737787454075391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596</v>
      </c>
      <c r="F1" s="29"/>
    </row>
    <row r="2" spans="1:18" x14ac:dyDescent="0.3">
      <c r="B2" s="29">
        <f>SUM(B6:B5000)</f>
        <v>7349</v>
      </c>
      <c r="C2" s="29">
        <f>SUM(C6:C5000)</f>
        <v>1451.1999999999998</v>
      </c>
      <c r="D2" s="29">
        <f>SUM(D6:D5000)</f>
        <v>352.19000000000005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881.88</v>
      </c>
      <c r="I2" s="29">
        <f t="shared" si="0"/>
        <v>68.02000000000001</v>
      </c>
      <c r="J2" s="29">
        <f t="shared" si="0"/>
        <v>0</v>
      </c>
      <c r="K2" s="29">
        <f t="shared" si="0"/>
        <v>587.91999999999996</v>
      </c>
      <c r="L2" s="29">
        <f t="shared" si="0"/>
        <v>587.91999999999996</v>
      </c>
      <c r="M2" s="29">
        <f t="shared" si="0"/>
        <v>0</v>
      </c>
      <c r="N2" s="29">
        <f t="shared" si="0"/>
        <v>4831.0700000000006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298059</v>
      </c>
      <c r="B6" s="140">
        <v>149</v>
      </c>
      <c r="C6" s="141">
        <v>49.6</v>
      </c>
      <c r="D6" s="140">
        <v>23.78</v>
      </c>
      <c r="E6" s="140">
        <v>40</v>
      </c>
      <c r="F6" s="140">
        <v>0</v>
      </c>
      <c r="G6" s="142">
        <v>0.42805369127516779</v>
      </c>
      <c r="H6" s="140">
        <v>17.88</v>
      </c>
      <c r="I6" s="140">
        <v>0.98</v>
      </c>
      <c r="J6" s="140">
        <v>0</v>
      </c>
      <c r="K6" s="140">
        <v>11.92</v>
      </c>
      <c r="L6" s="140">
        <v>11.92</v>
      </c>
      <c r="M6" s="140">
        <v>0</v>
      </c>
      <c r="N6" s="140">
        <v>42.519999999999996</v>
      </c>
      <c r="O6" s="142">
        <v>0.28536912751677851</v>
      </c>
      <c r="Q6"/>
    </row>
    <row r="7" spans="1:18" s="31" customFormat="1" x14ac:dyDescent="0.3">
      <c r="A7" s="139" t="s">
        <v>581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296987</v>
      </c>
      <c r="B8" s="140">
        <v>7200</v>
      </c>
      <c r="C8" s="141">
        <v>1401.6</v>
      </c>
      <c r="D8" s="140">
        <v>328.41</v>
      </c>
      <c r="E8" s="140">
        <v>0</v>
      </c>
      <c r="F8" s="140">
        <v>0</v>
      </c>
      <c r="G8" s="142">
        <v>4.56125E-2</v>
      </c>
      <c r="H8" s="140">
        <v>864</v>
      </c>
      <c r="I8" s="140">
        <v>67.040000000000006</v>
      </c>
      <c r="J8" s="140">
        <v>0</v>
      </c>
      <c r="K8" s="140">
        <v>576</v>
      </c>
      <c r="L8" s="140">
        <v>576</v>
      </c>
      <c r="M8" s="140">
        <v>0</v>
      </c>
      <c r="N8" s="140">
        <v>4788.55</v>
      </c>
      <c r="O8" s="142">
        <v>0.66507638888888887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596</v>
      </c>
    </row>
    <row r="2" spans="1:4" x14ac:dyDescent="0.3">
      <c r="B2" s="29">
        <f>SUM(B6:B5000)</f>
        <v>7200</v>
      </c>
      <c r="C2" s="29">
        <f>SUM(C6:C5000)</f>
        <v>4788.55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149</v>
      </c>
      <c r="C5" s="10">
        <v>42.519999999999996</v>
      </c>
    </row>
    <row r="6" spans="1:4" x14ac:dyDescent="0.3">
      <c r="A6" s="139" t="s">
        <v>581</v>
      </c>
      <c r="B6" s="140">
        <v>7200</v>
      </c>
      <c r="C6" s="140">
        <v>4788.55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2026-08-28T13:59:43Z</dcterms:modified>
  <cp:category/>
  <cp:contentStatus/>
</cp:coreProperties>
</file>