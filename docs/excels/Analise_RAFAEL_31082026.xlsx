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33A4EA5B-C7FB-4B1B-9411-2232E88DA08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<sst xmlns="http://schemas.openxmlformats.org/spreadsheetml/2006/main" count="858" uniqueCount="590">
  <si>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</si>
  <si>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</si>
  <si>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</si>
  <si>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</si>
  <si>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</si>
  <si>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</si>
  <si>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</si>
  <si>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</si>
  <si>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</si>
  <si>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</si>
  <si>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</si>
  <si>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</si>
  <si>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</si>
  <si>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</si>
  <si>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</si>
  <si>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</si>
  <si>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</si>
  <si>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</si>
  <si>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</si>
  <si>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</si>
  <si>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</si>
  <si>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</si>
  <si>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</si>
  <si>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</si>
  <si>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</si>
  <si>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</si>
  <si>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</si>
  <si>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</si>
  <si>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</si>
  <si>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</si>
  <si>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</si>
  <si>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</si>
  <si>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</si>
  <si>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</si>
  <si>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</si>
  <si>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</si>
  <si>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</si>
  <si>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</si>
  <si>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</si>
  <si>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</si>
  <si>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</si>
  <si>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</si>
  <si>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</si>
  <si>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</si>
  <si>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</si>
  <si>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</si>
  <si>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</si>
  <si>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</si>
  <si>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</si>
  <si>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</si>
  <si>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</si>
  <si>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</si>
  <si>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</si>
  <si>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</si>
  <si>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</si>
  <si>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</si>
  <si>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</si>
  <si>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</si>
  <si>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</si>
  <si>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</si>
  <si>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</si>
  <si>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</si>
  <si>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</si>
  <si>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</si>
  <si>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</si>
  <si>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</si>
  <si>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</si>
  <si>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</si>
  <si>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</si>
  <si>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</si>
  <si>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</si>
  <si>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</si>
  <si>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</si>
  <si>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</si>
  <si>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</si>
  <si>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</si>
  <si>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</si>
  <si>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</si>
  <si>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</si>
  <si>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</si>
  <si>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</si>
  <si>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</si>
  <si>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</si>
  <si>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</si>
  <si>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</si>
  <si>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</si>
  <si>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</si>
  <si>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</si>
  <si>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</si>
  <si>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</si>
  <si>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</si>
  <si>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</si>
  <si>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</si>
  <si>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</si>
  <si>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</si>
  <si>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</si>
  <si>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</si>
  <si>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</si>
  <si>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</si>
  <si>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</si>
  <si>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</si>
  <si>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</si>
  <si>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</si>
  <si>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</si>
  <si>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</si>
  <si>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</si>
  <si>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</si>
  <si>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</si>
  <si>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</si>
  <si>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</si>
  <si>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</si>
  <si>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</si>
  <si>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</si>
  <si>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</si>
  <si>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</si>
  <si>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</si>
  <si>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</si>
  <si>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</si>
  <si>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</si>
  <si>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</si>
  <si>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</si>
  <si>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</si>
  <si>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</si>
  <si>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</si>
  <si>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</si>
  <si>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</si>
  <si>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</si>
  <si>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</si>
  <si>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</si>
  <si>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</si>
  <si>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</si>
  <si>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</si>
  <si>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</si>
  <si>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</si>
  <si>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</si>
  <si>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</si>
  <si>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</si>
  <si>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</si>
  <si>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</si>
  <si>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</si>
  <si>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</si>
  <si>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</si>
  <si>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</si>
  <si>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</si>
  <si>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</si>
  <si>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</si>
  <si>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</si>
  <si>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</si>
  <si>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</si>
  <si>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</si>
  <si>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</si>
  <si>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</si>
  <si>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</si>
  <si>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</si>
  <si>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</si>
  <si>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</si>
  <si>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</si>
  <si>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</si>
  <si>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</si>
  <si>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</si>
  <si>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</si>
  <si>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</si>
  <si>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</si>
  <si>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</si>
  <si>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</si>
  <si>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</si>
  <si>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</si>
  <si>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</si>
  <si>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</si>
  <si>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</si>
  <si>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</si>
  <si>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</si>
  <si>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</si>
  <si>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</si>
  <si>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</si>
  <si>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</si>
  <si>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</si>
  <si>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</si>
  <si>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</si>
  <si>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</si>
  <si>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</si>
  <si>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</si>
  <si>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</si>
  <si>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</si>
  <si>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</si>
  <si>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</si>
  <si>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</si>
  <si>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</si>
  <si>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</si>
  <si>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</si>
  <si>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</si>
  <si>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</si>
  <si>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</si>
  <si>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</si>
  <si>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</si>
  <si>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</si>
  <si>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</si>
  <si>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</si>
  <si>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</si>
  <si>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</si>
  <si>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</si>
  <si>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</si>
  <si>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</si>
  <si>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</si>
  <si>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</si>
  <si>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</si>
  <si>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</si>
  <si>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</si>
  <si>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</si>
  <si>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</si>
  <si>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</si>
  <si>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</si>
  <si>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</si>
  <si>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</si>
  <si>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</si>
  <si>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</si>
  <si>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</si>
  <si>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</si>
  <si>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</si>
  <si>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</si>
  <si>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</si>
  <si>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</si>
  <si>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</si>
  <si>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</si>
  <si>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</si>
  <si>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</si>
  <si>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</si>
  <si>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</si>
  <si>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</si>
  <si>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</si>
  <si>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</si>
  <si>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</si>
  <si>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</si>
  <si>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</si>
  <si>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</si>
  <si>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</si>
  <si>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</si>
  <si>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</si>
  <si>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</si>
  <si>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</si>
  <si>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</si>
  <si>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</si>
  <si>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</si>
  <si>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</si>
  <si>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</si>
  <si>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</si>
  <si>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</si>
  <si>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</si>
  <si>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</si>
  <si>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</si>
  <si>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</si>
  <si>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</si>
  <si>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</si>
  <si>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</si>
  <si>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</si>
  <si>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</si>
  <si>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</si>
  <si>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</si>
  <si>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</si>
  <si>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</si>
  <si>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</si>
  <si>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</si>
  <si>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</si>
  <si>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</si>
  <si>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</si>
  <si>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</si>
  <si>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</si>
  <si>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</si>
  <si>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</si>
  <si>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</si>
  <si>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</si>
  <si>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</si>
  <si>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</si>
  <si>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</si>
  <si>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</si>
  <si>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</si>
  <si>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</si>
  <si>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</si>
  <si>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</si>
  <si>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</si>
  <si>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</si>
  <si>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</si>
  <si>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</si>
  <si>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</si>
  <si>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</si>
  <si>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</si>
  <si>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</si>
  <si>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</si>
  <si>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</si>
  <si>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</si>
  <si>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</si>
  <si>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</si>
  <si>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</si>
  <si>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</si>
  <si>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</si>
  <si>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</si>
  <si>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</si>
  <si>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</si>
  <si>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</si>
  <si>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</si>
  <si>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</si>
  <si>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</si>
  <si>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</si>
  <si>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</si>
  <si>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</si>
  <si>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</si>
  <si>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</si>
  <si>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</si>
  <si>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</si>
  <si>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</si>
  <si>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</si>
  <si>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</si>
  <si>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</si>
  <si>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</si>
  <si>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</si>
  <si>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</si>
  <si>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</si>
  <si>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</si>
  <si>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</si>
  <si>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</si>
  <si>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</si>
  <si>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</si>
  <si>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</si>
  <si>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</si>
  <si>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</si>
  <si>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</si>
  <si>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</si>
  <si>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</si>
  <si>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</si>
  <si>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</si>
  <si>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</si>
  <si>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</si>
  <si>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</si>
  <si>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</si>
  <si>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</si>
  <si>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</si>
  <si>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</si>
  <si>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</si>
  <si>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</si>
  <si>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</si>
  <si>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</si>
  <si>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</si>
  <si>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</si>
  <si>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</si>
  <si>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</si>
  <si>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</si>
  <si>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</si>
  <si>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</si>
  <si>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</si>
  <si>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</si>
  <si>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</si>
  <si>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</si>
  <si>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</si>
  <si>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</si>
  <si>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</si>
  <si>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</si>
  <si>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</si>
  <si>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</si>
  <si>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</si>
  <si>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</si>
  <si>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</si>
  <si>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</si>
  <si>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</si>
  <si>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</si>
  <si>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</si>
  <si>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</si>
  <si>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</si>
  <si>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</si>
  <si>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</si>
  <si>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</si>
  <si>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</si>
  <si>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</si>
  <si>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</si>
  <si>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</si>
  <si>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</si>
  <si>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</si>
  <si>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</si>
  <si>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</si>
  <si>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</si>
  <si>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</si>
  <si>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</si>
  <si>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</si>
  <si>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</si>
  <si>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</si>
  <si>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</si>
  <si>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</si>
  <si>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</si>
  <si>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</si>
  <si>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</si>
  <si>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</si>
  <si>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</si>
  <si>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</si>
  <si>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</si>
  <si>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</si>
  <si>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</si>
  <si>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</si>
  <si>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</si>
  <si>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</si>
  <si>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</si>
  <si>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</si>
  <si>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</si>
  <si>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</si>
  <si>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</si>
  <si>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</si>
  <si>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</si>
  <si>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</si>
  <si>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</si>
  <si>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</si>
  <si>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</si>
  <si>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</si>
  <si>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</si>
  <si>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</si>
  <si>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</si>
  <si>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</si>
  <si>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</si>
  <si>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</si>
  <si>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</si>
  <si>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</si>
  <si>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</si>
  <si>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</si>
  <si>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</si>
  <si>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</si>
  <si>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</si>
  <si>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</si>
  <si>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</si>
  <si>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</si>
  <si>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</si>
  <si>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</si>
  <si>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</si>
  <si>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</si>
  <si>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</si>
  <si>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</si>
  <si>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</si>
  <si>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</si>
  <si>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</si>
  <si>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</si>
  <si>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</si>
  <si>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</si>
  <si>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</si>
  <si>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</si>
  <si>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</si>
  <si>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</si>
  <si>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</si>
  <si>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</si>
  <si>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</si>
  <si>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</si>
  <si>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</si>
  <si>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</si>
  <si>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</si>
  <si>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</si>
  <si>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</si>
  <si>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</si>
  <si>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</si>
  <si>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</si>
  <si>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</si>
  <si>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</si>
  <si>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</si>
  <si>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</si>
  <si>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</si>
  <si>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</si>
  <si>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</si>
  <si>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</si>
  <si>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</si>
  <si>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</si>
  <si>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</si>
  <si>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</si>
  <si>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</si>
  <si>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</si>
  <si>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</si>
  <si>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</si>
  <si>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</si>
  <si>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</si>
  <si>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</si>
  <si>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</si>
  <si>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</si>
  <si>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</si>
  <si>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</si>
  <si>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</si>
  <si>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</si>
  <si>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</si>
  <si>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</si>
  <si>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</si>
  <si>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</si>
  <si>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</si>
  <si>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</si>
  <si>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</si>
  <si>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</si>
  <si>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</si>
  <si>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</si>
  <si>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</si>
  <si>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</si>
  <si>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</si>
  <si>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</si>
  <si>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</si>
  <si>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</si>
  <si>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</si>
  <si>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</si>
  <si>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</si>
  <si>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</si>
  <si>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</si>
  <si>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</si>
  <si>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</si>
  <si>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</si>
  <si>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</si>
  <si>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</si>
  <si>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</si>
  <si>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</si>
  <si>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</si>
  <si>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</si>
  <si>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</si>
  <si>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</si>
  <si>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</si>
  <si>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</si>
  <si>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</si>
  <si>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</si>
  <si>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</si>
  <si>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</si>
  <si>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</si>
  <si>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</si>
  <si>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</si>
  <si>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</si>
  <si>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</si>
  <si>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</si>
  <si>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</si>
  <si>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</si>
  <si>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</si>
  <si>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</si>
  <si>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</si>
  <si>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</si>
  <si>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</si>
  <si>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</si>
  <si>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</si>
  <si>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</si>
  <si>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</si>
  <si>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</si>
  <si>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</si>
  <si>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</si>
  <si>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</si>
  <si>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</si>
  <si>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</si>
  <si>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</si>
  <si>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</si>
  <si>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</si>
  <si>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</si>
  <si>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</si>
  <si>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</si>
  <si>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</si>
  <si>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</si>
  <si>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</si>
  <si>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</si>
  <si>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</si>
  <si>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</si>
  <si>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</si>
  <si>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</si>
  <si>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</si>
  <si>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</si>
  <si>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</si>
  <si>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</si>
  <si>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</si>
  <si>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</si>
  <si>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</si>
  <si>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</si>
  <si>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</si>
  <si>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</si>
  <si>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</si>
  <si>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</si>
  <si>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</si>
  <si>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</si>
  <si>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</si>
  <si>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</si>
  <si>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</si>
  <si>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</si>
  <si>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</si>
  <si>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</si>
  <si>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</si>
  <si>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</si>
  <si>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</si>
  <si>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</si>
  <si>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</si>
  <si>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</si>
  <si>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2738-1</t>
  </si>
  <si>
    <t>AC COMERCIAL IM</t>
  </si>
  <si>
    <t>TIAGO SANTANA</t>
  </si>
  <si>
    <t>PERSONALIZADO_L</t>
  </si>
  <si>
    <t>CTE NORMAL</t>
  </si>
  <si>
    <t>ITAPEVA - MG</t>
  </si>
  <si>
    <t>RODRIGO DA SILVA POLEZA</t>
  </si>
  <si>
    <t>INDEFINIDO</t>
  </si>
  <si>
    <t>Itajai-Sc X Itapeva-Mgvan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</si>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</sst>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[Analise_RAFAEL_31082026.xlsx]Resumo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6370.44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668.25959999999964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[Analise_RAFAEL_31082026.xlsx]Resumo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6370.44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668.25959999999964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8.43623738426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82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31T00:00:00" maxDate="2026-09-01T00:00:00"/>
    </cacheField>
    <cacheField name="DATA" numFmtId="14">
      <sharedItems containsNonDate="0" containsDate="1" containsString="0" containsBlank="1" minDate="2026-08-31T00:00:00" maxDate="2026-09-01T00:00:00"/>
    </cacheField>
    <cacheField name="FAT" numFmtId="0">
      <sharedItems containsString="0" containsBlank="1" containsNumber="1" containsInteger="1" minValue="477" maxValue="477"/>
    </cacheField>
    <cacheField name="CT-E" numFmtId="0">
      <sharedItems containsBlank="1"/>
    </cacheField>
    <cacheField name="CLIENTE TOMADOR" numFmtId="0">
      <sharedItems containsBlank="1" count="855"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05994.28" maxValue="405994.28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6370.44" maxValue="6370.44"/>
    </cacheField>
    <cacheField name="VOLUMES" numFmtId="0">
      <sharedItems containsString="0" containsBlank="1" containsNumber="1" containsInteger="1" minValue="43" maxValue="43"/>
    </cacheField>
    <cacheField name="PESO" numFmtId="0">
      <sharedItems containsString="0" containsBlank="1" containsNumber="1" minValue="823.5" maxValue="823.5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3700" maxValue="37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764.45" maxValue="764.4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62.4" maxValue="162.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626.8500000000004" maxValue="4626.8500000000004"/>
    </cacheField>
    <cacheField name="RECEITA" numFmtId="0">
      <sharedItems containsString="0" containsBlank="1" containsNumber="1" minValue="1743.59" maxValue="1743.59"/>
    </cacheField>
    <cacheField name="IMPOSTO" numFmtId="0">
      <sharedItems containsString="0" containsBlank="1" containsNumber="1" minValue="1019.27" maxValue="1019.27"/>
    </cacheField>
    <cacheField name="RESULTADO" numFmtId="0">
      <sharedItems containsString="0" containsBlank="1" containsNumber="1" minValue="724.31999999999994" maxValue="724.31999999999994"/>
    </cacheField>
    <cacheField name="COMIS" numFmtId="0">
      <sharedItems containsString="0" containsBlank="1" containsNumber="1" minValue="56.06" maxValue="56.06"/>
    </cacheField>
    <cacheField name="LUCRO LIQ" numFmtId="0">
      <sharedItems containsString="0" containsBlank="1" containsNumber="1" minValue="668.26" maxValue="668.26"/>
    </cacheField>
    <cacheField name="MARGEM" numFmtId="10">
      <sharedItems containsString="0" containsBlank="1" containsNumber="1" minValue="0.10490000000000001" maxValue="0.1049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31T00:00:00"/>
    <d v="2026-08-31T00:00:00"/>
    <n v="477"/>
    <s v="2738-1"/>
    <x v="0"/>
    <s v="TIAGO SANTANA"/>
    <n v="405994.28"/>
    <x v="0"/>
    <s v="CTE NORMAL"/>
    <s v="ITAPEVA - MG"/>
    <n v="6370.44"/>
    <n v="43"/>
    <n v="823.5"/>
    <s v="MATRIZ"/>
    <n v="0"/>
    <s v="RODRIGO DA SILVA POLEZA"/>
    <n v="3700"/>
    <s v="INDEFINIDO"/>
    <n v="0"/>
    <n v="764.45"/>
    <n v="0"/>
    <n v="0"/>
    <n v="162.4"/>
    <n v="0"/>
    <n v="4626.8500000000004"/>
    <n v="1743.59"/>
    <n v="1019.27"/>
    <n v="724.31999999999994"/>
    <n v="56.06"/>
    <n v="668.26"/>
    <n v="0.10490000000000001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2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2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3" s="1" nd="1"/>
        <i x="581" s="1" nd="1"/>
        <i x="852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6" s="1" nd="1"/>
        <i x="668" s="1" nd="1"/>
        <i x="660" s="1" nd="1"/>
        <i x="468" s="1" nd="1"/>
        <i x="43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1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2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1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1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2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0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2" s="1" nd="1"/>
        <i x="35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7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0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2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4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0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49" s="1" nd="1"/>
        <i x="605" s="1" nd="1"/>
        <i x="83" s="1" nd="1"/>
        <i x="325" s="1" nd="1"/>
        <i x="33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7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1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6" s="1" nd="1"/>
        <i x="592" s="1" nd="1"/>
        <i x="801" s="1" nd="1"/>
        <i x="583" s="1" nd="1"/>
        <i x="749" s="1" nd="1"/>
        <i x="722" s="1" nd="1"/>
        <i x="532" s="1" nd="1"/>
        <i x="45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4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0" s="1" nd="1"/>
        <i x="851" s="1" nd="1"/>
        <i x="28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39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7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6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5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29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4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8" s="1" nd="1"/>
        <i x="89" s="1" nd="1"/>
        <i x="201" s="1" nd="1"/>
        <i x="3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2827</v>
      </c>
      <c r="B2" s="12" t="s">
        <v>579</v>
      </c>
      <c r="C2" s="14">
        <v>46265</v>
      </c>
      <c r="D2" s="14">
        <v>46265</v>
      </c>
      <c r="E2" s="12">
        <v>477</v>
      </c>
      <c r="F2" s="15" t="s">
        <v>580</v>
      </c>
      <c r="G2" s="15" t="s">
        <v>581</v>
      </c>
      <c r="H2" s="15" t="s">
        <v>582</v>
      </c>
      <c r="I2" s="16">
        <v>405994.28</v>
      </c>
      <c r="J2" s="15" t="s">
        <v>583</v>
      </c>
      <c r="K2" s="15" t="s">
        <v>584</v>
      </c>
      <c r="L2" s="15" t="s">
        <v>585</v>
      </c>
      <c r="M2" s="15">
        <v>6370.44</v>
      </c>
      <c r="N2" s="15">
        <v>43</v>
      </c>
      <c r="O2" s="16">
        <v>823.5</v>
      </c>
      <c r="P2" s="15" t="s">
        <v>579</v>
      </c>
      <c r="Q2" s="15">
        <v>0</v>
      </c>
      <c r="R2" s="15" t="s">
        <v>586</v>
      </c>
      <c r="S2" s="15">
        <v>3700</v>
      </c>
      <c r="T2" s="15" t="s">
        <v>587</v>
      </c>
      <c r="U2" s="15">
        <v>0</v>
      </c>
      <c r="V2" s="15">
        <v>764.45</v>
      </c>
      <c r="W2" s="15">
        <v>0</v>
      </c>
      <c r="X2" s="15">
        <v>0</v>
      </c>
      <c r="Y2" s="15">
        <v>162.4</v>
      </c>
      <c r="Z2" s="15">
        <v>0</v>
      </c>
      <c r="AA2" s="15">
        <v>4626.8500000000004</v>
      </c>
      <c r="AB2" s="15">
        <v>1743.59</v>
      </c>
      <c r="AC2" s="15">
        <v>1019.27</v>
      </c>
      <c r="AD2" s="15">
        <v>724.31999999999994</v>
      </c>
      <c r="AE2" s="15">
        <v>56.06</v>
      </c>
      <c r="AF2" s="15">
        <v>668.26</v>
      </c>
      <c r="AG2" s="17">
        <v>0.10490000000000001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6370.44</v>
      </c>
      <c r="F3" s="89"/>
      <c r="G3" s="90"/>
      <c r="H3" s="133">
        <f>'Resumo Detalhado'!C2</f>
        <v>823.5</v>
      </c>
      <c r="I3" s="134"/>
      <c r="J3" s="135">
        <f>E3/H3</f>
        <v>7.7358105646630229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0.68625000000000003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3100</v>
      </c>
      <c r="F7" s="112"/>
      <c r="G7" s="112"/>
      <c r="H7" s="112"/>
      <c r="I7" s="112"/>
      <c r="J7" s="112">
        <f>E7/H3</f>
        <v>3.7644201578627809</v>
      </c>
      <c r="K7" s="112"/>
      <c r="L7" s="112"/>
      <c r="M7" s="130">
        <f>E7/E3</f>
        <v>0.48662258807868847</v>
      </c>
      <c r="N7" s="130"/>
      <c r="O7" s="130"/>
      <c r="P7" s="112">
        <f>E11+K11+Q11+E15+K15+Q15+E19+H19+K19</f>
        <v>6155.7555999999995</v>
      </c>
      <c r="Q7" s="112"/>
      <c r="R7" s="112"/>
      <c r="S7" s="112">
        <f>P7/H3</f>
        <v>7.475113054037644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3100</v>
      </c>
      <c r="L11" s="90"/>
      <c r="M11" s="38"/>
      <c r="N11" s="88">
        <f>K11/H3</f>
        <v>3.7644201578627809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764.45</v>
      </c>
      <c r="F15" s="119"/>
      <c r="G15" s="119"/>
      <c r="H15" s="119"/>
      <c r="I15" s="132"/>
      <c r="J15" s="38"/>
      <c r="K15" s="113">
        <f>'Resumo Detalhado'!K2+'Resumo Detalhado'!L2</f>
        <v>1019.2704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162.4</v>
      </c>
      <c r="F19" s="120"/>
      <c r="G19" s="38"/>
      <c r="H19" s="122">
        <v>600</v>
      </c>
      <c r="I19" s="123"/>
      <c r="J19" s="38"/>
      <c r="K19" s="122">
        <f>'Resumo Detalhado'!L2</f>
        <v>509.6352</v>
      </c>
      <c r="L19" s="123"/>
      <c r="M19" s="38"/>
      <c r="N19" s="121" t="s">
        <v>588</v>
      </c>
      <c r="O19" s="119"/>
      <c r="P19" s="119"/>
      <c r="Q19" s="119"/>
      <c r="R19" s="120"/>
      <c r="S19" s="121">
        <v>3100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668.25959999999964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0.10490006969691257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589</v>
      </c>
      <c r="F1" s="29"/>
    </row>
    <row r="2" spans="1:18" x14ac:dyDescent="0.3">
      <c r="B2" s="29">
        <f>SUM(B6:B5000)</f>
        <v>6370.44</v>
      </c>
      <c r="C2" s="29">
        <f>SUM(C6:C5000)</f>
        <v>823.5</v>
      </c>
      <c r="D2" s="29">
        <f>SUM(D6:D5000)</f>
        <v>0</v>
      </c>
      <c r="E2" s="29">
        <f>SUM(E6:E5000)</f>
        <v>3700</v>
      </c>
      <c r="F2" s="29">
        <f>SUM(F6:F5000)</f>
        <v>0</v>
      </c>
      <c r="G2" s="29"/>
      <c r="H2" s="29">
        <f t="shared" ref="H2:P2" si="0">SUM(H6:H5000)</f>
        <v>764.45</v>
      </c>
      <c r="I2" s="29">
        <f t="shared" si="0"/>
        <v>162.4</v>
      </c>
      <c r="J2" s="29">
        <f t="shared" si="0"/>
        <v>0</v>
      </c>
      <c r="K2" s="29">
        <f t="shared" si="0"/>
        <v>509.6352</v>
      </c>
      <c r="L2" s="29">
        <f t="shared" si="0"/>
        <v>509.6352</v>
      </c>
      <c r="M2" s="29">
        <f t="shared" si="0"/>
        <v>56.06</v>
      </c>
      <c r="N2" s="29">
        <f t="shared" si="0"/>
        <v>668.25959999999964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2827</v>
      </c>
      <c r="B6" s="140">
        <v>6370.44</v>
      </c>
      <c r="C6" s="141">
        <v>823.5</v>
      </c>
      <c r="D6" s="140">
        <v>0</v>
      </c>
      <c r="E6" s="140">
        <v>3700</v>
      </c>
      <c r="F6" s="140">
        <v>0</v>
      </c>
      <c r="G6" s="142">
        <v>0.58080760512617657</v>
      </c>
      <c r="H6" s="140">
        <v>764.45</v>
      </c>
      <c r="I6" s="140">
        <v>162.4</v>
      </c>
      <c r="J6" s="140">
        <v>0</v>
      </c>
      <c r="K6" s="140">
        <v>509.6352</v>
      </c>
      <c r="L6" s="140">
        <v>509.6352</v>
      </c>
      <c r="M6" s="140">
        <v>56.06</v>
      </c>
      <c r="N6" s="140">
        <v>668.25959999999964</v>
      </c>
      <c r="O6" s="142">
        <v>0.10490006969691257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589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6370.44</v>
      </c>
      <c r="C5" s="10">
        <v>668.25959999999964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3" t="s">
        <v>588</v>
      </c>
      <c r="D368" s="87">
        <v>3100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2026-09-03T13:28:20Z</dcterms:modified>
  <cp:category/>
  <cp:contentStatus/>
</cp:coreProperties>
</file>