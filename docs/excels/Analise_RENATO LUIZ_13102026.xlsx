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9D5C0A1-AC41-4AFC-9115-EAED2295A6B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<sst xmlns="http://schemas.openxmlformats.org/spreadsheetml/2006/main" count="915" uniqueCount="636">
  <si>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</si>
  <si>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</si>
  <si>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</si>
  <si>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</si>
  <si>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</si>
  <si>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</si>
  <si>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</si>
  <si>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</si>
  <si>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</si>
  <si>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</si>
  <si>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</si>
  <si>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</si>
  <si>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</si>
  <si>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</si>
  <si>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</si>
  <si>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</si>
  <si>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</si>
  <si>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</si>
  <si>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</si>
  <si>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</si>
  <si>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</si>
  <si>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</si>
  <si>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</si>
  <si>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</si>
  <si>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</si>
  <si>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</si>
  <si>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</si>
  <si>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</si>
  <si>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</si>
  <si>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</si>
  <si>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</si>
  <si>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</si>
  <si>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</si>
  <si>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</si>
  <si>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</si>
  <si>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</si>
  <si>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</si>
  <si>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</si>
  <si>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</si>
  <si>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</si>
  <si>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</si>
  <si>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</si>
  <si>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</si>
  <si>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</si>
  <si>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</si>
  <si>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</si>
  <si>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</si>
  <si>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</si>
  <si>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</si>
  <si>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</si>
  <si>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</si>
  <si>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</si>
  <si>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</si>
  <si>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</si>
  <si>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</si>
  <si>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</si>
  <si>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</si>
  <si>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</si>
  <si>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</si>
  <si>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</si>
  <si>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</si>
  <si>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</si>
  <si>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</si>
  <si>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</si>
  <si>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</si>
  <si>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</si>
  <si>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</si>
  <si>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</si>
  <si>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</si>
  <si>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</si>
  <si>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</si>
  <si>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</si>
  <si>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</si>
  <si>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</si>
  <si>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</si>
  <si>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</si>
  <si>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</si>
  <si>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</si>
  <si>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</si>
  <si>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</si>
  <si>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</si>
  <si>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</si>
  <si>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</si>
  <si>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</si>
  <si>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</si>
  <si>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</si>
  <si>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</si>
  <si>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</si>
  <si>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</si>
  <si>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</si>
  <si>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</si>
  <si>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</si>
  <si>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</si>
  <si>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</si>
  <si>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</si>
  <si>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</si>
  <si>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</si>
  <si>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</si>
  <si>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</si>
  <si>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</si>
  <si>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</si>
  <si>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</si>
  <si>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</si>
  <si>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</si>
  <si>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</si>
  <si>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</si>
  <si>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</si>
  <si>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</si>
  <si>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</si>
  <si>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</si>
  <si>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</si>
  <si>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</si>
  <si>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</si>
  <si>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</si>
  <si>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</si>
  <si>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</si>
  <si>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</si>
  <si>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</si>
  <si>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</si>
  <si>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</si>
  <si>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</si>
  <si>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</si>
  <si>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</si>
  <si>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</si>
  <si>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</si>
  <si>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</si>
  <si>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</si>
  <si>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</si>
  <si>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</si>
  <si>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</si>
  <si>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</si>
  <si>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</si>
  <si>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</si>
  <si>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</si>
  <si>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</si>
  <si>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</si>
  <si>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</si>
  <si>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</si>
  <si>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</si>
  <si>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</si>
  <si>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</si>
  <si>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</si>
  <si>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</si>
  <si>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</si>
  <si>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</si>
  <si>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</si>
  <si>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</si>
  <si>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</si>
  <si>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</si>
  <si>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</si>
  <si>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</si>
  <si>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</si>
  <si>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</si>
  <si>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</si>
  <si>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</si>
  <si>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</si>
  <si>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</si>
  <si>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</si>
  <si>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</si>
  <si>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</si>
  <si>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</si>
  <si>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</si>
  <si>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</si>
  <si>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</si>
  <si>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</si>
  <si>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</si>
  <si>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</si>
  <si>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</si>
  <si>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</si>
  <si>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</si>
  <si>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</si>
  <si>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</si>
  <si>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</si>
  <si>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</si>
  <si>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</si>
  <si>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</si>
  <si>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</si>
  <si>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</si>
  <si>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</si>
  <si>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</si>
  <si>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</si>
  <si>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</si>
  <si>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</si>
  <si>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</si>
  <si>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</si>
  <si>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</si>
  <si>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</si>
  <si>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</si>
  <si>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</si>
  <si>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</si>
  <si>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</si>
  <si>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</si>
  <si>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</si>
  <si>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</si>
  <si>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</si>
  <si>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</si>
  <si>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</si>
  <si>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</si>
  <si>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</si>
  <si>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</si>
  <si>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</si>
  <si>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</si>
  <si>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</si>
  <si>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</si>
  <si>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</si>
  <si>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</si>
  <si>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</si>
  <si>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</si>
  <si>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</si>
  <si>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</si>
  <si>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</si>
  <si>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</si>
  <si>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</si>
  <si>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</si>
  <si>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</si>
  <si>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</si>
  <si>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</si>
  <si>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</si>
  <si>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</si>
  <si>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</si>
  <si>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</si>
  <si>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</si>
  <si>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</si>
  <si>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</si>
  <si>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</si>
  <si>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</si>
  <si>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</si>
  <si>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</si>
  <si>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</si>
  <si>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</si>
  <si>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</si>
  <si>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</si>
  <si>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</si>
  <si>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</si>
  <si>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</si>
  <si>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</si>
  <si>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</si>
  <si>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</si>
  <si>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</si>
  <si>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</si>
  <si>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</si>
  <si>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</si>
  <si>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</si>
  <si>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</si>
  <si>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</si>
  <si>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</si>
  <si>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</si>
  <si>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</si>
  <si>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</si>
  <si>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</si>
  <si>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</si>
  <si>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</si>
  <si>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</si>
  <si>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</si>
  <si>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</si>
  <si>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</si>
  <si>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</si>
  <si>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</si>
  <si>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</si>
  <si>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</si>
  <si>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</si>
  <si>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</si>
  <si>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</si>
  <si>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</si>
  <si>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</si>
  <si>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</si>
  <si>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</si>
  <si>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</si>
  <si>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</si>
  <si>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</si>
  <si>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</si>
  <si>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</si>
  <si>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</si>
  <si>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</si>
  <si>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</si>
  <si>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</si>
  <si>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</si>
  <si>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</si>
  <si>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</si>
  <si>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</si>
  <si>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</si>
  <si>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</si>
  <si>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</si>
  <si>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</si>
  <si>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</si>
  <si>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</si>
  <si>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</si>
  <si>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</si>
  <si>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</si>
  <si>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</si>
  <si>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</si>
  <si>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</si>
  <si>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</si>
  <si>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</si>
  <si>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</si>
  <si>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</si>
  <si>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</si>
  <si>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</si>
  <si>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</si>
  <si>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</si>
  <si>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</si>
  <si>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</si>
  <si>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</si>
  <si>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</si>
  <si>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</si>
  <si>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</si>
  <si>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</si>
  <si>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</si>
  <si>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</si>
  <si>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</si>
  <si>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</si>
  <si>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</si>
  <si>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</si>
  <si>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</si>
  <si>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</si>
  <si>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</si>
  <si>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</si>
  <si>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</si>
  <si>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</si>
  <si>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</si>
  <si>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</si>
  <si>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</si>
  <si>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</si>
  <si>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</si>
  <si>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</si>
  <si>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</si>
  <si>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</si>
  <si>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</si>
  <si>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</si>
  <si>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</si>
  <si>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</si>
  <si>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</si>
  <si>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</si>
  <si>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</si>
  <si>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</si>
  <si>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</si>
  <si>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</si>
  <si>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</si>
  <si>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</si>
  <si>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</si>
  <si>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</si>
  <si>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</si>
  <si>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</si>
  <si>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</si>
  <si>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</si>
  <si>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</si>
  <si>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</si>
  <si>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</si>
  <si>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</si>
  <si>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</si>
  <si>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</si>
  <si>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</si>
  <si>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</si>
  <si>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</si>
  <si>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</si>
  <si>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</si>
  <si>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</si>
  <si>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</si>
  <si>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</si>
  <si>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</si>
  <si>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</si>
  <si>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</si>
  <si>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</si>
  <si>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</si>
  <si>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</si>
  <si>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</si>
  <si>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</si>
  <si>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</si>
  <si>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</si>
  <si>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</si>
  <si>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</si>
  <si>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</si>
  <si>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</si>
  <si>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</si>
  <si>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</si>
  <si>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</si>
  <si>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</si>
  <si>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</si>
  <si>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</si>
  <si>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</si>
  <si>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</si>
  <si>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</si>
  <si>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</si>
  <si>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</si>
  <si>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</si>
  <si>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</si>
  <si>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</si>
  <si>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</si>
  <si>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</si>
  <si>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</si>
  <si>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</si>
  <si>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</si>
  <si>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</si>
  <si>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</si>
  <si>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</si>
  <si>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</si>
  <si>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</si>
  <si>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</si>
  <si>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</si>
  <si>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</si>
  <si>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</si>
  <si>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</si>
  <si>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</si>
  <si>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</si>
  <si>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</si>
  <si>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</si>
  <si>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</si>
  <si>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</si>
  <si>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</si>
  <si>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</si>
  <si>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</si>
  <si>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</si>
  <si>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</si>
  <si>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</si>
  <si>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</si>
  <si>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</si>
  <si>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</si>
  <si>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</si>
  <si>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</si>
  <si>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</si>
  <si>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</si>
  <si>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</si>
  <si>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</si>
  <si>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</si>
  <si>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</si>
  <si>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</si>
  <si>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</si>
  <si>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</si>
  <si>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</si>
  <si>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</si>
  <si>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</si>
  <si>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</si>
  <si>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</si>
  <si>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</si>
  <si>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</si>
  <si>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</si>
  <si>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</si>
  <si>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</si>
  <si>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</si>
  <si>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</si>
  <si>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</si>
  <si>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</si>
  <si>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</si>
  <si>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</si>
  <si>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</si>
  <si>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</si>
  <si>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</si>
  <si>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</si>
  <si>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</si>
  <si>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</si>
  <si>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</si>
  <si>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</si>
  <si>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</si>
  <si>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</si>
  <si>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</si>
  <si>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</si>
  <si>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</si>
  <si>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</si>
  <si>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</si>
  <si>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</si>
  <si>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</si>
  <si>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</si>
  <si>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</si>
  <si>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</si>
  <si>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</si>
  <si>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</si>
  <si>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</si>
  <si>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</si>
  <si>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</si>
  <si>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</si>
  <si>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</si>
  <si>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</si>
  <si>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</si>
  <si>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</si>
  <si>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</si>
  <si>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</si>
  <si>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</si>
  <si>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</si>
  <si>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</si>
  <si>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</si>
  <si>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</si>
  <si>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</si>
  <si>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</si>
  <si>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</si>
  <si>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</si>
  <si>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</si>
  <si>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</si>
  <si>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</si>
  <si>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</si>
  <si>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</si>
  <si>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</si>
  <si>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</si>
  <si>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</si>
  <si>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</si>
  <si>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</si>
  <si>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</si>
  <si>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</si>
  <si>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</si>
  <si>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</si>
  <si>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</si>
  <si>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</si>
  <si>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</si>
  <si>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</si>
  <si>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</si>
  <si>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</si>
  <si>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</si>
  <si>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</si>
  <si>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</si>
  <si>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</si>
  <si>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</si>
  <si>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</si>
  <si>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</si>
  <si>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</si>
  <si>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</si>
  <si>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</si>
  <si>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</si>
  <si>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</si>
  <si>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</si>
  <si>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</si>
  <si>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</si>
  <si>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</si>
  <si>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</si>
  <si>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</si>
  <si>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</si>
  <si>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</si>
  <si>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</si>
  <si>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</si>
  <si>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</si>
  <si>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</si>
  <si>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</si>
  <si>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</si>
  <si>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</si>
  <si>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</si>
  <si>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</si>
  <si>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</si>
  <si>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</si>
  <si>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</si>
  <si>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</si>
  <si>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</si>
  <si>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</si>
  <si>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</si>
  <si>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</si>
  <si>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</si>
  <si>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</si>
  <si>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</si>
  <si>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</si>
  <si>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</si>
  <si>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</si>
  <si>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</si>
  <si>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</si>
  <si>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</si>
  <si>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</si>
  <si>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</si>
  <si>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</si>
  <si>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</si>
  <si>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</si>
  <si>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</si>
  <si>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</si>
  <si>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</si>
  <si>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</si>
  <si>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</si>
  <si>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</si>
  <si>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</si>
  <si>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</si>
  <si>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</si>
  <si>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</si>
  <si>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</si>
  <si>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</si>
  <si>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</si>
  <si>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</si>
  <si>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</si>
  <si>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</si>
  <si>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</si>
  <si>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</si>
  <si>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</si>
  <si>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</si>
  <si>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</si>
  <si>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</si>
  <si>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</si>
  <si>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</si>
  <si>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</si>
  <si>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</si>
  <si>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</si>
  <si>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</si>
  <si>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</si>
  <si>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</si>
  <si>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</si>
  <si>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</si>
  <si>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</si>
  <si>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</si>
  <si>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</si>
  <si>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</si>
  <si>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</si>
  <si>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</si>
  <si>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</si>
  <si>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</si>
  <si>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</si>
  <si>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</si>
  <si>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</si>
  <si>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</si>
  <si>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</si>
  <si>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</si>
  <si>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</si>
  <si>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</si>
  <si>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</si>
  <si>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</si>
  <si>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</si>
  <si>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</si>
  <si>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</si>
  <si>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</si>
  <si>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</si>
  <si>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</si>
  <si>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</si>
  <si>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</si>
  <si>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</si>
  <si>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</si>
  <si>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</si>
  <si>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204189-1</t>
  </si>
  <si>
    <t>ESAB INDUSTRIA</t>
  </si>
  <si>
    <t>MAURO MARQUES</t>
  </si>
  <si>
    <t>EXPRESSO_250</t>
  </si>
  <si>
    <t>CTE NORMAL</t>
  </si>
  <si>
    <t>NAO-ME-TOQUE - RS</t>
  </si>
  <si>
    <t>JACKSON CHRISTIAN ALVES D</t>
  </si>
  <si>
    <t>SEVEX EXPRESS</t>
  </si>
  <si>
    <t>LUCIANE MARIA MEINERZ</t>
  </si>
  <si>
    <t>FILIAL SP</t>
  </si>
  <si>
    <t>38802-1</t>
  </si>
  <si>
    <t>FRETE CLICK</t>
  </si>
  <si>
    <t>MARCELO HOPPE</t>
  </si>
  <si>
    <t>ECONOMICO_250</t>
  </si>
  <si>
    <t>SAO JOSE - SC</t>
  </si>
  <si>
    <t>ALMIR ANTONIO DOS SANTOS</t>
  </si>
  <si>
    <t>MF EXPRESS TRANSPORTE ROD</t>
  </si>
  <si>
    <t>Canoas-Rs X Nao-Me-Toque-Rstoco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</si>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</sst>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 LUIZ_13102026.xlsx]Resumo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FRETE CLICK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3168.97</c:v>
                </c:pt>
                <c:pt idx="1">
                  <c:v>115.9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FRETE CLICK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-120.77760000000004</c:v>
                </c:pt>
                <c:pt idx="1">
                  <c:v>76.918000000000006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 LUIZ_13102026.xlsx]Resumo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FRETE CLICK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3168.97</c:v>
                </c:pt>
                <c:pt idx="1">
                  <c:v>115.9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FRETE CLICK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-120.77760000000004</c:v>
                </c:pt>
                <c:pt idx="1">
                  <c:v>76.918000000000006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600972221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225" count="8000">
        <n v="303756"/>
        <n v="30522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30T00:00:00" maxDate="2026-10-09T00:00:00"/>
    </cacheField>
    <cacheField name="DATA" numFmtId="14">
      <sharedItems containsNonDate="0" containsDate="1" containsString="0" containsBlank="1" minDate="2026-10-01T00:00:00" maxDate="2026-10-10T00:00:00"/>
    </cacheField>
    <cacheField name="FAT" numFmtId="0">
      <sharedItems containsString="0" containsBlank="1" containsNumber="1" containsInteger="1" minValue="66495" maxValue="66495"/>
    </cacheField>
    <cacheField name="CT-E" numFmtId="0">
      <sharedItems containsBlank="1"/>
    </cacheField>
    <cacheField name="CLIENTE TOMADOR" numFmtId="0">
      <sharedItems containsBlank="1" count="856">
        <s v="ESAB INDUSTRIA"/>
        <s v="FRETE CLICK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94.78" maxValue="31368.5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5.9" maxValue="3168.97"/>
    </cacheField>
    <cacheField name="VOLUMES" numFmtId="0">
      <sharedItems containsString="0" containsBlank="1" containsNumber="1" containsInteger="1" minValue="2" maxValue="112"/>
    </cacheField>
    <cacheField name="PESO" numFmtId="0">
      <sharedItems containsString="0" containsBlank="1" containsNumber="1" minValue="78.08" maxValue="2082.52"/>
    </cacheField>
    <cacheField name="RESP. COLETA" numFmtId="0">
      <sharedItems containsBlank="1"/>
    </cacheField>
    <cacheField name="CUSTO COLETA" numFmtId="0">
      <sharedItems containsString="0" containsBlank="1" containsNumber="1" minValue="15.3" maxValue="78.1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2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.91" maxValue="380.2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" maxValue="15.68"/>
    </cacheField>
    <cacheField name="OUTROS" numFmtId="0">
      <sharedItems containsString="0" containsBlank="1" containsNumber="1" minValue="0" maxValue="62.13"/>
    </cacheField>
    <cacheField name="C.TOTAL" numFmtId="0">
      <sharedItems containsString="0" containsBlank="1" containsNumber="1" minValue="377.82" maxValue="3992.38"/>
    </cacheField>
    <cacheField name="RECEITA" numFmtId="0">
      <sharedItems containsString="0" containsBlank="1" containsNumber="1" minValue="-823.41" maxValue="-261.92"/>
    </cacheField>
    <cacheField name="IMPOSTO" numFmtId="0">
      <sharedItems containsString="0" containsBlank="1" containsNumber="1" minValue="30.13" maxValue="823.93"/>
    </cacheField>
    <cacheField name="RESULTADO" numFmtId="0">
      <sharedItems containsString="0" containsBlank="1" containsNumber="1" minValue="-1647.34" maxValue="-292.0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647.34" maxValue="-292.05"/>
    </cacheField>
    <cacheField name="MARGEM" numFmtId="10">
      <sharedItems containsString="0" containsBlank="1" containsNumber="1" minValue="-2.5198" maxValue="-0.5197999999999999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30T00:00:00"/>
    <d v="2026-10-01T00:00:00"/>
    <n v="66495"/>
    <s v="204189-1"/>
    <x v="0"/>
    <s v="MAURO MARQUES"/>
    <n v="31368.5"/>
    <x v="0"/>
    <s v="CTE NORMAL"/>
    <s v="NAO-ME-TOQUE - RS"/>
    <n v="3168.97"/>
    <n v="112"/>
    <n v="2082.52"/>
    <s v="JACKSON CHRISTIAN ALVES D"/>
    <n v="78.14"/>
    <s v="SEVEX EXPRESS"/>
    <n v="2500"/>
    <s v="LUCIANE MARIA MEINERZ"/>
    <n v="0"/>
    <n v="380.28"/>
    <n v="0"/>
    <n v="0"/>
    <n v="15.68"/>
    <n v="62.13"/>
    <n v="3992.38"/>
    <n v="-823.41"/>
    <n v="823.93"/>
    <n v="-1647.34"/>
    <n v="0"/>
    <n v="-1647.34"/>
    <n v="-0.51979999999999993"/>
    <m/>
  </r>
  <r>
    <x v="1"/>
    <s v="FILIAL SP"/>
    <d v="2026-10-08T00:00:00"/>
    <d v="2026-10-09T00:00:00"/>
    <m/>
    <s v="38802-1"/>
    <x v="1"/>
    <s v="MARCELO HOPPE"/>
    <n v="994.78"/>
    <x v="1"/>
    <s v="CTE NORMAL"/>
    <s v="SAO JOSE - SC"/>
    <n v="115.9"/>
    <n v="2"/>
    <n v="78.08"/>
    <s v="ALMIR ANTONIO DOS SANTOS"/>
    <n v="15.3"/>
    <s v="MF EXPRESS TRANSPORTE ROD"/>
    <n v="0"/>
    <s v="LUCIANE MARIA MEINERZ"/>
    <n v="0"/>
    <n v="13.91"/>
    <n v="0"/>
    <n v="0"/>
    <n v="0.5"/>
    <n v="0"/>
    <n v="377.82"/>
    <n v="-261.92"/>
    <n v="30.13"/>
    <n v="-292.05"/>
    <n v="0"/>
    <n v="-292.05"/>
    <n v="-2.51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5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8"/>
        <item m="1" x="113"/>
        <item m="1" x="546"/>
        <item m="1" x="829"/>
        <item m="1" x="271"/>
        <item m="1" x="480"/>
        <item m="1" x="773"/>
        <item m="1" x="267"/>
        <item m="1" x="344"/>
        <item m="1" x="678"/>
        <item sd="0" m="1" x="801"/>
        <item m="1" x="77"/>
        <item m="1" x="48"/>
        <item sd="0" m="1" x="670"/>
        <item m="1" x="662"/>
        <item m="1" x="470"/>
        <item m="1" x="45"/>
        <item sd="0" m="1" x="731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3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3"/>
        <item m="1" x="786"/>
        <item m="1" x="184"/>
        <item m="1" x="836"/>
        <item m="1" x="712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7"/>
        <item m="1" x="422"/>
        <item m="1" x="81"/>
        <item m="1" x="698"/>
        <item m="1" x="285"/>
        <item m="1" x="847"/>
        <item m="1" x="249"/>
        <item sd="0" m="1" x="764"/>
        <item m="1" x="426"/>
        <item m="1" x="437"/>
        <item m="1" x="168"/>
        <item m="1" x="544"/>
        <item m="1" x="807"/>
        <item sd="0" m="1" x="622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8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6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1"/>
        <item sd="0" m="1" x="640"/>
        <item m="1" x="54"/>
        <item m="1" x="794"/>
        <item m="1" x="717"/>
        <item m="1" x="418"/>
        <item m="1" x="735"/>
        <item m="1" x="814"/>
        <item m="1" x="563"/>
        <item m="1" x="560"/>
        <item m="1" x="430"/>
        <item m="1" x="715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799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4"/>
        <item m="1" x="581"/>
        <item m="1" x="519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x="0"/>
        <item m="1" x="21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7"/>
        <item m="1" x="459"/>
        <item m="1" x="791"/>
        <item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39"/>
        <item m="1" x="518"/>
        <item sd="0" m="1" x="387"/>
        <item m="1" x="547"/>
        <item m="1" x="214"/>
        <item m="1" x="416"/>
        <item m="1" x="420"/>
        <item m="1" x="803"/>
        <item m="1" x="42"/>
        <item m="1" x="806"/>
        <item sd="0" m="1" x="488"/>
        <item x="1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2"/>
        <item m="1" x="144"/>
        <item m="1" x="668"/>
        <item sd="0" m="1" x="840"/>
        <item sd="0" m="1" x="39"/>
        <item m="1" x="384"/>
        <item m="1" x="591"/>
        <item m="1" x="748"/>
        <item sd="0" m="1" x="270"/>
        <item m="1" x="18"/>
        <item m="1" x="639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0"/>
        <item sd="0" m="1" x="692"/>
        <item sd="0" m="1" x="22"/>
        <item m="1" x="728"/>
        <item m="1" x="781"/>
        <item m="1" x="641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7"/>
        <item m="1" x="117"/>
        <item m="1" x="377"/>
        <item m="1" x="719"/>
        <item m="1" x="128"/>
        <item m="1" x="34"/>
        <item m="1" x="303"/>
        <item m="1" x="550"/>
        <item m="1" x="61"/>
        <item m="1" x="453"/>
        <item m="1" x="775"/>
        <item m="1" x="486"/>
        <item m="1" x="741"/>
        <item sd="0" m="1" x="455"/>
        <item m="1" x="522"/>
        <item m="1" x="163"/>
        <item sd="0" m="1" x="405"/>
        <item m="1" x="742"/>
        <item m="1" x="195"/>
        <item m="1" x="747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69"/>
        <item sd="0" m="1" x="805"/>
        <item m="1" x="92"/>
        <item m="1" x="574"/>
        <item m="1" x="158"/>
        <item sd="0" m="1" x="562"/>
        <item m="1" x="46"/>
        <item m="1" x="724"/>
        <item m="1" x="749"/>
        <item m="1" x="744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6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2"/>
        <item m="1" x="643"/>
        <item m="1" x="232"/>
        <item m="1" x="374"/>
        <item m="1" x="736"/>
        <item sd="0" m="1" x="133"/>
        <item m="1" x="87"/>
        <item m="1" x="210"/>
        <item m="1" x="683"/>
        <item m="1" x="276"/>
        <item m="1" x="473"/>
        <item m="1" x="800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89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2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1"/>
        <item m="1" x="536"/>
        <item m="1" x="646"/>
        <item m="1" x="611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50"/>
        <item m="1" x="776"/>
        <item sd="0" m="1" x="72"/>
        <item m="1" x="714"/>
        <item m="1" x="575"/>
        <item m="1" x="185"/>
        <item m="1" x="718"/>
        <item m="1" x="112"/>
        <item m="1" x="255"/>
        <item m="1" x="513"/>
        <item m="1" x="96"/>
        <item m="1" x="524"/>
        <item m="1" x="790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2"/>
        <item m="1" x="585"/>
        <item m="1" x="750"/>
        <item m="1" x="723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7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5"/>
        <item m="1" x="156"/>
        <item m="1" x="234"/>
        <item m="1" x="239"/>
        <item m="1" x="467"/>
        <item m="1" x="708"/>
        <item m="1" x="621"/>
        <item m="1" x="732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8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79"/>
        <item m="1" x="613"/>
        <item m="1" x="561"/>
        <item m="1" x="309"/>
        <item m="1" x="655"/>
        <item m="1" x="726"/>
        <item sd="0" m="1" x="406"/>
        <item m="1" x="745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0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0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4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6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59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47"/>
    </i>
    <i r="1">
      <x v="7998"/>
    </i>
    <i>
      <x v="295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5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8"/>
        <item m="1" x="113"/>
        <item m="1" x="546"/>
        <item m="1" x="829"/>
        <item m="1" x="271"/>
        <item m="1" x="480"/>
        <item m="1" x="773"/>
        <item m="1" x="267"/>
        <item m="1" x="344"/>
        <item m="1" x="678"/>
        <item sd="0" m="1" x="801"/>
        <item m="1" x="77"/>
        <item m="1" x="48"/>
        <item sd="0" m="1" x="670"/>
        <item m="1" x="662"/>
        <item m="1" x="470"/>
        <item m="1" x="45"/>
        <item sd="0" m="1" x="731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3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3"/>
        <item m="1" x="786"/>
        <item m="1" x="184"/>
        <item m="1" x="836"/>
        <item m="1" x="712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7"/>
        <item m="1" x="422"/>
        <item m="1" x="81"/>
        <item m="1" x="698"/>
        <item m="1" x="285"/>
        <item m="1" x="847"/>
        <item m="1" x="249"/>
        <item sd="0" m="1" x="764"/>
        <item m="1" x="426"/>
        <item m="1" x="437"/>
        <item m="1" x="168"/>
        <item m="1" x="544"/>
        <item m="1" x="807"/>
        <item sd="0" m="1" x="622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8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6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1"/>
        <item sd="0" m="1" x="640"/>
        <item m="1" x="54"/>
        <item m="1" x="794"/>
        <item m="1" x="717"/>
        <item m="1" x="418"/>
        <item m="1" x="735"/>
        <item m="1" x="814"/>
        <item m="1" x="563"/>
        <item m="1" x="560"/>
        <item m="1" x="430"/>
        <item m="1" x="715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799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4"/>
        <item m="1" x="581"/>
        <item m="1" x="519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x="0"/>
        <item m="1" x="21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7"/>
        <item m="1" x="459"/>
        <item m="1" x="791"/>
        <item sd="0"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39"/>
        <item m="1" x="518"/>
        <item sd="0" m="1" x="387"/>
        <item m="1" x="547"/>
        <item m="1" x="214"/>
        <item m="1" x="416"/>
        <item m="1" x="420"/>
        <item m="1" x="803"/>
        <item m="1" x="42"/>
        <item m="1" x="806"/>
        <item sd="0" m="1" x="488"/>
        <item x="1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2"/>
        <item m="1" x="144"/>
        <item m="1" x="668"/>
        <item sd="0" m="1" x="840"/>
        <item sd="0" m="1" x="39"/>
        <item m="1" x="384"/>
        <item m="1" x="591"/>
        <item m="1" x="748"/>
        <item sd="0" m="1" x="270"/>
        <item m="1" x="18"/>
        <item m="1" x="639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0"/>
        <item sd="0" m="1" x="692"/>
        <item sd="0" m="1" x="22"/>
        <item m="1" x="728"/>
        <item m="1" x="781"/>
        <item m="1" x="641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7"/>
        <item m="1" x="117"/>
        <item m="1" x="377"/>
        <item m="1" x="719"/>
        <item m="1" x="128"/>
        <item m="1" x="34"/>
        <item m="1" x="303"/>
        <item m="1" x="550"/>
        <item m="1" x="61"/>
        <item m="1" x="453"/>
        <item m="1" x="775"/>
        <item m="1" x="486"/>
        <item m="1" x="741"/>
        <item sd="0" m="1" x="455"/>
        <item m="1" x="522"/>
        <item m="1" x="163"/>
        <item sd="0" m="1" x="405"/>
        <item m="1" x="742"/>
        <item m="1" x="195"/>
        <item m="1" x="747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69"/>
        <item sd="0" m="1" x="805"/>
        <item m="1" x="92"/>
        <item m="1" x="574"/>
        <item m="1" x="158"/>
        <item sd="0" m="1" x="562"/>
        <item m="1" x="46"/>
        <item m="1" x="724"/>
        <item m="1" x="749"/>
        <item m="1" x="744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6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2"/>
        <item m="1" x="643"/>
        <item m="1" x="232"/>
        <item m="1" x="374"/>
        <item m="1" x="736"/>
        <item sd="0" m="1" x="133"/>
        <item m="1" x="87"/>
        <item m="1" x="210"/>
        <item m="1" x="683"/>
        <item m="1" x="276"/>
        <item m="1" x="473"/>
        <item m="1" x="800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89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2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1"/>
        <item m="1" x="536"/>
        <item m="1" x="646"/>
        <item m="1" x="611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50"/>
        <item m="1" x="776"/>
        <item sd="0" m="1" x="72"/>
        <item m="1" x="714"/>
        <item m="1" x="575"/>
        <item m="1" x="185"/>
        <item m="1" x="718"/>
        <item m="1" x="112"/>
        <item m="1" x="255"/>
        <item m="1" x="513"/>
        <item m="1" x="96"/>
        <item m="1" x="524"/>
        <item m="1" x="790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2"/>
        <item m="1" x="585"/>
        <item m="1" x="750"/>
        <item m="1" x="723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7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5"/>
        <item m="1" x="156"/>
        <item m="1" x="234"/>
        <item m="1" x="239"/>
        <item m="1" x="467"/>
        <item m="1" x="708"/>
        <item m="1" x="621"/>
        <item m="1" x="732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8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79"/>
        <item m="1" x="613"/>
        <item m="1" x="561"/>
        <item m="1" x="309"/>
        <item m="1" x="655"/>
        <item m="1" x="726"/>
        <item sd="0" m="1" x="406"/>
        <item m="1" x="745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0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0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4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6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59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47"/>
    </i>
    <i>
      <x v="295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2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5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3" s="1" nd="1"/>
        <i x="21" s="1" nd="1"/>
        <i x="758" s="1" nd="1"/>
        <i x="113" s="1" nd="1"/>
        <i x="546" s="1" nd="1"/>
        <i x="829" s="1" nd="1"/>
        <i x="271" s="1" nd="1"/>
        <i x="480" s="1" nd="1"/>
        <i x="773" s="1" nd="1"/>
        <i x="267" s="1" nd="1"/>
        <i x="344" s="1" nd="1"/>
        <i x="678" s="1" nd="1"/>
        <i x="801" s="1" nd="1"/>
        <i x="77" s="1" nd="1"/>
        <i x="48" s="1" nd="1"/>
        <i x="670" s="1" nd="1"/>
        <i x="662" s="1" nd="1"/>
        <i x="470" s="1" nd="1"/>
        <i x="45" s="1" nd="1"/>
        <i x="731" s="1" nd="1"/>
        <i x="691" s="1" nd="1"/>
        <i x="217" s="1" nd="1"/>
        <i x="477" s="1" nd="1"/>
        <i x="635" s="1" nd="1"/>
        <i x="447" s="1" nd="1"/>
        <i x="810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1" s="1" nd="1"/>
        <i x="323" s="1" nd="1"/>
        <i x="462" s="1" nd="1"/>
        <i x="507" s="1" nd="1"/>
        <i x="555" s="1" nd="1"/>
        <i x="478" s="1" nd="1"/>
        <i x="245" s="1" nd="1"/>
        <i x="849" s="1" nd="1"/>
        <i x="833" s="1" nd="1"/>
        <i x="743" s="1" nd="1"/>
        <i x="241" s="1" nd="1"/>
        <i x="240" s="1" nd="1"/>
        <i x="463" s="1" nd="1"/>
        <i x="287" s="1" nd="1"/>
        <i x="551" s="1" nd="1"/>
        <i x="846" s="1" nd="1"/>
        <i x="446" s="1" nd="1"/>
        <i x="531" s="1" nd="1"/>
        <i x="667" s="1" nd="1"/>
        <i x="520" s="1" nd="1"/>
        <i x="793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3" s="1" nd="1"/>
        <i x="786" s="1" nd="1"/>
        <i x="184" s="1" nd="1"/>
        <i x="836" s="1" nd="1"/>
        <i x="712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7" s="1" nd="1"/>
        <i x="422" s="1" nd="1"/>
        <i x="81" s="1" nd="1"/>
        <i x="698" s="1" nd="1"/>
        <i x="285" s="1" nd="1"/>
        <i x="847" s="1" nd="1"/>
        <i x="249" s="1" nd="1"/>
        <i x="764" s="1" nd="1"/>
        <i x="426" s="1" nd="1"/>
        <i x="437" s="1" nd="1"/>
        <i x="168" s="1" nd="1"/>
        <i x="544" s="1" nd="1"/>
        <i x="807" s="1" nd="1"/>
        <i x="622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8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9" s="1" nd="1"/>
        <i x="854" s="1" nd="1"/>
        <i x="830" s="1" nd="1"/>
        <i x="107" s="1" nd="1"/>
        <i x="402" s="1" nd="1"/>
        <i x="115" s="1" nd="1"/>
        <i x="654" s="1" nd="1"/>
        <i x="658" s="1" nd="1"/>
        <i x="796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1" s="1" nd="1"/>
        <i x="458" s="1" nd="1"/>
        <i x="479" s="1" nd="1"/>
        <i x="751" s="1" nd="1"/>
        <i x="640" s="1" nd="1"/>
        <i x="54" s="1" nd="1"/>
        <i x="794" s="1" nd="1"/>
        <i x="717" s="1" nd="1"/>
        <i x="418" s="1" nd="1"/>
        <i x="735" s="1" nd="1"/>
        <i x="814" s="1" nd="1"/>
        <i x="563" s="1" nd="1"/>
        <i x="560" s="1" nd="1"/>
        <i x="430" s="1" nd="1"/>
        <i x="715" s="1" nd="1"/>
        <i x="506" s="1" nd="1"/>
        <i x="174" s="1" nd="1"/>
        <i x="629" s="1" nd="1"/>
        <i x="376" s="1" nd="1"/>
        <i x="808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799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4" s="1" nd="1"/>
        <i x="581" s="1" nd="1"/>
        <i x="519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211" s="1" nd="1"/>
        <i x="440" s="1" nd="1"/>
        <i x="103" s="1" nd="1"/>
        <i x="197" s="1" nd="1"/>
        <i x="832" s="1" nd="1"/>
        <i x="765" s="1" nd="1"/>
        <i x="510" s="1" nd="1"/>
        <i x="822" s="1" nd="1"/>
        <i x="342" s="1" nd="1"/>
        <i x="224" s="1" nd="1"/>
        <i x="65" s="1" nd="1"/>
        <i x="637" s="1" nd="1"/>
        <i x="459" s="1" nd="1"/>
        <i x="791" s="1" nd="1"/>
        <i x="705" s="1" nd="1"/>
        <i x="235" s="1" nd="1"/>
        <i x="599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39" s="1" nd="1"/>
        <i x="518" s="1" nd="1"/>
        <i x="387" s="1" nd="1"/>
        <i x="547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2" s="1" nd="1"/>
        <i x="144" s="1" nd="1"/>
        <i x="668" s="1" nd="1"/>
        <i x="840" s="1" nd="1"/>
        <i x="39" s="1" nd="1"/>
        <i x="384" s="1" nd="1"/>
        <i x="591" s="1" nd="1"/>
        <i x="748" s="1" nd="1"/>
        <i x="270" s="1" nd="1"/>
        <i x="18" s="1" nd="1"/>
        <i x="639" s="1" nd="1"/>
        <i x="390" s="1" nd="1"/>
        <i x="481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0" s="1" nd="1"/>
        <i x="692" s="1" nd="1"/>
        <i x="22" s="1" nd="1"/>
        <i x="728" s="1" nd="1"/>
        <i x="781" s="1" nd="1"/>
        <i x="641" s="1" nd="1"/>
        <i x="330" s="1" nd="1"/>
        <i x="369" s="1" nd="1"/>
        <i x="816" s="1" nd="1"/>
        <i x="777" s="1" nd="1"/>
        <i x="145" s="1" nd="1"/>
        <i x="499" s="1" nd="1"/>
        <i x="468" s="1" nd="1"/>
        <i x="141" s="1" nd="1"/>
        <i x="757" s="1" nd="1"/>
        <i x="149" s="1" nd="1"/>
        <i x="225" s="1" nd="1"/>
        <i x="721" s="1" nd="1"/>
        <i x="557" s="1" nd="1"/>
        <i x="117" s="1" nd="1"/>
        <i x="377" s="1" nd="1"/>
        <i x="719" s="1" nd="1"/>
        <i x="128" s="1" nd="1"/>
        <i x="34" s="1" nd="1"/>
        <i x="303" s="1" nd="1"/>
        <i x="550" s="1" nd="1"/>
        <i x="61" s="1" nd="1"/>
        <i x="453" s="1" nd="1"/>
        <i x="775" s="1" nd="1"/>
        <i x="486" s="1" nd="1"/>
        <i x="741" s="1" nd="1"/>
        <i x="455" s="1" nd="1"/>
        <i x="522" s="1" nd="1"/>
        <i x="163" s="1" nd="1"/>
        <i x="405" s="1" nd="1"/>
        <i x="742" s="1" nd="1"/>
        <i x="195" s="1" nd="1"/>
        <i x="747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69" s="1" nd="1"/>
        <i x="805" s="1" nd="1"/>
        <i x="92" s="1" nd="1"/>
        <i x="574" s="1" nd="1"/>
        <i x="158" s="1" nd="1"/>
        <i x="562" s="1" nd="1"/>
        <i x="46" s="1" nd="1"/>
        <i x="724" s="1" nd="1"/>
        <i x="749" s="1" nd="1"/>
        <i x="744" s="1" nd="1"/>
        <i x="848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6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1" s="1" nd="1"/>
        <i x="3" s="1" nd="1"/>
        <i x="273" s="1" nd="1"/>
        <i x="76" s="1" nd="1"/>
        <i x="131" s="1" nd="1"/>
        <i x="656" s="1" nd="1"/>
        <i x="722" s="1" nd="1"/>
        <i x="643" s="1" nd="1"/>
        <i x="232" s="1" nd="1"/>
        <i x="374" s="1" nd="1"/>
        <i x="736" s="1" nd="1"/>
        <i x="133" s="1" nd="1"/>
        <i x="87" s="1" nd="1"/>
        <i x="210" s="1" nd="1"/>
        <i x="683" s="1" nd="1"/>
        <i x="276" s="1" nd="1"/>
        <i x="473" s="1" nd="1"/>
        <i x="800" s="1" nd="1"/>
        <i x="218" s="1" nd="1"/>
        <i x="828" s="1" nd="1"/>
        <i x="70" s="1" nd="1"/>
        <i x="119" s="1" nd="1"/>
        <i x="647" s="1" nd="1"/>
        <i x="412" s="1" nd="1"/>
        <i x="855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89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1" s="1" nd="1"/>
        <i x="605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4" s="1" nd="1"/>
        <i x="674" s="1" nd="1"/>
        <i x="839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5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1" s="1" nd="1"/>
        <i x="536" s="1" nd="1"/>
        <i x="646" s="1" nd="1"/>
        <i x="611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6" s="1" nd="1"/>
        <i x="650" s="1" nd="1"/>
        <i x="776" s="1" nd="1"/>
        <i x="72" s="1" nd="1"/>
        <i x="714" s="1" nd="1"/>
        <i x="575" s="1" nd="1"/>
        <i x="185" s="1" nd="1"/>
        <i x="718" s="1" nd="1"/>
        <i x="112" s="1" nd="1"/>
        <i x="255" s="1" nd="1"/>
        <i x="513" s="1" nd="1"/>
        <i x="96" s="1" nd="1"/>
        <i x="524" s="1" nd="1"/>
        <i x="790" s="1" nd="1"/>
        <i x="20" s="1" nd="1"/>
        <i x="539" s="1" nd="1"/>
        <i x="638" s="1" nd="1"/>
        <i x="577" s="1" nd="1"/>
        <i x="198" s="1" nd="1"/>
        <i x="576" s="1" nd="1"/>
        <i x="366" s="1" nd="1"/>
        <i x="824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2" s="1" nd="1"/>
        <i x="585" s="1" nd="1"/>
        <i x="750" s="1" nd="1"/>
        <i x="723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4" s="1" nd="1"/>
        <i x="792" s="1" nd="1"/>
        <i x="201" s="1" nd="1"/>
        <i x="152" s="1" nd="1"/>
        <i x="237" s="1" nd="1"/>
        <i x="504" s="1" nd="1"/>
        <i x="787" s="1" nd="1"/>
        <i x="260" s="1" nd="1"/>
        <i x="753" s="1" nd="1"/>
        <i x="129" s="1" nd="1"/>
        <i x="212" s="1" nd="1"/>
        <i x="834" s="1" nd="1"/>
        <i x="587" s="1" nd="1"/>
        <i x="797" s="1" nd="1"/>
        <i x="727" s="1" nd="1"/>
        <i x="413" s="1" nd="1"/>
        <i x="26" s="1" nd="1"/>
        <i x="343" s="1" nd="1"/>
        <i x="491" s="1" nd="1"/>
        <i x="512" s="1" nd="1"/>
        <i x="770" s="1" nd="1"/>
        <i x="720" s="1" nd="1"/>
        <i x="761" s="1" nd="1"/>
        <i x="521" s="1" nd="1"/>
        <i x="644" s="1" nd="1"/>
        <i x="289" s="1" nd="1"/>
        <i x="181" s="1" nd="1"/>
        <i x="335" s="1" nd="1"/>
        <i x="818" s="1" nd="1"/>
        <i x="612" s="1" nd="1"/>
        <i x="589" s="1" nd="1"/>
        <i x="257" s="1" nd="1"/>
        <i x="552" s="1" nd="1"/>
        <i x="105" s="1" nd="1"/>
        <i x="88" s="1" nd="1"/>
        <i x="755" s="1" nd="1"/>
        <i x="156" s="1" nd="1"/>
        <i x="234" s="1" nd="1"/>
        <i x="239" s="1" nd="1"/>
        <i x="467" s="1" nd="1"/>
        <i x="708" s="1" nd="1"/>
        <i x="621" s="1" nd="1"/>
        <i x="732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4" s="1" nd="1"/>
        <i x="725" s="1" nd="1"/>
        <i x="842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8" s="1" nd="1"/>
        <i x="395" s="1" nd="1"/>
        <i x="401" s="1" nd="1"/>
        <i x="706" s="1" nd="1"/>
        <i x="404" s="1" nd="1"/>
        <i x="831" s="1" nd="1"/>
        <i x="496" s="1" nd="1"/>
        <i x="396" s="1" nd="1"/>
        <i x="672" s="1" nd="1"/>
        <i x="186" s="1" nd="1"/>
        <i x="410" s="1" nd="1"/>
        <i x="475" s="1" nd="1"/>
        <i x="838" s="1" nd="1"/>
        <i x="126" s="1" nd="1"/>
        <i x="153" s="1" nd="1"/>
        <i x="595" s="1" nd="1"/>
        <i x="779" s="1" nd="1"/>
        <i x="613" s="1" nd="1"/>
        <i x="561" s="1" nd="1"/>
        <i x="309" s="1" nd="1"/>
        <i x="655" s="1" nd="1"/>
        <i x="726" s="1" nd="1"/>
        <i x="406" s="1" nd="1"/>
        <i x="745" s="1" nd="1"/>
        <i x="80" s="1" nd="1"/>
        <i x="52" s="1" nd="1"/>
        <i x="852" s="1" nd="1"/>
        <i x="30" s="1" nd="1"/>
        <i x="572" s="1" nd="1"/>
        <i x="514" s="1" nd="1"/>
        <i x="414" s="1" nd="1"/>
        <i x="704" s="1" nd="1"/>
        <i x="205" s="1" nd="1"/>
        <i x="645" s="1" nd="1"/>
        <i x="780" s="1" nd="1"/>
        <i x="469" s="1" nd="1"/>
        <i x="41" s="1" nd="1"/>
        <i x="695" s="1" nd="1"/>
        <i x="665" s="1" nd="1"/>
        <i x="809" s="1" nd="1"/>
        <i x="817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0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4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6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4" s="1" nd="1"/>
        <i x="63" s="1" nd="1"/>
        <i x="570" s="1" nd="1"/>
        <i x="432" s="1" nd="1"/>
        <i x="427" s="1" nd="1"/>
        <i x="177" s="1" nd="1"/>
        <i x="367" s="1" nd="1"/>
        <i x="759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3" s="1" nd="1"/>
        <i x="837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303756</v>
      </c>
      <c r="B2" s="12" t="s">
        <v>616</v>
      </c>
      <c r="C2" s="14">
        <v>46295</v>
      </c>
      <c r="D2" s="14">
        <v>46296</v>
      </c>
      <c r="E2" s="12">
        <v>66495</v>
      </c>
      <c r="F2" s="15" t="s">
        <v>617</v>
      </c>
      <c r="G2" s="15" t="s">
        <v>618</v>
      </c>
      <c r="H2" s="15" t="s">
        <v>619</v>
      </c>
      <c r="I2" s="16">
        <v>31368.5</v>
      </c>
      <c r="J2" s="15" t="s">
        <v>620</v>
      </c>
      <c r="K2" s="15" t="s">
        <v>621</v>
      </c>
      <c r="L2" s="15" t="s">
        <v>622</v>
      </c>
      <c r="M2" s="15">
        <v>3168.97</v>
      </c>
      <c r="N2" s="15">
        <v>112</v>
      </c>
      <c r="O2" s="16">
        <v>2082.52</v>
      </c>
      <c r="P2" s="15" t="s">
        <v>623</v>
      </c>
      <c r="Q2" s="15">
        <v>78.14</v>
      </c>
      <c r="R2" s="15" t="s">
        <v>624</v>
      </c>
      <c r="S2" s="15">
        <v>2500</v>
      </c>
      <c r="T2" s="15" t="s">
        <v>625</v>
      </c>
      <c r="U2" s="15">
        <v>0</v>
      </c>
      <c r="V2" s="15">
        <v>380.28</v>
      </c>
      <c r="W2" s="15">
        <v>0</v>
      </c>
      <c r="X2" s="15">
        <v>0</v>
      </c>
      <c r="Y2" s="15">
        <v>15.68</v>
      </c>
      <c r="Z2" s="15">
        <v>62.13</v>
      </c>
      <c r="AA2" s="15">
        <v>3992.38</v>
      </c>
      <c r="AB2" s="15">
        <v>-823.41</v>
      </c>
      <c r="AC2" s="15">
        <v>823.93</v>
      </c>
      <c r="AD2" s="15">
        <v>-1647.34</v>
      </c>
      <c r="AE2" s="15">
        <v>0</v>
      </c>
      <c r="AF2" s="15">
        <v>-1647.34</v>
      </c>
      <c r="AG2" s="17">
        <v>-0.51979999999999993</v>
      </c>
      <c r="AH2" s="15"/>
    </row>
    <row r="3" spans="1:34" s="1" customFormat="1" ht="12" customHeight="1" x14ac:dyDescent="0.3">
      <c r="A3" s="13">
        <v>305225</v>
      </c>
      <c r="B3" s="12" t="s">
        <v>626</v>
      </c>
      <c r="C3" s="14">
        <v>46303</v>
      </c>
      <c r="D3" s="14">
        <v>46304</v>
      </c>
      <c r="E3" s="12"/>
      <c r="F3" s="15" t="s">
        <v>627</v>
      </c>
      <c r="G3" s="15" t="s">
        <v>628</v>
      </c>
      <c r="H3" s="15" t="s">
        <v>629</v>
      </c>
      <c r="I3" s="16">
        <v>994.78</v>
      </c>
      <c r="J3" s="15" t="s">
        <v>630</v>
      </c>
      <c r="K3" s="15" t="s">
        <v>621</v>
      </c>
      <c r="L3" s="15" t="s">
        <v>631</v>
      </c>
      <c r="M3" s="16">
        <v>115.9</v>
      </c>
      <c r="N3" s="15">
        <v>2</v>
      </c>
      <c r="O3" s="16">
        <v>78.08</v>
      </c>
      <c r="P3" s="15" t="s">
        <v>632</v>
      </c>
      <c r="Q3" s="15">
        <v>15.3</v>
      </c>
      <c r="R3" s="15" t="s">
        <v>633</v>
      </c>
      <c r="S3" s="15">
        <v>0</v>
      </c>
      <c r="T3" s="15" t="s">
        <v>625</v>
      </c>
      <c r="U3" s="15">
        <v>0</v>
      </c>
      <c r="V3" s="15">
        <v>13.91</v>
      </c>
      <c r="W3" s="15">
        <v>0</v>
      </c>
      <c r="X3" s="15">
        <v>0</v>
      </c>
      <c r="Y3" s="15">
        <v>0.5</v>
      </c>
      <c r="Z3" s="15">
        <v>0</v>
      </c>
      <c r="AA3" s="16">
        <v>377.82</v>
      </c>
      <c r="AB3" s="16">
        <v>-261.92</v>
      </c>
      <c r="AC3" s="15">
        <v>30.13</v>
      </c>
      <c r="AD3" s="15">
        <v>-292.05</v>
      </c>
      <c r="AE3" s="15">
        <v>0</v>
      </c>
      <c r="AF3" s="15">
        <v>-292.05</v>
      </c>
      <c r="AG3" s="17">
        <v>-2.5198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3284.87</v>
      </c>
      <c r="F3" s="89"/>
      <c r="G3" s="90"/>
      <c r="H3" s="133">
        <f>'Resumo Detalhado'!C2</f>
        <v>2160.6</v>
      </c>
      <c r="I3" s="134"/>
      <c r="J3" s="135">
        <f>E3/H3</f>
        <v>1.5203508284735723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0.36009999999999998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2593.44</v>
      </c>
      <c r="F7" s="112"/>
      <c r="G7" s="112"/>
      <c r="H7" s="112"/>
      <c r="I7" s="112"/>
      <c r="J7" s="112">
        <f>E7/H3</f>
        <v>1.2003332407664538</v>
      </c>
      <c r="K7" s="112"/>
      <c r="L7" s="112"/>
      <c r="M7" s="130">
        <f>E7/E3</f>
        <v>0.78951069600927892</v>
      </c>
      <c r="N7" s="130"/>
      <c r="O7" s="130"/>
      <c r="P7" s="112">
        <f>E11+K11+Q11+E15+K15+Q15+E19+H19+K19</f>
        <v>3854.3088000000002</v>
      </c>
      <c r="Q7" s="112"/>
      <c r="R7" s="112"/>
      <c r="S7" s="112">
        <f>P7/H3</f>
        <v>1.783906692585393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2500</v>
      </c>
      <c r="L11" s="90"/>
      <c r="M11" s="38"/>
      <c r="N11" s="88">
        <f>K11/H3</f>
        <v>1.1570859946311209</v>
      </c>
      <c r="O11" s="90"/>
      <c r="P11" s="38"/>
      <c r="Q11" s="88">
        <f>'Resumo Detalhado'!D2</f>
        <v>93.44</v>
      </c>
      <c r="R11" s="90"/>
      <c r="S11" s="38"/>
      <c r="T11" s="88">
        <f>Q11/H3</f>
        <v>4.3247246135332776E-2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394.19</v>
      </c>
      <c r="F15" s="119"/>
      <c r="G15" s="119"/>
      <c r="H15" s="119"/>
      <c r="I15" s="132"/>
      <c r="J15" s="38"/>
      <c r="K15" s="113">
        <f>'Resumo Detalhado'!K2+'Resumo Detalhado'!L2</f>
        <v>525.57920000000001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16.18</v>
      </c>
      <c r="F19" s="120"/>
      <c r="G19" s="38"/>
      <c r="H19" s="122">
        <f>'Resumo Detalhado'!J2</f>
        <v>62.13</v>
      </c>
      <c r="I19" s="123"/>
      <c r="J19" s="38"/>
      <c r="K19" s="122">
        <f>'Resumo Detalhado'!L2</f>
        <v>262.78960000000001</v>
      </c>
      <c r="L19" s="123"/>
      <c r="M19" s="38"/>
      <c r="N19" s="121" t="s">
        <v>634</v>
      </c>
      <c r="O19" s="119"/>
      <c r="P19" s="119"/>
      <c r="Q19" s="119"/>
      <c r="R19" s="120"/>
      <c r="S19" s="121">
        <v>2500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-43.859600000000029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-1.3352004797754563E-2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635</v>
      </c>
      <c r="F1" s="29"/>
    </row>
    <row r="2" spans="1:18" x14ac:dyDescent="0.3">
      <c r="B2" s="29">
        <f>SUM(B6:B5000)</f>
        <v>3284.87</v>
      </c>
      <c r="C2" s="29">
        <f>SUM(C6:C5000)</f>
        <v>2160.6</v>
      </c>
      <c r="D2" s="29">
        <f>SUM(D6:D5000)</f>
        <v>93.44</v>
      </c>
      <c r="E2" s="29">
        <f>SUM(E6:E5000)</f>
        <v>2500</v>
      </c>
      <c r="F2" s="29">
        <f>SUM(F6:F5000)</f>
        <v>0</v>
      </c>
      <c r="G2" s="29"/>
      <c r="H2" s="29">
        <f t="shared" ref="H2:P2" si="0">SUM(H6:H5000)</f>
        <v>394.19</v>
      </c>
      <c r="I2" s="29">
        <f t="shared" si="0"/>
        <v>16.18</v>
      </c>
      <c r="J2" s="29">
        <f t="shared" si="0"/>
        <v>62.13</v>
      </c>
      <c r="K2" s="29">
        <f t="shared" si="0"/>
        <v>262.78960000000001</v>
      </c>
      <c r="L2" s="29">
        <f t="shared" si="0"/>
        <v>262.78960000000001</v>
      </c>
      <c r="M2" s="29">
        <f t="shared" si="0"/>
        <v>0</v>
      </c>
      <c r="N2" s="29">
        <f t="shared" si="0"/>
        <v>-43.859600000000029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303756</v>
      </c>
      <c r="B6" s="139">
        <v>3168.97</v>
      </c>
      <c r="C6" s="140">
        <v>2082.52</v>
      </c>
      <c r="D6" s="139">
        <v>78.14</v>
      </c>
      <c r="E6" s="139">
        <v>2500</v>
      </c>
      <c r="F6" s="139">
        <v>0</v>
      </c>
      <c r="G6" s="141">
        <v>0.81355771749180339</v>
      </c>
      <c r="H6" s="139">
        <v>380.28</v>
      </c>
      <c r="I6" s="139">
        <v>15.68</v>
      </c>
      <c r="J6" s="139">
        <v>62.13</v>
      </c>
      <c r="K6" s="139">
        <v>253.51759999999999</v>
      </c>
      <c r="L6" s="139">
        <v>253.51759999999999</v>
      </c>
      <c r="M6" s="139">
        <v>0</v>
      </c>
      <c r="N6" s="139">
        <v>-120.77760000000004</v>
      </c>
      <c r="O6" s="141">
        <v>-3.8112572854902396E-2</v>
      </c>
      <c r="Q6"/>
    </row>
    <row r="7" spans="1:18" s="31" customFormat="1" x14ac:dyDescent="0.3">
      <c r="A7" s="9" t="s">
        <v>628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305225</v>
      </c>
      <c r="B8" s="139">
        <v>115.9</v>
      </c>
      <c r="C8" s="140">
        <v>78.08</v>
      </c>
      <c r="D8" s="139">
        <v>15.3</v>
      </c>
      <c r="E8" s="139">
        <v>0</v>
      </c>
      <c r="F8" s="139">
        <v>0</v>
      </c>
      <c r="G8" s="141">
        <v>0.13201035375323555</v>
      </c>
      <c r="H8" s="139">
        <v>13.91</v>
      </c>
      <c r="I8" s="139">
        <v>0.5</v>
      </c>
      <c r="J8" s="139">
        <v>0</v>
      </c>
      <c r="K8" s="139">
        <v>9.2720000000000002</v>
      </c>
      <c r="L8" s="139">
        <v>9.2720000000000002</v>
      </c>
      <c r="M8" s="139">
        <v>0</v>
      </c>
      <c r="N8" s="139">
        <v>76.918000000000006</v>
      </c>
      <c r="O8" s="141">
        <v>0.66365832614322695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4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635</v>
      </c>
    </row>
    <row r="2" spans="1:4" x14ac:dyDescent="0.3">
      <c r="B2" s="29">
        <f>SUM(B6:B5000)</f>
        <v>115.9</v>
      </c>
      <c r="C2" s="29">
        <f>SUM(C6:C5000)</f>
        <v>76.918000000000006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3168.97</v>
      </c>
      <c r="C5" s="10">
        <v>-120.77760000000004</v>
      </c>
    </row>
    <row r="6" spans="1:4" x14ac:dyDescent="0.3">
      <c r="A6" s="9" t="s">
        <v>628</v>
      </c>
      <c r="B6" s="139">
        <v>115.9</v>
      </c>
      <c r="C6" s="139">
        <v>76.918000000000006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634</v>
      </c>
      <c r="D395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2026-10-16T16:20:48Z</dcterms:modified>
  <cp:category/>
  <cp:contentStatus/>
</cp:coreProperties>
</file>