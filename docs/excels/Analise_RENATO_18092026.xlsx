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F14FA80-7EB4-438A-B3E9-D42D8B9ED64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<sst xmlns="http://schemas.openxmlformats.org/spreadsheetml/2006/main" count="1366" uniqueCount="683">
  <si>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</si>
  <si>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</si>
  <si>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</si>
  <si>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</si>
  <si>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</si>
  <si>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</si>
  <si>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</si>
  <si>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</si>
  <si>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</si>
  <si>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</si>
  <si>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</si>
  <si>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</si>
  <si>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</si>
  <si>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</si>
  <si>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</si>
  <si>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</si>
  <si>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</si>
  <si>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</si>
  <si>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</si>
  <si>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</si>
  <si>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</si>
  <si>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</si>
  <si>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</si>
  <si>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</si>
  <si>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</si>
  <si>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</si>
  <si>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</si>
  <si>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</si>
  <si>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</si>
  <si>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</si>
  <si>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</si>
  <si>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</si>
  <si>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</si>
  <si>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</si>
  <si>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</si>
  <si>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</si>
  <si>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</si>
  <si>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</si>
  <si>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</si>
  <si>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</si>
  <si>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</si>
  <si>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</si>
  <si>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</si>
  <si>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</si>
  <si>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</si>
  <si>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</si>
  <si>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</si>
  <si>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</si>
  <si>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</si>
  <si>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</si>
  <si>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</si>
  <si>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</si>
  <si>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</si>
  <si>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</si>
  <si>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</si>
  <si>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</si>
  <si>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</si>
  <si>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</si>
  <si>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</si>
  <si>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</si>
  <si>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</si>
  <si>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</si>
  <si>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</si>
  <si>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</si>
  <si>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</si>
  <si>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</si>
  <si>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</si>
  <si>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</si>
  <si>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</si>
  <si>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</si>
  <si>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</si>
  <si>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</si>
  <si>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</si>
  <si>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</si>
  <si>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</si>
  <si>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</si>
  <si>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</si>
  <si>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</si>
  <si>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</si>
  <si>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</si>
  <si>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</si>
  <si>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</si>
  <si>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</si>
  <si>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</si>
  <si>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</si>
  <si>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</si>
  <si>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</si>
  <si>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</si>
  <si>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</si>
  <si>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</si>
  <si>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</si>
  <si>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</si>
  <si>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</si>
  <si>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</si>
  <si>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</si>
  <si>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</si>
  <si>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</si>
  <si>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</si>
  <si>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</si>
  <si>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</si>
  <si>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</si>
  <si>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</si>
  <si>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</si>
  <si>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</si>
  <si>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</si>
  <si>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</si>
  <si>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</si>
  <si>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</si>
  <si>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</si>
  <si>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</si>
  <si>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</si>
  <si>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</si>
  <si>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</si>
  <si>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</si>
  <si>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</si>
  <si>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</si>
  <si>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</si>
  <si>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</si>
  <si>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</si>
  <si>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</si>
  <si>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</si>
  <si>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</si>
  <si>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</si>
  <si>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</si>
  <si>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</si>
  <si>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</si>
  <si>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</si>
  <si>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</si>
  <si>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</si>
  <si>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</si>
  <si>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</si>
  <si>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</si>
  <si>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</si>
  <si>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</si>
  <si>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</si>
  <si>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</si>
  <si>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</si>
  <si>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</si>
  <si>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</si>
  <si>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</si>
  <si>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</si>
  <si>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</si>
  <si>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</si>
  <si>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</si>
  <si>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</si>
  <si>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</si>
  <si>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</si>
  <si>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</si>
  <si>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</si>
  <si>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</si>
  <si>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</si>
  <si>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</si>
  <si>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</si>
  <si>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</si>
  <si>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</si>
  <si>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</si>
  <si>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</si>
  <si>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</si>
  <si>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</si>
  <si>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</si>
  <si>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</si>
  <si>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</si>
  <si>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</si>
  <si>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</si>
  <si>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</si>
  <si>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</si>
  <si>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</si>
  <si>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</si>
  <si>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</si>
  <si>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</si>
  <si>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</si>
  <si>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</si>
  <si>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</si>
  <si>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</si>
  <si>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</si>
  <si>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</si>
  <si>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</si>
  <si>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</si>
  <si>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</si>
  <si>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</si>
  <si>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</si>
  <si>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</si>
  <si>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</si>
  <si>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</si>
  <si>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</si>
  <si>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</si>
  <si>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</si>
  <si>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</si>
  <si>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</si>
  <si>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</si>
  <si>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</si>
  <si>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</si>
  <si>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</si>
  <si>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</si>
  <si>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</si>
  <si>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</si>
  <si>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</si>
  <si>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</si>
  <si>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</si>
  <si>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</si>
  <si>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</si>
  <si>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</si>
  <si>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</si>
  <si>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</si>
  <si>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</si>
  <si>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</si>
  <si>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</si>
  <si>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</si>
  <si>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</si>
  <si>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</si>
  <si>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</si>
  <si>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</si>
  <si>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</si>
  <si>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</si>
  <si>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</si>
  <si>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</si>
  <si>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</si>
  <si>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</si>
  <si>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</si>
  <si>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</si>
  <si>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</si>
  <si>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</si>
  <si>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</si>
  <si>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</si>
  <si>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</si>
  <si>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</si>
  <si>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</si>
  <si>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</si>
  <si>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</si>
  <si>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</si>
  <si>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</si>
  <si>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</si>
  <si>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</si>
  <si>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</si>
  <si>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</si>
  <si>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</si>
  <si>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</si>
  <si>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</si>
  <si>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</si>
  <si>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</si>
  <si>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</si>
  <si>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</si>
  <si>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</si>
  <si>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</si>
  <si>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</si>
  <si>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</si>
  <si>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</si>
  <si>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</si>
  <si>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</si>
  <si>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</si>
  <si>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</si>
  <si>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</si>
  <si>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</si>
  <si>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</si>
  <si>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</si>
  <si>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</si>
  <si>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</si>
  <si>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</si>
  <si>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</si>
  <si>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</si>
  <si>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</si>
  <si>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</si>
  <si>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</si>
  <si>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</si>
  <si>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</si>
  <si>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</si>
  <si>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</si>
  <si>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</si>
  <si>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</si>
  <si>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</si>
  <si>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</si>
  <si>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</si>
  <si>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</si>
  <si>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</si>
  <si>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</si>
  <si>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</si>
  <si>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</si>
  <si>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</si>
  <si>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</si>
  <si>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</si>
  <si>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</si>
  <si>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</si>
  <si>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</si>
  <si>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</si>
  <si>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</si>
  <si>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</si>
  <si>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</si>
  <si>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</si>
  <si>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</si>
  <si>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</si>
  <si>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</si>
  <si>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</si>
  <si>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</si>
  <si>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</si>
  <si>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</si>
  <si>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</si>
  <si>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</si>
  <si>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</si>
  <si>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</si>
  <si>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</si>
  <si>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</si>
  <si>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</si>
  <si>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</si>
  <si>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</si>
  <si>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</si>
  <si>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</si>
  <si>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</si>
  <si>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</si>
  <si>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</si>
  <si>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</si>
  <si>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</si>
  <si>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</si>
  <si>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</si>
  <si>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</si>
  <si>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</si>
  <si>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</si>
  <si>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</si>
  <si>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</si>
  <si>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</si>
  <si>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</si>
  <si>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</si>
  <si>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</si>
  <si>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</si>
  <si>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</si>
  <si>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</si>
  <si>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</si>
  <si>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</si>
  <si>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</si>
  <si>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</si>
  <si>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</si>
  <si>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</si>
  <si>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</si>
  <si>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</si>
  <si>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</si>
  <si>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</si>
  <si>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</si>
  <si>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</si>
  <si>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</si>
  <si>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</si>
  <si>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</si>
  <si>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</si>
  <si>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</si>
  <si>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</si>
  <si>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</si>
  <si>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</si>
  <si>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</si>
  <si>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</si>
  <si>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</si>
  <si>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</si>
  <si>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</si>
  <si>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</si>
  <si>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</si>
  <si>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</si>
  <si>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</si>
  <si>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</si>
  <si>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</si>
  <si>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</si>
  <si>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</si>
  <si>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</si>
  <si>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</si>
  <si>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</si>
  <si>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</si>
  <si>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</si>
  <si>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</si>
  <si>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</si>
  <si>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</si>
  <si>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</si>
  <si>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</si>
  <si>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</si>
  <si>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</si>
  <si>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</si>
  <si>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</si>
  <si>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</si>
  <si>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</si>
  <si>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</si>
  <si>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</si>
  <si>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</si>
  <si>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</si>
  <si>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</si>
  <si>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</si>
  <si>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</si>
  <si>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</si>
  <si>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</si>
  <si>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</si>
  <si>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</si>
  <si>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</si>
  <si>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</si>
  <si>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</si>
  <si>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</si>
  <si>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</si>
  <si>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</si>
  <si>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</si>
  <si>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</si>
  <si>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</si>
  <si>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</si>
  <si>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</si>
  <si>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</si>
  <si>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</si>
  <si>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</si>
  <si>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</si>
  <si>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</si>
  <si>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</si>
  <si>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</si>
  <si>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</si>
  <si>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</si>
  <si>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</si>
  <si>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</si>
  <si>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</si>
  <si>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</si>
  <si>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</si>
  <si>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</si>
  <si>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</si>
  <si>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</si>
  <si>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</si>
  <si>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</si>
  <si>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</si>
  <si>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</si>
  <si>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</si>
  <si>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</si>
  <si>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</si>
  <si>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</si>
  <si>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</si>
  <si>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</si>
  <si>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</si>
  <si>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</si>
  <si>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</si>
  <si>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</si>
  <si>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</si>
  <si>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</si>
  <si>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</si>
  <si>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</si>
  <si>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</si>
  <si>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</si>
  <si>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</si>
  <si>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</si>
  <si>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</si>
  <si>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</si>
  <si>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</si>
  <si>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</si>
  <si>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</si>
  <si>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</si>
  <si>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</si>
  <si>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</si>
  <si>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</si>
  <si>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</si>
  <si>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</si>
  <si>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</si>
  <si>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</si>
  <si>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</si>
  <si>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</si>
  <si>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</si>
  <si>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</si>
  <si>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</si>
  <si>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</si>
  <si>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</si>
  <si>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</si>
  <si>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</si>
  <si>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</si>
  <si>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</si>
  <si>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</si>
  <si>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</si>
  <si>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</si>
  <si>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</si>
  <si>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</si>
  <si>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</si>
  <si>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</si>
  <si>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</si>
  <si>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</si>
  <si>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</si>
  <si>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</si>
  <si>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</si>
  <si>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</si>
  <si>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</si>
  <si>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</si>
  <si>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</si>
  <si>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</si>
  <si>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</si>
  <si>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</si>
  <si>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</si>
  <si>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</si>
  <si>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</si>
  <si>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</si>
  <si>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</si>
  <si>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</si>
  <si>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</si>
  <si>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</si>
  <si>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</si>
  <si>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</si>
  <si>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</si>
  <si>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</si>
  <si>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</si>
  <si>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</si>
  <si>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</si>
  <si>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</si>
  <si>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</si>
  <si>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</si>
  <si>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</si>
  <si>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</si>
  <si>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</si>
  <si>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</si>
  <si>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</si>
  <si>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</si>
  <si>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</si>
  <si>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</si>
  <si>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</si>
  <si>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</si>
  <si>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</si>
  <si>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</si>
  <si>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</si>
  <si>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</si>
  <si>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</si>
  <si>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</si>
  <si>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</si>
  <si>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</si>
  <si>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</si>
  <si>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</si>
  <si>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</si>
  <si>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</si>
  <si>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</si>
  <si>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</si>
  <si>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</si>
  <si>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</si>
  <si>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</si>
  <si>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</si>
  <si>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</si>
  <si>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</si>
  <si>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</si>
  <si>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</si>
  <si>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</si>
  <si>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</si>
  <si>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</si>
  <si>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</si>
  <si>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</si>
  <si>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</si>
  <si>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</si>
  <si>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</si>
  <si>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</si>
  <si>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</si>
  <si>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</si>
  <si>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</si>
  <si>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</si>
  <si>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</si>
  <si>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</si>
  <si>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</si>
  <si>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</si>
  <si>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</si>
  <si>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</si>
  <si>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</si>
  <si>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</si>
  <si>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</si>
  <si>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</si>
  <si>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</si>
  <si>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</si>
  <si>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</si>
  <si>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</si>
  <si>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</si>
  <si>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</si>
  <si>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</si>
  <si>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</si>
  <si>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</si>
  <si>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</si>
  <si>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</si>
  <si>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</si>
  <si>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</si>
  <si>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</si>
  <si>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</si>
  <si>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</si>
  <si>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</si>
  <si>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</si>
  <si>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</si>
  <si>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</si>
  <si>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</si>
  <si>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</si>
  <si>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</si>
  <si>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</si>
  <si>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</si>
  <si>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</si>
  <si>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</si>
  <si>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</si>
  <si>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202819-1</t>
  </si>
  <si>
    <t>SAMSONITE BRASI</t>
  </si>
  <si>
    <t>EXPRESSO_200</t>
  </si>
  <si>
    <t>CAJAMAR - SP</t>
  </si>
  <si>
    <t>SILVIO DA COSTA SOLANO</t>
  </si>
  <si>
    <t>G.S CITRUS COMERCIO ATACA</t>
  </si>
  <si>
    <t>203374-1</t>
  </si>
  <si>
    <t>LAHUMAN DISTRIB</t>
  </si>
  <si>
    <t>LUCAS DA SILVA MENDES/URI</t>
  </si>
  <si>
    <t>ECONOMICO_250</t>
  </si>
  <si>
    <t>SAO PAULO - SP</t>
  </si>
  <si>
    <t>HELTON JOHN DA SILVA</t>
  </si>
  <si>
    <t>DENIS MACEDO DE SOUZA</t>
  </si>
  <si>
    <t>203372-1</t>
  </si>
  <si>
    <t>SUMARE - SP</t>
  </si>
  <si>
    <t>PORTOEX SP</t>
  </si>
  <si>
    <t>WINEOCLOCK COME</t>
  </si>
  <si>
    <t>5% RETIRA BASE</t>
  </si>
  <si>
    <t>203443-1</t>
  </si>
  <si>
    <t>BATIKI COM IMPO</t>
  </si>
  <si>
    <t>TIAGO SANTANA</t>
  </si>
  <si>
    <t>GUARULHOS - SP</t>
  </si>
  <si>
    <t>ANTONIO CARLOS DA SILVA</t>
  </si>
  <si>
    <t>EDSON SANTOS DA SILVA</t>
  </si>
  <si>
    <t>203448-1</t>
  </si>
  <si>
    <t>JOSE EMILTON DA COSTA - O</t>
  </si>
  <si>
    <t>203444-1</t>
  </si>
  <si>
    <t>WINWIN TEXTILCO</t>
  </si>
  <si>
    <t>MURILO PEREIRA</t>
  </si>
  <si>
    <t>PERSONALIZADO_L</t>
  </si>
  <si>
    <t>203445-1</t>
  </si>
  <si>
    <t>203469-1</t>
  </si>
  <si>
    <t>MRCEGLIA IMPORT</t>
  </si>
  <si>
    <t>MAURO MARQUES</t>
  </si>
  <si>
    <t>VOLTA REDONDA - RJ</t>
  </si>
  <si>
    <t>CAMILO DOS SANTOS/COLETA</t>
  </si>
  <si>
    <t>203472-1</t>
  </si>
  <si>
    <t>SEGER COMERCIAL</t>
  </si>
  <si>
    <t>CAMPINAS - SP</t>
  </si>
  <si>
    <t>203473-1</t>
  </si>
  <si>
    <t>203486-1</t>
  </si>
  <si>
    <t>FORTE TRANSPORT</t>
  </si>
  <si>
    <t>SUBCONTRATO_EXP</t>
  </si>
  <si>
    <t>RAFAEL DE FREITAS</t>
  </si>
  <si>
    <t>ALMIR ANTONIO DOS SANTOS</t>
  </si>
  <si>
    <t>203487-1</t>
  </si>
  <si>
    <t>203485-1</t>
  </si>
  <si>
    <t>RIBEIRAO PRETO - SP</t>
  </si>
  <si>
    <t>GATTO LOG</t>
  </si>
  <si>
    <t>DFL TRANSPORTES EIRELI</t>
  </si>
  <si>
    <t>203483-1</t>
  </si>
  <si>
    <t>203484-1</t>
  </si>
  <si>
    <t>203482-1</t>
  </si>
  <si>
    <t>203497-1</t>
  </si>
  <si>
    <t>37439-1</t>
  </si>
  <si>
    <t>ANDREIA CANDIDA</t>
  </si>
  <si>
    <t>MARCELO HOPPE</t>
  </si>
  <si>
    <t>BRUNO RODRIGUES DA COSTA</t>
  </si>
  <si>
    <t>37441-1</t>
  </si>
  <si>
    <t>BEM CLINICA BE</t>
  </si>
  <si>
    <t>MATUZALEM DOS SANTOS</t>
  </si>
  <si>
    <t>3122-1</t>
  </si>
  <si>
    <t>BRAFT DO BRASIL</t>
  </si>
  <si>
    <t>CARLOS ALBERTO DE ANDRADE</t>
  </si>
  <si>
    <t>PERSONALIZADO</t>
  </si>
  <si>
    <t>LEONARDO LAERCIO VIEIRA</t>
  </si>
  <si>
    <t>3120-1</t>
  </si>
  <si>
    <t>3121-1</t>
  </si>
  <si>
    <t>3123-1</t>
  </si>
  <si>
    <t>3124-1</t>
  </si>
  <si>
    <t>3125-1</t>
  </si>
  <si>
    <t>3126-1</t>
  </si>
  <si>
    <t>3127-1</t>
  </si>
  <si>
    <t>3128-1</t>
  </si>
  <si>
    <t>AC COMERCIAL IM</t>
  </si>
  <si>
    <t>PORTOEXPRESS LOGISTICA LT</t>
  </si>
  <si>
    <t>MARCO ANTONIO RIBEIRO DA</t>
  </si>
  <si>
    <t>3129-1</t>
  </si>
  <si>
    <t>3555-1</t>
  </si>
  <si>
    <t>IND.E COM.LEAL</t>
  </si>
  <si>
    <t>URIEL CORREA</t>
  </si>
  <si>
    <t>LEAL SC X SP</t>
  </si>
  <si>
    <t>DARLILSON DOS SANTOS OLIV</t>
  </si>
  <si>
    <t>3554-1</t>
  </si>
  <si>
    <t>3553-1</t>
  </si>
  <si>
    <t>3552-1</t>
  </si>
  <si>
    <t>3551-1</t>
  </si>
  <si>
    <t>3550-1</t>
  </si>
  <si>
    <t>3549-1</t>
  </si>
  <si>
    <t>3548-1</t>
  </si>
  <si>
    <t>3547-1</t>
  </si>
  <si>
    <t>3546-1</t>
  </si>
  <si>
    <t>3545-1</t>
  </si>
  <si>
    <t>3544-1</t>
  </si>
  <si>
    <t>3543-1</t>
  </si>
  <si>
    <t>3542-1</t>
  </si>
  <si>
    <t>3541-1</t>
  </si>
  <si>
    <t>3540-1</t>
  </si>
  <si>
    <t>3539-1</t>
  </si>
  <si>
    <t>3538-1</t>
  </si>
  <si>
    <t>3537-1</t>
  </si>
  <si>
    <t>3536-1</t>
  </si>
  <si>
    <t>3535-1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</si>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</sst>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AC COMERCIAL IM</c:v>
                </c:pt>
                <c:pt idx="1">
                  <c:v>ANDREIA CANDIDA</c:v>
                </c:pt>
                <c:pt idx="2">
                  <c:v>BATIKI COM IMPO</c:v>
                </c:pt>
                <c:pt idx="3">
                  <c:v>BEM CLINICA BE</c:v>
                </c:pt>
                <c:pt idx="4">
                  <c:v>BRAFT DO BRASIL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MRCEGLIA IMPORT</c:v>
                </c:pt>
                <c:pt idx="9">
                  <c:v>SAMSONITE BRASI</c:v>
                </c:pt>
                <c:pt idx="10">
                  <c:v>SEGER COMERCIAL</c:v>
                </c:pt>
                <c:pt idx="11">
                  <c:v>WINEOCLOCK COME</c:v>
                </c:pt>
                <c:pt idx="12">
                  <c:v>WINWIN TEXTILCO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2379.56</c:v>
                </c:pt>
                <c:pt idx="1">
                  <c:v>88.1</c:v>
                </c:pt>
                <c:pt idx="2">
                  <c:v>855.35</c:v>
                </c:pt>
                <c:pt idx="3">
                  <c:v>139</c:v>
                </c:pt>
                <c:pt idx="4">
                  <c:v>1846.2200000000005</c:v>
                </c:pt>
                <c:pt idx="5">
                  <c:v>7196.18</c:v>
                </c:pt>
                <c:pt idx="6">
                  <c:v>2081.2300000000005</c:v>
                </c:pt>
                <c:pt idx="7">
                  <c:v>462.54</c:v>
                </c:pt>
                <c:pt idx="8">
                  <c:v>1785</c:v>
                </c:pt>
                <c:pt idx="9">
                  <c:v>9543.68</c:v>
                </c:pt>
                <c:pt idx="10">
                  <c:v>330.27</c:v>
                </c:pt>
                <c:pt idx="11">
                  <c:v>857</c:v>
                </c:pt>
                <c:pt idx="12">
                  <c:v>11916.11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AC COMERCIAL IM</c:v>
                </c:pt>
                <c:pt idx="1">
                  <c:v>ANDREIA CANDIDA</c:v>
                </c:pt>
                <c:pt idx="2">
                  <c:v>BATIKI COM IMPO</c:v>
                </c:pt>
                <c:pt idx="3">
                  <c:v>BEM CLINICA BE</c:v>
                </c:pt>
                <c:pt idx="4">
                  <c:v>BRAFT DO BRASIL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MRCEGLIA IMPORT</c:v>
                </c:pt>
                <c:pt idx="9">
                  <c:v>SAMSONITE BRASI</c:v>
                </c:pt>
                <c:pt idx="10">
                  <c:v>SEGER COMERCIAL</c:v>
                </c:pt>
                <c:pt idx="11">
                  <c:v>WINEOCLOCK COME</c:v>
                </c:pt>
                <c:pt idx="12">
                  <c:v>WINWIN TEXTILCO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391.94999999999987</c:v>
                </c:pt>
                <c:pt idx="1">
                  <c:v>8.0000000000000071E-2</c:v>
                </c:pt>
                <c:pt idx="2">
                  <c:v>167.79000000000013</c:v>
                </c:pt>
                <c:pt idx="3">
                  <c:v>-683.6099999999999</c:v>
                </c:pt>
                <c:pt idx="4">
                  <c:v>406.21000000000038</c:v>
                </c:pt>
                <c:pt idx="5">
                  <c:v>2238.170000000001</c:v>
                </c:pt>
                <c:pt idx="6">
                  <c:v>1389.3000000000004</c:v>
                </c:pt>
                <c:pt idx="7">
                  <c:v>72.860000000000042</c:v>
                </c:pt>
                <c:pt idx="8">
                  <c:v>1014.83</c:v>
                </c:pt>
                <c:pt idx="9">
                  <c:v>3534.0499999999997</c:v>
                </c:pt>
                <c:pt idx="10">
                  <c:v>87.059999999999974</c:v>
                </c:pt>
                <c:pt idx="11">
                  <c:v>192.49</c:v>
                </c:pt>
                <c:pt idx="12">
                  <c:v>3084.61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AC COMERCIAL IM</c:v>
                </c:pt>
                <c:pt idx="1">
                  <c:v>ANDREIA CANDIDA</c:v>
                </c:pt>
                <c:pt idx="2">
                  <c:v>BATIKI COM IMPO</c:v>
                </c:pt>
                <c:pt idx="3">
                  <c:v>BEM CLINICA BE</c:v>
                </c:pt>
                <c:pt idx="4">
                  <c:v>BRAFT DO BRASIL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MRCEGLIA IMPORT</c:v>
                </c:pt>
                <c:pt idx="9">
                  <c:v>SAMSONITE BRASI</c:v>
                </c:pt>
                <c:pt idx="10">
                  <c:v>SEGER COMERCIAL</c:v>
                </c:pt>
                <c:pt idx="11">
                  <c:v>WINEOCLOCK COME</c:v>
                </c:pt>
                <c:pt idx="12">
                  <c:v>WINWIN TEXTILCO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2379.56</c:v>
                </c:pt>
                <c:pt idx="1">
                  <c:v>88.1</c:v>
                </c:pt>
                <c:pt idx="2">
                  <c:v>855.35</c:v>
                </c:pt>
                <c:pt idx="3">
                  <c:v>139</c:v>
                </c:pt>
                <c:pt idx="4">
                  <c:v>1846.2200000000005</c:v>
                </c:pt>
                <c:pt idx="5">
                  <c:v>7196.18</c:v>
                </c:pt>
                <c:pt idx="6">
                  <c:v>2081.2300000000005</c:v>
                </c:pt>
                <c:pt idx="7">
                  <c:v>462.54</c:v>
                </c:pt>
                <c:pt idx="8">
                  <c:v>1785</c:v>
                </c:pt>
                <c:pt idx="9">
                  <c:v>9543.68</c:v>
                </c:pt>
                <c:pt idx="10">
                  <c:v>330.27</c:v>
                </c:pt>
                <c:pt idx="11">
                  <c:v>857</c:v>
                </c:pt>
                <c:pt idx="12">
                  <c:v>11916.11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AC COMERCIAL IM</c:v>
                </c:pt>
                <c:pt idx="1">
                  <c:v>ANDREIA CANDIDA</c:v>
                </c:pt>
                <c:pt idx="2">
                  <c:v>BATIKI COM IMPO</c:v>
                </c:pt>
                <c:pt idx="3">
                  <c:v>BEM CLINICA BE</c:v>
                </c:pt>
                <c:pt idx="4">
                  <c:v>BRAFT DO BRASIL</c:v>
                </c:pt>
                <c:pt idx="5">
                  <c:v>FORTE TRANSPORT</c:v>
                </c:pt>
                <c:pt idx="6">
                  <c:v>IND.E COM.LEAL</c:v>
                </c:pt>
                <c:pt idx="7">
                  <c:v>LAHUMAN DISTRIB</c:v>
                </c:pt>
                <c:pt idx="8">
                  <c:v>MRCEGLIA IMPORT</c:v>
                </c:pt>
                <c:pt idx="9">
                  <c:v>SAMSONITE BRASI</c:v>
                </c:pt>
                <c:pt idx="10">
                  <c:v>SEGER COMERCIAL</c:v>
                </c:pt>
                <c:pt idx="11">
                  <c:v>WINEOCLOCK COME</c:v>
                </c:pt>
                <c:pt idx="12">
                  <c:v>WINWIN TEXTILCO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391.94999999999987</c:v>
                </c:pt>
                <c:pt idx="1">
                  <c:v>8.0000000000000071E-2</c:v>
                </c:pt>
                <c:pt idx="2">
                  <c:v>167.79000000000013</c:v>
                </c:pt>
                <c:pt idx="3">
                  <c:v>-683.6099999999999</c:v>
                </c:pt>
                <c:pt idx="4">
                  <c:v>406.21000000000038</c:v>
                </c:pt>
                <c:pt idx="5">
                  <c:v>2238.170000000001</c:v>
                </c:pt>
                <c:pt idx="6">
                  <c:v>1389.3000000000004</c:v>
                </c:pt>
                <c:pt idx="7">
                  <c:v>72.860000000000042</c:v>
                </c:pt>
                <c:pt idx="8">
                  <c:v>1014.83</c:v>
                </c:pt>
                <c:pt idx="9">
                  <c:v>3534.0499999999997</c:v>
                </c:pt>
                <c:pt idx="10">
                  <c:v>87.059999999999974</c:v>
                </c:pt>
                <c:pt idx="11">
                  <c:v>192.49</c:v>
                </c:pt>
                <c:pt idx="12">
                  <c:v>3084.61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1894513888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833" count="8000">
        <n v="299948"/>
        <n v="301486"/>
        <n v="301487"/>
        <n v="301551"/>
        <n v="301716"/>
        <n v="301718"/>
        <n v="301720"/>
        <n v="301721"/>
        <n v="301763"/>
        <n v="301769"/>
        <n v="301770"/>
        <n v="301815"/>
        <n v="301816"/>
        <n v="301817"/>
        <n v="301818"/>
        <n v="301819"/>
        <n v="301820"/>
        <n v="301822"/>
        <n v="301828"/>
        <n v="301833"/>
        <n v="3222"/>
        <n v="3223"/>
        <n v="3224"/>
        <n v="3225"/>
        <n v="3226"/>
        <n v="3227"/>
        <n v="3228"/>
        <n v="3229"/>
        <n v="3237"/>
        <n v="3238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8T00:00:00" maxDate="2026-09-19T00:00:00"/>
    </cacheField>
    <cacheField name="DATA" numFmtId="14">
      <sharedItems containsNonDate="0" containsDate="1" containsString="0" containsBlank="1" minDate="2026-09-08T00:00:00" maxDate="2026-09-19T00:00:00"/>
    </cacheField>
    <cacheField name="FAT" numFmtId="0">
      <sharedItems containsString="0" containsBlank="1" containsNumber="1" containsInteger="1" minValue="65740" maxValue="65741"/>
    </cacheField>
    <cacheField name="CT-E" numFmtId="0">
      <sharedItems containsBlank="1"/>
    </cacheField>
    <cacheField name="CLIENTE TOMADOR" numFmtId="0">
      <sharedItems containsBlank="1" count="863">
        <s v="SAMSONITE BRASI"/>
        <s v="LAHUMAN DISTRIB"/>
        <s v="WINEOCLOCK COME"/>
        <s v="BATIKI COM IMPO"/>
        <s v="WINWIN TEXTILCO"/>
        <s v="MRCEGLIA IMPORT"/>
        <s v="SEGER COMERCIAL"/>
        <s v="FORTE TRANSPORT"/>
        <s v="ANDREIA CANDIDA"/>
        <s v="BEM CLINICA BE"/>
        <s v="BRAFT DO BRASIL"/>
        <s v="AC COMERCIAL I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86.25" maxValue="339044.83"/>
    </cacheField>
    <cacheField name="SERVICO" numFmtId="0">
      <sharedItems containsBlank="1" count="27">
        <s v="EXPRESSO_200"/>
        <s v="ECONOMICO_250"/>
        <s v="PERSONALIZADO_L"/>
        <s v="SUBCONTRATO_EXP"/>
        <s v="PERSONALIZADO"/>
        <s v="EXPRESSO_250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.03" maxValue="10900"/>
    </cacheField>
    <cacheField name="VOLUMES" numFmtId="0">
      <sharedItems containsString="0" containsBlank="1" containsNumber="1" containsInteger="1" minValue="1" maxValue="571"/>
    </cacheField>
    <cacheField name="PESO" numFmtId="0">
      <sharedItems containsString="0" containsBlank="1" containsNumber="1" minValue="0.48" maxValue="8435.6"/>
    </cacheField>
    <cacheField name="RESP. COLETA" numFmtId="0">
      <sharedItems containsBlank="1"/>
    </cacheField>
    <cacheField name="CUSTO COLETA" numFmtId="0">
      <sharedItems containsString="0" containsBlank="1" containsNumber="1" minValue="0" maxValue="7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877.6"/>
    </cacheField>
    <cacheField name="RESP. TRANSF" numFmtId="0">
      <sharedItems containsBlank="1"/>
    </cacheField>
    <cacheField name="CUSTO TRANSF" numFmtId="0">
      <sharedItems containsString="0" containsBlank="1" containsNumber="1" minValue="0.2" maxValue="1829.53"/>
    </cacheField>
    <cacheField name="ICMS/ISS" numFmtId="0">
      <sharedItems containsString="0" containsBlank="1" containsNumber="1" minValue="0" maxValue="130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69.52"/>
    </cacheField>
    <cacheField name="OUTROS" numFmtId="0">
      <sharedItems containsString="0" containsBlank="1" containsNumber="1" minValue="0" maxValue="383.98"/>
    </cacheField>
    <cacheField name="C.TOTAL" numFmtId="0">
      <sharedItems containsString="0" containsBlank="1" containsNumber="1" minValue="0.64" maxValue="5257.67"/>
    </cacheField>
    <cacheField name="RECEITA" numFmtId="0">
      <sharedItems containsString="0" containsBlank="1" containsNumber="1" minValue="-647.47" maxValue="6015.41"/>
    </cacheField>
    <cacheField name="IMPOSTO" numFmtId="0">
      <sharedItems containsString="0" containsBlank="1" containsNumber="1" minValue="1.83" maxValue="2834"/>
    </cacheField>
    <cacheField name="RESULTADO" numFmtId="0">
      <sharedItems containsString="0" containsBlank="1" containsNumber="1" minValue="-683.61" maxValue="3534.05"/>
    </cacheField>
    <cacheField name="COMIS" numFmtId="0">
      <sharedItems containsString="0" containsBlank="1" containsNumber="1" minValue="0" maxValue="15.42"/>
    </cacheField>
    <cacheField name="LUCRO LIQ" numFmtId="0">
      <sharedItems containsString="0" containsBlank="1" containsNumber="1" minValue="-683.61" maxValue="3534.05"/>
    </cacheField>
    <cacheField name="MARGEM" numFmtId="10">
      <sharedItems containsString="0" containsBlank="1" containsNumber="1" minValue="-4.9180999999999999" maxValue="0.6903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8T00:00:00"/>
    <d v="2026-09-08T00:00:00"/>
    <m/>
    <s v="202819-1"/>
    <x v="0"/>
    <s v="MARLON MARQUES"/>
    <n v="339044.83"/>
    <x v="0"/>
    <s v="CTE NORMAL"/>
    <s v="CAJAMAR - SP"/>
    <n v="9543.68"/>
    <n v="169"/>
    <n v="8435.6"/>
    <s v="SILVIO DA COSTA SOLANO"/>
    <n v="0"/>
    <s v="N/D"/>
    <n v="0"/>
    <s v="G.S CITRUS COMERCIO ATACA"/>
    <n v="1829.53"/>
    <n v="1145.24"/>
    <n v="0"/>
    <n v="0"/>
    <n v="169.52"/>
    <n v="383.98"/>
    <n v="3528.27"/>
    <n v="6015.41"/>
    <n v="2481.36"/>
    <n v="3534.05"/>
    <n v="0"/>
    <n v="3534.05"/>
    <n v="0.37030000000000002"/>
    <m/>
  </r>
  <r>
    <x v="1"/>
    <s v="MATRIZ"/>
    <m/>
    <d v="2026-09-17T00:00:00"/>
    <m/>
    <s v="203374-1"/>
    <x v="1"/>
    <s v="LUCAS DA SILVA MENDES/URI"/>
    <n v="7697.2"/>
    <x v="1"/>
    <s v="CTE NORMAL"/>
    <s v="SAO PAULO - SP"/>
    <n v="348.06"/>
    <n v="4"/>
    <n v="195.77"/>
    <s v="HELTON JOHN DA SILVA"/>
    <n v="6.55"/>
    <s v="DENIS MACEDO DE SOUZA"/>
    <n v="91.89"/>
    <s v="G.S CITRUS COMERCIO ATACA"/>
    <n v="42.46"/>
    <n v="41.77"/>
    <n v="0"/>
    <n v="0"/>
    <n v="3.85"/>
    <n v="0"/>
    <n v="186.52"/>
    <n v="161.54"/>
    <n v="90.5"/>
    <n v="71.040000000000006"/>
    <n v="9.19"/>
    <n v="61.85"/>
    <n v="0.1777"/>
    <m/>
  </r>
  <r>
    <x v="2"/>
    <s v="MATRIZ"/>
    <m/>
    <d v="2026-09-17T00:00:00"/>
    <m/>
    <s v="203372-1"/>
    <x v="1"/>
    <s v="LUCAS DA SILVA MENDES/URI"/>
    <n v="1280"/>
    <x v="1"/>
    <s v="CTE NORMAL"/>
    <s v="SUMARE - SP"/>
    <n v="114.48"/>
    <n v="1"/>
    <n v="25.23"/>
    <s v="HELTON JOHN DA SILVA"/>
    <n v="0.84"/>
    <s v="PORTOEX SP"/>
    <n v="50"/>
    <s v="G.S CITRUS COMERCIO ATACA"/>
    <n v="5.47"/>
    <n v="13.74"/>
    <n v="0"/>
    <n v="0"/>
    <n v="0.64"/>
    <n v="0"/>
    <n v="70.69"/>
    <n v="43.79"/>
    <n v="29.76"/>
    <n v="14.03"/>
    <n v="3.02"/>
    <n v="11.01"/>
    <n v="9.6199999999999994E-2"/>
    <m/>
  </r>
  <r>
    <x v="3"/>
    <s v="MATRIZ"/>
    <d v="2026-09-17T00:00:00"/>
    <d v="2026-09-17T00:00:00"/>
    <m/>
    <m/>
    <x v="2"/>
    <s v="CAIO LUCIANO MATIAS"/>
    <n v="37060.410000000003"/>
    <x v="1"/>
    <s v="CTE NORMAL"/>
    <s v="SAO PAULO - SP"/>
    <n v="857"/>
    <n v="3"/>
    <n v="1714"/>
    <s v="MATRIZ"/>
    <n v="0"/>
    <s v="5% RETIRA BASE"/>
    <n v="42.85"/>
    <s v="G.S CITRUS COMERCIO ATACA"/>
    <n v="371.74"/>
    <n v="0"/>
    <n v="0"/>
    <n v="0"/>
    <n v="18.53"/>
    <n v="0"/>
    <n v="433.12"/>
    <n v="423.88"/>
    <n v="222.82"/>
    <n v="201.06"/>
    <n v="8.57"/>
    <n v="192.49"/>
    <n v="0.22460000000000002"/>
    <m/>
  </r>
  <r>
    <x v="4"/>
    <s v="MATRIZ"/>
    <d v="2026-09-18T00:00:00"/>
    <d v="2026-09-18T00:00:00"/>
    <m/>
    <s v="203443-1"/>
    <x v="3"/>
    <s v="TIAGO SANTANA"/>
    <n v="12983.11"/>
    <x v="1"/>
    <s v="CTE NORMAL"/>
    <s v="GUARULHOS - SP"/>
    <n v="584.24"/>
    <n v="31"/>
    <n v="155"/>
    <s v="ANTONIO CARLOS DA SILVA"/>
    <n v="43.61"/>
    <s v="EDSON SANTOS DA SILVA"/>
    <n v="154.24"/>
    <s v="G.S CITRUS COMERCIO ATACA"/>
    <n v="33.619999999999997"/>
    <n v="70.11"/>
    <n v="0"/>
    <n v="0"/>
    <n v="6.49"/>
    <n v="0"/>
    <n v="308.07"/>
    <n v="276.17"/>
    <n v="151.9"/>
    <n v="124.27"/>
    <n v="15.42"/>
    <n v="108.85"/>
    <n v="0.18629999999999999"/>
    <m/>
  </r>
  <r>
    <x v="5"/>
    <s v="MATRIZ"/>
    <d v="2026-09-18T00:00:00"/>
    <d v="2026-09-18T00:00:00"/>
    <m/>
    <s v="203448-1"/>
    <x v="3"/>
    <s v="TIAGO SANTANA"/>
    <n v="6024.74"/>
    <x v="1"/>
    <s v="CTE NORMAL"/>
    <s v="GUARULHOS - SP"/>
    <n v="271.11"/>
    <n v="11"/>
    <n v="55"/>
    <s v="ANTONIO CARLOS DA SILVA"/>
    <n v="15.48"/>
    <s v="JOSE EMILTON DA COSTA - O"/>
    <n v="71.569999999999993"/>
    <s v="G.S CITRUS COMERCIO ATACA"/>
    <n v="11.93"/>
    <n v="32.53"/>
    <n v="0"/>
    <n v="0"/>
    <n v="3.01"/>
    <n v="0"/>
    <n v="134.52000000000001"/>
    <n v="136.59"/>
    <n v="70.489999999999995"/>
    <n v="66.099999999999994"/>
    <n v="7.16"/>
    <n v="58.94"/>
    <n v="0.21739999999999998"/>
    <m/>
  </r>
  <r>
    <x v="6"/>
    <s v="MATRIZ"/>
    <m/>
    <d v="2026-09-18T00:00:00"/>
    <m/>
    <s v="203444-1"/>
    <x v="4"/>
    <s v="MURILO PEREIRA"/>
    <n v="146658.76999999999"/>
    <x v="2"/>
    <s v="CTE NORMAL"/>
    <s v="SAO PAULO - SP"/>
    <n v="10900"/>
    <n v="571"/>
    <n v="4605"/>
    <s v="N/D"/>
    <n v="0"/>
    <s v="JOSE EMILTON DA COSTA - O"/>
    <n v="2877.6"/>
    <s v="G.S CITRUS COMERCIO ATACA"/>
    <n v="998.74"/>
    <n v="1308"/>
    <n v="0"/>
    <n v="0"/>
    <n v="73.33"/>
    <n v="0"/>
    <n v="5257.67"/>
    <n v="5642.33"/>
    <n v="2834"/>
    <n v="2808.33"/>
    <n v="0"/>
    <n v="2808.33"/>
    <n v="0.2576"/>
    <m/>
  </r>
  <r>
    <x v="7"/>
    <s v="MATRIZ"/>
    <d v="2026-09-17T00:00:00"/>
    <d v="2026-09-18T00:00:00"/>
    <m/>
    <s v="203445-1"/>
    <x v="4"/>
    <s v="MURILO PEREIRA"/>
    <n v="13897.71"/>
    <x v="1"/>
    <s v="CTE NORMAL"/>
    <s v="SAO PAULO - SP"/>
    <n v="1016.11"/>
    <n v="37"/>
    <n v="362"/>
    <s v="N/D"/>
    <n v="0"/>
    <s v="DENIS MACEDO DE SOUZA"/>
    <n v="268.25"/>
    <s v="G.S CITRUS COMERCIO ATACA"/>
    <n v="78.510000000000005"/>
    <n v="121.93"/>
    <n v="0"/>
    <n v="0"/>
    <n v="6.95"/>
    <n v="0"/>
    <n v="475.64"/>
    <n v="540.47"/>
    <n v="264.19"/>
    <n v="276.27999999999997"/>
    <n v="0"/>
    <n v="276.27999999999997"/>
    <n v="0.27190000000000003"/>
    <m/>
  </r>
  <r>
    <x v="8"/>
    <s v="MATRIZ"/>
    <m/>
    <d v="2026-09-18T00:00:00"/>
    <m/>
    <s v="203469-1"/>
    <x v="5"/>
    <s v="MAURO MARQUES"/>
    <n v="51000"/>
    <x v="1"/>
    <s v="CTE NORMAL"/>
    <s v="VOLTA REDONDA - RJ"/>
    <n v="1785"/>
    <n v="17"/>
    <n v="306"/>
    <s v="N/D"/>
    <n v="0"/>
    <s v="CAMILO DOS SANTOS/COLETA"/>
    <n v="0"/>
    <s v="G.S CITRUS COMERCIO ATACA"/>
    <n v="66.37"/>
    <n v="214.2"/>
    <n v="0"/>
    <n v="0"/>
    <n v="25.5"/>
    <n v="0"/>
    <n v="306.07"/>
    <n v="1478.93"/>
    <n v="464.1"/>
    <n v="1014.83"/>
    <n v="0"/>
    <n v="1014.83"/>
    <n v="0.56850000000000001"/>
    <m/>
  </r>
  <r>
    <x v="9"/>
    <s v="MATRIZ"/>
    <m/>
    <d v="2026-09-18T00:00:00"/>
    <m/>
    <s v="203472-1"/>
    <x v="6"/>
    <s v="MAURO MARQUES"/>
    <n v="11600"/>
    <x v="1"/>
    <s v="CTE NORMAL"/>
    <s v="CAMPINAS - SP"/>
    <n v="161.03"/>
    <n v="1"/>
    <n v="7.2"/>
    <s v="N/D"/>
    <n v="0"/>
    <s v="PORTOEX SP"/>
    <n v="56.68"/>
    <s v="G.S CITRUS COMERCIO ATACA"/>
    <n v="1.56"/>
    <n v="19.32"/>
    <n v="0"/>
    <n v="0"/>
    <n v="5.8"/>
    <n v="0"/>
    <n v="83.36"/>
    <n v="77.67"/>
    <n v="41.87"/>
    <n v="35.799999999999997"/>
    <n v="0"/>
    <n v="35.799999999999997"/>
    <n v="0.2223"/>
    <m/>
  </r>
  <r>
    <x v="10"/>
    <s v="MATRIZ"/>
    <m/>
    <d v="2026-09-18T00:00:00"/>
    <m/>
    <s v="203473-1"/>
    <x v="6"/>
    <s v="MAURO MARQUES"/>
    <n v="16031.82"/>
    <x v="1"/>
    <s v="CTE NORMAL"/>
    <s v="SAO PAULO - SP"/>
    <n v="169.24"/>
    <n v="1"/>
    <n v="4.46"/>
    <s v="N/D"/>
    <n v="0"/>
    <s v="EDSON SANTOS DA SILVA"/>
    <n v="44.68"/>
    <s v="G.S CITRUS COMERCIO ATACA"/>
    <n v="0.97"/>
    <n v="20.309999999999999"/>
    <n v="0"/>
    <n v="0"/>
    <n v="8.02"/>
    <n v="0"/>
    <n v="73.98"/>
    <n v="95.26"/>
    <n v="44"/>
    <n v="51.26"/>
    <n v="0"/>
    <n v="51.26"/>
    <n v="0.3029"/>
    <m/>
  </r>
  <r>
    <x v="11"/>
    <s v="MATRIZ"/>
    <d v="2026-09-18T00:00:00"/>
    <d v="2026-09-18T00:00:00"/>
    <m/>
    <s v="203486-1"/>
    <x v="7"/>
    <s v="MURILO PEREIRA"/>
    <n v="127597.34"/>
    <x v="3"/>
    <s v="CTE NORMAL"/>
    <s v="SAO PAULO - SP"/>
    <n v="1331.85"/>
    <n v="11"/>
    <n v="654"/>
    <s v="RAFAEL DE FREITAS"/>
    <n v="25.46"/>
    <s v="ALMIR ANTONIO DOS SANTOS"/>
    <n v="351.61"/>
    <s v="G.S CITRUS COMERCIO ATACA"/>
    <n v="141.84"/>
    <n v="0"/>
    <n v="0"/>
    <n v="0"/>
    <n v="63.8"/>
    <n v="0"/>
    <n v="582.71"/>
    <n v="749.14"/>
    <n v="346.28"/>
    <n v="402.86"/>
    <n v="0"/>
    <n v="402.86"/>
    <n v="0.30249999999999999"/>
    <m/>
  </r>
  <r>
    <x v="12"/>
    <s v="MATRIZ"/>
    <d v="2026-09-18T00:00:00"/>
    <d v="2026-09-18T00:00:00"/>
    <m/>
    <s v="203487-1"/>
    <x v="7"/>
    <s v="MURILO PEREIRA"/>
    <n v="78097.39"/>
    <x v="3"/>
    <s v="CTE NORMAL"/>
    <s v="CAMPINAS - SP"/>
    <n v="912.43"/>
    <n v="5"/>
    <n v="414"/>
    <s v="RAFAEL DE FREITAS"/>
    <n v="16.12"/>
    <s v="PORTOEX SP"/>
    <n v="321.18"/>
    <s v="G.S CITRUS COMERCIO ATACA"/>
    <n v="89.79"/>
    <n v="0"/>
    <n v="0"/>
    <n v="0"/>
    <n v="39.049999999999997"/>
    <n v="0"/>
    <n v="466.14"/>
    <n v="446.29"/>
    <n v="237.23"/>
    <n v="209.06"/>
    <n v="0"/>
    <n v="209.06"/>
    <n v="0.2291"/>
    <m/>
  </r>
  <r>
    <x v="13"/>
    <s v="MATRIZ"/>
    <d v="2026-09-18T00:00:00"/>
    <d v="2026-09-18T00:00:00"/>
    <m/>
    <s v="203485-1"/>
    <x v="7"/>
    <s v="MURILO PEREIRA"/>
    <n v="26454.38"/>
    <x v="3"/>
    <s v="CTE NORMAL"/>
    <s v="RIBEIRAO PRETO - SP"/>
    <n v="543.27"/>
    <n v="3"/>
    <n v="145.85"/>
    <s v="RAFAEL DE FREITAS"/>
    <n v="5.68"/>
    <s v="GATTO LOG"/>
    <n v="90"/>
    <s v="DFL TRANSPORTES EIRELI"/>
    <n v="142.38999999999999"/>
    <n v="0"/>
    <n v="0"/>
    <n v="0"/>
    <n v="13.23"/>
    <n v="0"/>
    <n v="251.3"/>
    <n v="291.97000000000003"/>
    <n v="141.25"/>
    <n v="150.72"/>
    <n v="0"/>
    <n v="150.72"/>
    <n v="0.27739999999999998"/>
    <m/>
  </r>
  <r>
    <x v="14"/>
    <s v="MATRIZ"/>
    <d v="2026-09-18T00:00:00"/>
    <d v="2026-09-18T00:00:00"/>
    <m/>
    <s v="203483-1"/>
    <x v="7"/>
    <s v="MURILO PEREIRA"/>
    <n v="119713.91"/>
    <x v="3"/>
    <s v="CTE NORMAL"/>
    <s v="SAO PAULO - SP"/>
    <n v="1300.31"/>
    <n v="18"/>
    <n v="636"/>
    <s v="RAFAEL DE FREITAS"/>
    <n v="24.76"/>
    <s v="ALMIR ANTONIO DOS SANTOS"/>
    <n v="343.28"/>
    <s v="G.S CITRUS COMERCIO ATACA"/>
    <n v="137.94"/>
    <n v="0"/>
    <n v="0"/>
    <n v="0"/>
    <n v="59.86"/>
    <n v="0"/>
    <n v="565.84"/>
    <n v="734.47"/>
    <n v="338.08"/>
    <n v="396.39"/>
    <n v="0"/>
    <n v="396.39"/>
    <n v="0.30480000000000002"/>
    <m/>
  </r>
  <r>
    <x v="15"/>
    <s v="MATRIZ"/>
    <d v="2026-09-18T00:00:00"/>
    <d v="2026-09-18T00:00:00"/>
    <m/>
    <s v="203484-1"/>
    <x v="7"/>
    <s v="MURILO PEREIRA"/>
    <n v="8931.8799999999992"/>
    <x v="3"/>
    <s v="CTE NORMAL"/>
    <s v="SAO PAULO - SP"/>
    <n v="119.75"/>
    <n v="2"/>
    <n v="15"/>
    <s v="RAFAEL DE FREITAS"/>
    <n v="0.57999999999999996"/>
    <s v="ALMIR ANTONIO DOS SANTOS"/>
    <n v="40"/>
    <s v="G.S CITRUS COMERCIO ATACA"/>
    <n v="3.25"/>
    <n v="0"/>
    <n v="0"/>
    <n v="0"/>
    <n v="4.47"/>
    <n v="0"/>
    <n v="48.3"/>
    <n v="71.45"/>
    <n v="31.14"/>
    <n v="40.31"/>
    <n v="0"/>
    <n v="40.31"/>
    <n v="0.33659999999999995"/>
    <m/>
  </r>
  <r>
    <x v="16"/>
    <s v="MATRIZ"/>
    <d v="2026-09-18T00:00:00"/>
    <d v="2026-09-18T00:00:00"/>
    <m/>
    <s v="203482-1"/>
    <x v="7"/>
    <s v="MURILO PEREIRA"/>
    <n v="134241.72"/>
    <x v="3"/>
    <s v="CTE NORMAL"/>
    <s v="SAO PAULO - SP"/>
    <n v="2902.98"/>
    <n v="18"/>
    <n v="1167.9000000000001"/>
    <s v="RAFAEL DE FREITAS"/>
    <n v="45.47"/>
    <s v="JOSE EMILTON DA COSTA - O"/>
    <n v="766.39"/>
    <s v="G.S CITRUS COMERCIO ATACA"/>
    <n v="253.3"/>
    <n v="0"/>
    <n v="0"/>
    <n v="0"/>
    <n v="67.12"/>
    <n v="0"/>
    <n v="1132.28"/>
    <n v="1770.7"/>
    <n v="754.77"/>
    <n v="1015.93"/>
    <n v="0"/>
    <n v="1015.93"/>
    <n v="0.35"/>
    <m/>
  </r>
  <r>
    <x v="17"/>
    <s v="MATRIZ"/>
    <d v="2026-09-18T00:00:00"/>
    <d v="2026-09-18T00:00:00"/>
    <m/>
    <s v="203497-1"/>
    <x v="7"/>
    <s v="MURILO PEREIRA"/>
    <n v="390.84"/>
    <x v="3"/>
    <s v="CTE NORMAL"/>
    <s v="SAO PAULO - SP"/>
    <n v="85.59"/>
    <n v="1"/>
    <n v="0.9"/>
    <s v="RAFAEL DE FREITAS"/>
    <n v="0.04"/>
    <s v="ALMIR ANTONIO DOS SANTOS"/>
    <n v="40"/>
    <s v="G.S CITRUS COMERCIO ATACA"/>
    <n v="0.2"/>
    <n v="0"/>
    <n v="0"/>
    <n v="0"/>
    <n v="0.2"/>
    <n v="0"/>
    <n v="40.44"/>
    <n v="45.15"/>
    <n v="22.25"/>
    <n v="22.9"/>
    <n v="0"/>
    <n v="22.9"/>
    <n v="0.2676"/>
    <m/>
  </r>
  <r>
    <x v="18"/>
    <s v="FILIAL SP"/>
    <d v="2026-09-16T00:00:00"/>
    <d v="2026-09-18T00:00:00"/>
    <n v="65740"/>
    <s v="37439-1"/>
    <x v="8"/>
    <s v="MARCELO HOPPE"/>
    <n v="1934.2"/>
    <x v="1"/>
    <s v="CTE NORMAL"/>
    <s v="SAO PAULO - SP"/>
    <n v="88.1"/>
    <n v="3"/>
    <n v="28.4"/>
    <s v="BRUNO RODRIGUES DA COSTA"/>
    <n v="5.08"/>
    <s v="JOSE EMILTON DA COSTA - O"/>
    <n v="40"/>
    <s v="G.S CITRUS COMERCIO ATACA"/>
    <n v="6.16"/>
    <n v="10.57"/>
    <n v="0"/>
    <n v="0"/>
    <n v="0.97"/>
    <n v="0"/>
    <n v="62.78"/>
    <n v="25.32"/>
    <n v="22.91"/>
    <n v="2.41"/>
    <n v="2.33"/>
    <n v="0.08"/>
    <n v="8.9999999999999998E-4"/>
    <m/>
  </r>
  <r>
    <x v="19"/>
    <s v="FILIAL SP"/>
    <d v="2026-09-16T00:00:00"/>
    <d v="2026-09-18T00:00:00"/>
    <n v="65741"/>
    <s v="37441-1"/>
    <x v="9"/>
    <m/>
    <n v="9580"/>
    <x v="1"/>
    <s v="CTE NORMAL"/>
    <s v="CAMPINAS - SP"/>
    <n v="139"/>
    <n v="4"/>
    <n v="69.16"/>
    <s v="MATUZALEM DOS SANTOS"/>
    <n v="700"/>
    <s v="PORTOEX SP"/>
    <n v="50"/>
    <s v="G.S CITRUS COMERCIO ATACA"/>
    <n v="15"/>
    <n v="16.68"/>
    <n v="0"/>
    <n v="0"/>
    <n v="4.79"/>
    <n v="0"/>
    <n v="786.47"/>
    <n v="-647.47"/>
    <n v="36.14"/>
    <n v="-683.61"/>
    <n v="0"/>
    <n v="-683.61"/>
    <n v="-4.9180999999999999"/>
    <m/>
  </r>
  <r>
    <x v="20"/>
    <s v="MATRIZ"/>
    <d v="2026-09-18T00:00:00"/>
    <d v="2026-09-18T00:00:00"/>
    <m/>
    <s v="3122-1"/>
    <x v="10"/>
    <s v="CARLOS ALBERTO DE ANDRADE"/>
    <n v="6239.17"/>
    <x v="4"/>
    <s v="CTE NORMAL"/>
    <s v="GUARULHOS - SP"/>
    <n v="203.49"/>
    <n v="14"/>
    <n v="151.66999999999999"/>
    <s v="LEONARDO LAERCIO VIEIRA"/>
    <n v="10.56"/>
    <s v="EDSON SANTOS DA SILVA"/>
    <n v="53.72"/>
    <s v="G.S CITRUS COMERCIO ATACA"/>
    <n v="48.15"/>
    <n v="24.42"/>
    <n v="0"/>
    <n v="0"/>
    <n v="2.5"/>
    <n v="0"/>
    <n v="139.35"/>
    <n v="64.14"/>
    <n v="32.56"/>
    <n v="31.58"/>
    <n v="3.58"/>
    <n v="28"/>
    <n v="0.1376"/>
    <m/>
  </r>
  <r>
    <x v="21"/>
    <s v="MATRIZ"/>
    <d v="2026-09-18T00:00:00"/>
    <d v="2026-09-18T00:00:00"/>
    <m/>
    <s v="3120-1"/>
    <x v="10"/>
    <s v="CARLOS ALBERTO DE ANDRADE"/>
    <n v="17621.07"/>
    <x v="4"/>
    <s v="CTE NORMAL"/>
    <s v="GUARULHOS - SP"/>
    <n v="307.98"/>
    <n v="28"/>
    <n v="273"/>
    <s v="LEONARDO LAERCIO VIEIRA"/>
    <n v="19"/>
    <s v="N/D"/>
    <n v="0"/>
    <s v="G.S CITRUS COMERCIO ATACA"/>
    <n v="72.88"/>
    <n v="36.96"/>
    <n v="0"/>
    <n v="0"/>
    <n v="7.05"/>
    <n v="0"/>
    <n v="135.88999999999999"/>
    <n v="172.09"/>
    <n v="49.28"/>
    <n v="122.81"/>
    <n v="5.42"/>
    <n v="117.39"/>
    <n v="0.38119999999999998"/>
    <m/>
  </r>
  <r>
    <x v="22"/>
    <s v="MATRIZ"/>
    <d v="2026-09-18T00:00:00"/>
    <d v="2026-09-18T00:00:00"/>
    <m/>
    <s v="3121-1"/>
    <x v="10"/>
    <s v="CARLOS ALBERTO DE ANDRADE"/>
    <n v="21444.06"/>
    <x v="4"/>
    <s v="CTE NORMAL"/>
    <s v="GUARULHOS - SP"/>
    <n v="470.41"/>
    <n v="55"/>
    <n v="467.68"/>
    <s v="LEONARDO LAERCIO VIEIRA"/>
    <n v="32.549999999999997"/>
    <s v="EDSON SANTOS DA SILVA"/>
    <n v="124.19"/>
    <s v="G.S CITRUS COMERCIO ATACA"/>
    <n v="111.32"/>
    <n v="56.45"/>
    <n v="0"/>
    <n v="0"/>
    <n v="8.58"/>
    <n v="0"/>
    <n v="333.09"/>
    <n v="137.32"/>
    <n v="75.27"/>
    <n v="62.050000000000004"/>
    <n v="8.2799999999999994"/>
    <n v="53.77"/>
    <n v="0.1143"/>
    <m/>
  </r>
  <r>
    <x v="23"/>
    <s v="MATRIZ"/>
    <d v="2026-09-18T00:00:00"/>
    <d v="2026-09-18T00:00:00"/>
    <m/>
    <s v="3123-1"/>
    <x v="10"/>
    <s v="CARLOS ALBERTO DE ANDRADE"/>
    <n v="2371.89"/>
    <x v="4"/>
    <s v="CTE NORMAL"/>
    <s v="GUARULHOS - SP"/>
    <n v="111.4"/>
    <n v="3"/>
    <n v="21.67"/>
    <s v="LEONARDO LAERCIO VIEIRA"/>
    <n v="1.51"/>
    <s v="EDSON SANTOS DA SILVA"/>
    <n v="40"/>
    <s v="G.S CITRUS COMERCIO ATACA"/>
    <n v="26.36"/>
    <n v="13.37"/>
    <n v="0"/>
    <n v="0"/>
    <n v="0.95"/>
    <n v="0"/>
    <n v="82.19"/>
    <n v="29.21"/>
    <n v="17.82"/>
    <n v="11.39"/>
    <n v="1.96"/>
    <n v="9.43"/>
    <n v="8.4600000000000009E-2"/>
    <m/>
  </r>
  <r>
    <x v="24"/>
    <s v="MATRIZ"/>
    <d v="2026-09-18T00:00:00"/>
    <d v="2026-09-18T00:00:00"/>
    <m/>
    <s v="3124-1"/>
    <x v="10"/>
    <s v="CARLOS ALBERTO DE ANDRADE"/>
    <n v="4875.96"/>
    <x v="4"/>
    <s v="CTE NORMAL"/>
    <s v="SAO PAULO - SP"/>
    <n v="172.41"/>
    <n v="9"/>
    <n v="108.93"/>
    <s v="LEONARDO LAERCIO VIEIRA"/>
    <n v="7.58"/>
    <s v="N/D"/>
    <n v="0"/>
    <s v="G.S CITRUS COMERCIO ATACA"/>
    <n v="40.799999999999997"/>
    <n v="20.69"/>
    <n v="0"/>
    <n v="0"/>
    <n v="1.95"/>
    <n v="0"/>
    <n v="71.02"/>
    <n v="101.39"/>
    <n v="27.59"/>
    <n v="73.8"/>
    <n v="3.03"/>
    <n v="70.77"/>
    <n v="0.41049999999999998"/>
    <m/>
  </r>
  <r>
    <x v="25"/>
    <s v="MATRIZ"/>
    <d v="2026-09-18T00:00:00"/>
    <d v="2026-09-18T00:00:00"/>
    <m/>
    <s v="3125-1"/>
    <x v="10"/>
    <s v="CARLOS ALBERTO DE ANDRADE"/>
    <n v="4584.1099999999997"/>
    <x v="4"/>
    <s v="CTE NORMAL"/>
    <s v="SAO PAULO - SP"/>
    <n v="173.14"/>
    <n v="10"/>
    <n v="109.93"/>
    <s v="LEONARDO LAERCIO VIEIRA"/>
    <n v="7.65"/>
    <s v="N/D"/>
    <n v="0"/>
    <s v="G.S CITRUS COMERCIO ATACA"/>
    <n v="40.97"/>
    <n v="20.78"/>
    <n v="0"/>
    <n v="0"/>
    <n v="1.83"/>
    <n v="0"/>
    <n v="71.23"/>
    <n v="101.91"/>
    <n v="27.7"/>
    <n v="74.209999999999994"/>
    <n v="3.05"/>
    <n v="71.16"/>
    <n v="0.41100000000000003"/>
    <m/>
  </r>
  <r>
    <x v="26"/>
    <s v="MATRIZ"/>
    <d v="2026-09-18T00:00:00"/>
    <d v="2026-09-18T00:00:00"/>
    <m/>
    <s v="3126-1"/>
    <x v="10"/>
    <s v="CARLOS ALBERTO DE ANDRADE"/>
    <n v="5125.25"/>
    <x v="4"/>
    <s v="CTE NORMAL"/>
    <s v="GUARULHOS - SP"/>
    <n v="175.15"/>
    <n v="20"/>
    <n v="112.7"/>
    <s v="LEONARDO LAERCIO VIEIRA"/>
    <n v="7.84"/>
    <s v="EDSON SANTOS DA SILVA"/>
    <n v="46.24"/>
    <s v="G.S CITRUS COMERCIO ATACA"/>
    <n v="41.45"/>
    <n v="21.02"/>
    <n v="0"/>
    <n v="0"/>
    <n v="2.0499999999999998"/>
    <n v="0"/>
    <n v="118.6"/>
    <n v="56.55"/>
    <n v="28.02"/>
    <n v="28.53"/>
    <n v="3.08"/>
    <n v="25.45"/>
    <n v="0.14529999999999998"/>
    <m/>
  </r>
  <r>
    <x v="27"/>
    <s v="MATRIZ"/>
    <d v="2026-09-18T00:00:00"/>
    <d v="2026-09-18T00:00:00"/>
    <m/>
    <s v="3127-1"/>
    <x v="10"/>
    <s v="CARLOS ALBERTO DE ANDRADE"/>
    <n v="8251.66"/>
    <x v="4"/>
    <s v="CTE NORMAL"/>
    <s v="GUARULHOS - SP"/>
    <n v="232.24"/>
    <n v="19"/>
    <n v="191.21"/>
    <s v="LEONARDO LAERCIO VIEIRA"/>
    <n v="13.31"/>
    <s v="EDSON SANTOS DA SILVA"/>
    <n v="61.31"/>
    <s v="G.S CITRUS COMERCIO ATACA"/>
    <n v="54.96"/>
    <n v="27.87"/>
    <n v="0"/>
    <n v="0"/>
    <n v="3.3"/>
    <n v="0"/>
    <n v="160.75"/>
    <n v="71.489999999999995"/>
    <n v="37.159999999999997"/>
    <n v="34.33"/>
    <n v="4.09"/>
    <n v="30.24"/>
    <n v="0.13019999999999998"/>
    <m/>
  </r>
  <r>
    <x v="28"/>
    <s v="MATRIZ"/>
    <d v="2026-09-18T00:00:00"/>
    <d v="2026-09-18T00:00:00"/>
    <m/>
    <s v="3128-1"/>
    <x v="11"/>
    <s v="TIAGO SANTANA"/>
    <n v="241072.44"/>
    <x v="5"/>
    <s v="CTE NORMAL"/>
    <s v="GUARULHOS - SP"/>
    <n v="969.03"/>
    <n v="62"/>
    <n v="121.07"/>
    <s v="PORTOEXPRESS LOGISTICA LT"/>
    <n v="31.24"/>
    <s v="MARCO ANTONIO RIBEIRO DA"/>
    <n v="0"/>
    <s v="G.S CITRUS COMERCIO ATACA"/>
    <n v="229.31"/>
    <n v="116.28"/>
    <n v="0"/>
    <n v="0"/>
    <n v="96.43"/>
    <n v="0"/>
    <n v="473.26"/>
    <n v="495.77"/>
    <n v="155.04"/>
    <n v="340.72999999999996"/>
    <n v="8.5299999999999994"/>
    <n v="332.2"/>
    <n v="0.34279999999999999"/>
    <m/>
  </r>
  <r>
    <x v="29"/>
    <s v="MATRIZ"/>
    <d v="2026-09-18T00:00:00"/>
    <d v="2026-09-18T00:00:00"/>
    <m/>
    <s v="3129-1"/>
    <x v="11"/>
    <s v="TIAGO SANTANA"/>
    <n v="296260.37"/>
    <x v="5"/>
    <s v="CTE NORMAL"/>
    <s v="GUARULHOS - SP"/>
    <n v="1410.53"/>
    <n v="184"/>
    <n v="460.22"/>
    <s v="PORTOEXPRESS LOGISTICA LT"/>
    <n v="118.76"/>
    <s v="JOSE EMILTON DA COSTA - O"/>
    <n v="372.38"/>
    <s v="G.S CITRUS COMERCIO ATACA"/>
    <n v="333.79"/>
    <n v="169.26"/>
    <n v="0"/>
    <n v="0"/>
    <n v="118.5"/>
    <n v="0"/>
    <n v="1112.69"/>
    <n v="297.83999999999997"/>
    <n v="225.68"/>
    <n v="72.16"/>
    <n v="12.41"/>
    <n v="59.75"/>
    <n v="4.24E-2"/>
    <m/>
  </r>
  <r>
    <x v="30"/>
    <s v="MATRIZ"/>
    <d v="2026-09-18T00:00:00"/>
    <d v="2026-09-18T00:00:00"/>
    <m/>
    <s v="3555-1"/>
    <x v="12"/>
    <s v="URIEL CORREA"/>
    <n v="4208.5200000000004"/>
    <x v="6"/>
    <s v="CTE NORMAL"/>
    <s v="SAO PAULO - SP"/>
    <n v="76.540000000000006"/>
    <n v="1"/>
    <n v="5.25"/>
    <s v="DARLILSON DOS SANTOS OLIV"/>
    <n v="0.93"/>
    <s v="N/D"/>
    <n v="0"/>
    <s v="G.S CITRUS COMERCIO ATACA"/>
    <n v="2.94"/>
    <n v="0"/>
    <n v="0"/>
    <n v="0"/>
    <n v="0"/>
    <n v="0"/>
    <n v="3.87"/>
    <n v="72.67"/>
    <n v="19.899999999999999"/>
    <n v="52.77"/>
    <n v="0.77"/>
    <n v="52"/>
    <n v="0.6794"/>
    <m/>
  </r>
  <r>
    <x v="31"/>
    <s v="MATRIZ"/>
    <d v="2026-09-18T00:00:00"/>
    <d v="2026-09-18T00:00:00"/>
    <m/>
    <s v="3554-1"/>
    <x v="12"/>
    <s v="URIEL CORREA"/>
    <n v="547.66"/>
    <x v="6"/>
    <s v="CTE NORMAL"/>
    <s v="SAO PAULO - SP"/>
    <n v="9.9600000000000009"/>
    <n v="1"/>
    <n v="1.54"/>
    <s v="DARLILSON DOS SANTOS OLIV"/>
    <n v="0.27"/>
    <s v="N/D"/>
    <n v="0"/>
    <s v="G.S CITRUS COMERCIO ATACA"/>
    <n v="0.38"/>
    <n v="0"/>
    <n v="0"/>
    <n v="0"/>
    <n v="0"/>
    <n v="0"/>
    <n v="0.65"/>
    <n v="9.31"/>
    <n v="2.59"/>
    <n v="6.72"/>
    <n v="0.1"/>
    <n v="6.62"/>
    <n v="0.66469999999999996"/>
    <m/>
  </r>
  <r>
    <x v="32"/>
    <s v="MATRIZ"/>
    <d v="2026-09-18T00:00:00"/>
    <d v="2026-09-18T00:00:00"/>
    <m/>
    <s v="3553-1"/>
    <x v="12"/>
    <s v="URIEL CORREA"/>
    <n v="1036.43"/>
    <x v="6"/>
    <s v="CTE NORMAL"/>
    <s v="SAO PAULO - SP"/>
    <n v="18.850000000000001"/>
    <n v="1"/>
    <n v="2.88"/>
    <s v="DARLILSON DOS SANTOS OLIV"/>
    <n v="0.51"/>
    <s v="N/D"/>
    <n v="0"/>
    <s v="G.S CITRUS COMERCIO ATACA"/>
    <n v="0.72"/>
    <n v="0"/>
    <n v="0"/>
    <n v="0"/>
    <n v="0"/>
    <n v="0"/>
    <n v="1.23"/>
    <n v="17.62"/>
    <n v="4.9000000000000004"/>
    <n v="12.719999999999999"/>
    <n v="0.19"/>
    <n v="12.53"/>
    <n v="0.66469999999999996"/>
    <m/>
  </r>
  <r>
    <x v="33"/>
    <s v="MATRIZ"/>
    <d v="2026-09-18T00:00:00"/>
    <d v="2026-09-18T00:00:00"/>
    <m/>
    <s v="3552-1"/>
    <x v="12"/>
    <s v="URIEL CORREA"/>
    <n v="34800"/>
    <x v="6"/>
    <s v="CTE NORMAL"/>
    <s v="SAO PAULO - SP"/>
    <n v="632.94000000000005"/>
    <n v="5"/>
    <n v="65.7"/>
    <s v="DARLILSON DOS SANTOS OLIV"/>
    <n v="11.63"/>
    <s v="N/D"/>
    <n v="0"/>
    <s v="G.S CITRUS COMERCIO ATACA"/>
    <n v="24.33"/>
    <n v="0"/>
    <n v="0"/>
    <n v="0"/>
    <n v="0"/>
    <n v="0"/>
    <n v="35.96"/>
    <n v="596.98"/>
    <n v="164.56"/>
    <n v="432.41999999999996"/>
    <n v="6.33"/>
    <n v="426.09"/>
    <n v="0.67319999999999991"/>
    <m/>
  </r>
  <r>
    <x v="34"/>
    <s v="MATRIZ"/>
    <d v="2026-09-18T00:00:00"/>
    <d v="2026-09-18T00:00:00"/>
    <m/>
    <s v="3551-1"/>
    <x v="12"/>
    <s v="URIEL CORREA"/>
    <n v="2040.8"/>
    <x v="6"/>
    <s v="CTE NORMAL"/>
    <s v="SAO PAULO - SP"/>
    <n v="37.119999999999997"/>
    <n v="1"/>
    <n v="0.71"/>
    <s v="DARLILSON DOS SANTOS OLIV"/>
    <n v="0.13"/>
    <s v="N/D"/>
    <n v="0"/>
    <s v="G.S CITRUS COMERCIO ATACA"/>
    <n v="1.43"/>
    <n v="0"/>
    <n v="0"/>
    <n v="0"/>
    <n v="0"/>
    <n v="0"/>
    <n v="1.56"/>
    <n v="35.56"/>
    <n v="9.65"/>
    <n v="25.91"/>
    <n v="0.37"/>
    <n v="25.54"/>
    <n v="0.68799999999999994"/>
    <m/>
  </r>
  <r>
    <x v="35"/>
    <s v="MATRIZ"/>
    <d v="2026-09-18T00:00:00"/>
    <d v="2026-09-18T00:00:00"/>
    <m/>
    <s v="3550-1"/>
    <x v="12"/>
    <s v="URIEL CORREA"/>
    <n v="12100"/>
    <x v="6"/>
    <s v="CTE NORMAL"/>
    <s v="SAO PAULO - SP"/>
    <n v="220.07"/>
    <n v="11"/>
    <n v="17.600000000000001"/>
    <s v="DARLILSON DOS SANTOS OLIV"/>
    <n v="3.12"/>
    <s v="N/D"/>
    <n v="0"/>
    <s v="G.S CITRUS COMERCIO ATACA"/>
    <n v="8.4600000000000009"/>
    <n v="0"/>
    <n v="0"/>
    <n v="0"/>
    <n v="0"/>
    <n v="0"/>
    <n v="11.58"/>
    <n v="208.49"/>
    <n v="57.22"/>
    <n v="151.26999999999998"/>
    <n v="2.2000000000000002"/>
    <n v="149.07"/>
    <n v="0.6774"/>
    <m/>
  </r>
  <r>
    <x v="36"/>
    <s v="MATRIZ"/>
    <d v="2026-09-18T00:00:00"/>
    <d v="2026-09-18T00:00:00"/>
    <m/>
    <s v="3549-1"/>
    <x v="12"/>
    <s v="URIEL CORREA"/>
    <n v="3516.73"/>
    <x v="6"/>
    <s v="CTE NORMAL"/>
    <s v="SAO PAULO - SP"/>
    <n v="63.96"/>
    <n v="1"/>
    <n v="5"/>
    <s v="DARLILSON DOS SANTOS OLIV"/>
    <n v="0.88"/>
    <s v="N/D"/>
    <n v="0"/>
    <s v="G.S CITRUS COMERCIO ATACA"/>
    <n v="2.46"/>
    <n v="0"/>
    <n v="0"/>
    <n v="0"/>
    <n v="0"/>
    <n v="0"/>
    <n v="3.34"/>
    <n v="60.62"/>
    <n v="16.63"/>
    <n v="43.99"/>
    <n v="0.64"/>
    <n v="43.35"/>
    <n v="0.67779999999999996"/>
    <m/>
  </r>
  <r>
    <x v="37"/>
    <s v="MATRIZ"/>
    <d v="2026-09-18T00:00:00"/>
    <d v="2026-09-18T00:00:00"/>
    <m/>
    <s v="3548-1"/>
    <x v="12"/>
    <s v="URIEL CORREA"/>
    <n v="3193.9"/>
    <x v="6"/>
    <s v="CTE NORMAL"/>
    <s v="SAO PAULO - SP"/>
    <n v="58.09"/>
    <n v="1"/>
    <n v="0.48"/>
    <s v="DARLILSON DOS SANTOS OLIV"/>
    <n v="0.08"/>
    <s v="N/D"/>
    <n v="0"/>
    <s v="G.S CITRUS COMERCIO ATACA"/>
    <n v="2.23"/>
    <n v="0"/>
    <n v="0"/>
    <n v="0"/>
    <n v="0"/>
    <n v="0"/>
    <n v="2.31"/>
    <n v="55.78"/>
    <n v="15.1"/>
    <n v="40.68"/>
    <n v="0.57999999999999996"/>
    <n v="40.1"/>
    <n v="0.69030000000000002"/>
    <m/>
  </r>
  <r>
    <x v="38"/>
    <s v="MATRIZ"/>
    <d v="2026-09-18T00:00:00"/>
    <d v="2026-09-18T00:00:00"/>
    <m/>
    <s v="3547-1"/>
    <x v="12"/>
    <s v="URIEL CORREA"/>
    <n v="6140.73"/>
    <x v="6"/>
    <s v="CTE NORMAL"/>
    <s v="SAO PAULO - SP"/>
    <n v="111.69"/>
    <n v="3"/>
    <n v="31.96"/>
    <s v="DARLILSON DOS SANTOS OLIV"/>
    <n v="5.66"/>
    <s v="N/D"/>
    <n v="0"/>
    <s v="G.S CITRUS COMERCIO ATACA"/>
    <n v="4.29"/>
    <n v="0"/>
    <n v="0"/>
    <n v="0"/>
    <n v="0"/>
    <n v="0"/>
    <n v="9.9499999999999993"/>
    <n v="101.74"/>
    <n v="29.04"/>
    <n v="72.7"/>
    <n v="1.1200000000000001"/>
    <n v="71.58"/>
    <n v="0.64090000000000003"/>
    <m/>
  </r>
  <r>
    <x v="39"/>
    <s v="MATRIZ"/>
    <d v="2026-09-18T00:00:00"/>
    <d v="2026-09-18T00:00:00"/>
    <m/>
    <s v="3546-1"/>
    <x v="12"/>
    <s v="URIEL CORREA"/>
    <n v="1095.32"/>
    <x v="6"/>
    <s v="CTE NORMAL"/>
    <s v="SAO PAULO - SP"/>
    <n v="19.920000000000002"/>
    <n v="1"/>
    <n v="2.74"/>
    <s v="DARLILSON DOS SANTOS OLIV"/>
    <n v="0.48"/>
    <s v="N/D"/>
    <n v="0"/>
    <s v="G.S CITRUS COMERCIO ATACA"/>
    <n v="0.77"/>
    <n v="0"/>
    <n v="0"/>
    <n v="0"/>
    <n v="0"/>
    <n v="0"/>
    <n v="1.25"/>
    <n v="18.670000000000002"/>
    <n v="5.18"/>
    <n v="13.489999999999998"/>
    <n v="0.2"/>
    <n v="13.29"/>
    <n v="0.66720000000000002"/>
    <m/>
  </r>
  <r>
    <x v="40"/>
    <s v="MATRIZ"/>
    <d v="2026-09-18T00:00:00"/>
    <d v="2026-09-18T00:00:00"/>
    <m/>
    <s v="3545-1"/>
    <x v="12"/>
    <s v="URIEL CORREA"/>
    <n v="1331.14"/>
    <x v="6"/>
    <s v="CTE NORMAL"/>
    <s v="SAO PAULO - SP"/>
    <n v="24.21"/>
    <n v="1"/>
    <n v="3.95"/>
    <s v="DARLILSON DOS SANTOS OLIV"/>
    <n v="0.7"/>
    <s v="N/D"/>
    <n v="0"/>
    <s v="G.S CITRUS COMERCIO ATACA"/>
    <n v="0.93"/>
    <n v="0"/>
    <n v="0"/>
    <n v="0"/>
    <n v="0"/>
    <n v="0"/>
    <n v="1.63"/>
    <n v="22.58"/>
    <n v="6.29"/>
    <n v="16.29"/>
    <n v="0.24"/>
    <n v="16.05"/>
    <n v="0.66290000000000004"/>
    <m/>
  </r>
  <r>
    <x v="41"/>
    <s v="MATRIZ"/>
    <d v="2026-09-18T00:00:00"/>
    <d v="2026-09-18T00:00:00"/>
    <m/>
    <s v="3544-1"/>
    <x v="12"/>
    <s v="URIEL CORREA"/>
    <n v="13187.73"/>
    <x v="6"/>
    <s v="CTE NORMAL"/>
    <s v="SAO PAULO - SP"/>
    <n v="239.86"/>
    <n v="2"/>
    <n v="19.100000000000001"/>
    <s v="DARLILSON DOS SANTOS OLIV"/>
    <n v="3.38"/>
    <s v="N/D"/>
    <n v="0"/>
    <s v="G.S CITRUS COMERCIO ATACA"/>
    <n v="9.2200000000000006"/>
    <n v="0"/>
    <n v="0"/>
    <n v="0"/>
    <n v="0"/>
    <n v="0"/>
    <n v="12.6"/>
    <n v="227.26"/>
    <n v="62.36"/>
    <n v="164.9"/>
    <n v="2.4"/>
    <n v="162.5"/>
    <n v="0.67749999999999999"/>
    <m/>
  </r>
  <r>
    <x v="42"/>
    <s v="MATRIZ"/>
    <d v="2026-09-18T00:00:00"/>
    <d v="2026-09-18T00:00:00"/>
    <m/>
    <s v="3543-1"/>
    <x v="12"/>
    <s v="URIEL CORREA"/>
    <n v="1095.32"/>
    <x v="6"/>
    <s v="CTE NORMAL"/>
    <s v="SAO PAULO - SP"/>
    <n v="19.920000000000002"/>
    <n v="1"/>
    <n v="2.71"/>
    <s v="DARLILSON DOS SANTOS OLIV"/>
    <n v="0.48"/>
    <s v="N/D"/>
    <n v="0"/>
    <s v="G.S CITRUS COMERCIO ATACA"/>
    <n v="0.77"/>
    <n v="0"/>
    <n v="0"/>
    <n v="0"/>
    <n v="0"/>
    <n v="0"/>
    <n v="1.25"/>
    <n v="18.670000000000002"/>
    <n v="5.18"/>
    <n v="13.489999999999998"/>
    <n v="0.2"/>
    <n v="13.29"/>
    <n v="0.66720000000000002"/>
    <m/>
  </r>
  <r>
    <x v="43"/>
    <s v="MATRIZ"/>
    <d v="2026-09-18T00:00:00"/>
    <d v="2026-09-18T00:00:00"/>
    <m/>
    <s v="3542-1"/>
    <x v="12"/>
    <s v="URIEL CORREA"/>
    <n v="2074.5300000000002"/>
    <x v="6"/>
    <s v="CTE NORMAL"/>
    <s v="SAO PAULO - SP"/>
    <n v="37.729999999999997"/>
    <n v="3"/>
    <n v="4.13"/>
    <s v="DARLILSON DOS SANTOS OLIV"/>
    <n v="0.73"/>
    <s v="N/D"/>
    <n v="0"/>
    <s v="G.S CITRUS COMERCIO ATACA"/>
    <n v="1.45"/>
    <n v="0"/>
    <n v="0"/>
    <n v="0"/>
    <n v="0"/>
    <n v="0"/>
    <n v="2.1800000000000002"/>
    <n v="35.549999999999997"/>
    <n v="9.81"/>
    <n v="25.74"/>
    <n v="0.38"/>
    <n v="25.36"/>
    <n v="0.67209999999999992"/>
    <m/>
  </r>
  <r>
    <x v="44"/>
    <s v="MATRIZ"/>
    <d v="2026-09-18T00:00:00"/>
    <d v="2026-09-18T00:00:00"/>
    <m/>
    <s v="3541-1"/>
    <x v="12"/>
    <s v="URIEL CORREA"/>
    <n v="7070"/>
    <x v="6"/>
    <s v="CTE NORMAL"/>
    <s v="SAO PAULO - SP"/>
    <n v="128.59"/>
    <n v="3"/>
    <n v="31.3"/>
    <s v="DARLILSON DOS SANTOS OLIV"/>
    <n v="5.54"/>
    <s v="DENIS MACEDO DE SOUZA"/>
    <n v="0"/>
    <s v="G.S CITRUS COMERCIO ATACA"/>
    <n v="4.9400000000000004"/>
    <n v="0"/>
    <n v="0"/>
    <n v="0"/>
    <n v="0"/>
    <n v="0"/>
    <n v="10.48"/>
    <n v="118.11"/>
    <n v="33.43"/>
    <n v="84.68"/>
    <n v="1.29"/>
    <n v="83.39"/>
    <n v="0.64849999999999997"/>
    <m/>
  </r>
  <r>
    <x v="45"/>
    <s v="MATRIZ"/>
    <d v="2026-09-18T00:00:00"/>
    <d v="2026-09-18T00:00:00"/>
    <m/>
    <s v="3540-1"/>
    <x v="12"/>
    <s v="URIEL CORREA"/>
    <n v="1758"/>
    <x v="6"/>
    <s v="CTE NORMAL"/>
    <s v="SAO PAULO - SP"/>
    <n v="31.97"/>
    <n v="1"/>
    <n v="2.8"/>
    <s v="DARLILSON DOS SANTOS OLIV"/>
    <n v="0.5"/>
    <s v="DENIS MACEDO DE SOUZA"/>
    <n v="0"/>
    <s v="G.S CITRUS COMERCIO ATACA"/>
    <n v="1.23"/>
    <n v="0"/>
    <n v="0"/>
    <n v="0"/>
    <n v="0"/>
    <n v="0"/>
    <n v="1.73"/>
    <n v="30.24"/>
    <n v="8.31"/>
    <n v="21.93"/>
    <n v="0.32"/>
    <n v="21.61"/>
    <n v="0.67590000000000006"/>
    <m/>
  </r>
  <r>
    <x v="46"/>
    <s v="MATRIZ"/>
    <d v="2026-09-18T00:00:00"/>
    <d v="2026-09-18T00:00:00"/>
    <m/>
    <s v="3539-1"/>
    <x v="12"/>
    <s v="URIEL CORREA"/>
    <n v="546.52"/>
    <x v="6"/>
    <s v="CTE NORMAL"/>
    <s v="SAO PAULO - SP"/>
    <n v="9.94"/>
    <n v="1"/>
    <n v="1.6"/>
    <s v="DARLILSON DOS SANTOS OLIV"/>
    <n v="0.28000000000000003"/>
    <s v="DENIS MACEDO DE SOUZA"/>
    <n v="0"/>
    <s v="G.S CITRUS COMERCIO ATACA"/>
    <n v="0.38"/>
    <n v="0"/>
    <n v="0"/>
    <n v="0"/>
    <n v="0"/>
    <n v="0"/>
    <n v="0.66"/>
    <n v="9.2799999999999994"/>
    <n v="2.58"/>
    <n v="6.6999999999999993"/>
    <n v="0.1"/>
    <n v="6.6"/>
    <n v="0.66400000000000003"/>
    <m/>
  </r>
  <r>
    <x v="47"/>
    <s v="MATRIZ"/>
    <d v="2026-09-18T00:00:00"/>
    <d v="2026-09-18T00:00:00"/>
    <m/>
    <s v="3538-1"/>
    <x v="12"/>
    <s v="URIEL CORREA"/>
    <n v="1137.76"/>
    <x v="6"/>
    <s v="CTE NORMAL"/>
    <s v="SAO PAULO - SP"/>
    <n v="20.69"/>
    <n v="1"/>
    <n v="6.25"/>
    <s v="DARLILSON DOS SANTOS OLIV"/>
    <n v="1.1100000000000001"/>
    <s v="N/D"/>
    <n v="0"/>
    <s v="G.S CITRUS COMERCIO ATACA"/>
    <n v="0.8"/>
    <n v="0"/>
    <n v="0"/>
    <n v="0"/>
    <n v="0"/>
    <n v="0"/>
    <n v="1.91"/>
    <n v="18.78"/>
    <n v="5.38"/>
    <n v="13.4"/>
    <n v="0.21"/>
    <n v="13.19"/>
    <n v="0.63749999999999996"/>
    <m/>
  </r>
  <r>
    <x v="48"/>
    <s v="MATRIZ"/>
    <d v="2026-09-18T00:00:00"/>
    <d v="2026-09-18T00:00:00"/>
    <m/>
    <s v="3537-1"/>
    <x v="12"/>
    <s v="URIEL CORREA"/>
    <n v="14263.02"/>
    <x v="6"/>
    <s v="CTE NORMAL"/>
    <s v="SAO PAULO - SP"/>
    <n v="259.41000000000003"/>
    <n v="11"/>
    <n v="67.25"/>
    <s v="DARLILSON DOS SANTOS OLIV"/>
    <n v="11.9"/>
    <s v="DENIS MACEDO DE SOUZA"/>
    <n v="0"/>
    <s v="G.S CITRUS COMERCIO ATACA"/>
    <n v="9.9700000000000006"/>
    <n v="0"/>
    <n v="0"/>
    <n v="0"/>
    <n v="0"/>
    <n v="0"/>
    <n v="21.87"/>
    <n v="237.54"/>
    <n v="67.45"/>
    <n v="170.09"/>
    <n v="2.59"/>
    <n v="167.5"/>
    <n v="0.64569999999999994"/>
    <m/>
  </r>
  <r>
    <x v="49"/>
    <s v="MATRIZ"/>
    <d v="2026-09-18T00:00:00"/>
    <d v="2026-09-18T00:00:00"/>
    <m/>
    <s v="3536-1"/>
    <x v="12"/>
    <s v="URIEL CORREA"/>
    <n v="2900"/>
    <x v="6"/>
    <s v="CTE NORMAL"/>
    <s v="SAO PAULO - SP"/>
    <n v="52.74"/>
    <n v="1"/>
    <n v="7.45"/>
    <s v="DARLILSON DOS SANTOS OLIV"/>
    <n v="1.32"/>
    <s v="N/D"/>
    <n v="0"/>
    <s v="G.S CITRUS COMERCIO ATACA"/>
    <n v="2.0299999999999998"/>
    <n v="0"/>
    <n v="0"/>
    <n v="0"/>
    <n v="0"/>
    <n v="0"/>
    <n v="3.35"/>
    <n v="49.39"/>
    <n v="13.71"/>
    <n v="35.68"/>
    <n v="0.53"/>
    <n v="35.15"/>
    <n v="0.66650000000000009"/>
    <m/>
  </r>
  <r>
    <x v="50"/>
    <s v="MATRIZ"/>
    <d v="2026-09-18T00:00:00"/>
    <d v="2026-09-18T00:00:00"/>
    <m/>
    <s v="3535-1"/>
    <x v="12"/>
    <s v="URIEL CORREA"/>
    <n v="386.25"/>
    <x v="6"/>
    <s v="CTE NORMAL"/>
    <s v="SAO PAULO - SP"/>
    <n v="7.03"/>
    <n v="1"/>
    <n v="2.1"/>
    <s v="DARLILSON DOS SANTOS OLIV"/>
    <n v="0.37"/>
    <s v="N/D"/>
    <n v="0"/>
    <s v="G.S CITRUS COMERCIO ATACA"/>
    <n v="0.27"/>
    <n v="0"/>
    <n v="0"/>
    <n v="0"/>
    <n v="0"/>
    <n v="0"/>
    <n v="0.64"/>
    <n v="6.39"/>
    <n v="1.83"/>
    <n v="4.5600000000000005"/>
    <n v="7.0000000000000007E-2"/>
    <n v="4.49"/>
    <n v="0.63869999999999993"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3"/>
    <m/>
    <m/>
    <x v="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0" firstHeaderRow="1" firstDataRow="2" firstDataCol="1" rowPageCount="1" colPageCount="1"/>
  <pivotFields count="52">
    <pivotField axis="axisRow" showAll="0" defaultSubtotal="0">
      <items count="8000">
        <item m="1" x="5666"/>
        <item m="1" x="5912"/>
        <item m="1" x="338"/>
        <item m="1" x="3993"/>
        <item m="1" x="4025"/>
        <item m="1" x="4287"/>
        <item m="1" x="4356"/>
        <item m="1" x="4389"/>
        <item m="1" x="4423"/>
        <item m="1" x="4457"/>
        <item m="1" x="4505"/>
        <item m="1" x="6024"/>
        <item m="1" x="6092"/>
        <item m="1" x="6169"/>
        <item m="1" x="6239"/>
        <item m="1" x="6266"/>
        <item m="1" x="6293"/>
        <item m="1" x="6322"/>
        <item m="1" x="6349"/>
        <item m="1" x="6500"/>
        <item m="1" x="6533"/>
        <item m="1" x="6565"/>
        <item m="1" x="6597"/>
        <item m="1" x="6631"/>
        <item m="1" x="6664"/>
        <item m="1" x="6698"/>
        <item m="1" x="6727"/>
        <item m="1" x="6760"/>
        <item m="1" x="6794"/>
        <item m="1" x="6829"/>
        <item m="1" x="6861"/>
        <item m="1" x="6890"/>
        <item m="1" x="6918"/>
        <item m="1" x="6951"/>
        <item m="1" x="188"/>
        <item m="1" x="247"/>
        <item m="1" x="295"/>
        <item m="1" x="344"/>
        <item m="1" x="404"/>
        <item m="1" x="594"/>
        <item m="1" x="631"/>
        <item m="1" x="671"/>
        <item m="1" x="711"/>
        <item m="1" x="746"/>
        <item m="1" x="784"/>
        <item m="1" x="821"/>
        <item m="1" x="857"/>
        <item m="1" x="895"/>
        <item m="1" x="931"/>
        <item m="1" x="968"/>
        <item m="1" x="1008"/>
        <item m="1" x="1048"/>
        <item m="1" x="1081"/>
        <item m="1" x="1110"/>
        <item m="1" x="1137"/>
        <item m="1" x="1164"/>
        <item m="1" x="1195"/>
        <item m="1" x="1229"/>
        <item m="1" x="1261"/>
        <item m="1" x="1367"/>
        <item m="1" x="1398"/>
        <item m="1" x="1432"/>
        <item m="1" x="1526"/>
        <item m="1" x="1565"/>
        <item m="1" x="1599"/>
        <item m="1" x="1634"/>
        <item m="1" x="1661"/>
        <item m="1" x="1807"/>
        <item m="1" x="1838"/>
        <item m="1" x="1874"/>
        <item m="1" x="1907"/>
        <item m="1" x="1967"/>
        <item m="1" x="1991"/>
        <item m="1" x="2079"/>
        <item m="1" x="2219"/>
        <item m="1" x="2242"/>
        <item m="1" x="2267"/>
        <item m="1" x="2327"/>
        <item m="1" x="2360"/>
        <item m="1" x="2471"/>
        <item m="1" x="2510"/>
        <item m="1" x="2549"/>
        <item m="1" x="2588"/>
        <item m="1" x="2626"/>
        <item m="1" x="2672"/>
        <item m="1" x="2709"/>
        <item m="1" x="4233"/>
        <item m="1" x="4262"/>
        <item m="1" x="4298"/>
        <item m="1" x="4329"/>
        <item m="1" x="4368"/>
        <item m="1" x="4544"/>
        <item m="1" x="4575"/>
        <item m="1" x="4764"/>
        <item m="1" x="4795"/>
        <item m="1" x="4819"/>
        <item m="1" x="4844"/>
        <item m="1" x="4909"/>
        <item m="1" x="4945"/>
        <item m="1" x="4976"/>
        <item m="1" x="5001"/>
        <item m="1" x="5204"/>
        <item m="1" x="5263"/>
        <item m="1" x="5318"/>
        <item m="1" x="5345"/>
        <item m="1" x="5377"/>
        <item m="1" x="5406"/>
        <item m="1" x="5436"/>
        <item m="1" x="5465"/>
        <item m="1" x="5496"/>
        <item m="1" x="5530"/>
        <item m="1" x="5558"/>
        <item m="1" x="5591"/>
        <item m="1" x="5624"/>
        <item m="1" x="5654"/>
        <item m="1" x="5688"/>
        <item m="1" x="5725"/>
        <item m="1" x="5763"/>
        <item m="1" x="5796"/>
        <item m="1" x="5832"/>
        <item m="1" x="5865"/>
        <item m="1" x="5901"/>
        <item m="1" x="5933"/>
        <item m="1" x="5964"/>
        <item m="1" x="6000"/>
        <item m="1" x="6034"/>
        <item m="1" x="6067"/>
        <item m="1" x="6107"/>
        <item m="1" x="6148"/>
        <item m="1" x="6184"/>
        <item m="1" x="6218"/>
        <item m="1" x="6249"/>
        <item m="1" x="6275"/>
        <item m="1" x="6307"/>
        <item m="1" x="6328"/>
        <item m="1" x="6360"/>
        <item m="1" x="6403"/>
        <item m="1" x="6476"/>
        <item m="1" x="6511"/>
        <item m="1" x="6541"/>
        <item m="1" x="6573"/>
        <item m="1" x="6608"/>
        <item m="1" x="6641"/>
        <item m="1" x="6675"/>
        <item m="1" x="85"/>
        <item m="1" x="111"/>
        <item m="1" x="137"/>
        <item m="1" x="166"/>
        <item m="1" x="202"/>
        <item m="1" x="230"/>
        <item m="1" x="255"/>
        <item m="1" x="280"/>
        <item m="1" x="301"/>
        <item m="1" x="331"/>
        <item m="1" x="357"/>
        <item m="1" x="389"/>
        <item m="1" x="412"/>
        <item m="1" x="433"/>
        <item m="1" x="465"/>
        <item m="1" x="503"/>
        <item m="1" x="540"/>
        <item m="1" x="606"/>
        <item m="1" x="684"/>
        <item m="1" x="2370"/>
        <item m="1" x="2402"/>
        <item m="1" x="2443"/>
        <item m="1" x="2483"/>
        <item m="1" x="2523"/>
        <item m="1" x="2563"/>
        <item m="1" x="2600"/>
        <item m="1" x="2641"/>
        <item m="1" x="2685"/>
        <item m="1" x="2721"/>
        <item m="1" x="2754"/>
        <item m="1" x="2788"/>
        <item m="1" x="2826"/>
        <item m="1" x="2864"/>
        <item m="1" x="2894"/>
        <item m="1" x="2930"/>
        <item m="1" x="2963"/>
        <item m="1" x="2993"/>
        <item m="1" x="3026"/>
        <item m="1" x="3055"/>
        <item m="1" x="3087"/>
        <item m="1" x="3118"/>
        <item m="1" x="3177"/>
        <item m="1" x="3204"/>
        <item m="1" x="3232"/>
        <item m="1" x="3261"/>
        <item m="1" x="3290"/>
        <item m="1" x="3320"/>
        <item m="1" x="3359"/>
        <item m="1" x="3391"/>
        <item m="1" x="3421"/>
        <item m="1" x="3453"/>
        <item m="1" x="3486"/>
        <item m="1" x="3515"/>
        <item m="1" x="3551"/>
        <item m="1" x="3590"/>
        <item m="1" x="3624"/>
        <item m="1" x="3656"/>
        <item m="1" x="3689"/>
        <item m="1" x="3723"/>
        <item m="1" x="3752"/>
        <item m="1" x="3784"/>
        <item m="1" x="3814"/>
        <item m="1" x="3870"/>
        <item m="1" x="3923"/>
        <item m="1" x="3952"/>
        <item m="1" x="3979"/>
        <item m="1" x="4012"/>
        <item m="1" x="4044"/>
        <item m="1" x="4070"/>
        <item m="1" x="4119"/>
        <item m="1" x="4145"/>
        <item m="1" x="4179"/>
        <item m="1" x="4242"/>
        <item m="1" x="4272"/>
        <item m="1" x="4308"/>
        <item m="1" x="4339"/>
        <item m="1" x="4378"/>
        <item m="1" x="4409"/>
        <item m="1" x="4472"/>
        <item m="1" x="4494"/>
        <item m="1" x="4523"/>
        <item m="1" x="4582"/>
        <item m="1" x="4611"/>
        <item m="1" x="4640"/>
        <item m="1" x="4675"/>
        <item m="1" x="4708"/>
        <item m="1" x="4741"/>
        <item m="1" x="4774"/>
        <item m="1" x="4801"/>
        <item m="1" x="4824"/>
        <item m="1" x="6371"/>
        <item m="1" x="6414"/>
        <item m="1" x="6449"/>
        <item m="1" x="6487"/>
        <item m="1" x="6520"/>
        <item m="1" x="6553"/>
        <item m="1" x="6582"/>
        <item m="1" x="6616"/>
        <item m="1" x="6649"/>
        <item m="1" x="6682"/>
        <item m="1" x="6714"/>
        <item m="1" x="6849"/>
        <item m="1" x="6909"/>
        <item m="1" x="6938"/>
        <item m="1" x="515"/>
        <item m="1" x="551"/>
        <item m="1" x="584"/>
        <item m="1" x="617"/>
        <item m="1" x="655"/>
        <item m="1" x="695"/>
        <item m="1" x="732"/>
        <item m="1" x="808"/>
        <item m="1" x="842"/>
        <item m="1" x="878"/>
        <item m="1" x="916"/>
        <item m="1" x="952"/>
        <item m="1" x="993"/>
        <item m="1" x="1035"/>
        <item m="1" x="1066"/>
        <item m="1" x="1098"/>
        <item m="1" x="1126"/>
        <item m="1" x="1156"/>
        <item m="1" x="1183"/>
        <item m="1" x="1215"/>
        <item m="1" x="1252"/>
        <item m="1" x="1278"/>
        <item m="1" x="1315"/>
        <item m="1" x="1354"/>
        <item m="1" x="1388"/>
        <item m="1" x="1418"/>
        <item m="1" x="1454"/>
        <item m="1" x="1488"/>
        <item m="1" x="1515"/>
        <item m="1" x="1554"/>
        <item m="1" x="1586"/>
        <item m="1" x="1620"/>
        <item m="1" x="1650"/>
        <item m="1" x="1733"/>
        <item m="1" x="1796"/>
        <item m="1" x="1827"/>
        <item m="1" x="1858"/>
        <item m="1" x="1893"/>
        <item m="1" x="1924"/>
        <item m="1" x="1953"/>
        <item m="1" x="1983"/>
        <item m="1" x="2013"/>
        <item m="1" x="2041"/>
        <item m="1" x="2071"/>
        <item m="1" x="2136"/>
        <item m="1" x="2170"/>
        <item m="1" x="2202"/>
        <item m="1" x="2235"/>
        <item m="1" x="2258"/>
        <item m="1" x="2288"/>
        <item m="1" x="2314"/>
        <item m="1" x="2345"/>
        <item m="1" x="2381"/>
        <item m="1" x="2415"/>
        <item m="1" x="2532"/>
        <item m="1" x="2573"/>
        <item m="1" x="2612"/>
        <item m="1" x="2654"/>
        <item m="1" x="2695"/>
        <item m="1" x="2730"/>
        <item m="1" x="2762"/>
        <item m="1" x="2838"/>
        <item m="1" x="2873"/>
        <item m="1" x="2905"/>
        <item m="1" x="2940"/>
        <item m="1" x="2970"/>
        <item m="1" x="3002"/>
        <item m="1" x="3036"/>
        <item m="1" x="3067"/>
        <item m="1" x="3096"/>
        <item m="1" x="4563"/>
        <item m="1" x="4591"/>
        <item m="1" x="4618"/>
        <item m="1" x="4655"/>
        <item m="1" x="4686"/>
        <item m="1" x="4755"/>
        <item m="1" x="4783"/>
        <item m="1" x="4812"/>
        <item m="1" x="4833"/>
        <item m="1" x="4864"/>
        <item m="1" x="4897"/>
        <item m="1" x="4932"/>
        <item m="1" x="4964"/>
        <item m="1" x="4991"/>
        <item m="1" x="5018"/>
        <item m="1" x="5079"/>
        <item m="1" x="5364"/>
        <item m="1" x="5394"/>
        <item m="1" x="5483"/>
        <item m="1" x="5518"/>
        <item m="1" x="5545"/>
        <item m="1" x="5610"/>
        <item m="1" x="5642"/>
        <item m="1" x="5673"/>
        <item m="1" x="5712"/>
        <item m="1" x="5748"/>
        <item m="1" x="5854"/>
        <item m="1" x="5885"/>
        <item m="1" x="5922"/>
        <item m="1" x="5951"/>
        <item m="1" x="5989"/>
        <item m="1" x="6021"/>
        <item m="1" x="6054"/>
        <item m="1" x="6089"/>
        <item m="1" x="6131"/>
        <item m="1" x="6163"/>
        <item m="1" x="6204"/>
        <item m="1" x="6237"/>
        <item m="1" x="6263"/>
        <item m="1" x="6290"/>
        <item m="1" x="6320"/>
        <item m="1" x="6347"/>
        <item m="1" x="6386"/>
        <item m="1" x="6425"/>
        <item m="1" x="6462"/>
        <item m="1" x="6532"/>
        <item m="1" x="6562"/>
        <item m="1" x="6593"/>
        <item m="1" x="6630"/>
        <item m="1" x="6660"/>
        <item m="1" x="6693"/>
        <item m="1" x="6725"/>
        <item m="1" x="6792"/>
        <item m="1" x="6825"/>
        <item m="1" x="6858"/>
        <item m="1" x="6888"/>
        <item m="1" x="6945"/>
        <item m="1" x="98"/>
        <item m="1" x="127"/>
        <item m="1" x="154"/>
        <item m="1" x="217"/>
        <item m="1" x="269"/>
        <item m="1" x="342"/>
        <item m="1" x="401"/>
        <item m="1" x="454"/>
        <item m="1" x="489"/>
        <item m="1" x="525"/>
        <item m="1" x="563"/>
        <item m="1" x="592"/>
        <item m="1" x="625"/>
        <item m="1" x="667"/>
        <item m="1" x="708"/>
        <item m="1" x="741"/>
        <item m="1" x="781"/>
        <item m="1" x="817"/>
        <item m="1" x="853"/>
        <item m="1" x="890"/>
        <item m="1" x="927"/>
        <item m="1" x="963"/>
        <item m="1" x="1004"/>
        <item m="1" x="1045"/>
        <item m="1" x="1077"/>
        <item m="1" x="1105"/>
        <item m="1" x="1134"/>
        <item m="1" x="1161"/>
        <item m="1" x="1190"/>
        <item m="1" x="2811"/>
        <item m="1" x="2851"/>
        <item m="1" x="2917"/>
        <item m="1" x="2950"/>
        <item m="1" x="2980"/>
        <item m="1" x="3013"/>
        <item m="1" x="3380"/>
        <item m="1" x="3829"/>
        <item m="1" x="3889"/>
        <item m="1" x="3914"/>
        <item m="1" x="3943"/>
        <item m="1" x="3969"/>
        <item m="1" x="3999"/>
        <item m="1" x="4030"/>
        <item m="1" x="4060"/>
        <item m="1" x="4086"/>
        <item m="1" x="4111"/>
        <item m="1" x="4135"/>
        <item m="1" x="4165"/>
        <item m="1" x="4199"/>
        <item m="1" x="4294"/>
        <item m="1" x="4325"/>
        <item m="1" x="4364"/>
        <item m="1" x="4397"/>
        <item m="1" x="4432"/>
        <item m="1" x="4463"/>
        <item m="1" x="4486"/>
        <item m="1" x="4511"/>
        <item m="1" x="4542"/>
        <item m="1" x="4572"/>
        <item m="1" x="4599"/>
        <item m="1" x="4626"/>
        <item m="1" x="4666"/>
        <item m="1" x="4697"/>
        <item m="1" x="4728"/>
        <item m="1" x="4762"/>
        <item m="1" x="4791"/>
        <item m="1" x="4818"/>
        <item m="1" x="4842"/>
        <item m="1" x="4872"/>
        <item m="1" x="4906"/>
        <item m="1" x="4941"/>
        <item m="1" x="4973"/>
        <item m="1" x="1818"/>
        <item m="1" x="3389"/>
        <item m="1" x="6780"/>
        <item m="1" x="1336"/>
        <item m="1" x="6075"/>
        <item m="1" x="6369"/>
        <item m="1" x="6412"/>
        <item m="1" x="6746"/>
        <item m="1" x="6769"/>
        <item m="1" x="6801"/>
        <item m="1" x="6836"/>
        <item m="1" x="6868"/>
        <item m="1" x="6900"/>
        <item m="1" x="6926"/>
        <item m="1" x="6962"/>
        <item m="1" x="2481"/>
        <item m="1" x="2518"/>
        <item m="1" x="2597"/>
        <item m="1" x="6485"/>
        <item m="1" x="5178"/>
        <item m="1" x="981"/>
        <item m="1" x="2251"/>
        <item m="1" x="2892"/>
        <item m="1" x="2927"/>
        <item m="1" x="2990"/>
        <item m="1" x="5269"/>
        <item m="1" x="5325"/>
        <item m="1" x="5384"/>
        <item m="1" x="5445"/>
        <item m="1" x="5473"/>
        <item m="1" x="5598"/>
        <item m="1" x="1694"/>
        <item m="1" x="1724"/>
        <item m="1" x="1757"/>
        <item m="1" x="4920"/>
        <item m="1" x="4953"/>
        <item m="1" x="4983"/>
        <item m="1" x="5009"/>
        <item m="1" x="5039"/>
        <item m="1" x="5070"/>
        <item m="1" x="5102"/>
        <item m="1" x="5130"/>
        <item m="1" x="5163"/>
        <item m="1" x="5186"/>
        <item m="1" x="1021"/>
        <item m="1" x="1056"/>
        <item m="1" x="1406"/>
        <item m="1" x="1441"/>
        <item m="1" x="1476"/>
        <item m="1" x="1538"/>
        <item m="1" x="1572"/>
        <item m="1" x="1606"/>
        <item m="1" x="5212"/>
        <item m="1" x="5240"/>
        <item m="1" x="5697"/>
        <item m="1" x="3357"/>
        <item m="1" x="6580"/>
        <item m="1" x="424"/>
        <item m="1" x="1379"/>
        <item m="1" x="2369"/>
        <item m="1" x="6009"/>
        <item m="1" x="1883"/>
        <item m="1" x="1973"/>
        <item m="1" x="2001"/>
        <item m="1" x="1668"/>
        <item m="1" x="1090"/>
        <item m="1" x="1116"/>
        <item m="1" x="1145"/>
        <item m="1" x="1173"/>
        <item m="1" x="1204"/>
        <item m="1" x="1239"/>
        <item m="1" x="1269"/>
        <item m="1" x="1304"/>
        <item m="1" x="2276"/>
        <item m="1" x="2306"/>
        <item m="1" x="2682"/>
        <item m="1" x="2718"/>
        <item m="1" x="2751"/>
        <item m="1" x="2861"/>
        <item m="1" x="1914"/>
        <item m="1" x="3420"/>
        <item m="1" x="6312"/>
        <item m="1" x="6334"/>
        <item m="1" x="6447"/>
        <item m="1" x="4259"/>
        <item m="1" x="3534"/>
        <item m="1" x="3577"/>
        <item m="1" x="3611"/>
        <item m="1" x="3642"/>
        <item m="1" x="3677"/>
        <item m="1" x="3709"/>
        <item m="1" x="3738"/>
        <item m="1" x="3772"/>
        <item m="1" x="3859"/>
        <item m="1" x="2336"/>
        <item m="1" x="3083"/>
        <item m="1" x="3115"/>
        <item m="1" x="3142"/>
        <item m="1" x="3174"/>
        <item m="1" x="3202"/>
        <item m="1" x="3230"/>
        <item m="1" x="3259"/>
        <item m="1" x="3288"/>
        <item m="1" x="3317"/>
        <item m="1" x="6519"/>
        <item m="1" x="490"/>
        <item m="1" x="1641"/>
        <item m="1" x="1782"/>
        <item m="1" x="2785"/>
        <item m="1" x="4998"/>
        <item m="1" x="5060"/>
        <item m="1" x="2638"/>
        <item m="1" x="2823"/>
        <item m="1" x="1944"/>
        <item m="1" x="1847"/>
        <item m="1" x="6044"/>
        <item m="1" x="6222"/>
        <item m="1" x="2401"/>
        <item m="1" x="2441"/>
        <item m="1" x="6154"/>
        <item m="1" x="6551"/>
        <item m="1" x="6614"/>
        <item m="1" x="3988"/>
        <item m="1" x="2262"/>
        <item m="1" x="3467"/>
        <item m="1" x="2389"/>
        <item m="1" x="2294"/>
        <item m="1" x="2322"/>
        <item m="1" x="2144"/>
        <item m="1" x="2179"/>
        <item m="1" x="2210"/>
        <item m="1" x="3074"/>
        <item m="1" x="3101"/>
        <item m="1" x="4350"/>
        <item m="1" x="4386"/>
        <item m="1" x="1123"/>
        <item m="1" x="1154"/>
        <item m="1" x="1179"/>
        <item m="1" x="4532"/>
        <item m="1" x="4615"/>
        <item m="1" x="4653"/>
        <item m="1" x="4717"/>
        <item m="1" x="4751"/>
        <item m="1" x="4831"/>
        <item m="1" x="5170"/>
        <item m="1" x="5403"/>
        <item m="1" x="5433"/>
        <item m="1" x="3185"/>
        <item m="1" x="5282"/>
        <item m="1" x="5304"/>
        <item m="1" x="5514"/>
        <item m="1" x="1521"/>
        <item m="1" x="2544"/>
        <item m="1" x="2582"/>
        <item m="1" x="3161"/>
        <item m="1" x="3193"/>
        <item m="1" x="3248"/>
        <item m="1" x="5554"/>
        <item m="1" x="5685"/>
        <item m="1" x="5721"/>
        <item m="1" x="5825"/>
        <item m="1" x="4683"/>
        <item m="1" x="6179"/>
        <item m="1" x="805"/>
        <item m="1" x="5420"/>
        <item m="1" x="1425"/>
        <item m="1" x="1834"/>
        <item m="1" x="6143"/>
        <item m="1" x="1451"/>
        <item m="1" x="4191"/>
        <item m="1" x="4247"/>
        <item m="1" x="3804"/>
        <item m="1" x="582"/>
        <item m="1" x="613"/>
        <item m="1" x="5342"/>
        <item m="1" x="1349"/>
        <item m="1" x="2022"/>
        <item m="1" x="2050"/>
        <item m="1" x="2108"/>
        <item m="1" x="2239"/>
        <item m="1" x="3134"/>
        <item m="1" x="3472"/>
        <item m="1" x="3574"/>
        <item m="1" x="5773"/>
        <item m="1" x="5805"/>
        <item m="1" x="5841"/>
        <item m="1" x="5873"/>
        <item m="1" x="1414"/>
        <item m="1" x="4155"/>
        <item m="1" x="4781"/>
        <item m="1" x="4809"/>
        <item m="1" x="5047"/>
        <item m="1" x="5112"/>
        <item m="1" x="2504"/>
        <item m="1" x="5996"/>
        <item m="1" x="6246"/>
        <item m="1" x="6272"/>
        <item m="1" x="4418"/>
        <item m="1" x="1276"/>
        <item m="1" x="2426"/>
        <item m="1" x="4221"/>
        <item m="1" x="4283"/>
        <item m="1" x="4315"/>
        <item m="1" x="1713"/>
        <item m="1" x="3531"/>
        <item m="1" x="1247"/>
        <item m="1" x="3152"/>
        <item m="1" x="3212"/>
        <item m="1" x="5374"/>
        <item m="1" x="5463"/>
        <item m="1" x="1463"/>
        <item m="1" x="1492"/>
        <item m="1" x="2353"/>
        <item m="1" x="285"/>
        <item m="1" x="308"/>
        <item m="1" x="334"/>
        <item m="1" x="548"/>
        <item m="1" x="653"/>
        <item m="1" x="692"/>
        <item m="1" x="730"/>
        <item m="1" x="769"/>
        <item m="1" x="1868"/>
        <item m="1" x="1903"/>
        <item m="1" x="1933"/>
        <item m="1" x="5860"/>
        <item m="1" x="5927"/>
        <item m="1" x="5959"/>
        <item m="1" x="5568"/>
        <item m="1" x="5940"/>
        <item m="1" x="5975"/>
        <item m="1" x="3761"/>
        <item m="1" x="3796"/>
        <item m="1" x="145"/>
        <item m="1" x="177"/>
        <item m="1" x="260"/>
        <item m="1" x="1551"/>
        <item m="1" x="1583"/>
        <item m="1" x="3496"/>
        <item m="1" x="3524"/>
        <item m="1" x="3563"/>
        <item m="1" x="3602"/>
        <item m="1" x="3631"/>
        <item m="1" x="3819"/>
        <item m="1" x="3850"/>
        <item m="1" x="3879"/>
        <item m="1" x="3905"/>
        <item m="1" x="3934"/>
        <item m="1" x="3962"/>
        <item m="1" x="4861"/>
        <item m="1" x="4894"/>
        <item m="1" x="4928"/>
        <item m="1" x="4960"/>
        <item m="1" x="4988"/>
        <item m="1" x="2620"/>
        <item m="1" x="2664"/>
        <item m="1" x="2702"/>
        <item m="1" x="2738"/>
        <item m="1" x="2771"/>
        <item m="1" x="2809"/>
        <item m="1" x="2849"/>
        <item m="1" x="2881"/>
        <item m="1" x="2914"/>
        <item m="1" x="2948"/>
        <item m="1" x="2977"/>
        <item m="1" x="3442"/>
        <item m="1" x="3770"/>
        <item m="1" x="2462"/>
        <item m="1" x="5142"/>
        <item m="1" x="1362"/>
        <item m="1" x="118"/>
        <item m="1" x="3241"/>
        <item m="1" x="3271"/>
        <item m="1" x="3299"/>
        <item m="1" x="3331"/>
        <item m="1" x="3041"/>
        <item m="1" x="361"/>
        <item m="1" x="1394"/>
        <item m="1" x="3023"/>
        <item m="1" x="5733"/>
        <item m="1" x="5907"/>
        <item m="1" x="6813"/>
        <item m="1" x="6847"/>
        <item m="1" x="6905"/>
        <item m="1" x="6936"/>
        <item m="1" x="6968"/>
        <item m="1" x="414"/>
        <item m="1" x="439"/>
        <item m="1" x="475"/>
        <item m="1" x="512"/>
        <item m="1" x="5219"/>
        <item m="1" x="5249"/>
        <item m="1" x="3368"/>
        <item m="1" x="3608"/>
        <item m="1" x="3640"/>
        <item m="1" x="3675"/>
        <item m="1" x="3707"/>
        <item m="1" x="91"/>
        <item m="1" x="4450"/>
        <item m="1" x="4478"/>
        <item m="1" x="4500"/>
        <item m="1" x="4561"/>
        <item m="1" x="4588"/>
        <item m="1" x="1286"/>
        <item m="1" x="1322"/>
        <item m="1" x="3504"/>
        <item m="1" x="5316"/>
        <item m="1" x="5895"/>
        <item m="1" x="794"/>
        <item m="1" x="901"/>
        <item m="1" x="1017"/>
        <item m="1" x="1604"/>
        <item m="1" x="1638"/>
        <item m="1" x="1665"/>
        <item m="1" x="1692"/>
        <item m="1" x="1911"/>
        <item m="1" x="108"/>
        <item m="1" x="135"/>
        <item m="1" x="200"/>
        <item m="1" x="1054"/>
        <item m="1" x="1088"/>
        <item m="1" x="3378"/>
        <item m="1" x="1778"/>
        <item m="1" x="1813"/>
        <item m="1" x="1843"/>
        <item m="1" x="1879"/>
        <item m="1" x="1752"/>
        <item m="1" x="6704"/>
        <item m="1" x="83"/>
        <item m="1" x="163"/>
        <item m="1" x="1375"/>
        <item m="1" x="1536"/>
        <item m="1" x="5771"/>
        <item m="1" x="5803"/>
        <item m="1" x="5505"/>
        <item m="1" x="5565"/>
        <item m="1" x="3547"/>
        <item m="1" x="6735"/>
        <item m="1" x="6767"/>
        <item m="1" x="6800"/>
        <item m="1" x="6834"/>
        <item m="1" x="6866"/>
        <item m="1" x="6897"/>
        <item m="1" x="6923"/>
        <item m="1" x="6958"/>
        <item m="1" x="3812"/>
        <item m="1" x="3838"/>
        <item m="1" x="3867"/>
        <item m="1" x="3895"/>
        <item m="1" x="4142"/>
        <item m="1" x="4442"/>
        <item m="1" x="4492"/>
        <item m="1" x="4549"/>
        <item m="1" x="4580"/>
        <item m="1" x="5791"/>
        <item m="1" x="4008"/>
        <item m="1" x="5731"/>
        <item m="1" x="4609"/>
        <item m="1" x="5621"/>
        <item m="1" x="755"/>
        <item m="1" x="3950"/>
        <item m="1" x="5210"/>
        <item m="1" x="5657"/>
        <item m="1" x="1301"/>
        <item m="1" x="4823"/>
        <item m="1" x="4519"/>
        <item m="1" x="4706"/>
        <item m="1" x="1438"/>
        <item m="1" x="1502"/>
        <item m="1" x="5694"/>
        <item m="1" x="5839"/>
        <item m="1" x="5871"/>
        <item m="1" x="277"/>
        <item m="1" x="299"/>
        <item m="1" x="328"/>
        <item m="1" x="352"/>
        <item m="1" x="384"/>
        <item m="1" x="3651"/>
        <item m="1" x="3684"/>
        <item m="1" x="3719"/>
        <item m="1" x="4041"/>
        <item m="1" x="4094"/>
        <item m="1" x="4336"/>
        <item m="1" x="4375"/>
        <item m="1" x="4799"/>
        <item m="1" x="4919"/>
        <item m="1" x="5535"/>
        <item m="1" x="4636"/>
        <item m="1" x="227"/>
        <item m="1" x="1143"/>
        <item m="1" x="3749"/>
        <item m="1" x="3780"/>
        <item m="1" x="4738"/>
        <item m="1" x="680"/>
        <item m="1" x="5596"/>
        <item m="1" x="3588"/>
        <item m="1" x="5350"/>
        <item m="1" x="5382"/>
        <item m="1" x="5412"/>
        <item m="1" x="5443"/>
        <item m="1" x="5471"/>
        <item m="1" x="4771"/>
        <item m="1" x="5008"/>
        <item m="1" x="5038"/>
        <item m="1" x="534"/>
        <item m="1" x="977"/>
        <item m="1" x="3920"/>
        <item m="1" x="1721"/>
        <item m="1" x="4981"/>
        <item m="1" x="1170"/>
        <item m="1" x="1202"/>
        <item m="1" x="4673"/>
        <item m="1" x="1235"/>
        <item m="1" x="1333"/>
        <item m="1" x="1403"/>
        <item m="1" x="1474"/>
        <item m="1" x="4852"/>
        <item m="1" x="4882"/>
        <item m="1" x="4951"/>
        <item m="1" x="5322"/>
        <item m="1" x="90"/>
        <item m="1" x="5707"/>
        <item m="1" x="6419"/>
        <item m="1" x="6722"/>
        <item m="1" x="5850"/>
        <item m="1" x="6128"/>
        <item m="1" x="6527"/>
        <item m="1" x="3984"/>
        <item m="1" x="6199"/>
        <item m="1" x="6853"/>
        <item m="1" x="2570"/>
        <item m="1" x="6234"/>
        <item m="1" x="2902"/>
        <item m="1" x="2935"/>
        <item m="1" x="2967"/>
        <item m="1" x="2998"/>
        <item m="1" x="3492"/>
        <item m="1" x="2489"/>
        <item m="1" x="1648"/>
        <item m="1" x="1672"/>
        <item m="1" x="1701"/>
        <item m="1" x="1730"/>
        <item m="1" x="1790"/>
        <item m="1" x="1822"/>
        <item m="1" x="1853"/>
        <item m="1" x="1890"/>
        <item m="1" x="1950"/>
        <item m="1" x="5161"/>
        <item m="1" x="5184"/>
        <item m="1" x="1979"/>
        <item m="1" x="2529"/>
        <item m="1" x="2795"/>
        <item m="1" x="2607"/>
        <item m="1" x="2450"/>
        <item m="1" x="2378"/>
        <item m="1" x="2833"/>
        <item m="1" x="4175"/>
        <item m="1" x="1710"/>
        <item m="1" x="1679"/>
        <item m="1" x="4570"/>
        <item m="1" x="1518"/>
        <item m="1" x="1762"/>
        <item m="1" x="5575"/>
        <item m="1" x="6084"/>
        <item m="1" x="6262"/>
        <item m="1" x="4461"/>
        <item m="1" x="4484"/>
        <item m="1" x="5607"/>
        <item m="1" x="5780"/>
        <item m="1" x="5917"/>
        <item m="1" x="214"/>
        <item m="1" x="1255"/>
        <item m="1" x="1320"/>
        <item m="1" x="1392"/>
        <item m="1" x="6062"/>
        <item m="1" x="6099"/>
        <item m="1" x="1130"/>
        <item m="1" x="1159"/>
        <item m="1" x="3296"/>
        <item m="1" x="3328"/>
        <item m="1" x="3364"/>
        <item m="1" x="3397"/>
        <item m="1" x="3428"/>
        <item m="1" x="3463"/>
        <item m="1" x="182"/>
        <item m="1" x="1283"/>
        <item m="1" x="4163"/>
        <item m="1" x="4196"/>
        <item m="1" x="4228"/>
        <item m="1" x="4661"/>
        <item m="1" x="4692"/>
        <item m="1" x="4724"/>
        <item m="1" x="4760"/>
        <item m="1" x="2649"/>
        <item m="1" x="2727"/>
        <item m="1" x="3874"/>
        <item m="1" x="340"/>
        <item m="1" x="664"/>
        <item m="1" x="6788"/>
        <item m="1" x="4597"/>
        <item m="1" x="5025"/>
        <item m="1" x="5085"/>
        <item m="1" x="3846"/>
        <item m="1" x="5813"/>
        <item m="1" x="1221"/>
        <item m="1" x="5201"/>
        <item m="1" x="6160"/>
        <item m="1" x="958"/>
        <item m="1" x="4324"/>
        <item m="1" x="4869"/>
        <item m="1" x="5151"/>
        <item m="1" x="4970"/>
        <item m="1" x="5946"/>
        <item m="1" x="5984"/>
        <item m="1" x="6016"/>
        <item m="1" x="5115"/>
        <item m="1" x="1557"/>
        <item m="1" x="6380"/>
        <item m="1" x="1592"/>
        <item m="1" x="520"/>
        <item m="1" x="556"/>
        <item m="1" x="4996"/>
        <item m="1" x="6559"/>
        <item m="1" x="6317"/>
        <item m="1" x="6343"/>
        <item m="1" x="265"/>
        <item m="1" x="4428"/>
        <item m="1" x="241"/>
        <item m="1" x="4939"/>
        <item m="1" x="3928"/>
        <item m="1" x="95"/>
        <item m="1" x="123"/>
        <item m="1" x="148"/>
        <item m="1" x="289"/>
        <item m="1" x="318"/>
        <item m="1" x="4838"/>
        <item m="1" x="779"/>
        <item m="1" x="1042"/>
        <item m="1" x="1074"/>
        <item m="1" x="4540"/>
        <item m="1" x="1187"/>
        <item m="1" x="3958"/>
        <item m="1" x="4018"/>
        <item m="1" x="4049"/>
        <item m="1" x="4100"/>
        <item m="1" x="887"/>
        <item m="1" x="924"/>
        <item m="1" x="1001"/>
        <item m="1" x="1769"/>
        <item m="1" x="1801"/>
        <item m="1" x="1864"/>
        <item m="1" x="1899"/>
        <item m="1" x="1929"/>
        <item m="1" x="1958"/>
        <item m="1" x="2140"/>
        <item m="1" x="2174"/>
        <item m="1" x="5228"/>
        <item m="1" x="6141"/>
        <item m="1" x="6177"/>
        <item m="1" x="6213"/>
        <item m="1" x="6243"/>
        <item m="1" x="6269"/>
        <item m="1" x="5669"/>
        <item m="1" x="5743"/>
        <item m="1" x="6456"/>
        <item m="1" x="485"/>
        <item m="1" x="6049"/>
        <item m="1" x="703"/>
        <item m="1" x="739"/>
        <item m="1" x="1359"/>
        <item m="1" x="1422"/>
        <item m="1" x="1460"/>
        <item m="1" x="1490"/>
        <item m="1" x="816"/>
        <item m="1" x="4255"/>
        <item m="1" x="4290"/>
        <item m="1" x="4393"/>
        <item m="1" x="4509"/>
        <item m="1" x="4021"/>
        <item m="1" x="6589"/>
        <item m="1" x="6622"/>
        <item m="1" x="6655"/>
        <item m="1" x="6688"/>
        <item m="1" x="371"/>
        <item m="1" x="399"/>
        <item m="1" x="418"/>
        <item m="1" x="449"/>
        <item m="1" x="850"/>
        <item m="1" x="6494"/>
        <item m="1" x="6820"/>
        <item m="1" x="5056"/>
        <item m="1" x="4131"/>
        <item m="1" x="5399"/>
        <item m="1" x="5429"/>
        <item m="1" x="5460"/>
        <item m="1" x="5550"/>
        <item m="1" x="5681"/>
        <item m="1" x="1984"/>
        <item m="1" x="1995"/>
        <item m="1" x="2014"/>
        <item m="1" x="2028"/>
        <item m="1" x="2042"/>
        <item m="1" x="2059"/>
        <item m="1" x="2082"/>
        <item m="1" x="2099"/>
        <item m="1" x="2119"/>
        <item m="1" x="2152"/>
        <item m="1" x="2171"/>
        <item m="1" x="2187"/>
        <item m="1" x="2203"/>
        <item m="1" x="2224"/>
        <item m="1" x="2236"/>
        <item m="1" x="2248"/>
        <item m="1" x="275"/>
        <item m="1" x="3586"/>
        <item m="1" x="3668"/>
        <item m="1" x="4285"/>
        <item m="1" x="3274"/>
        <item m="1" x="3567"/>
        <item m="1" x="3810"/>
        <item m="1" x="3512"/>
        <item m="1" x="4352"/>
        <item m="1" x="4387"/>
        <item m="1" x="3229"/>
        <item m="1" x="3287"/>
        <item m="1" x="2763"/>
        <item m="1" x="1623"/>
        <item m="1" x="3912"/>
        <item m="1" x="3941"/>
        <item m="1" x="3966"/>
        <item m="1" x="3997"/>
        <item m="1" x="4027"/>
        <item m="1" x="4084"/>
        <item m="1" x="4110"/>
        <item m="1" x="4815"/>
        <item m="1" x="2800"/>
        <item m="1" x="6188"/>
        <item m="1" x="6164"/>
        <item m="1" x="6205"/>
        <item m="1" x="6220"/>
        <item m="1" x="6238"/>
        <item m="1" x="6252"/>
        <item m="1" x="6264"/>
        <item m="1" x="2859"/>
        <item m="1" x="5973"/>
        <item m="1" x="5990"/>
        <item m="1" x="6007"/>
        <item m="1" x="6022"/>
        <item m="1" x="6041"/>
        <item m="1" x="6055"/>
        <item m="1" x="6366"/>
        <item m="1" x="6426"/>
        <item m="1" x="3258"/>
        <item m="1" x="3370"/>
        <item m="1" x="6694"/>
        <item m="1" x="3335"/>
        <item m="1" x="6645"/>
        <item m="1" x="6661"/>
        <item m="1" x="6577"/>
        <item m="1" x="3140"/>
        <item m="1" x="3169"/>
        <item m="1" x="3187"/>
        <item m="1" x="6826"/>
        <item m="1" x="6072"/>
        <item m="1" x="6594"/>
        <item m="1" x="6744"/>
        <item m="1" x="3128"/>
        <item m="1" x="2714"/>
        <item m="1" x="2780"/>
        <item m="1" x="4405"/>
        <item m="1" x="3650"/>
        <item m="1" x="81"/>
        <item m="1" x="105"/>
        <item m="1" x="133"/>
        <item m="1" x="196"/>
        <item m="1" x="226"/>
        <item m="1" x="252"/>
        <item m="1" x="297"/>
        <item m="1" x="326"/>
        <item m="1" x="2533"/>
        <item m="1" x="2554"/>
        <item m="1" x="2574"/>
        <item m="1" x="3747"/>
        <item m="1" x="3799"/>
        <item m="1" x="3835"/>
        <item m="1" x="3881"/>
        <item m="1" x="3918"/>
        <item m="1" x="6321"/>
        <item m="1" x="6333"/>
        <item m="1" x="6348"/>
        <item m="1" x="3732"/>
        <item m="1" x="2271"/>
        <item m="1" x="2289"/>
        <item m="1" x="2302"/>
        <item m="1" x="2494"/>
        <item m="1" x="3893"/>
        <item m="1" x="3937"/>
        <item m="1" x="4005"/>
        <item m="1" x="4054"/>
        <item m="1" x="4091"/>
        <item m="1" x="4114"/>
        <item m="1" x="4193"/>
        <item m="1" x="4223"/>
        <item m="1" x="4250"/>
        <item m="1" x="4267"/>
        <item m="1" x="3632"/>
        <item m="1" x="3683"/>
        <item m="1" x="3716"/>
        <item m="1" x="6279"/>
        <item m="1" x="2839"/>
        <item m="1" x="2874"/>
        <item m="1" x="3155"/>
        <item m="1" x="6946"/>
        <item m="1" x="4023"/>
        <item m="1" x="6499"/>
        <item m="1" x="3451"/>
        <item m="1" x="2513"/>
        <item m="1" x="349"/>
        <item m="1" x="379"/>
        <item m="1" x="3821"/>
        <item m="1" x="3863"/>
        <item m="1" x="6387"/>
        <item m="1" x="6409"/>
        <item m="1" x="6444"/>
        <item m="1" x="6481"/>
        <item m="1" x="3303"/>
        <item m="1" x="3316"/>
        <item m="1" x="3354"/>
        <item m="1" x="3469"/>
        <item m="1" x="3483"/>
        <item m="1" x="3701"/>
        <item m="1" x="4441"/>
        <item m="1" x="4139"/>
        <item m="1" x="6515"/>
        <item m="1" x="3852"/>
        <item m="1" x="6808"/>
        <item m="1" x="3543"/>
        <item m="1" x="4127"/>
        <item m="1" x="4079"/>
        <item m="1" x="4372"/>
        <item m="1" x="4333"/>
        <item m="1" x="6844"/>
        <item m="1" x="4239"/>
        <item m="1" x="6916"/>
        <item m="1" x="6933"/>
        <item m="1" x="6966"/>
        <item m="1" x="3526"/>
        <item m="1" x="4159"/>
        <item m="1" x="4173"/>
        <item m="1" x="6612"/>
        <item m="1" x="5371"/>
        <item m="1" x="5647"/>
        <item m="1" x="2072"/>
        <item m="1" x="2137"/>
        <item m="1" x="2330"/>
        <item m="1" x="3003"/>
        <item m="1" x="3907"/>
        <item m="1" x="3948"/>
        <item m="1" x="3963"/>
        <item m="1" x="3990"/>
        <item m="1" x="4037"/>
        <item m="1" x="4104"/>
        <item m="1" x="6132"/>
        <item m="1" x="6463"/>
        <item m="1" x="2594"/>
        <item m="1" x="4454"/>
        <item m="1" x="4469"/>
        <item m="1" x="6563"/>
        <item m="1" x="2747"/>
        <item m="1" x="6547"/>
        <item m="1" x="2655"/>
        <item m="1" x="2889"/>
        <item m="1" x="2906"/>
        <item m="1" x="6859"/>
        <item m="1" x="6114"/>
        <item m="1" x="4303"/>
        <item m="1" x="4206"/>
        <item m="1" x="6759"/>
        <item m="1" x="6778"/>
        <item m="1" x="6090"/>
        <item m="1" x="140"/>
        <item m="1" x="155"/>
        <item m="1" x="186"/>
        <item m="1" x="205"/>
        <item m="1" x="218"/>
        <item m="1" x="233"/>
        <item m="1" x="835"/>
        <item m="1" x="293"/>
        <item m="1" x="1243"/>
        <item m="1" x="1545"/>
        <item m="1" x="1396"/>
        <item m="1" x="1412"/>
        <item m="1" x="1447"/>
        <item m="1" x="1466"/>
        <item m="1" x="908"/>
        <item m="1" x="282"/>
        <item m="1" x="709"/>
        <item m="1" x="1225"/>
        <item m="1" x="1046"/>
        <item m="1" x="1176"/>
        <item m="1" x="1990"/>
        <item m="1" x="2005"/>
        <item m="1" x="6326"/>
        <item m="1" x="6474"/>
        <item m="1" x="1579"/>
        <item m="1" x="4956"/>
        <item m="1" x="6508"/>
        <item m="1" x="5541"/>
        <item m="1" x="4667"/>
        <item m="1" x="4678"/>
        <item m="1" x="4843"/>
        <item m="1" x="304"/>
        <item m="1" x="333"/>
        <item m="1" x="343"/>
        <item m="1" x="626"/>
        <item m="1" x="647"/>
        <item m="1" x="727"/>
        <item m="1" x="4873"/>
        <item m="1" x="4907"/>
        <item m="1" x="4924"/>
        <item m="1" x="5136"/>
        <item m="1" x="5434"/>
        <item m="1" x="5722"/>
        <item m="1" x="5739"/>
        <item m="1" x="5777"/>
        <item m="1" x="5792"/>
        <item m="1" x="5828"/>
        <item m="1" x="5847"/>
        <item m="1" x="5897"/>
        <item m="1" x="5914"/>
        <item m="1" x="5929"/>
        <item m="1" x="5960"/>
        <item m="1" x="5980"/>
        <item m="1" x="5997"/>
        <item m="1" x="6014"/>
        <item m="1" x="6032"/>
        <item m="1" x="6047"/>
        <item m="1" x="6065"/>
        <item m="1" x="6104"/>
        <item m="1" x="6145"/>
        <item m="1" x="4600"/>
        <item m="1" x="6452"/>
        <item m="1" x="5216"/>
        <item m="1" x="5231"/>
        <item m="1" x="1191"/>
        <item m="1" x="2024"/>
        <item m="1" x="5417"/>
        <item m="1" x="5119"/>
        <item m="1" x="6540"/>
        <item m="1" x="6158"/>
        <item m="1" x="5686"/>
        <item m="1" x="6436"/>
        <item m="1" x="4398"/>
        <item m="1" x="5179"/>
        <item m="1" x="5375"/>
        <item m="1" x="5404"/>
        <item m="1" x="5513"/>
        <item m="1" x="4326"/>
        <item m="1" x="4646"/>
        <item m="1" x="4942"/>
        <item m="1" x="4365"/>
        <item m="1" x="4381"/>
        <item m="1" x="5478"/>
        <item m="1" x="5494"/>
        <item m="1" x="4573"/>
        <item m="1" x="4613"/>
        <item m="1" x="1061"/>
        <item m="1" x="1078"/>
        <item m="1" x="2604"/>
        <item m="1" x="2089"/>
        <item m="1" x="2181"/>
        <item m="1" x="2194"/>
        <item m="1" x="2215"/>
        <item m="1" x="2229"/>
        <item m="1" x="2240"/>
        <item m="1" x="2253"/>
        <item m="1" x="1258"/>
        <item m="1" x="2391"/>
        <item m="1" x="2428"/>
        <item m="1" x="2446"/>
        <item m="1" x="964"/>
        <item m="1" x="986"/>
        <item m="1" x="2265"/>
        <item m="1" x="2546"/>
        <item m="1" x="2568"/>
        <item m="1" x="2584"/>
        <item m="1" x="2623"/>
        <item m="1" x="2667"/>
        <item m="1" x="1888"/>
        <item m="1" x="1935"/>
        <item m="1" x="1027"/>
        <item m="1" x="1326"/>
        <item m="1" x="1343"/>
        <item m="1" x="1364"/>
        <item m="1" x="1383"/>
        <item m="1" x="1481"/>
        <item m="1" x="421"/>
        <item m="1" x="472"/>
        <item m="1" x="1835"/>
        <item m="1" x="391"/>
        <item m="1" x="1093"/>
        <item m="1" x="1616"/>
        <item m="1" x="1207"/>
        <item m="1" x="1742"/>
        <item m="1" x="2297"/>
        <item m="1" x="2486"/>
        <item m="1" x="2280"/>
        <item m="1" x="2309"/>
        <item m="1" x="2323"/>
        <item m="1" x="2340"/>
        <item m="1" x="2355"/>
        <item m="1" x="2374"/>
        <item m="1" x="2406"/>
        <item m="1" x="2465"/>
        <item m="1" x="854"/>
        <item m="1" x="871"/>
        <item m="1" x="891"/>
        <item m="1" x="928"/>
        <item m="1" x="1005"/>
        <item m="1" x="1106"/>
        <item m="1" x="1629"/>
        <item m="1" x="2644"/>
        <item m="1" x="2686"/>
        <item m="1" x="1428"/>
        <item m="1" x="1904"/>
        <item m="1" x="1948"/>
        <item m="1" x="1976"/>
        <item m="1" x="2109"/>
        <item m="1" x="2127"/>
        <item m="1" x="2145"/>
        <item m="1" x="2036"/>
        <item m="1" x="245"/>
        <item m="1" x="1870"/>
        <item m="1" x="1919"/>
        <item m="1" x="1965"/>
        <item m="1" x="1683"/>
        <item m="1" x="1699"/>
        <item m="1" x="2051"/>
        <item m="1" x="2065"/>
        <item m="1" x="2078"/>
        <item m="1" x="1493"/>
        <item m="1" x="1509"/>
        <item m="1" x="3113"/>
        <item m="1" x="2161"/>
        <item m="1" x="258"/>
        <item m="1" x="526"/>
        <item m="1" x="1120"/>
        <item m="1" x="1272"/>
        <item m="1" x="1290"/>
        <item m="1" x="1311"/>
        <item m="1" x="1645"/>
        <item m="1" x="1851"/>
        <item m="1" x="5572"/>
        <item m="1" x="763"/>
        <item m="1" x="355"/>
        <item m="1" x="369"/>
        <item m="1" x="388"/>
        <item m="1" x="416"/>
        <item m="1" x="432"/>
        <item m="1" x="446"/>
        <item m="1" x="462"/>
        <item m="1" x="758"/>
        <item m="1" x="777"/>
        <item m="1" x="501"/>
        <item m="1" x="3964"/>
        <item m="1" x="4082"/>
        <item m="1" x="4095"/>
        <item m="1" x="4108"/>
        <item m="1" x="4129"/>
        <item m="1" x="4143"/>
        <item m="1" x="4162"/>
        <item m="1" x="4176"/>
        <item m="1" x="4195"/>
        <item m="1" x="4208"/>
        <item m="1" x="4226"/>
        <item m="1" x="4254"/>
        <item m="1" x="4270"/>
        <item m="1" x="4289"/>
        <item m="1" x="4306"/>
        <item m="1" x="4321"/>
        <item m="1" x="4337"/>
        <item m="1" x="4358"/>
        <item m="1" x="4376"/>
        <item m="1" x="3289"/>
        <item m="1" x="3305"/>
        <item m="1" x="3318"/>
        <item m="1" x="3340"/>
        <item m="1" x="3358"/>
        <item m="1" x="3375"/>
        <item m="1" x="3390"/>
        <item m="1" x="3405"/>
        <item m="1" x="3550"/>
        <item m="1" x="3572"/>
        <item m="1" x="3203"/>
        <item m="1" x="3217"/>
        <item m="1" x="3976"/>
        <item m="1" x="3994"/>
        <item m="1" x="4009"/>
        <item m="1" x="4026"/>
        <item m="1" x="4058"/>
        <item m="1" x="3855"/>
        <item m="1" x="3813"/>
        <item m="1" x="4482"/>
        <item m="1" x="4493"/>
        <item m="1" x="3939"/>
        <item m="1" x="3070"/>
        <item m="1" x="3084"/>
        <item m="1" x="3116"/>
        <item m="1" x="3131"/>
        <item m="1" x="3159"/>
        <item m="1" x="2422"/>
        <item m="1" x="6525"/>
        <item m="1" x="6398"/>
        <item m="1" x="6619"/>
        <item m="1" x="6652"/>
        <item m="1" x="5246"/>
        <item m="1" x="5277"/>
        <item m="1" x="5301"/>
        <item m="1" x="5356"/>
        <item m="1" x="5388"/>
        <item m="1" x="5166"/>
        <item m="1" x="6260"/>
        <item m="1" x="4496"/>
        <item m="1" x="4698"/>
        <item m="1" x="4712"/>
        <item m="1" x="5587"/>
        <item m="1" x="5331"/>
        <item m="1" x="4413"/>
        <item m="1" x="4487"/>
        <item m="1" x="4526"/>
        <item m="1" x="4553"/>
        <item m="1" x="5464"/>
        <item m="1" x="6181"/>
        <item m="1" x="4512"/>
        <item m="1" x="4763"/>
        <item m="1" x="4792"/>
        <item m="1" x="4804"/>
        <item m="1" x="4827"/>
        <item m="1" x="5075"/>
        <item m="1" x="5090"/>
        <item m="1" x="6357"/>
        <item m="1" x="6377"/>
        <item m="1" x="4627"/>
        <item m="1" x="5191"/>
        <item m="1" x="5555"/>
        <item m="1" x="6231"/>
        <item m="1" x="6273"/>
        <item m="1" x="6302"/>
        <item m="1" x="6314"/>
        <item m="1" x="4464"/>
        <item m="1" x="4475"/>
        <item m="1" x="4746"/>
        <item m="1" x="4543"/>
        <item m="1" x="320"/>
        <item m="1" x="668"/>
        <item m="1" x="687"/>
        <item m="1" x="742"/>
        <item m="1" x="4183"/>
        <item m="1" x="4214"/>
        <item m="1" x="4230"/>
        <item m="1" x="4260"/>
        <item m="1" x="4277"/>
        <item m="1" x="4295"/>
        <item m="1" x="4310"/>
        <item m="1" x="4343"/>
        <item m="1" x="4585"/>
        <item m="1" x="5043"/>
        <item m="1" x="5760"/>
        <item m="1" x="5810"/>
        <item m="1" x="5862"/>
        <item m="1" x="5878"/>
        <item m="1" x="5944"/>
        <item m="1" x="5203"/>
        <item m="1" x="6126"/>
        <item m="1" x="4888"/>
        <item m="1" x="6586"/>
        <item m="1" x="5528"/>
        <item m="1" x="5605"/>
        <item m="1" x="5622"/>
        <item m="1" x="5652"/>
        <item m="1" x="5667"/>
        <item m="1" x="5704"/>
        <item m="1" x="6247"/>
        <item m="1" x="4433"/>
        <item m="1" x="4447"/>
        <item m="1" x="6196"/>
        <item m="1" x="3921"/>
        <item m="1" x="6467"/>
        <item m="1" x="4550"/>
        <item m="1" x="6569"/>
        <item m="1" x="410"/>
        <item m="1" x="2559"/>
        <item m="1" x="2578"/>
        <item m="1" x="2598"/>
        <item m="1" x="2616"/>
        <item m="1" x="2660"/>
        <item m="1" x="2683"/>
        <item m="1" x="2699"/>
        <item m="1" x="2719"/>
        <item m="1" x="2767"/>
        <item m="1" x="2786"/>
        <item m="1" x="2824"/>
        <item m="1" x="2844"/>
        <item m="1" x="2862"/>
        <item m="1" x="2893"/>
        <item m="1" x="4638"/>
        <item m="1" x="4659"/>
        <item m="1" x="6335"/>
        <item m="1" x="6352"/>
        <item m="1" x="6370"/>
        <item m="1" x="3637"/>
        <item m="1" x="4117"/>
        <item m="1" x="4444"/>
        <item m="1" x="4758"/>
        <item m="1" x="4507"/>
        <item m="1" x="4391"/>
        <item m="1" x="4407"/>
        <item m="1" x="4426"/>
        <item m="1" x="316"/>
        <item m="1" x="4814"/>
        <item m="1" x="253"/>
        <item m="1" x="2384"/>
        <item m="1" x="3277"/>
        <item m="1" x="3868"/>
        <item m="1" x="4538"/>
        <item m="1" x="6390"/>
        <item m="1" x="6413"/>
        <item m="1" x="6431"/>
        <item m="1" x="6448"/>
        <item m="1" x="6581"/>
        <item m="1" x="3654"/>
        <item m="1" x="2499"/>
        <item m="1" x="3143"/>
        <item m="1" x="3735"/>
        <item m="1" x="2639"/>
        <item m="1" x="2752"/>
        <item m="1" x="2910"/>
        <item m="1" x="2928"/>
        <item m="1" x="2944"/>
        <item m="1" x="2991"/>
        <item m="1" x="3024"/>
        <item m="1" x="3053"/>
        <item m="1" x="4739"/>
        <item m="1" x="604"/>
        <item m="1" x="84"/>
        <item m="1" x="4787"/>
        <item m="1" x="2519"/>
        <item m="1" x="122"/>
        <item m="1" x="2734"/>
        <item m="1" x="2805"/>
        <item m="1" x="3099"/>
        <item m="1" x="330"/>
        <item m="1" x="483"/>
        <item m="1" x="4459"/>
        <item m="1" x="228"/>
        <item m="1" x="264"/>
        <item m="1" x="278"/>
        <item m="1" x="518"/>
        <item m="1" x="575"/>
        <item m="1" x="643"/>
        <item m="1" x="661"/>
        <item m="1" x="721"/>
        <item m="1" x="3007"/>
        <item m="1" x="3038"/>
        <item m="1" x="3687"/>
        <item m="1" x="3885"/>
        <item m="1" x="3896"/>
        <item m="1" x="3910"/>
        <item m="1" x="4042"/>
        <item m="1" x="4068"/>
        <item m="1" x="4521"/>
        <item m="1" x="4772"/>
        <item m="1" x="2960"/>
        <item m="1" x="136"/>
        <item m="1" x="398"/>
        <item m="1" x="620"/>
        <item m="1" x="3840"/>
        <item m="1" x="4567"/>
        <item m="1" x="2539"/>
        <item m="1" x="2877"/>
        <item m="1" x="3175"/>
        <item m="1" x="3231"/>
        <item m="1" x="3260"/>
        <item m="1" x="3673"/>
        <item m="1" x="3721"/>
        <item m="1" x="3767"/>
        <item m="1" x="3782"/>
        <item m="1" x="3704"/>
        <item m="1" x="4051"/>
        <item m="1" x="3750"/>
        <item m="1" x="3802"/>
        <item m="1" x="3826"/>
        <item m="1" x="6634"/>
        <item m="1" x="583"/>
        <item m="1" x="597"/>
        <item m="1" x="674"/>
        <item m="1" x="693"/>
        <item m="1" x="731"/>
        <item m="1" x="1662"/>
        <item m="1" x="1704"/>
        <item m="1" x="513"/>
        <item m="1" x="549"/>
        <item m="1" x="749"/>
        <item m="1" x="770"/>
        <item m="1" x="806"/>
        <item m="1" x="823"/>
        <item m="1" x="840"/>
        <item m="1" x="860"/>
        <item m="1" x="876"/>
        <item m="1" x="898"/>
        <item m="1" x="971"/>
        <item m="1" x="991"/>
        <item m="1" x="1011"/>
        <item m="1" x="1031"/>
        <item m="1" x="1050"/>
        <item m="1" x="1083"/>
        <item m="1" x="1112"/>
        <item m="1" x="1124"/>
        <item m="1" x="1140"/>
        <item m="1" x="1180"/>
        <item m="1" x="1197"/>
        <item m="1" x="1212"/>
        <item m="1" x="1231"/>
        <item m="1" x="1263"/>
        <item m="1" x="1296"/>
        <item m="1" x="1314"/>
        <item m="1" x="1329"/>
        <item m="1" x="1350"/>
        <item m="1" x="1370"/>
        <item m="1" x="1387"/>
        <item m="1" x="1400"/>
        <item m="1" x="1415"/>
        <item m="1" x="1434"/>
        <item m="1" x="1486"/>
        <item m="1" x="1531"/>
        <item m="1" x="1552"/>
        <item m="1" x="1568"/>
        <item m="1" x="1584"/>
        <item m="1" x="2491"/>
        <item m="1" x="1794"/>
        <item m="1" x="1823"/>
        <item m="1" x="1892"/>
        <item m="1" x="1909"/>
        <item m="1" x="1940"/>
        <item m="1" x="1980"/>
        <item m="1" x="2038"/>
        <item m="1" x="2056"/>
        <item m="1" x="2166"/>
        <item m="1" x="2245"/>
        <item m="1" x="1809"/>
        <item m="1" x="1951"/>
        <item m="1" x="1993"/>
        <item m="1" x="2010"/>
        <item m="1" x="2150"/>
        <item m="1" x="2080"/>
        <item m="1" x="2095"/>
        <item m="1" x="2132"/>
        <item m="1" x="2198"/>
        <item m="1" x="1968"/>
        <item m="1" x="434"/>
        <item m="1" x="469"/>
        <item m="1" x="487"/>
        <item m="1" x="505"/>
        <item m="1" x="522"/>
        <item m="1" x="542"/>
        <item m="1" x="559"/>
        <item m="1" x="608"/>
        <item m="1" x="452"/>
        <item m="1" x="400"/>
        <item m="1" x="1561"/>
        <item m="1" x="2100"/>
        <item m="1" x="2138"/>
        <item m="1" x="2172"/>
        <item m="1" x="2237"/>
        <item m="1" x="2249"/>
        <item m="1" x="2259"/>
        <item m="1" x="2273"/>
        <item m="1" x="2347"/>
        <item m="1" x="2366"/>
        <item m="1" x="2398"/>
        <item m="1" x="1420"/>
        <item m="1" x="1880"/>
        <item m="1" x="2316"/>
        <item m="1" x="5629"/>
        <item m="1" x="6793"/>
        <item m="1" x="4241"/>
        <item m="1" x="6008"/>
        <item m="1" x="6043"/>
        <item m="1" x="6057"/>
        <item m="1" x="6093"/>
        <item m="1" x="6136"/>
        <item m="1" x="6190"/>
        <item m="1" x="1044"/>
        <item m="1" x="6955"/>
        <item m="1" x="5380"/>
        <item m="1" x="3516"/>
        <item m="1" x="4148"/>
        <item m="1" x="4180"/>
        <item m="1" x="4197"/>
        <item m="1" x="4243"/>
        <item m="1" x="4292"/>
        <item m="1" x="3000"/>
        <item m="1" x="2630"/>
        <item m="1" x="2692"/>
        <item m="1" x="2712"/>
        <item m="1" x="2728"/>
        <item m="1" x="5193"/>
        <item m="1" x="97"/>
        <item m="1" x="4029"/>
        <item m="1" x="6920"/>
        <item m="1" x="1718"/>
        <item m="1" x="1731"/>
        <item m="1" x="1748"/>
        <item m="1" x="2798"/>
        <item m="1" x="2820"/>
        <item m="1" x="5124"/>
        <item m="1" x="5143"/>
        <item m="1" x="5159"/>
        <item m="1" x="5171"/>
        <item m="1" x="2896"/>
        <item m="1" x="3042"/>
        <item m="1" x="3146"/>
        <item m="1" x="3162"/>
        <item m="1" x="3179"/>
        <item m="1" x="3207"/>
        <item m="1" x="3222"/>
        <item m="1" x="3235"/>
        <item m="1" x="4887"/>
        <item m="1" x="4777"/>
        <item m="1" x="3120"/>
        <item m="1" x="6876"/>
        <item m="1" x="6893"/>
        <item m="1" x="6906"/>
        <item m="1" x="6804"/>
        <item m="1" x="440"/>
        <item m="1" x="3034"/>
        <item m="1" x="4718"/>
        <item m="1" x="5782"/>
        <item m="1" x="87"/>
        <item m="1" x="666"/>
        <item m="1" x="725"/>
        <item m="1" x="852"/>
        <item m="1" x="5361"/>
        <item m="1" x="6627"/>
        <item m="1" x="2978"/>
        <item m="1" x="5543"/>
        <item m="1" x="4855"/>
        <item m="1" x="5033"/>
        <item m="1" x="5065"/>
        <item m="1" x="3379"/>
        <item m="1" x="3409"/>
        <item m="1" x="6486"/>
        <item m="1" x="6552"/>
        <item m="1" x="6615"/>
        <item m="1" x="1675"/>
        <item m="1" x="2269"/>
        <item m="1" x="6186"/>
        <item m="1" x="6200"/>
        <item m="1" x="6362"/>
        <item m="1" x="6382"/>
        <item m="1" x="798"/>
        <item m="1" x="3194"/>
        <item m="1" x="4071"/>
        <item m="1" x="4096"/>
        <item m="1" x="4462"/>
        <item m="1" x="4474"/>
        <item m="1" x="4817"/>
        <item m="1" x="4871"/>
        <item m="1" x="6717"/>
        <item m="1" x="959"/>
        <item m="1" x="984"/>
        <item m="1" x="1002"/>
        <item m="1" x="1023"/>
        <item m="1" x="4257"/>
        <item m="1" x="945"/>
        <item m="1" x="457"/>
        <item m="1" x="568"/>
        <item m="1" x="4577"/>
        <item m="1" x="4589"/>
        <item m="1" x="5391"/>
        <item m="1" x="3659"/>
        <item m="1" x="373"/>
        <item m="1" x="2955"/>
        <item m="1" x="5868"/>
        <item m="1" x="5883"/>
        <item m="1" x="6086"/>
        <item m="1" x="6111"/>
        <item m="1" x="6129"/>
        <item m="1" x="6151"/>
        <item m="1" x="6161"/>
        <item m="1" x="6459"/>
        <item m="1" x="6479"/>
        <item m="1" x="3609"/>
        <item m="1" x="3641"/>
        <item m="1" x="476"/>
        <item m="1" x="3676"/>
        <item m="1" x="4702"/>
        <item m="1" x="4732"/>
        <item m="1" x="4822"/>
        <item m="1" x="4832"/>
        <item m="1" x="4848"/>
        <item m="1" x="4862"/>
        <item m="1" x="4878"/>
        <item m="1" x="4895"/>
        <item m="1" x="4912"/>
        <item m="1" x="4929"/>
        <item m="1" x="4989"/>
        <item m="1" x="5003"/>
        <item m="1" x="5016"/>
        <item m="1" x="5048"/>
        <item m="1" x="1160"/>
        <item m="1" x="4744"/>
        <item m="1" x="1690"/>
        <item m="1" x="2745"/>
        <item m="1" x="2933"/>
        <item m="1" x="3135"/>
        <item m="1" x="2609"/>
        <item m="1" x="2676"/>
        <item m="1" x="3019"/>
        <item m="1" x="5206"/>
        <item m="1" x="2474"/>
        <item m="1" x="2511"/>
        <item m="1" x="2530"/>
        <item m="1" x="2552"/>
        <item m="1" x="2571"/>
        <item m="1" x="2592"/>
        <item m="1" x="5836"/>
        <item m="1" x="5852"/>
        <item m="1" x="332"/>
        <item m="1" x="341"/>
        <item m="1" x="358"/>
        <item m="1" x="390"/>
        <item m="1" x="1059"/>
        <item m="1" x="1076"/>
        <item m="1" x="1092"/>
        <item m="1" x="1103"/>
        <item m="1" x="1118"/>
        <item m="1" x="1133"/>
        <item m="1" x="1148"/>
        <item m="1" x="3575"/>
        <item m="1" x="3594"/>
        <item m="1" x="3725"/>
        <item m="1" x="3737"/>
        <item m="1" x="3754"/>
        <item m="1" x="3771"/>
        <item m="1" x="4059"/>
        <item m="1" x="4164"/>
        <item m="1" x="4825"/>
        <item m="1" x="2836"/>
        <item m="1" x="4761"/>
        <item m="1" x="5467"/>
        <item m="1" x="5480"/>
        <item m="1" x="5499"/>
        <item m="1" x="5515"/>
        <item m="1" x="5531"/>
        <item m="1" x="6610"/>
        <item m="1" x="6690"/>
        <item m="1" x="4905"/>
        <item m="1" x="713"/>
        <item m="1" x="1773"/>
        <item m="1" x="6747"/>
        <item m="1" x="6676"/>
        <item m="1" x="4134"/>
        <item m="1" x="4947"/>
        <item m="1" x="4977"/>
        <item m="1" x="4525"/>
        <item m="1" x="4961"/>
        <item m="1" x="5421"/>
        <item m="1" x="6701"/>
        <item m="1" x="6730"/>
        <item m="1" x="6814"/>
        <item m="1" x="494"/>
        <item m="1" x="614"/>
        <item m="1" x="634"/>
        <item m="1" x="654"/>
        <item m="1" x="787"/>
        <item m="1" x="914"/>
        <item m="1" x="934"/>
        <item m="1" x="949"/>
        <item m="1" x="1064"/>
        <item m="1" x="1096"/>
        <item m="1" x="1155"/>
        <item m="1" x="1166"/>
        <item m="1" x="1248"/>
        <item m="1" x="1277"/>
        <item m="1" x="1452"/>
        <item m="1" x="1471"/>
        <item m="1" x="1500"/>
        <item m="1" x="1513"/>
        <item m="1" x="1840"/>
        <item m="1" x="1855"/>
        <item m="1" x="1876"/>
        <item m="1" x="1922"/>
        <item m="1" x="2067"/>
        <item m="1" x="2117"/>
        <item m="1" x="2185"/>
        <item m="1" x="2222"/>
        <item m="1" x="4546"/>
        <item m="1" x="4604"/>
        <item m="1" x="4616"/>
        <item m="1" x="4632"/>
        <item m="1" x="4654"/>
        <item m="1" x="4752"/>
        <item m="1" x="4768"/>
        <item m="1" x="4782"/>
        <item m="1" x="4797"/>
        <item m="1" x="4810"/>
        <item m="1" x="5250"/>
        <item m="1" x="5265"/>
        <item m="1" x="5640"/>
        <item m="1" x="5671"/>
        <item m="1" x="5709"/>
        <item m="1" x="5817"/>
        <item m="1" x="5968"/>
        <item m="1" x="5986"/>
        <item m="1" x="6003"/>
        <item m="1" x="6018"/>
        <item m="1" x="6051"/>
        <item m="1" x="6069"/>
        <item m="1" x="6422"/>
        <item m="1" x="6442"/>
        <item m="1" x="6710"/>
        <item m="1" x="6723"/>
        <item m="1" x="6741"/>
        <item m="1" x="6755"/>
        <item m="1" x="6773"/>
        <item m="1" x="6789"/>
        <item m="1" x="6822"/>
        <item m="1" x="6840"/>
        <item m="1" x="6855"/>
        <item m="1" x="6871"/>
        <item m="1" x="6885"/>
        <item m="1" x="6902"/>
        <item m="1" x="6914"/>
        <item m="1" x="6930"/>
        <item m="1" x="6943"/>
        <item m="1" x="6964"/>
        <item m="1" x="113"/>
        <item m="1" x="420"/>
        <item m="1" x="1175"/>
        <item m="1" x="3028"/>
        <item m="1" x="3059"/>
        <item m="1" x="3075"/>
        <item m="1" x="3089"/>
        <item m="1" x="3424"/>
        <item m="1" x="3532"/>
        <item m="1" x="3553"/>
        <item m="1" x="3787"/>
        <item m="1" x="3805"/>
        <item m="1" x="3827"/>
        <item m="1" x="3844"/>
        <item m="1" x="3887"/>
        <item m="1" x="4510"/>
        <item m="1" x="4552"/>
        <item m="1" x="4584"/>
        <item m="1" x="4922"/>
        <item m="1" x="4940"/>
        <item m="1" x="4955"/>
        <item m="1" x="4971"/>
        <item m="1" x="4997"/>
        <item m="1" x="5028"/>
        <item m="1" x="5042"/>
        <item m="1" x="5057"/>
        <item m="1" x="5072"/>
        <item m="1" x="5088"/>
        <item m="1" x="5118"/>
        <item m="1" x="5152"/>
        <item m="1" x="5165"/>
        <item m="1" x="6848"/>
        <item m="1" x="3064"/>
        <item m="1" x="4671"/>
        <item m="1" x="5408"/>
        <item m="1" x="184"/>
        <item m="1" x="216"/>
        <item m="1" x="232"/>
        <item m="1" x="244"/>
        <item m="1" x="257"/>
        <item m="1" x="267"/>
        <item m="1" x="281"/>
        <item m="1" x="291"/>
        <item m="1" x="302"/>
        <item m="1" x="319"/>
        <item m="1" x="4211"/>
        <item m="1" x="5561"/>
        <item m="1" x="5576"/>
        <item m="1" x="4395"/>
        <item m="1" x="4412"/>
        <item m="1" x="4430"/>
        <item m="1" x="4625"/>
        <item m="1" x="4644"/>
        <item m="1" x="4840"/>
        <item m="1" x="6781"/>
        <item m="1" x="6797"/>
        <item m="1" x="6969"/>
        <item m="1" x="5745"/>
        <item m="1" x="5766"/>
        <item m="1" x="5799"/>
        <item m="1" x="5903"/>
        <item m="1" x="5919"/>
        <item m="1" x="6496"/>
        <item m="1" x="6643"/>
        <item m="1" x="6657"/>
        <item m="1" x="3011"/>
        <item m="1" x="3456"/>
        <item m="1" x="3473"/>
        <item m="1" x="3488"/>
        <item m="1" x="3505"/>
        <item m="1" x="4695"/>
        <item m="1" x="4710"/>
        <item m="1" x="4726"/>
        <item m="1" x="4275"/>
        <item m="1" x="5095"/>
        <item m="1" x="5727"/>
        <item m="1" x="6037"/>
        <item m="1" x="6406"/>
        <item m="1" x="623"/>
        <item m="1" x="707"/>
        <item m="1" x="761"/>
        <item m="1" x="2867"/>
        <item m="1" x="2882"/>
        <item m="1" x="3708"/>
        <item m="1" x="3858"/>
        <item m="1" x="4045"/>
        <item m="1" x="2652"/>
        <item m="1" x="3049"/>
        <item m="1" x="2915"/>
        <item m="1" x="4014"/>
        <item m="1" x="4120"/>
        <item m="1" x="4341"/>
        <item m="1" x="4361"/>
        <item m="1" x="4380"/>
        <item m="1" x="4676"/>
        <item m="1" x="4789"/>
        <item m="1" x="4076"/>
        <item m="1" x="1618"/>
        <item m="1" x="1636"/>
        <item m="1" x="1649"/>
        <item m="1" x="6530"/>
        <item m="1" x="6545"/>
        <item m="1" x="6560"/>
        <item m="1" x="6575"/>
        <item m="1" x="6592"/>
        <item m="1" x="3102"/>
        <item m="1" x="3692"/>
        <item m="1" x="4684"/>
        <item m="1" x="4309"/>
        <item m="1" x="221"/>
        <item m="1" x="1196"/>
        <item m="1" x="438"/>
        <item m="1" x="473"/>
        <item m="1" x="528"/>
        <item m="1" x="580"/>
        <item m="1" x="3365"/>
        <item m="1" x="3638"/>
        <item m="1" x="1608"/>
        <item m="1" x="1696"/>
        <item m="1" x="5699"/>
        <item m="1" x="5737"/>
        <item m="1" x="5757"/>
        <item m="1" x="5775"/>
        <item m="1" x="6122"/>
        <item m="1" x="6142"/>
        <item m="1" x="6157"/>
        <item m="1" x="6178"/>
        <item m="1" x="6195"/>
        <item m="1" x="6214"/>
        <item m="1" x="6226"/>
        <item m="1" x="6244"/>
        <item m="1" x="6256"/>
        <item m="1" x="6270"/>
        <item m="1" x="6432"/>
        <item m="1" x="6488"/>
        <item m="1" x="5214"/>
        <item m="1" x="3785"/>
        <item m="1" x="5943"/>
        <item m="1" x="6078"/>
        <item m="1" x="1680"/>
        <item m="1" x="3027"/>
        <item m="1" x="3246"/>
        <item m="1" x="3262"/>
        <item m="1" x="3291"/>
        <item m="1" x="5340"/>
        <item m="1" x="6392"/>
        <item m="1" x="2964"/>
        <item m="1" x="5539"/>
        <item m="1" x="5957"/>
        <item m="1" x="5978"/>
        <item m="1" x="6100"/>
        <item m="1" x="1975"/>
        <item m="1" x="2459"/>
        <item m="1" x="751"/>
        <item m="1" x="4388"/>
        <item m="1" x="3619"/>
        <item m="1" x="5208"/>
        <item m="1" x="5349"/>
        <item m="1" x="5236"/>
        <item m="1" x="5267"/>
        <item m="1" x="5294"/>
        <item m="1" x="5306"/>
        <item m="1" x="5321"/>
        <item m="1" x="5333"/>
        <item m="1" x="5855"/>
        <item m="1" x="4992"/>
        <item m="1" x="3908"/>
        <item m="1" x="366"/>
        <item m="1" x="380"/>
        <item m="1" x="406"/>
        <item m="1" x="5223"/>
        <item m="1" x="5284"/>
        <item m="1" x="5365"/>
        <item m="1" x="5546"/>
        <item m="1" x="4965"/>
        <item m="1" x="1321"/>
        <item m="1" x="1393"/>
        <item m="1" x="1230"/>
        <item m="1" x="2437"/>
        <item m="1" x="6862"/>
        <item m="1" x="6891"/>
        <item m="1" x="5437"/>
        <item m="1" x="2291"/>
        <item m="1" x="5415"/>
        <item m="1" x="1284"/>
        <item m="1" x="1345"/>
        <item m="1" x="5211"/>
        <item m="1" x="5225"/>
        <item m="1" x="5238"/>
        <item m="1" x="5253"/>
        <item m="1" x="5268"/>
        <item m="1" x="5285"/>
        <item m="1" x="5307"/>
        <item m="1" x="5323"/>
        <item m="1" x="5334"/>
        <item m="1" x="5351"/>
        <item m="1" x="5367"/>
        <item m="1" x="5383"/>
        <item m="1" x="5396"/>
        <item m="1" x="5413"/>
        <item m="1" x="5425"/>
        <item m="1" x="5444"/>
        <item m="1" x="5750"/>
        <item m="1" x="838"/>
        <item m="1" x="896"/>
        <item m="1" x="1306"/>
        <item m="1" x="3607"/>
        <item m="1" x="3657"/>
        <item m="1" x="3724"/>
        <item m="1" x="3753"/>
        <item m="1" x="5551"/>
        <item m="1" x="5618"/>
        <item m="1" x="5635"/>
        <item m="1" x="4935"/>
        <item m="1" x="4952"/>
        <item m="1" x="4967"/>
        <item m="1" x="5168"/>
        <item m="1" x="2501"/>
        <item m="1" x="2524"/>
        <item m="1" x="2541"/>
        <item m="1" x="2564"/>
        <item m="1" x="2580"/>
        <item m="1" x="2601"/>
        <item m="1" x="5461"/>
        <item m="1" x="5926"/>
        <item m="1" x="6537"/>
        <item m="1" x="6554"/>
        <item m="1" x="5229"/>
        <item m="1" x="2016"/>
        <item m="1" x="6613"/>
        <item m="1" x="6632"/>
        <item m="1" x="6647"/>
        <item m="1" x="6680"/>
        <item m="1" x="6728"/>
        <item m="1" x="6745"/>
        <item m="1" x="6761"/>
        <item m="1" x="6779"/>
        <item m="1" x="6795"/>
        <item m="1" x="6845"/>
        <item m="1" x="6874"/>
        <item m="1" x="6919"/>
        <item m="1" x="6952"/>
        <item m="1" x="6967"/>
        <item m="1" x="393"/>
        <item m="1" x="405"/>
        <item m="1" x="413"/>
        <item m="1" x="425"/>
        <item m="1" x="455"/>
        <item m="1" x="509"/>
        <item m="1" x="547"/>
        <item m="1" x="566"/>
        <item m="1" x="3137"/>
        <item m="1" x="3150"/>
        <item m="1" x="3166"/>
        <item m="1" x="3183"/>
        <item m="1" x="3198"/>
        <item m="1" x="3210"/>
        <item m="1" x="3239"/>
        <item m="1" x="3282"/>
        <item m="1" x="3674"/>
        <item m="1" x="3690"/>
        <item m="1" x="3736"/>
        <item m="1" x="3769"/>
        <item m="1" x="5790"/>
        <item m="1" x="3219"/>
        <item m="1" x="1896"/>
        <item m="1" x="5506"/>
        <item m="1" x="5522"/>
        <item m="1" x="5536"/>
        <item m="1" x="5547"/>
        <item m="1" x="5566"/>
        <item m="1" x="5581"/>
        <item m="1" x="5614"/>
        <item m="1" x="5676"/>
        <item m="1" x="6501"/>
        <item m="1" x="6549"/>
        <item m="1" x="6566"/>
        <item m="1" x="6578"/>
        <item m="1" x="117"/>
        <item m="1" x="1049"/>
        <item m="1" x="1484"/>
        <item m="1" x="1497"/>
        <item m="1" x="3728"/>
        <item m="1" x="5077"/>
        <item m="1" x="5358"/>
        <item m="1" x="2046"/>
        <item m="1" x="2063"/>
        <item m="1" x="2074"/>
        <item m="1" x="2086"/>
        <item m="1" x="2103"/>
        <item m="1" x="2123"/>
        <item m="1" x="2945"/>
        <item m="1" x="2974"/>
        <item m="1" x="3009"/>
        <item m="1" x="5258"/>
        <item m="1" x="5490"/>
        <item m="1" x="6668"/>
        <item m="1" x="6732"/>
        <item m="1" x="6748"/>
        <item m="1" x="6765"/>
        <item m="1" x="6783"/>
        <item m="1" x="6815"/>
        <item m="1" x="6832"/>
        <item m="1" x="6850"/>
        <item m="1" x="6811"/>
        <item m="1" x="6517"/>
        <item m="1" x="6534"/>
        <item m="1" x="5824"/>
        <item m="1" x="5876"/>
        <item m="1" x="5893"/>
        <item m="1" x="6389"/>
        <item m="1" x="6297"/>
        <item m="1" x="2304"/>
        <item m="1" x="3695"/>
        <item m="1" x="1242"/>
        <item m="1" x="3406"/>
        <item m="1" x="3422"/>
        <item m="1" x="3454"/>
        <item m="1" x="3487"/>
        <item m="1" x="6570"/>
        <item m="1" x="6583"/>
        <item m="1" x="6702"/>
        <item m="1" x="2333"/>
        <item m="1" x="5772"/>
        <item m="1" x="6428"/>
        <item m="1" x="595"/>
        <item m="1" x="712"/>
        <item m="1" x="729"/>
        <item m="1" x="3929"/>
        <item m="1" x="5476"/>
        <item m="1" x="1009"/>
        <item m="1" x="4987"/>
        <item m="1" x="5002"/>
        <item m="1" x="5014"/>
        <item m="1" x="6465"/>
        <item m="1" x="1368"/>
        <item m="1" x="3573"/>
        <item m="1" x="5400"/>
        <item m="1" x="3706"/>
        <item m="1" x="5807"/>
        <item m="1" x="5844"/>
        <item m="1" x="2484"/>
        <item m="1" x="1970"/>
        <item m="1" x="1985"/>
        <item m="1" x="5785"/>
        <item m="1" x="5509"/>
        <item m="1" x="5525"/>
        <item m="1" x="5648"/>
        <item m="1" x="5663"/>
        <item m="1" x="5295"/>
        <item m="1" x="5109"/>
        <item m="1" x="1138"/>
        <item m="1" x="1082"/>
        <item m="1" x="5185"/>
        <item m="1" x="5197"/>
        <item m="1" x="858"/>
        <item m="1" x="874"/>
        <item m="1" x="3144"/>
        <item m="1" x="3591"/>
        <item m="1" x="5682"/>
        <item m="1" x="5719"/>
        <item m="1" x="1404"/>
        <item m="1" x="1439"/>
        <item m="1" x="1457"/>
        <item m="1" x="1666"/>
        <item m="1" x="1677"/>
        <item m="1" x="2454"/>
        <item m="1" x="2477"/>
        <item m="1" x="2496"/>
        <item m="1" x="6267"/>
        <item m="1" x="6281"/>
        <item m="1" x="6294"/>
        <item m="1" x="6310"/>
        <item m="1" x="128"/>
        <item m="1" x="359"/>
        <item m="1" x="375"/>
        <item m="1" x="2159"/>
        <item m="1" x="2175"/>
        <item m="1" x="2191"/>
        <item m="1" x="2207"/>
        <item m="1" x="2226"/>
        <item m="1" x="6635"/>
        <item m="1" x="3348"/>
        <item m="1" x="947"/>
        <item m="1" x="5148"/>
        <item m="1" x="4032"/>
        <item m="1" x="1926"/>
        <item m="1" x="6025"/>
        <item m="1" x="491"/>
        <item m="1" x="5243"/>
        <item m="1" x="2083"/>
        <item m="1" x="3297"/>
        <item m="1" x="1275"/>
        <item m="1" x="2120"/>
        <item m="1" x="2043"/>
        <item m="1" x="632"/>
        <item m="1" x="6450"/>
        <item m="1" x="6683"/>
        <item m="1" x="6895"/>
        <item m="1" x="3268"/>
        <item m="1" x="1256"/>
        <item m="1" x="6521"/>
        <item m="1" x="2419"/>
        <item m="1" x="2382"/>
        <item m="1" x="932"/>
        <item m="1" x="1360"/>
        <item m="1" x="1408"/>
        <item m="1" x="1423"/>
        <item m="1" x="1444"/>
        <item m="1" x="1461"/>
        <item m="1" x="1491"/>
        <item m="1" x="1506"/>
        <item m="1" x="6830"/>
        <item m="1" x="3160"/>
        <item m="1" x="4529"/>
        <item m="1" x="3205"/>
        <item m="1" x="6411"/>
        <item m="1" x="6445"/>
        <item m="1" x="6939"/>
        <item m="1" x="6957"/>
        <item m="1" x="6971"/>
        <item m="1" x="5128"/>
        <item m="1" x="5872"/>
        <item m="1" x="5889"/>
        <item m="1" x="5906"/>
        <item m="1" x="5923"/>
        <item m="1" x="5939"/>
        <item m="1" x="5952"/>
        <item m="1" x="5974"/>
        <item m="1" x="5992"/>
        <item m="1" x="3875"/>
        <item m="1" x="4122"/>
        <item m="1" x="2350"/>
        <item m="1" x="3133"/>
        <item m="1" x="6504"/>
        <item m="1" x="6600"/>
        <item m="1" x="656"/>
        <item m="1" x="3119"/>
        <item m="1" x="5430"/>
        <item m="1" x="5448"/>
        <item m="1" x="5910"/>
        <item m="1" x="5804"/>
        <item m="1" x="1478"/>
        <item m="1" x="867"/>
        <item m="1" x="882"/>
        <item m="1" x="902"/>
        <item m="1" x="920"/>
        <item m="1" x="941"/>
        <item m="1" x="954"/>
        <item m="1" x="978"/>
        <item m="1" x="997"/>
        <item m="1" x="1018"/>
        <item m="1" x="1038"/>
        <item m="1" x="1055"/>
        <item m="1" x="1070"/>
        <item m="1" x="1089"/>
        <item m="1" x="1115"/>
        <item m="1" x="1144"/>
        <item m="1" x="1157"/>
        <item m="1" x="1171"/>
        <item m="1" x="1186"/>
        <item m="1" x="1203"/>
        <item m="1" x="1219"/>
        <item m="1" x="1236"/>
        <item m="1" x="1253"/>
        <item m="1" x="1267"/>
        <item m="1" x="1281"/>
        <item m="1" x="1302"/>
        <item m="1" x="1317"/>
        <item m="1" x="1334"/>
        <item m="1" x="1357"/>
        <item m="1" x="1376"/>
        <item m="1" x="1998"/>
        <item m="1" x="2206"/>
        <item m="1" x="2515"/>
        <item m="1" x="2537"/>
        <item m="1" x="2557"/>
        <item m="1" x="2577"/>
        <item m="1" x="2615"/>
        <item m="1" x="2635"/>
        <item m="1" x="2658"/>
        <item m="1" x="2679"/>
        <item m="1" x="2748"/>
        <item m="1" x="2765"/>
        <item m="1" x="2781"/>
        <item m="1" x="2803"/>
        <item m="1" x="2841"/>
        <item m="1" x="2860"/>
        <item m="1" x="2876"/>
        <item m="1" x="2891"/>
        <item m="1" x="2909"/>
        <item m="1" x="2926"/>
        <item m="1" x="2959"/>
        <item m="1" x="2973"/>
        <item m="1" x="2988"/>
        <item m="1" x="3022"/>
        <item m="1" x="3052"/>
        <item m="1" x="3114"/>
        <item m="1" x="3141"/>
        <item m="1" x="3157"/>
        <item m="1" x="3171"/>
        <item m="1" x="3201"/>
        <item m="1" x="3216"/>
        <item m="1" x="3245"/>
        <item m="1" x="3338"/>
        <item m="1" x="3355"/>
        <item m="1" x="3372"/>
        <item m="1" x="4883"/>
        <item m="1" x="4903"/>
        <item m="1" x="5052"/>
        <item m="1" x="5069"/>
        <item m="1" x="5080"/>
        <item m="1" x="5099"/>
        <item m="1" x="5113"/>
        <item m="1" x="5162"/>
        <item m="1" x="5173"/>
        <item m="1" x="5472"/>
        <item m="1" x="5658"/>
        <item m="1" x="5714"/>
        <item m="1" x="5732"/>
        <item m="1" x="6074"/>
        <item m="1" x="6116"/>
        <item m="1" x="6153"/>
        <item m="1" x="6170"/>
        <item m="1" x="6208"/>
        <item m="1" x="6221"/>
        <item m="1" x="6240"/>
        <item m="1" x="6254"/>
        <item m="1" x="6483"/>
        <item m="1" x="236"/>
        <item m="1" x="248"/>
        <item m="1" x="747"/>
        <item m="1" x="767"/>
        <item m="1" x="785"/>
        <item m="1" x="802"/>
        <item m="1" x="989"/>
        <item m="1" x="1122"/>
        <item m="1" x="1210"/>
        <item m="1" x="1294"/>
        <item m="1" x="1469"/>
        <item m="1" x="1511"/>
        <item m="1" x="1527"/>
        <item m="1" x="1547"/>
        <item m="1" x="3429"/>
        <item m="1" x="3447"/>
        <item m="1" x="3521"/>
        <item m="1" x="3539"/>
        <item m="1" x="3612"/>
        <item m="1" x="4152"/>
        <item m="1" x="4187"/>
        <item m="1" x="4202"/>
        <item m="1" x="4218"/>
        <item m="1" x="4234"/>
        <item m="1" x="4244"/>
        <item m="1" x="4263"/>
        <item m="1" x="4280"/>
        <item m="1" x="4299"/>
        <item m="1" x="4312"/>
        <item m="1" x="4330"/>
        <item m="1" x="4347"/>
        <item m="1" x="4369"/>
        <item m="1" x="4383"/>
        <item m="1" x="4400"/>
        <item m="1" x="4415"/>
        <item m="1" x="4435"/>
        <item m="1" x="4466"/>
        <item m="1" x="4476"/>
        <item m="1" x="4489"/>
        <item m="1" x="4498"/>
        <item m="1" x="4515"/>
        <item m="1" x="4545"/>
        <item m="1" x="4556"/>
        <item m="1" x="4576"/>
        <item m="1" x="4586"/>
        <item m="1" x="4603"/>
        <item m="1" x="4614"/>
        <item m="1" x="4631"/>
        <item m="1" x="4651"/>
        <item m="1" x="4670"/>
        <item m="1" x="4681"/>
        <item m="1" x="4700"/>
        <item m="1" x="4714"/>
        <item m="1" x="4731"/>
        <item m="1" x="4748"/>
        <item m="1" x="4765"/>
        <item m="1" x="4779"/>
        <item m="1" x="4796"/>
        <item m="1" x="4807"/>
        <item m="1" x="4820"/>
        <item m="1" x="4829"/>
        <item m="1" x="4845"/>
        <item m="1" x="4858"/>
        <item m="1" x="4876"/>
        <item m="1" x="4892"/>
        <item m="1" x="4910"/>
        <item m="1" x="4926"/>
        <item m="1" x="4946"/>
        <item m="1" x="4958"/>
        <item m="1" x="5032"/>
        <item m="1" x="5063"/>
        <item m="1" x="1540"/>
        <item m="1" x="1558"/>
        <item m="1" x="1574"/>
        <item m="1" x="1593"/>
        <item m="1" x="1624"/>
        <item m="1" x="1642"/>
        <item m="1" x="1655"/>
        <item m="1" x="1670"/>
        <item m="1" x="1711"/>
        <item m="1" x="1726"/>
        <item m="1" x="1738"/>
        <item m="1" x="1758"/>
        <item m="1" x="1770"/>
        <item m="1" x="1785"/>
        <item m="1" x="1802"/>
        <item m="1" x="1820"/>
        <item m="1" x="1831"/>
        <item m="1" x="1849"/>
        <item m="1" x="1865"/>
        <item m="1" x="1885"/>
        <item m="1" x="1900"/>
        <item m="1" x="1916"/>
        <item m="1" x="1930"/>
        <item m="1" x="1946"/>
        <item m="1" x="1959"/>
        <item m="1" x="2292"/>
        <item m="1" x="2307"/>
        <item m="1" x="2319"/>
        <item m="1" x="2403"/>
        <item m="1" x="2423"/>
        <item m="1" x="2444"/>
        <item m="1" x="3039"/>
        <item m="1" x="3056"/>
        <item m="1" x="3071"/>
        <item m="1" x="3278"/>
        <item m="1" x="3306"/>
        <item m="1" x="3321"/>
        <item m="1" x="3341"/>
        <item m="1" x="3360"/>
        <item m="1" x="3377"/>
        <item m="1" x="6324"/>
        <item m="1" x="6337"/>
        <item m="1" x="6353"/>
        <item m="1" x="6372"/>
        <item m="1" x="6415"/>
        <item m="1" x="1095"/>
        <item m="1" x="1262"/>
        <item m="1" x="1941"/>
        <item m="1" x="1313"/>
        <item m="1" x="3832"/>
        <item m="1" x="3861"/>
        <item m="1" x="2662"/>
        <item m="1" x="2879"/>
        <item m="1" x="5456"/>
        <item m="1" x="5820"/>
        <item m="1" x="5840"/>
        <item m="1" x="5857"/>
        <item m="1" x="3192"/>
        <item m="1" x="3233"/>
        <item m="1" x="1381"/>
        <item m="1" x="2030"/>
        <item m="1" x="1653"/>
        <item m="1" x="1828"/>
        <item m="1" x="1844"/>
        <item m="1" x="1860"/>
        <item m="1" x="5597"/>
        <item m="1" x="5630"/>
        <item m="1" x="5644"/>
        <item m="1" x="6598"/>
        <item m="1" x="6665"/>
        <item m="1" x="6699"/>
        <item m="1" x="6713"/>
        <item m="1" x="5093"/>
        <item m="1" x="5327"/>
        <item m="1" x="5601"/>
        <item m="1" x="6284"/>
        <item m="1" x="3991"/>
        <item m="1" x="6350"/>
        <item m="1" x="691"/>
        <item m="1" x="1063"/>
        <item m="1" x="1736"/>
        <item m="1" x="1753"/>
        <item m="1" x="1779"/>
        <item m="1" x="1798"/>
        <item m="1" x="1814"/>
        <item m="1" x="2189"/>
        <item m="1" x="5486"/>
        <item m="1" x="5695"/>
        <item m="1" x="157"/>
        <item m="1" x="174"/>
        <item m="1" x="189"/>
        <item m="1" x="259"/>
        <item m="1" x="305"/>
        <item m="1" x="321"/>
        <item m="1" x="969"/>
        <item m="1" x="3413"/>
        <item m="1" x="3464"/>
        <item m="1" x="3478"/>
        <item m="1" x="3493"/>
        <item m="1" x="3560"/>
        <item m="1" x="3581"/>
        <item m="1" x="3598"/>
        <item m="1" x="3644"/>
        <item m="1" x="3662"/>
        <item m="1" x="3679"/>
        <item m="1" x="3712"/>
        <item m="1" x="3959"/>
        <item m="1" x="1519"/>
        <item m="1" x="2034"/>
        <item m="1" x="5273"/>
        <item m="1" x="5290"/>
        <item m="1" x="5298"/>
        <item m="1" x="6865"/>
        <item m="1" x="6878"/>
        <item m="1" x="6935"/>
        <item m="1" x="6904"/>
        <item m="1" x="611"/>
        <item m="1" x="2155"/>
        <item m="1" x="1153"/>
        <item m="1" x="1165"/>
        <item m="1" x="1178"/>
        <item m="1" x="3225"/>
        <item m="1" x="3329"/>
        <item m="1" x="3740"/>
        <item m="1" x="3758"/>
        <item m="1" x="3775"/>
        <item m="1" x="3792"/>
        <item m="1" x="3808"/>
        <item m="1" x="3817"/>
        <item m="1" x="3847"/>
        <item m="1" x="2371"/>
        <item m="1" x="2385"/>
        <item m="1" x="2865"/>
        <item m="1" x="2911"/>
        <item m="1" x="2931"/>
        <item m="1" x="6063"/>
        <item m="1" x="912"/>
        <item m="1" x="2642"/>
        <item m="1" x="4102"/>
        <item m="1" x="4982"/>
        <item m="1" x="651"/>
        <item m="1" x="672"/>
        <item m="1" x="3251"/>
        <item m="1" x="3310"/>
        <item m="1" x="5995"/>
        <item m="1" x="6013"/>
        <item m="1" x="6031"/>
        <item m="1" x="6046"/>
        <item m="1" x="1029"/>
        <item m="1" x="4448"/>
        <item m="1" x="1339"/>
        <item m="1" x="2868"/>
        <item m="1" x="3773"/>
        <item m="1" x="3755"/>
        <item m="1" x="3927"/>
        <item m="1" x="3643"/>
        <item m="1" x="3970"/>
        <item m="1" x="3882"/>
        <item m="1" x="1533"/>
        <item m="1" x="1555"/>
        <item m="1" x="1570"/>
        <item m="1" x="82"/>
        <item m="1" x="93"/>
        <item m="1" x="3717"/>
        <item m="1" x="5424"/>
        <item m="1" x="5627"/>
        <item m="1" x="5643"/>
        <item m="1" x="5656"/>
        <item m="1" x="5674"/>
        <item m="1" x="5693"/>
        <item m="1" x="5713"/>
        <item m="1" x="5749"/>
        <item m="1" x="5770"/>
        <item m="1" x="5784"/>
        <item m="1" x="5802"/>
        <item m="1" x="5503"/>
        <item m="1" x="809"/>
        <item m="1" x="1402"/>
        <item m="1" x="1419"/>
        <item m="1" x="1437"/>
        <item m="1" x="1455"/>
        <item m="1" x="1473"/>
        <item m="1" x="4480"/>
        <item m="1" x="4491"/>
        <item m="1" x="4502"/>
        <item m="1" x="4517"/>
        <item m="1" x="4534"/>
        <item m="1" x="4547"/>
        <item m="1" x="4564"/>
        <item m="1" x="4578"/>
        <item m="1" x="4592"/>
        <item m="1" x="4607"/>
        <item m="1" x="1587"/>
        <item m="1" x="1706"/>
        <item m="1" x="3544"/>
        <item m="1" x="3568"/>
        <item m="1" x="3587"/>
        <item m="1" x="1372"/>
        <item m="1" x="879"/>
        <item m="1" x="843"/>
        <item m="1" x="1142"/>
        <item m="1" x="1279"/>
        <item m="1" x="3604"/>
        <item m="1" x="3949"/>
        <item m="1" x="4160"/>
        <item m="1" x="4470"/>
        <item m="1" x="4656"/>
        <item m="1" x="5484"/>
        <item m="1" x="4406"/>
        <item m="1" x="1099"/>
        <item m="1" x="3733"/>
        <item m="1" x="4898"/>
        <item m="1" x="5455"/>
        <item m="1" x="5469"/>
        <item m="1" x="5519"/>
        <item m="1" x="5533"/>
        <item m="1" x="5579"/>
        <item m="1" x="5594"/>
        <item m="1" x="5611"/>
        <item m="1" x="5730"/>
        <item m="1" x="733"/>
        <item m="1" x="4194"/>
        <item m="1" x="4240"/>
        <item m="1" x="4251"/>
        <item m="1" x="4268"/>
        <item m="1" x="4286"/>
        <item m="1" x="4304"/>
        <item m="1" x="4318"/>
        <item m="1" x="4334"/>
        <item m="1" x="5019"/>
        <item m="1" x="5035"/>
        <item m="1" x="5050"/>
        <item m="1" x="5066"/>
        <item m="1" x="771"/>
        <item m="1" x="1389"/>
        <item m="1" x="2375"/>
        <item m="1" x="276"/>
        <item m="1" x="298"/>
        <item m="1" x="1775"/>
        <item m="1" x="1797"/>
        <item m="1" x="3864"/>
        <item m="1" x="4174"/>
        <item m="1" x="146"/>
        <item m="1" x="1014"/>
        <item m="1" x="1052"/>
        <item m="1" x="1067"/>
        <item m="1" x="1086"/>
        <item m="1" x="1114"/>
        <item m="1" x="1127"/>
        <item m="1" x="1298"/>
        <item m="1" x="1719"/>
        <item m="1" x="3748"/>
        <item m="1" x="4140"/>
        <item m="1" x="4672"/>
        <item m="1" x="4949"/>
        <item m="1" x="5395"/>
        <item m="1" x="5411"/>
        <item m="1" x="1664"/>
        <item m="1" x="3763"/>
        <item m="1" x="3513"/>
        <item m="1" x="994"/>
        <item m="1" x="3974"/>
        <item m="1" x="4006"/>
        <item m="1" x="4024"/>
        <item m="1" x="4038"/>
        <item m="1" x="4055"/>
        <item m="1" x="4067"/>
        <item m="1" x="4080"/>
        <item m="1" x="790"/>
        <item m="1" x="106"/>
        <item m="1" x="121"/>
        <item m="1" x="134"/>
        <item m="1" x="676"/>
        <item m="1" x="4105"/>
        <item m="1" x="4115"/>
        <item m="1" x="4373"/>
        <item m="1" x="1765"/>
        <item m="1" x="161"/>
        <item m="1" x="3500"/>
        <item m="1" x="696"/>
        <item m="1" x="715"/>
        <item m="1" x="314"/>
        <item m="1" x="327"/>
        <item m="1" x="350"/>
        <item m="1" x="396"/>
        <item m="1" x="937"/>
        <item m="1" x="1651"/>
        <item m="1" x="1734"/>
        <item m="1" x="3894"/>
        <item m="1" x="3919"/>
        <item m="1" x="3938"/>
        <item m="1" x="4207"/>
        <item m="1" x="5145"/>
        <item m="1" x="5442"/>
        <item m="1" x="5870"/>
        <item m="1" x="442"/>
        <item m="1" x="826"/>
        <item m="1" x="953"/>
        <item m="1" x="4224"/>
        <item m="1" x="917"/>
        <item m="1" x="1184"/>
        <item m="1" x="4353"/>
        <item m="1" x="4455"/>
        <item m="1" x="4916"/>
        <item m="1" x="4933"/>
        <item m="1" x="5006"/>
        <item m="1" x="4092"/>
        <item m="1" x="5563"/>
        <item m="1" x="1637"/>
        <item m="1" x="1316"/>
        <item m="1" x="1332"/>
        <item m="1" x="1749"/>
        <item m="1" x="4619"/>
        <item m="1" x="4634"/>
        <item m="1" x="4687"/>
        <item m="1" x="1355"/>
        <item m="1" x="1676"/>
        <item m="1" x="5623"/>
        <item m="1" x="5945"/>
        <item m="1" x="6015"/>
        <item m="1" x="6048"/>
        <item m="1" x="6105"/>
        <item m="1" x="6303"/>
        <item m="1" x="6327"/>
        <item m="1" x="6340"/>
        <item m="1" x="6261"/>
        <item m="1" x="5879"/>
        <item m="1" x="5898"/>
        <item m="1" x="5930"/>
        <item m="1" x="5981"/>
        <item m="1" x="5653"/>
        <item m="1" x="5705"/>
        <item m="1" x="6232"/>
        <item m="1" x="6557"/>
        <item m="1" x="6605"/>
        <item m="1" x="6639"/>
        <item m="1" x="6738"/>
        <item m="1" x="6785"/>
        <item m="1" x="6882"/>
        <item m="1" x="3237"/>
        <item m="1" x="3308"/>
        <item m="1" x="3345"/>
        <item m="1" x="5740"/>
        <item m="1" x="5761"/>
        <item m="1" x="5848"/>
        <item m="1" x="6315"/>
        <item m="1" x="6399"/>
        <item m="1" x="3362"/>
        <item m="1" x="6453"/>
        <item m="1" x="6975"/>
        <item m="1" x="5961"/>
        <item m="1" x="5998"/>
        <item m="1" x="6033"/>
        <item m="1" x="6066"/>
        <item m="1" x="6083"/>
        <item m="1" x="6127"/>
        <item m="1" x="6146"/>
        <item m="1" x="6182"/>
        <item m="1" x="6217"/>
        <item m="1" x="5606"/>
        <item m="1" x="6437"/>
        <item m="1" x="5811"/>
        <item m="1" x="5829"/>
        <item m="1" x="6248"/>
        <item m="1" x="6509"/>
        <item m="1" x="6526"/>
        <item m="1" x="6901"/>
        <item m="1" x="6912"/>
        <item m="1" x="6475"/>
        <item m="1" x="6492"/>
        <item m="1" x="6927"/>
        <item m="1" x="6963"/>
        <item m="1" x="6941"/>
        <item m="1" x="2407"/>
        <item m="1" x="2429"/>
        <item m="1" x="2447"/>
        <item m="1" x="2466"/>
        <item m="1" x="2487"/>
        <item m="1" x="2507"/>
        <item m="1" x="2527"/>
        <item m="1" x="2547"/>
        <item m="1" x="5556"/>
        <item m="1" x="5638"/>
        <item m="1" x="6378"/>
        <item m="1" x="5573"/>
        <item m="1" x="5588"/>
        <item m="1" x="5668"/>
        <item m="1" x="5687"/>
        <item m="1" x="3163"/>
        <item m="1" x="3181"/>
        <item m="1" x="5778"/>
        <item m="1" x="6719"/>
        <item m="1" x="6802"/>
        <item m="1" x="6819"/>
        <item m="1" x="6837"/>
        <item m="1" x="6851"/>
        <item m="1" x="6159"/>
        <item m="1" x="6197"/>
        <item m="1" x="6274"/>
        <item m="1" x="1504"/>
        <item m="1" x="300"/>
        <item m="1" x="370"/>
        <item m="1" x="1539"/>
        <item m="1" x="1442"/>
        <item m="1" x="555"/>
        <item m="1" x="576"/>
        <item m="1" x="1391"/>
        <item m="1" x="447"/>
        <item m="1" x="1337"/>
        <item m="1" x="1380"/>
        <item m="1" x="886"/>
        <item m="1" x="5925"/>
        <item m="1" x="5287"/>
        <item m="1" x="3886"/>
        <item m="1" x="5326"/>
        <item m="1" x="1477"/>
        <item m="1" x="1516"/>
        <item m="1" x="1590"/>
        <item m="1" x="4969"/>
        <item m="1" x="4984"/>
        <item m="1" x="5010"/>
        <item m="1" x="2812"/>
        <item m="1" x="2965"/>
        <item m="1" x="484"/>
        <item m="1" x="3900"/>
        <item m="1" x="3915"/>
        <item m="1" x="3983"/>
        <item m="1" x="4000"/>
        <item m="1" x="2774"/>
        <item m="1" x="2790"/>
        <item m="1" x="2852"/>
        <item m="1" x="6096"/>
        <item m="1" x="6223"/>
        <item m="1" x="1607"/>
        <item m="1" x="1622"/>
        <item m="1" x="3841"/>
        <item m="1" x="3856"/>
        <item m="1" x="3869"/>
        <item m="1" x="3977"/>
        <item m="1" x="4010"/>
        <item m="1" x="4043"/>
        <item m="1" x="4069"/>
        <item m="1" x="4083"/>
        <item m="1" x="4109"/>
        <item m="1" x="5083"/>
        <item m="1" x="5103"/>
        <item m="1" x="2324"/>
        <item m="1" x="588"/>
        <item m="1" x="605"/>
        <item m="1" x="621"/>
        <item m="1" x="662"/>
        <item m="1" x="682"/>
        <item m="1" x="701"/>
        <item m="1" x="722"/>
        <item m="1" x="738"/>
        <item m="1" x="759"/>
        <item m="1" x="5458"/>
        <item m="1" x="5474"/>
        <item m="1" x="5488"/>
        <item m="1" x="5507"/>
        <item m="1" x="5523"/>
        <item m="1" x="5717"/>
        <item m="1" x="5734"/>
        <item m="1" x="5754"/>
        <item m="1" x="5774"/>
        <item m="1" x="5787"/>
        <item m="1" x="5806"/>
        <item m="1" x="5823"/>
        <item m="1" x="5842"/>
        <item m="1" x="5859"/>
        <item m="1" x="5874"/>
        <item m="1" x="5892"/>
        <item m="1" x="5908"/>
        <item m="1" x="2995"/>
        <item m="1" x="2006"/>
        <item m="1" x="2052"/>
        <item m="1" x="2216"/>
        <item m="1" x="2230"/>
        <item m="1" x="2241"/>
        <item m="1" x="2585"/>
        <item m="1" x="1573"/>
        <item m="1" x="4209"/>
        <item m="1" x="4227"/>
        <item m="1" x="4307"/>
        <item m="1" x="2981"/>
        <item m="1" x="2341"/>
        <item m="1" x="4031"/>
        <item m="1" x="4046"/>
        <item m="1" x="4271"/>
        <item m="1" x="4483"/>
        <item m="1" x="5583"/>
        <item m="1" x="5616"/>
        <item m="1" x="4130"/>
        <item m="1" x="3394"/>
        <item m="1" x="3517"/>
        <item m="1" x="4072"/>
        <item m="1" x="3995"/>
        <item m="1" x="3014"/>
        <item m="1" x="5956"/>
        <item m="1" x="2829"/>
        <item m="1" x="3136"/>
        <item m="1" x="3951"/>
        <item m="1" x="4118"/>
        <item m="1" x="2162"/>
        <item m="1" x="2645"/>
        <item m="1" x="2687"/>
        <item m="1" x="2705"/>
        <item m="1" x="2741"/>
        <item m="1" x="2755"/>
        <item m="1" x="3890"/>
        <item m="1" x="814"/>
        <item m="1" x="833"/>
        <item m="1" x="848"/>
        <item m="1" x="1459"/>
        <item m="1" x="1819"/>
        <item m="1" x="4322"/>
        <item m="1" x="4338"/>
        <item m="1" x="4359"/>
        <item m="1" x="4377"/>
        <item m="1" x="4392"/>
        <item m="1" x="4408"/>
        <item m="1" x="4427"/>
        <item m="1" x="4445"/>
        <item m="1" x="4460"/>
        <item m="1" x="4581"/>
        <item m="1" x="4596"/>
        <item m="1" x="4610"/>
        <item m="1" x="4674"/>
        <item m="1" x="4691"/>
        <item m="1" x="4707"/>
        <item m="1" x="4723"/>
        <item m="1" x="4788"/>
        <item m="1" x="4800"/>
        <item m="1" x="4853"/>
        <item m="1" x="4868"/>
        <item m="1" x="4773"/>
        <item m="1" x="5270"/>
        <item m="1" x="254"/>
        <item m="1" x="3693"/>
        <item m="1" x="3726"/>
        <item m="1" x="1977"/>
        <item m="1" x="356"/>
        <item m="1" x="5941"/>
        <item m="1" x="2356"/>
        <item m="1" x="5024"/>
        <item m="1" x="5040"/>
        <item m="1" x="5054"/>
        <item m="1" x="463"/>
        <item m="1" x="502"/>
        <item m="1" x="519"/>
        <item m="1" x="538"/>
        <item m="1" x="1041"/>
        <item m="1" x="5385"/>
        <item m="1" x="3922"/>
        <item m="1" x="2392"/>
        <item m="1" x="1022"/>
        <item m="1" x="1407"/>
        <item m="1" x="957"/>
        <item m="1" x="1783"/>
        <item m="1" x="1830"/>
        <item m="1" x="4740"/>
        <item m="1" x="3578"/>
        <item m="1" x="3123"/>
        <item m="1" x="5976"/>
        <item m="1" x="5256"/>
        <item m="1" x="943"/>
        <item m="1" x="906"/>
        <item m="1" x="3660"/>
        <item m="1" x="5071"/>
        <item m="1" x="3148"/>
        <item m="1" x="3944"/>
        <item m="1" x="4097"/>
        <item m="1" x="4522"/>
        <item m="1" x="4568"/>
        <item m="1" x="5994"/>
        <item m="1" x="6028"/>
        <item m="1" x="3044"/>
        <item m="1" x="5819"/>
        <item m="1" x="5838"/>
        <item m="1" x="1949"/>
        <item m="1" x="2569"/>
        <item m="1" x="3410"/>
        <item m="1" x="3425"/>
        <item m="1" x="3444"/>
        <item m="1" x="3458"/>
        <item m="1" x="3475"/>
        <item m="1" x="3489"/>
        <item m="1" x="3506"/>
        <item m="1" x="3555"/>
        <item m="1" x="644"/>
        <item m="1" x="1158"/>
        <item m="1" x="1205"/>
        <item m="1" x="1220"/>
        <item m="1" x="1240"/>
        <item m="1" x="1270"/>
        <item m="1" x="1282"/>
        <item m="1" x="1305"/>
        <item m="1" x="1319"/>
        <item m="1" x="1768"/>
        <item m="1" x="1800"/>
        <item m="1" x="1862"/>
        <item m="1" x="1884"/>
        <item m="1" x="1898"/>
        <item m="1" x="1915"/>
        <item m="1" x="1928"/>
        <item m="1" x="1945"/>
        <item m="1" x="1957"/>
        <item m="1" x="1974"/>
        <item m="1" x="1987"/>
        <item m="1" x="2002"/>
        <item m="1" x="2019"/>
        <item m="1" x="2033"/>
        <item m="1" x="2045"/>
        <item m="1" x="2062"/>
        <item m="1" x="2073"/>
        <item m="1" x="2085"/>
        <item m="1" x="2102"/>
        <item m="1" x="2158"/>
        <item m="1" x="2173"/>
        <item m="1" x="3911"/>
        <item m="1" x="3940"/>
        <item m="1" x="4759"/>
        <item m="1" x="4938"/>
        <item m="1" x="5414"/>
        <item m="1" x="5427"/>
        <item m="1" x="5446"/>
        <item m="1" x="3077"/>
        <item m="1" x="3739"/>
        <item m="1" x="3806"/>
        <item m="1" x="3816"/>
        <item m="1" x="4087"/>
        <item m="1" x="797"/>
        <item m="1" x="982"/>
        <item m="1" x="1848"/>
        <item m="1" x="3897"/>
        <item m="1" x="4177"/>
        <item m="1" x="4471"/>
        <item m="1" x="4622"/>
        <item m="1" x="4639"/>
        <item m="1" x="4660"/>
        <item m="1" x="3596"/>
        <item m="1" x="3873"/>
        <item m="1" x="5150"/>
        <item m="1" x="1630"/>
        <item m="1" x="1920"/>
        <item m="1" x="181"/>
        <item m="1" x="5336"/>
        <item m="1" x="5352"/>
        <item m="1" x="3965"/>
        <item m="1" x="1871"/>
        <item m="1" x="1657"/>
        <item m="1" x="1684"/>
        <item m="1" x="1700"/>
        <item m="1" x="1715"/>
        <item m="1" x="1743"/>
        <item m="1" x="1760"/>
        <item m="1" x="2090"/>
        <item m="1" x="2110"/>
        <item m="1" x="2128"/>
        <item m="1" x="2605"/>
        <item m="1" x="2624"/>
        <item m="1" x="279"/>
        <item m="1" x="411"/>
        <item m="1" x="417"/>
        <item m="1" x="1057"/>
        <item m="1" x="1073"/>
        <item m="1" x="1091"/>
        <item m="1" x="1102"/>
        <item m="1" x="1129"/>
        <item m="1" x="1146"/>
        <item m="1" x="1254"/>
        <item m="1" x="4144"/>
        <item m="1" x="4508"/>
        <item m="1" x="4539"/>
        <item m="1" x="4551"/>
        <item m="1" x="5296"/>
        <item m="1" x="5599"/>
        <item m="1" x="5310"/>
        <item m="1" x="6045"/>
        <item m="1" x="2266"/>
        <item m="1" x="2281"/>
        <item m="1" x="2298"/>
        <item m="1" x="2310"/>
        <item m="1" x="3830"/>
        <item m="1" x="3845"/>
        <item m="1" x="3860"/>
        <item m="1" x="201"/>
        <item m="1" x="213"/>
        <item m="1" x="229"/>
        <item m="1" x="240"/>
        <item m="1" x="1000"/>
        <item m="1" x="6010"/>
        <item m="1" x="6119"/>
        <item m="1" x="6138"/>
        <item m="1" x="6155"/>
        <item m="1" x="6174"/>
        <item m="1" x="6192"/>
        <item m="1" x="6211"/>
        <item m="1" x="1421"/>
        <item m="1" x="6060"/>
        <item m="1" x="3710"/>
        <item m="1" x="3106"/>
        <item m="1" x="4015"/>
        <item m="1" x="778"/>
        <item m="1" x="4921"/>
        <item m="1" x="4954"/>
        <item m="1" x="4995"/>
        <item m="1" x="1936"/>
        <item m="1" x="237"/>
        <item m="1" x="250"/>
        <item m="1" x="208"/>
        <item m="1" x="3300"/>
        <item m="1" x="3312"/>
        <item m="1" x="3350"/>
        <item m="1" x="3384"/>
        <item m="1" x="2610"/>
        <item m="1" x="2631"/>
        <item m="1" x="2653"/>
        <item m="1" x="2677"/>
        <item m="1" x="2693"/>
        <item m="1" x="2713"/>
        <item m="1" x="2746"/>
        <item m="1" x="2779"/>
        <item m="1" x="2799"/>
        <item m="1" x="2821"/>
        <item m="1" x="2858"/>
        <item m="1" x="2887"/>
        <item m="1" x="2923"/>
        <item m="1" x="3020"/>
        <item m="1" x="3525"/>
        <item m="1" x="3744"/>
        <item m="1" x="3648"/>
        <item m="1" x="2593"/>
        <item m="1" x="3434"/>
        <item m="1" x="3468"/>
        <item m="1" x="3482"/>
        <item m="1" x="6546"/>
        <item m="1" x="6576"/>
        <item m="1" x="6628"/>
        <item m="1" x="3153"/>
        <item m="1" x="3730"/>
        <item m="1" x="3778"/>
        <item m="1" x="3809"/>
        <item m="1" x="6070"/>
        <item m="1" x="4437"/>
        <item m="1" x="4052"/>
        <item m="1" x="4065"/>
        <item m="1" x="6497"/>
        <item m="1" x="2904"/>
        <item m="1" x="3093"/>
        <item m="1" x="6363"/>
        <item m="1" x="1981"/>
        <item m="1" x="1994"/>
        <item m="1" x="2011"/>
        <item m="1" x="2027"/>
        <item m="1" x="2081"/>
        <item m="1" x="2118"/>
        <item m="1" x="2151"/>
        <item m="1" x="2167"/>
        <item m="1" x="2186"/>
        <item m="1" x="2233"/>
        <item m="1" x="2246"/>
        <item m="1" x="2255"/>
        <item m="1" x="2285"/>
        <item m="1" x="2301"/>
        <item m="1" x="2312"/>
        <item m="1" x="2363"/>
        <item m="1" x="4265"/>
        <item m="1" x="4156"/>
        <item m="1" x="6331"/>
        <item m="1" x="6052"/>
        <item m="1" x="288"/>
        <item m="1" x="317"/>
        <item m="1" x="323"/>
        <item m="1" x="286"/>
        <item m="1" x="178"/>
        <item m="1" x="192"/>
        <item m="1" x="309"/>
        <item m="1" x="335"/>
        <item m="1" x="346"/>
        <item m="1" x="223"/>
        <item m="1" x="261"/>
        <item m="1" x="274"/>
        <item m="1" x="362"/>
        <item m="1" x="5538"/>
        <item m="1" x="706"/>
        <item m="1" x="4816"/>
        <item m="1" x="3857"/>
        <item m="1" x="4077"/>
        <item m="1" x="6774"/>
        <item m="1" x="6277"/>
        <item m="1" x="2270"/>
        <item m="1" x="3035"/>
        <item m="1" x="4003"/>
        <item m="1" x="3080"/>
        <item m="1" x="3497"/>
        <item m="1" x="3511"/>
        <item m="1" x="3541"/>
        <item m="1" x="3285"/>
        <item m="1" x="6658"/>
        <item m="1" x="6691"/>
        <item m="1" x="6872"/>
        <item m="1" x="4022"/>
        <item m="1" x="79"/>
        <item m="1" x="2492"/>
        <item m="1" x="3834"/>
        <item m="1" x="6251"/>
        <item m="1" x="3762"/>
        <item m="1" x="2199"/>
        <item m="1" x="6019"/>
        <item m="1" x="5987"/>
        <item m="1" x="6004"/>
        <item m="1" x="6087"/>
        <item m="1" x="3065"/>
        <item m="1" x="3617"/>
        <item m="1" x="6162"/>
        <item m="1" x="6219"/>
        <item m="1" x="6236"/>
        <item m="1" x="3050"/>
        <item m="1" x="3109"/>
        <item m="1" x="4451"/>
        <item m="1" x="4113"/>
        <item m="1" x="5969"/>
        <item m="1" x="4419"/>
        <item m="1" x="6130"/>
        <item m="1" x="6152"/>
        <item m="1" x="6443"/>
        <item m="1" x="6460"/>
        <item m="1" x="6480"/>
        <item m="1" x="4332"/>
        <item m="1" x="4351"/>
        <item m="1" x="6513"/>
        <item m="1" x="6112"/>
        <item m="1" x="6187"/>
        <item m="1" x="6407"/>
        <item m="1" x="3797"/>
        <item m="1" x="3699"/>
        <item m="1" x="3880"/>
        <item m="1" x="3892"/>
        <item m="1" x="3906"/>
        <item m="1" x="6038"/>
        <item m="1" x="3681"/>
        <item m="1" x="2433"/>
        <item m="1" x="2451"/>
        <item m="1" x="2475"/>
        <item m="1" x="2572"/>
        <item m="1" x="2729"/>
        <item m="1" x="2761"/>
        <item m="1" x="2837"/>
        <item m="1" x="2872"/>
        <item m="1" x="2937"/>
        <item m="1" x="2956"/>
        <item m="1" x="2969"/>
        <item m="1" x="2986"/>
        <item m="1" x="3450"/>
        <item m="1" x="4089"/>
        <item m="1" x="4103"/>
        <item m="1" x="6423"/>
        <item m="1" x="6724"/>
        <item m="1" x="2133"/>
        <item m="1" x="6201"/>
        <item m="1" x="6756"/>
        <item m="1" x="4036"/>
        <item m="1" x="3001"/>
        <item m="1" x="3564"/>
        <item m="1" x="3585"/>
        <item m="1" x="4403"/>
        <item m="1" x="6346"/>
        <item m="1" x="6383"/>
        <item m="1" x="6561"/>
        <item m="1" x="6742"/>
        <item m="1" x="1969"/>
        <item m="1" x="2057"/>
        <item m="1" x="2096"/>
        <item m="1" x="2223"/>
        <item m="1" x="2329"/>
        <item m="1" x="2343"/>
        <item m="1" x="2380"/>
        <item m="1" x="2397"/>
        <item m="1" x="2411"/>
        <item m="1" x="2553"/>
        <item m="1" x="3255"/>
        <item m="1" x="3820"/>
        <item m="1" x="3862"/>
        <item m="1" x="4171"/>
        <item m="1" x="4192"/>
        <item m="1" x="4204"/>
        <item m="1" x="4222"/>
        <item m="1" x="4238"/>
        <item m="1" x="6531"/>
        <item m="1" x="6677"/>
        <item m="1" x="2512"/>
        <item m="1" x="2531"/>
        <item m="1" x="6931"/>
        <item m="1" x="6790"/>
        <item m="1" x="6805"/>
        <item m="1" x="6823"/>
        <item m="1" x="6841"/>
        <item m="1" x="6856"/>
        <item m="1" x="6886"/>
        <item m="1" x="6915"/>
        <item m="1" x="6944"/>
        <item m="1" x="6965"/>
        <item m="1" x="3665"/>
        <item m="1" x="5937"/>
        <item m="1" x="5949"/>
        <item m="1" x="6484"/>
        <item m="1" x="2295"/>
        <item m="1" x="2463"/>
        <item m="1" x="1024"/>
        <item m="1" x="2088"/>
        <item m="1" x="2211"/>
        <item m="1" x="2228"/>
        <item m="1" x="2643"/>
        <item m="1" x="2023"/>
        <item m="1" x="2035"/>
        <item m="1" x="4645"/>
        <item m="1" x="4664"/>
        <item m="1" x="4677"/>
        <item m="1" x="4696"/>
        <item m="1" x="4711"/>
        <item m="1" x="4727"/>
        <item m="1" x="4745"/>
        <item m="1" x="506"/>
        <item m="1" x="543"/>
        <item m="1" x="560"/>
        <item m="1" x="590"/>
        <item m="1" x="4826"/>
        <item m="1" x="4841"/>
        <item m="1" x="5512"/>
        <item m="1" x="5343"/>
        <item m="1" x="4293"/>
        <item m="1" x="2566"/>
        <item m="1" x="1559"/>
        <item m="1" x="126"/>
        <item m="1" x="268"/>
        <item m="1" x="1612"/>
        <item m="1" x="4181"/>
        <item m="1" x="4229"/>
        <item m="1" x="4972"/>
        <item m="1" x="5012"/>
        <item m="1" x="5029"/>
        <item m="1" x="5058"/>
        <item m="1" x="5073"/>
        <item m="1" x="5089"/>
        <item m="1" x="5153"/>
        <item m="1" x="150"/>
        <item m="1" x="168"/>
        <item m="1" x="185"/>
        <item m="1" x="4362"/>
        <item m="1" x="4541"/>
        <item m="1" x="1681"/>
        <item m="1" x="6082"/>
        <item m="1" x="2405"/>
        <item m="1" x="4790"/>
        <item m="1" x="6056"/>
        <item m="1" x="2562"/>
        <item m="1" x="6125"/>
        <item m="1" x="6216"/>
        <item m="1" x="6522"/>
        <item m="1" x="2015"/>
        <item m="1" x="2535"/>
        <item m="1" x="3097"/>
        <item m="1" x="6596"/>
        <item m="1" x="6259"/>
        <item m="1" x="6863"/>
        <item m="1" x="2766"/>
        <item m="1" x="6311"/>
        <item m="1" x="3781"/>
        <item m="1" x="3884"/>
        <item m="1" x="6875"/>
        <item m="1" x="6796"/>
        <item m="1" x="6812"/>
        <item m="1" x="3548"/>
        <item m="1" x="6666"/>
        <item m="1" x="2367"/>
        <item m="1" x="2383"/>
        <item m="1" x="2399"/>
        <item m="1" x="2420"/>
        <item m="1" x="2438"/>
        <item m="1" x="2455"/>
        <item m="1" x="2478"/>
        <item m="1" x="2497"/>
        <item m="1" x="2538"/>
        <item m="1" x="2680"/>
        <item m="1" x="2697"/>
        <item m="1" x="2715"/>
        <item m="1" x="6429"/>
        <item m="1" x="6446"/>
        <item m="1" x="6466"/>
        <item m="1" x="6502"/>
        <item m="1" x="6518"/>
        <item m="1" x="6535"/>
        <item m="1" x="6550"/>
        <item m="1" x="6567"/>
        <item m="1" x="6579"/>
        <item m="1" x="6368"/>
        <item m="1" x="3438"/>
        <item m="1" x="6846"/>
        <item m="1" x="2846"/>
        <item m="1" x="3342"/>
        <item m="1" x="3392"/>
        <item m="1" x="3407"/>
        <item m="1" x="3423"/>
        <item m="1" x="4693"/>
        <item m="1" x="4742"/>
        <item m="1" x="4775"/>
        <item m="1" x="4802"/>
        <item m="1" x="6798"/>
        <item m="1" x="6833"/>
        <item m="1" x="6921"/>
        <item m="1" x="2890"/>
        <item m="1" x="1894"/>
        <item m="1" x="1373"/>
        <item m="1" x="5096"/>
        <item m="1" x="1100"/>
        <item m="1" x="5051"/>
        <item m="1" x="5067"/>
        <item m="1" x="5126"/>
        <item m="1" x="6816"/>
        <item m="1" x="1299"/>
        <item m="1" x="2656"/>
        <item m="1" x="6542"/>
        <item m="1" x="5007"/>
        <item m="1" x="5564"/>
        <item m="1" x="5580"/>
        <item m="1" x="5595"/>
        <item m="1" x="5612"/>
        <item m="1" x="5628"/>
        <item m="1" x="6482"/>
        <item m="1" x="5886"/>
        <item m="1" x="6410"/>
        <item m="1" x="4899"/>
        <item m="1" x="5020"/>
        <item m="1" x="5036"/>
        <item m="1" x="5520"/>
        <item m="1" x="5534"/>
        <item m="1" x="6595"/>
        <item m="1" x="6903"/>
        <item m="1" x="863"/>
        <item m="1" x="938"/>
        <item m="1" x="974"/>
        <item m="1" x="995"/>
        <item m="1" x="1015"/>
        <item m="1" x="1036"/>
        <item m="1" x="1053"/>
        <item m="1" x="1068"/>
        <item m="1" x="1087"/>
        <item m="1" x="1200"/>
        <item m="1" x="1216"/>
        <item m="1" x="2153"/>
        <item m="1" x="1169"/>
        <item m="1" x="1348"/>
        <item m="1" x="1617"/>
        <item m="1" x="3173"/>
        <item m="1" x="3686"/>
        <item m="1" x="4637"/>
        <item m="1" x="4884"/>
        <item m="1" x="5129"/>
        <item m="1" x="6133"/>
        <item m="1" x="270"/>
        <item m="1" x="855"/>
        <item m="1" x="872"/>
        <item m="1" x="892"/>
        <item m="1" x="909"/>
        <item m="1" x="141"/>
        <item m="1" x="402"/>
        <item m="1" x="422"/>
        <item m="1" x="929"/>
        <item m="1" x="294"/>
        <item m="1" x="392"/>
        <item m="1" x="246"/>
        <item m="1" x="546"/>
        <item m="1" x="648"/>
        <item m="1" x="743"/>
        <item m="1" x="3107"/>
        <item m="1" x="3774"/>
        <item m="1" x="3831"/>
        <item m="1" x="219"/>
        <item m="1" x="436"/>
        <item m="1" x="564"/>
        <item m="1" x="627"/>
        <item m="1" x="688"/>
        <item m="1" x="728"/>
        <item m="1" x="4943"/>
        <item m="1" x="5278"/>
        <item m="1" x="3395"/>
        <item m="1" x="3411"/>
        <item m="1" x="5247"/>
        <item m="1" x="5261"/>
        <item m="1" x="5292"/>
        <item m="1" x="5405"/>
        <item m="1" x="5450"/>
        <item m="1" x="3790"/>
        <item m="1" x="3807"/>
        <item m="1" x="836"/>
        <item m="1" x="3149"/>
        <item m="1" x="3266"/>
        <item m="1" x="3280"/>
        <item m="1" x="3326"/>
        <item m="1" x="3346"/>
        <item m="1" x="3426"/>
        <item m="1" x="4527"/>
        <item m="1" x="3459"/>
        <item m="1" x="3476"/>
        <item m="1" x="3694"/>
        <item m="1" x="3518"/>
        <item m="1" x="3556"/>
        <item m="1" x="171"/>
        <item m="1" x="3626"/>
        <item m="1" x="3223"/>
        <item m="1" x="4073"/>
        <item m="1" x="5410"/>
        <item m="1" x="4999"/>
        <item m="1" x="4889"/>
        <item m="1" x="5137"/>
        <item m="1" x="1150"/>
        <item m="1" x="4061"/>
        <item m="1" x="4261"/>
        <item m="1" x="4121"/>
        <item m="1" x="4136"/>
        <item m="1" x="4150"/>
        <item m="1" x="4166"/>
        <item m="1" x="4184"/>
        <item m="1" x="4200"/>
        <item m="1" x="4215"/>
        <item m="1" x="4231"/>
        <item m="1" x="4344"/>
        <item m="1" x="114"/>
        <item m="1" x="1732"/>
        <item m="1" x="962"/>
        <item m="1" x="1224"/>
        <item m="1" x="1487"/>
        <item m="1" x="1505"/>
        <item m="1" x="1591"/>
        <item m="1" x="4601"/>
        <item m="1" x="4647"/>
        <item m="1" x="5755"/>
        <item m="1" x="5875"/>
        <item m="1" x="5909"/>
        <item m="1" x="5942"/>
        <item m="1" x="5977"/>
        <item m="1" x="6011"/>
        <item m="1" x="6029"/>
        <item m="1" x="6061"/>
        <item m="1" x="6076"/>
        <item m="1" x="6097"/>
        <item m="1" x="6120"/>
        <item m="1" x="6139"/>
        <item m="1" x="6156"/>
        <item m="1" x="6193"/>
        <item m="1" x="6224"/>
        <item m="1" x="5337"/>
        <item m="1" x="5369"/>
        <item m="1" x="2520"/>
        <item m="1" x="3376"/>
        <item m="1" x="6175"/>
        <item m="1" x="1340"/>
        <item m="1" x="1611"/>
        <item m="1" x="1850"/>
        <item m="1" x="3691"/>
        <item m="1" x="224"/>
        <item m="1" x="1351"/>
        <item m="1" x="1764"/>
        <item m="1" x="1774"/>
        <item m="1" x="1795"/>
        <item m="1" x="1810"/>
        <item m="1" x="1824"/>
        <item m="1" x="1841"/>
        <item m="1" x="1856"/>
        <item m="1" x="1877"/>
        <item m="1" x="1569"/>
        <item m="1" x="1330"/>
        <item m="1" x="310"/>
        <item m="1" x="324"/>
        <item m="1" x="363"/>
        <item m="1" x="377"/>
        <item m="1" x="395"/>
        <item m="1" x="1705"/>
        <item m="1" x="477"/>
        <item m="1" x="5887"/>
        <item m="1" x="5440"/>
        <item m="1" x="4590"/>
        <item m="1" x="4913"/>
        <item m="1" x="4962"/>
        <item m="1" x="1401"/>
        <item m="1" x="1416"/>
        <item m="1" x="1435"/>
        <item m="1" x="1453"/>
        <item m="1" x="1472"/>
        <item m="1" x="3935"/>
        <item m="1" x="1585"/>
        <item m="1" x="3649"/>
        <item m="1" x="3666"/>
        <item m="1" x="3682"/>
        <item m="1" x="3715"/>
        <item m="1" x="3731"/>
        <item m="1" x="3745"/>
        <item m="1" x="3779"/>
        <item m="1" x="5049"/>
        <item m="1" x="429"/>
        <item m="1" x="718"/>
        <item m="1" x="1535"/>
        <item m="1" x="2556"/>
        <item m="1" x="6167"/>
        <item m="1" x="1016"/>
        <item m="1" x="1266"/>
        <item m="1" x="1777"/>
        <item m="1" x="2029"/>
        <item m="1" x="2272"/>
        <item m="1" x="6696"/>
        <item m="1" x="3924"/>
        <item m="1" x="4147"/>
        <item m="1" x="4410"/>
        <item m="1" x="4642"/>
        <item m="1" x="4885"/>
        <item m="1" x="5133"/>
        <item m="1" x="5355"/>
        <item m="1" x="5604"/>
        <item m="1" x="6948"/>
        <item m="1" x="4125"/>
        <item m="1" x="5194"/>
        <item m="1" x="1619"/>
        <item m="1" x="4863"/>
        <item m="1" x="4420"/>
        <item m="1" x="4438"/>
        <item m="1" x="4452"/>
        <item m="1" x="4479"/>
        <item m="1" x="675"/>
        <item m="1" x="615"/>
        <item m="1" x="5481"/>
        <item m="1" x="750"/>
        <item m="1" x="1084"/>
        <item m="1" x="5220"/>
        <item m="1" x="5500"/>
        <item m="1" x="6877"/>
        <item m="1" x="5632"/>
        <item m="1" x="1517"/>
        <item m="1" x="6907"/>
        <item m="1" x="5288"/>
        <item m="1" x="5837"/>
        <item m="1" x="788"/>
        <item m="1" x="877"/>
        <item m="1" x="807"/>
        <item m="1" x="824"/>
        <item m="1" x="915"/>
        <item m="1" x="950"/>
        <item m="1" x="972"/>
        <item m="1" x="1012"/>
        <item m="1" x="1032"/>
        <item m="1" x="1051"/>
        <item m="1" x="1065"/>
        <item m="1" x="935"/>
        <item m="1" x="5659"/>
        <item m="1" x="5677"/>
        <item m="1" x="109"/>
        <item m="1" x="4424"/>
        <item m="1" x="4443"/>
        <item m="1" x="4594"/>
        <item m="1" x="639"/>
        <item m="1" x="6171"/>
        <item m="1" x="2332"/>
        <item m="1" x="2634"/>
        <item m="1" x="2925"/>
        <item m="1" x="4319"/>
        <item m="1" x="4650"/>
        <item m="1" x="5139"/>
        <item m="1" x="249"/>
        <item m="1" x="2550"/>
        <item m="1" x="3457"/>
        <item m="1" x="272"/>
        <item m="1" x="284"/>
        <item m="1" x="306"/>
        <item m="1" x="190"/>
        <item m="1" x="3124"/>
        <item m="1" x="3138"/>
        <item m="1" x="3151"/>
        <item m="1" x="3167"/>
        <item m="1" x="3184"/>
        <item m="1" x="3199"/>
        <item m="1" x="3211"/>
        <item m="1" x="3226"/>
        <item m="1" x="3240"/>
        <item m="1" x="3252"/>
        <item m="1" x="3269"/>
        <item m="1" x="3283"/>
        <item m="1" x="3298"/>
        <item m="1" x="3311"/>
        <item m="1" x="3330"/>
        <item m="1" x="3349"/>
        <item m="1" x="3366"/>
        <item m="1" x="3382"/>
        <item m="1" x="3398"/>
        <item m="1" x="3930"/>
        <item m="1" x="2759"/>
        <item m="1" x="2796"/>
        <item m="1" x="2816"/>
        <item m="1" x="2834"/>
        <item m="1" x="2856"/>
        <item m="1" x="2871"/>
        <item m="1" x="2886"/>
        <item m="1" x="2903"/>
        <item m="1" x="2922"/>
        <item m="1" x="2936"/>
        <item m="1" x="2953"/>
        <item m="1" x="2968"/>
        <item m="1" x="2983"/>
        <item m="1" x="2999"/>
        <item m="1" x="3017"/>
        <item m="1" x="3031"/>
        <item m="1" x="3046"/>
        <item m="1" x="3062"/>
        <item m="1" x="3079"/>
        <item m="1" x="3092"/>
        <item m="1" x="3108"/>
        <item m="1" x="2232"/>
        <item m="1" x="1754"/>
        <item m="1" x="4936"/>
        <item m="1" x="5397"/>
        <item m="1" x="6209"/>
        <item m="1" x="3414"/>
        <item m="1" x="3430"/>
        <item m="1" x="3465"/>
        <item m="1" x="3479"/>
        <item m="1" x="3494"/>
        <item m="1" x="3522"/>
        <item m="1" x="3561"/>
        <item m="1" x="2114"/>
        <item m="1" x="2131"/>
        <item m="1" x="2147"/>
        <item m="1" x="2284"/>
        <item m="1" x="3663"/>
        <item m="1" x="3696"/>
        <item m="1" x="3713"/>
        <item m="1" x="4033"/>
        <item m="1" x="2243"/>
        <item m="1" x="2254"/>
        <item m="1" x="2589"/>
        <item m="1" x="2627"/>
        <item m="1" x="2650"/>
        <item m="1" x="3613"/>
        <item m="1" x="5174"/>
        <item m="1" x="2183"/>
        <item m="1" x="2490"/>
        <item m="1" x="6771"/>
        <item m="1" x="6344"/>
        <item m="1" x="101"/>
        <item m="1" x="2008"/>
        <item m="1" x="4168"/>
        <item m="1" x="4188"/>
        <item m="1" x="4219"/>
        <item m="1" x="6528"/>
        <item m="1" x="6574"/>
        <item m="1" x="6854"/>
        <item m="1" x="6870"/>
        <item m="1" x="2379"/>
        <item m="1" x="3599"/>
        <item m="1" x="3628"/>
        <item m="1" x="3645"/>
        <item m="1" x="3741"/>
        <item m="1" x="3985"/>
        <item m="1" x="4001"/>
        <item m="1" x="2472"/>
        <item m="1" x="4123"/>
        <item m="1" x="4235"/>
        <item m="1" x="6543"/>
        <item m="1" x="6590"/>
        <item m="1" x="6609"/>
        <item m="1" x="6623"/>
        <item m="1" x="6772"/>
        <item m="1" x="6308"/>
        <item m="1" x="6928"/>
        <item m="1" x="6329"/>
        <item m="1" x="76"/>
        <item m="1" x="144"/>
        <item m="1" x="175"/>
        <item m="1" x="2342"/>
        <item m="1" x="2361"/>
        <item m="1" x="6457"/>
        <item m="1" x="6753"/>
        <item m="1" x="6884"/>
        <item m="1" x="6942"/>
        <item m="1" x="6976"/>
        <item m="1" x="6235"/>
        <item m="1" x="374"/>
        <item m="1" x="624"/>
        <item m="1" x="1465"/>
        <item m="1" x="1964"/>
        <item m="1" x="2214"/>
        <item m="1" x="165"/>
        <item m="1" x="386"/>
        <item m="1" x="641"/>
        <item m="1" x="2479"/>
        <item m="1" x="2783"/>
        <item m="1" x="153"/>
        <item m="1" x="926"/>
        <item m="1" x="1189"/>
        <item m="1" x="129"/>
        <item m="1" x="976"/>
        <item m="1" x="1501"/>
        <item m="1" x="1751"/>
        <item m="1" x="1997"/>
        <item m="1" x="4311"/>
        <item m="1" x="4555"/>
        <item m="1" x="4806"/>
        <item m="1" x="5046"/>
        <item m="1" x="5279"/>
        <item m="1" x="158"/>
        <item m="1" x="1832"/>
        <item m="1" x="1712"/>
        <item m="1" x="1727"/>
        <item m="1" x="1697"/>
        <item m="1" x="1656"/>
        <item m="1" x="1886"/>
        <item m="1" x="1901"/>
        <item m="1" x="1917"/>
        <item m="1" x="1931"/>
        <item m="1" x="1947"/>
        <item m="1" x="1960"/>
        <item m="1" x="138"/>
        <item m="1" x="1117"/>
        <item m="1" x="1131"/>
        <item m="1" x="1285"/>
        <item m="1" x="4340"/>
        <item m="1" x="4360"/>
        <item m="1" x="4394"/>
        <item m="1" x="4429"/>
        <item m="1" x="4446"/>
        <item m="1" x="4473"/>
        <item m="1" x="4485"/>
        <item m="1" x="4495"/>
        <item m="1" x="5131"/>
        <item m="1" x="4132"/>
        <item m="1" x="4146"/>
        <item m="1" x="4256"/>
        <item m="1" x="4273"/>
        <item m="1" x="4291"/>
        <item m="1" x="4623"/>
        <item m="1" x="4662"/>
        <item m="1" x="5188"/>
        <item m="1" x="5202"/>
        <item m="1" x="5230"/>
        <item m="1" x="5244"/>
        <item m="1" x="5259"/>
        <item m="1" x="5274"/>
        <item m="1" x="5291"/>
        <item m="1" x="5299"/>
        <item m="1" x="5313"/>
        <item m="1" x="5328"/>
        <item m="1" x="4210"/>
        <item m="1" x="5105"/>
        <item m="1" x="4803"/>
        <item m="1" x="4870"/>
        <item m="1" x="5116"/>
        <item m="1" x="5086"/>
        <item m="1" x="1307"/>
        <item m="1" x="2104"/>
        <item m="1" x="2176"/>
        <item m="1" x="2208"/>
        <item m="1" x="1739"/>
        <item m="1" x="4709"/>
        <item m="1" x="5700"/>
        <item m="1" x="736"/>
        <item m="1" x="1039"/>
        <item m="1" x="124"/>
        <item m="1" x="242"/>
        <item m="1" x="290"/>
        <item m="1" x="557"/>
        <item m="1" x="1174"/>
        <item m="1" x="1188"/>
        <item m="1" x="1222"/>
        <item m="1" x="96"/>
        <item m="1" x="466"/>
        <item m="1" x="6064"/>
        <item m="1" x="5911"/>
        <item m="1" x="6079"/>
        <item m="1" x="5738"/>
        <item m="1" x="6245"/>
        <item m="1" x="6469"/>
        <item m="1" x="6393"/>
        <item m="1" x="5808"/>
        <item m="1" x="5845"/>
        <item m="1" x="4379"/>
        <item m="1" x="4612"/>
        <item m="1" x="4854"/>
        <item m="1" x="5107"/>
        <item m="1" x="5330"/>
        <item m="1" x="5571"/>
        <item m="1" x="6124"/>
        <item m="1" x="6374"/>
        <item m="1" x="2315"/>
        <item m="1" x="2613"/>
        <item m="1" x="4694"/>
        <item m="1" x="4725"/>
        <item m="1" x="2047"/>
        <item m="1" x="450"/>
        <item m="1" x="6388"/>
        <item m="1" x="6663"/>
        <item m="1" x="6917"/>
        <item m="1" x="3669"/>
        <item m="1" x="351"/>
        <item m="1" x="210"/>
        <item m="1" x="107"/>
        <item m="1" x="381"/>
        <item m="1" x="415"/>
        <item m="1" x="531"/>
        <item m="1" x="552"/>
        <item m="1" x="570"/>
        <item m="1" x="585"/>
        <item m="1" x="599"/>
        <item m="1" x="635"/>
        <item m="1" x="657"/>
        <item m="1" x="677"/>
        <item m="1" x="697"/>
        <item m="1" x="716"/>
        <item m="1" x="2907"/>
        <item m="1" x="73"/>
        <item m="1" x="292"/>
        <item m="1" x="524"/>
        <item m="1" x="1639"/>
        <item m="1" x="2678"/>
        <item m="1" x="2801"/>
        <item m="1" x="2633"/>
        <item m="1" x="3275"/>
        <item m="1" x="3336"/>
        <item m="1" x="479"/>
        <item m="1" x="496"/>
        <item m="1" x="2416"/>
        <item m="1" x="2436"/>
        <item m="1" x="2514"/>
        <item m="1" x="2534"/>
        <item m="1" x="2555"/>
        <item m="1" x="2575"/>
        <item m="1" x="2941"/>
        <item m="1" x="2971"/>
        <item m="1" x="3004"/>
        <item m="1" x="3051"/>
        <item m="1" x="4548"/>
        <item m="1" x="3865"/>
        <item m="1" x="4007"/>
        <item m="1" x="4141"/>
        <item m="1" x="4252"/>
        <item m="1" x="4269"/>
        <item m="1" x="3386"/>
        <item m="1" x="4535"/>
        <item m="1" x="3401"/>
        <item m="1" x="3082"/>
        <item m="1" x="3129"/>
        <item m="1" x="4688"/>
        <item m="1" x="4704"/>
        <item m="1" x="3188"/>
        <item m="1" x="3170"/>
        <item m="1" x="4354"/>
        <item m="1" x="3836"/>
        <item m="1" x="6548"/>
        <item m="1" x="6695"/>
        <item m="1" x="6809"/>
        <item m="1" x="6860"/>
        <item m="1" x="6889"/>
        <item m="1" x="6934"/>
        <item m="1" x="6947"/>
        <item m="1" x="2595"/>
        <item m="1" x="6646"/>
        <item m="1" x="6662"/>
        <item m="1" x="6679"/>
        <item m="1" x="4093"/>
        <item m="1" x="4225"/>
        <item m="1" x="4657"/>
        <item m="1" x="3975"/>
        <item m="1" x="3833"/>
        <item m="1" x="4039"/>
        <item m="1" x="4056"/>
        <item m="1" x="4116"/>
        <item m="1" x="3822"/>
        <item m="1" x="2303"/>
        <item m="1" x="4106"/>
        <item m="1" x="4735"/>
        <item m="1" x="3992"/>
        <item m="1" x="4593"/>
        <item m="1" x="1429"/>
        <item m="1" x="579"/>
        <item m="1" x="593"/>
        <item m="1" x="649"/>
        <item m="1" x="744"/>
        <item m="1" x="764"/>
        <item m="1" x="818"/>
        <item m="1" x="423"/>
        <item m="1" x="1510"/>
        <item m="1" x="1448"/>
        <item m="1" x="2053"/>
        <item m="1" x="1384"/>
        <item m="1" x="1562"/>
        <item m="1" x="1596"/>
        <item m="1" x="4734"/>
        <item m="1" x="6514"/>
        <item m="1" x="6777"/>
        <item m="1" x="4729"/>
        <item m="1" x="2311"/>
        <item m="1" x="2325"/>
        <item m="1" x="2357"/>
        <item m="1" x="2408"/>
        <item m="1" x="2430"/>
        <item m="1" x="2448"/>
        <item m="1" x="2467"/>
        <item m="1" x="2488"/>
        <item m="1" x="5044"/>
        <item m="1" x="4497"/>
        <item m="1" x="5120"/>
        <item m="1" x="4513"/>
        <item m="1" x="5495"/>
        <item m="1" x="5154"/>
        <item m="1" x="5167"/>
        <item m="1" x="4648"/>
        <item m="1" x="4713"/>
        <item m="1" x="2091"/>
        <item m="1" x="2869"/>
        <item m="1" x="2884"/>
        <item m="1" x="5542"/>
        <item m="1" x="5557"/>
        <item m="1" x="856"/>
        <item m="1" x="873"/>
        <item m="1" x="893"/>
        <item m="1" x="910"/>
        <item m="1" x="930"/>
        <item m="1" x="946"/>
        <item m="1" x="1006"/>
        <item m="1" x="1028"/>
        <item m="1" x="1151"/>
        <item m="1" x="1192"/>
        <item m="1" x="1226"/>
        <item m="1" x="5529"/>
        <item m="1" x="4574"/>
        <item m="1" x="4628"/>
        <item m="1" x="4679"/>
        <item m="1" x="628"/>
        <item m="1" x="4747"/>
        <item m="1" x="2195"/>
        <item m="1" x="2217"/>
        <item m="1" x="2231"/>
        <item m="1" x="2791"/>
        <item m="1" x="2830"/>
        <item m="1" x="2897"/>
        <item m="1" x="2918"/>
        <item m="1" x="4890"/>
        <item m="1" x="965"/>
        <item m="1" x="1047"/>
        <item m="1" x="1062"/>
        <item m="1" x="1079"/>
        <item m="1" x="1094"/>
        <item m="1" x="1107"/>
        <item m="1" x="1121"/>
        <item m="1" x="1135"/>
        <item m="1" x="1162"/>
        <item m="1" x="1177"/>
        <item m="1" x="1208"/>
        <item m="1" x="1244"/>
        <item m="1" x="1291"/>
        <item m="1" x="2646"/>
        <item m="1" x="2742"/>
        <item m="1" x="5574"/>
        <item m="1" x="4974"/>
        <item m="1" x="5589"/>
        <item m="1" x="2508"/>
        <item m="1" x="4856"/>
        <item m="1" x="6341"/>
        <item m="1" x="6400"/>
        <item m="1" x="6454"/>
        <item m="1" x="6510"/>
        <item m="1" x="6739"/>
        <item m="1" x="6752"/>
        <item m="1" x="6770"/>
        <item m="1" x="6786"/>
        <item m="1" x="1273"/>
        <item m="1" x="2688"/>
        <item m="1" x="2706"/>
        <item m="1" x="565"/>
        <item m="1" x="710"/>
        <item m="1" x="782"/>
        <item m="1" x="837"/>
        <item m="1" x="2586"/>
        <item m="1" x="2996"/>
        <item m="1" x="3015"/>
        <item m="1" x="5982"/>
        <item m="1" x="5793"/>
        <item m="1" x="5812"/>
        <item m="1" x="5830"/>
        <item m="1" x="2129"/>
        <item m="1" x="4778"/>
        <item m="1" x="4793"/>
        <item m="1" x="4805"/>
        <item m="1" x="4828"/>
        <item m="1" x="4874"/>
        <item m="1" x="6316"/>
        <item m="1" x="6358"/>
        <item m="1" x="6379"/>
        <item m="1" x="6417"/>
        <item m="1" x="6438"/>
        <item m="1" x="6493"/>
        <item m="1" x="6587"/>
        <item m="1" x="6606"/>
        <item m="1" x="6620"/>
        <item m="1" x="6640"/>
        <item m="1" x="6653"/>
        <item m="1" x="6673"/>
        <item m="1" x="6685"/>
        <item m="1" x="1312"/>
        <item m="1" x="2668"/>
        <item m="1" x="2756"/>
        <item m="1" x="5899"/>
        <item m="1" x="2290"/>
        <item m="1" x="2163"/>
        <item m="1" x="2393"/>
        <item m="1" x="5849"/>
        <item m="1" x="5863"/>
        <item m="1" x="6106"/>
        <item m="1" x="5915"/>
        <item m="1" x="2282"/>
        <item m="1" x="2813"/>
        <item m="1" x="6287"/>
        <item m="1" x="6304"/>
        <item m="1" x="5302"/>
        <item m="1" x="5639"/>
        <item m="1" x="5962"/>
        <item m="1" x="5741"/>
        <item m="1" x="4274"/>
        <item m="1" x="4411"/>
        <item m="1" x="4524"/>
        <item m="1" x="4643"/>
        <item m="1" x="4776"/>
        <item m="1" x="4886"/>
        <item m="1" x="5011"/>
        <item m="1" x="5134"/>
        <item m="1" x="2942"/>
        <item m="1" x="2111"/>
        <item m="1" x="1108"/>
        <item m="1" x="967"/>
        <item m="1" x="5880"/>
        <item m="1" x="5931"/>
        <item m="1" x="6827"/>
        <item m="1" x="6949"/>
        <item m="1" x="403"/>
        <item m="1" x="527"/>
        <item m="1" x="670"/>
        <item m="1" x="1365"/>
        <item m="1" x="1495"/>
        <item m="1" x="1632"/>
        <item m="1" x="1745"/>
        <item m="1" x="820"/>
        <item m="1" x="2962"/>
        <item m="1" x="3086"/>
        <item m="1" x="3319"/>
        <item m="1" x="3452"/>
        <item m="1" x="3722"/>
        <item m="1" x="3842"/>
        <item m="1" x="5634"/>
        <item m="1" x="6367"/>
        <item m="1" x="6763"/>
        <item m="1" x="2412"/>
        <item m="1" x="1033"/>
        <item m="1" x="1085"/>
        <item m="1" x="1331"/>
        <item m="1" x="1352"/>
        <item m="1" x="1436"/>
        <item m="1" x="2938"/>
        <item m="1" x="2434"/>
        <item m="1" x="2924"/>
        <item m="1" x="1167"/>
        <item m="1" x="1663"/>
        <item m="1" x="2247"/>
        <item m="1" x="2256"/>
        <item m="1" x="2888"/>
        <item m="1" x="2068"/>
        <item m="1" x="2097"/>
        <item m="1" x="2134"/>
        <item m="1" x="2168"/>
        <item m="1" x="2200"/>
        <item m="1" x="2957"/>
        <item m="1" x="3110"/>
        <item m="1" x="3126"/>
        <item m="1" x="3213"/>
        <item m="1" x="3227"/>
        <item m="1" x="3242"/>
        <item m="1" x="3256"/>
        <item m="1" x="3272"/>
        <item m="1" x="3301"/>
        <item m="1" x="3313"/>
        <item m="1" x="3332"/>
        <item m="1" x="3351"/>
        <item m="1" x="4914"/>
        <item m="1" x="4028"/>
        <item m="1" x="4133"/>
        <item m="1" x="1346"/>
        <item m="1" x="1673"/>
        <item m="1" x="4830"/>
        <item m="1" x="4846"/>
        <item m="1" x="4859"/>
        <item m="1" x="372"/>
        <item m="1" x="1111"/>
        <item m="1" x="1139"/>
        <item m="1" x="3343"/>
        <item m="1" x="3322"/>
        <item m="1" x="3072"/>
        <item m="1" x="3279"/>
        <item m="1" x="3292"/>
        <item m="1" x="2827"/>
        <item m="1" x="2847"/>
        <item m="1" x="2866"/>
        <item m="1" x="3307"/>
        <item m="1" x="2722"/>
        <item m="1" x="1866"/>
        <item m="1" x="2807"/>
        <item m="1" x="2895"/>
        <item m="1" x="2912"/>
        <item m="1" x="2932"/>
        <item m="1" x="2946"/>
        <item m="1" x="2602"/>
        <item m="1" x="2485"/>
        <item m="1" x="2502"/>
        <item m="1" x="2525"/>
        <item m="1" x="2542"/>
        <item m="1" x="1609"/>
        <item m="1" x="3530"/>
        <item m="1" x="3552"/>
        <item m="1" x="5776"/>
        <item m="1" x="2404"/>
        <item m="1" x="3220"/>
        <item m="1" x="5510"/>
        <item m="1" x="5649"/>
        <item m="1" x="5664"/>
        <item m="1" x="3592"/>
        <item m="1" x="5979"/>
        <item m="1" x="6338"/>
        <item m="1" x="1961"/>
        <item m="1" x="2003"/>
        <item m="1" x="2075"/>
        <item m="1" x="2105"/>
        <item m="1" x="2124"/>
        <item m="1" x="2141"/>
        <item m="1" x="2160"/>
        <item m="1" x="2177"/>
        <item m="1" x="6080"/>
        <item m="1" x="6101"/>
        <item m="1" x="6123"/>
        <item m="1" x="6394"/>
        <item m="1" x="6433"/>
        <item m="1" x="6451"/>
        <item m="1" x="2618"/>
        <item m="1" x="5636"/>
        <item m="1" x="3441"/>
        <item m="1" x="6601"/>
        <item m="1" x="1786"/>
        <item m="1" x="1575"/>
        <item m="1" x="1594"/>
        <item m="1" x="5708"/>
        <item m="1" x="5015"/>
        <item m="1" x="3145"/>
        <item m="1" x="6896"/>
        <item m="1" x="2087"/>
        <item m="1" x="2565"/>
        <item m="1" x="6470"/>
        <item m="1" x="2351"/>
        <item m="1" x="6636"/>
        <item m="1" x="6650"/>
        <item m="1" x="6669"/>
        <item m="1" x="5720"/>
        <item m="1" x="6817"/>
        <item m="1" x="6879"/>
        <item m="1" x="6749"/>
        <item m="1" x="6766"/>
        <item m="1" x="6227"/>
        <item m="1" x="5894"/>
        <item m="1" x="6784"/>
        <item m="1" x="6799"/>
        <item m="1" x="6972"/>
        <item m="1" x="6617"/>
        <item m="1" x="6584"/>
        <item m="1" x="6058"/>
        <item m="1" x="6210"/>
        <item m="1" x="6599"/>
        <item m="1" x="6729"/>
        <item m="1" x="1735"/>
        <item m="1" x="1750"/>
        <item m="1" x="1766"/>
        <item m="1" x="1776"/>
        <item m="1" x="1954"/>
        <item m="1" x="636"/>
        <item m="1" x="1621"/>
        <item m="1" x="772"/>
        <item m="1" x="791"/>
        <item m="1" x="827"/>
        <item m="1" x="844"/>
        <item m="1" x="864"/>
        <item m="1" x="880"/>
        <item m="1" x="918"/>
        <item m="1" x="996"/>
        <item m="1" x="1069"/>
        <item m="1" x="382"/>
        <item m="1" x="1217"/>
        <item m="1" x="1234"/>
        <item m="1" x="1356"/>
        <item m="1" x="1374"/>
        <item m="1" x="1456"/>
        <item m="1" x="1489"/>
        <item m="1" x="1534"/>
        <item m="1" x="1588"/>
        <item m="1" x="1603"/>
        <item m="1" x="1652"/>
        <item m="1" x="4081"/>
        <item m="1" x="4128"/>
        <item m="1" x="3866"/>
        <item m="1" x="4834"/>
        <item m="1" x="4851"/>
        <item m="1" x="4865"/>
        <item m="1" x="4880"/>
        <item m="1" x="4900"/>
        <item m="1" x="4917"/>
        <item m="1" x="4720"/>
        <item m="1" x="4966"/>
        <item m="1" x="3811"/>
        <item m="1" x="3823"/>
        <item m="1" x="3837"/>
        <item m="1" x="571"/>
        <item m="1" x="1101"/>
        <item m="1" x="4040"/>
        <item m="1" x="4161"/>
        <item m="1" x="2154"/>
        <item m="1" x="147"/>
        <item m="1" x="162"/>
        <item m="1" x="197"/>
        <item m="1" x="4950"/>
        <item m="1" x="2188"/>
        <item m="1" x="2204"/>
        <item m="1" x="5021"/>
        <item m="1" x="6073"/>
        <item m="1" x="6115"/>
        <item m="1" x="5905"/>
        <item m="1" x="5991"/>
        <item m="1" x="6042"/>
        <item m="1" x="1812"/>
        <item m="1" x="5146"/>
        <item m="1" x="5224"/>
        <item m="1" x="5237"/>
        <item m="1" x="5504"/>
        <item m="1" x="5521"/>
        <item m="1" x="6189"/>
        <item m="1" x="4057"/>
        <item m="1" x="6091"/>
        <item m="1" x="6134"/>
        <item m="1" x="5470"/>
        <item m="1" x="6165"/>
        <item m="1" x="6206"/>
        <item m="1" x="5856"/>
        <item m="1" x="5160"/>
        <item m="1" x="5183"/>
        <item m="1" x="5196"/>
        <item m="1" x="4518"/>
        <item m="1" x="4536"/>
        <item m="1" x="4979"/>
        <item m="1" x="5127"/>
        <item m="1" x="5209"/>
        <item m="1" x="5675"/>
        <item m="1" x="142"/>
        <item m="1" x="156"/>
        <item m="1" x="99"/>
        <item m="1" x="283"/>
        <item m="1" x="3891"/>
        <item m="1" x="3756"/>
        <item m="1" x="6588"/>
        <item m="1" x="6607"/>
        <item m="1" x="2669"/>
        <item m="1" x="3791"/>
        <item m="1" x="2606"/>
        <item m="1" x="2689"/>
        <item m="1" x="5916"/>
        <item m="1" x="5983"/>
        <item m="1" x="4112"/>
        <item m="1" x="3945"/>
        <item m="1" x="3901"/>
        <item m="1" x="4185"/>
        <item m="1" x="2182"/>
        <item m="1" x="2196"/>
        <item m="1" x="2218"/>
        <item m="1" x="2092"/>
        <item m="1" x="2112"/>
        <item m="1" x="2757"/>
        <item m="1" x="2775"/>
        <item m="1" x="2792"/>
        <item m="1" x="2814"/>
        <item m="1" x="2831"/>
        <item m="1" x="2853"/>
        <item m="1" x="2870"/>
        <item m="1" x="2885"/>
        <item m="1" x="2898"/>
        <item m="1" x="2919"/>
        <item m="1" x="2934"/>
        <item m="1" x="2951"/>
        <item m="1" x="2966"/>
        <item m="1" x="2982"/>
        <item m="1" x="3182"/>
        <item m="1" x="3196"/>
        <item m="1" x="3209"/>
        <item m="1" x="3224"/>
        <item m="1" x="3238"/>
        <item m="1" x="3267"/>
        <item m="1" x="3281"/>
        <item m="1" x="3294"/>
        <item m="1" x="3309"/>
        <item m="1" x="3327"/>
        <item m="1" x="3347"/>
        <item m="1" x="3363"/>
        <item m="1" x="3381"/>
        <item m="1" x="3396"/>
        <item m="1" x="3412"/>
        <item m="1" x="3427"/>
        <item m="1" x="3445"/>
        <item m="1" x="3460"/>
        <item m="1" x="3477"/>
        <item m="1" x="3490"/>
        <item m="1" x="3507"/>
        <item m="1" x="3519"/>
        <item m="1" x="3535"/>
        <item m="1" x="3557"/>
        <item m="1" x="3579"/>
        <item m="1" x="4074"/>
        <item m="1" x="4098"/>
        <item m="1" x="2386"/>
        <item m="1" x="2975"/>
        <item m="1" x="2994"/>
        <item m="1" x="3010"/>
        <item m="1" x="3040"/>
        <item m="1" x="3057"/>
        <item m="1" x="3234"/>
        <item m="1" x="5602"/>
        <item m="1" x="5701"/>
        <item m="1" x="5758"/>
        <item m="1" x="6373"/>
        <item m="1" x="6416"/>
        <item m="1" x="4565"/>
        <item m="1" x="4579"/>
        <item m="1" x="4608"/>
        <item m="1" x="4620"/>
        <item m="1" x="4635"/>
        <item m="1" x="5037"/>
        <item m="1" x="5068"/>
        <item m="1" x="172"/>
        <item m="1" x="234"/>
        <item m="1" x="271"/>
        <item m="1" x="2358"/>
        <item m="1" x="4016"/>
        <item m="1" x="4062"/>
        <item m="1" x="6288"/>
        <item m="1" x="6305"/>
        <item m="1" x="6401"/>
        <item m="1" x="6418"/>
        <item m="1" x="6439"/>
        <item m="1" x="6621"/>
        <item m="1" x="6654"/>
        <item m="1" x="2413"/>
        <item m="1" x="3618"/>
        <item m="1" x="6842"/>
        <item m="1" x="6887"/>
        <item m="1" x="3603"/>
        <item m="1" x="3667"/>
        <item m="1" x="6806"/>
        <item m="1" x="3068"/>
        <item m="1" x="3189"/>
        <item m="1" x="4785"/>
        <item m="1" x="4902"/>
        <item m="1" x="5022"/>
        <item m="1" x="5147"/>
        <item m="1" x="5252"/>
        <item m="1" x="5366"/>
        <item m="1" x="5485"/>
        <item m="1" x="5613"/>
        <item m="1" x="5888"/>
        <item m="1" x="6023"/>
        <item m="1" x="6168"/>
        <item m="1" x="6292"/>
        <item m="1" x="6427"/>
        <item m="1" x="6564"/>
        <item m="1" x="6697"/>
        <item m="1" x="6828"/>
        <item m="1" x="6950"/>
        <item m="1" x="1206"/>
        <item m="1" x="780"/>
        <item m="1" x="2296"/>
        <item m="1" x="453"/>
        <item m="1" x="470"/>
        <item m="1" x="2739"/>
        <item m="1" x="888"/>
        <item m="1" x="834"/>
        <item m="1" x="799"/>
        <item m="1" x="2212"/>
        <item m="1" x="1223"/>
        <item m="1" x="1025"/>
        <item m="1" x="1060"/>
        <item m="1" x="1271"/>
        <item m="1" x="1287"/>
        <item m="1" x="1308"/>
        <item m="1" x="1323"/>
        <item m="1" x="1341"/>
        <item m="1" x="1382"/>
        <item m="1" x="1395"/>
        <item m="1" x="1410"/>
        <item m="1" x="1426"/>
        <item m="1" x="1446"/>
        <item m="1" x="1464"/>
        <item m="1" x="1479"/>
        <item m="1" x="1507"/>
        <item m="1" x="1522"/>
        <item m="1" x="1543"/>
        <item m="1" x="1560"/>
        <item m="1" x="1576"/>
        <item m="1" x="1595"/>
        <item m="1" x="1613"/>
        <item m="1" x="1626"/>
        <item m="1" x="1644"/>
        <item m="1" x="1671"/>
        <item m="1" x="1682"/>
        <item m="1" x="1698"/>
        <item m="1" x="1714"/>
        <item m="1" x="1728"/>
        <item m="1" x="1740"/>
        <item m="1" x="1759"/>
        <item m="1" x="1787"/>
        <item m="1" x="1804"/>
        <item m="1" x="6881"/>
        <item m="1" x="4849"/>
        <item m="1" x="4930"/>
        <item m="1" x="4948"/>
        <item m="1" x="1181"/>
        <item m="1" x="1198"/>
        <item m="1" x="1213"/>
        <item m="1" x="1232"/>
        <item m="1" x="1249"/>
        <item m="1" x="1097"/>
        <item m="1" x="1113"/>
        <item m="1" x="1125"/>
        <item m="1" x="1141"/>
        <item m="1" x="1825"/>
        <item m="1" x="1842"/>
        <item m="1" x="311"/>
        <item m="1" x="325"/>
        <item m="1" x="336"/>
        <item m="1" x="347"/>
        <item m="1" x="364"/>
        <item m="1" x="2039"/>
        <item m="1" x="2058"/>
        <item m="1" x="694"/>
        <item m="1" x="4316"/>
        <item m="1" x="4248"/>
        <item m="1" x="4633"/>
        <item m="1" x="3851"/>
        <item m="1" x="4421"/>
        <item m="1" x="4501"/>
        <item m="1" x="5034"/>
        <item m="1" x="5422"/>
        <item m="1" x="5453"/>
        <item m="1" x="5516"/>
        <item m="1" x="5920"/>
        <item m="1" x="5970"/>
        <item m="1" x="6005"/>
        <item m="1" x="193"/>
        <item m="1" x="5348"/>
        <item m="1" x="5362"/>
        <item m="1" x="5381"/>
        <item m="1" x="5392"/>
        <item m="1" x="5501"/>
        <item m="1" x="5641"/>
        <item m="1" x="1815"/>
        <item m="1" x="6458"/>
        <item m="1" x="3495"/>
        <item m="1" x="3664"/>
        <item m="1" x="3680"/>
        <item m="1" x="3697"/>
        <item m="1" x="3714"/>
        <item m="1" x="3729"/>
        <item m="1" x="3742"/>
        <item m="1" x="3759"/>
        <item m="1" x="3776"/>
        <item m="1" x="3793"/>
        <item m="1" x="4236"/>
        <item m="1" x="4245"/>
        <item m="1" x="4264"/>
        <item m="1" x="4281"/>
        <item m="1" x="4313"/>
        <item m="1" x="4348"/>
        <item m="1" x="4384"/>
        <item m="1" x="4467"/>
        <item m="1" x="4530"/>
        <item m="1" x="4557"/>
        <item m="1" x="4587"/>
        <item m="1" x="4682"/>
        <item m="1" x="6404"/>
        <item m="1" x="6420"/>
        <item m="1" x="6624"/>
        <item m="1" x="6689"/>
        <item m="1" x="6708"/>
        <item m="1" x="6740"/>
        <item m="1" x="2651"/>
        <item m="1" x="2817"/>
        <item m="1" x="3480"/>
        <item m="1" x="3509"/>
        <item m="1" x="3523"/>
        <item m="1" x="3582"/>
        <item m="1" x="3600"/>
        <item m="1" x="3629"/>
        <item m="1" x="3800"/>
        <item m="1" x="6913"/>
        <item m="1" x="6929"/>
        <item m="1" x="2673"/>
        <item m="1" x="3253"/>
        <item m="1" x="3270"/>
        <item m="1" x="3284"/>
        <item m="1" x="3431"/>
        <item m="1" x="3466"/>
        <item m="1" x="3646"/>
        <item m="1" x="6839"/>
        <item m="1" x="6250"/>
        <item m="1" x="6441"/>
        <item m="1" x="6477"/>
        <item m="1" x="3902"/>
        <item m="1" x="907"/>
        <item m="1" x="925"/>
        <item m="1" x="944"/>
        <item m="1" x="870"/>
        <item m="1" x="983"/>
        <item m="1" x="419"/>
        <item m="1" x="467"/>
        <item m="1" x="685"/>
        <item m="1" x="704"/>
        <item m="1" x="6298"/>
        <item m="1" x="987"/>
        <item m="1" x="1631"/>
        <item m="1" x="3061"/>
        <item m="1" x="2832"/>
        <item m="1" x="3164"/>
        <item m="1" x="2899"/>
        <item m="1" x="2920"/>
        <item m="1" x="1193"/>
        <item m="1" x="1209"/>
        <item m="1" x="1227"/>
        <item m="1" x="1245"/>
        <item m="1" x="1259"/>
        <item m="1" x="1274"/>
        <item m="1" x="1292"/>
        <item m="1" x="6198"/>
        <item m="1" x="6183"/>
        <item m="1" x="5121"/>
        <item m="1" x="5138"/>
        <item m="1" x="5155"/>
        <item m="1" x="1966"/>
        <item m="1" x="4794"/>
        <item m="1" x="5332"/>
        <item m="1" x="6233"/>
        <item m="1" x="1385"/>
        <item m="1" x="1523"/>
        <item m="1" x="1546"/>
        <item m="1" x="1563"/>
        <item m="1" x="1580"/>
        <item m="1" x="1597"/>
        <item m="1" x="1646"/>
        <item m="1" x="1658"/>
        <item m="1" x="2776"/>
        <item m="1" x="2793"/>
        <item m="1" x="5217"/>
        <item m="1" x="6306"/>
        <item m="1" x="6342"/>
        <item m="1" x="6359"/>
        <item m="1" x="6402"/>
        <item m="1" x="6440"/>
        <item m="1" x="6455"/>
        <item m="1" x="5262"/>
        <item m="1" x="1494"/>
        <item m="1" x="1852"/>
        <item m="1" x="745"/>
        <item m="1" x="765"/>
        <item m="1" x="783"/>
        <item m="1" x="1344"/>
        <item m="1" x="1413"/>
        <item m="1" x="1482"/>
        <item m="1" x="1685"/>
        <item m="1" x="1744"/>
        <item m="1" x="1761"/>
        <item m="1" x="1771"/>
        <item m="1" x="1789"/>
        <item m="1" x="1805"/>
        <item m="1" x="1821"/>
        <item m="1" x="1836"/>
        <item m="1" x="1872"/>
        <item m="1" x="1889"/>
        <item m="1" x="1905"/>
        <item m="1" x="1937"/>
        <item m="1" x="1978"/>
        <item m="1" x="2025"/>
        <item m="1" x="2743"/>
        <item m="1" x="2758"/>
        <item m="1" x="2725"/>
        <item m="1" x="4857"/>
        <item m="1" x="4891"/>
        <item m="1" x="4908"/>
        <item m="1" x="4925"/>
        <item m="1" x="4944"/>
        <item m="1" x="4957"/>
        <item m="1" x="4975"/>
        <item m="1" x="4985"/>
        <item m="1" x="5000"/>
        <item m="1" x="5013"/>
        <item m="1" x="5030"/>
        <item m="1" x="5045"/>
        <item m="1" x="5061"/>
        <item m="1" x="5076"/>
        <item m="1" x="5091"/>
        <item m="1" x="2854"/>
        <item m="1" x="2707"/>
        <item m="1" x="2952"/>
        <item m="1" x="6674"/>
        <item m="1" x="6686"/>
        <item m="1" x="6720"/>
        <item m="1" x="2318"/>
        <item m="1" x="3006"/>
        <item m="1" x="5198"/>
        <item m="1" x="5254"/>
        <item m="1" x="5308"/>
        <item m="1" x="5368"/>
        <item m="1" x="5426"/>
        <item m="1" x="5487"/>
        <item m="1" x="5549"/>
        <item m="1" x="5615"/>
        <item m="1" x="5678"/>
        <item m="1" x="5752"/>
        <item m="1" x="5821"/>
        <item m="1" x="5890"/>
        <item m="1" x="5954"/>
        <item m="1" x="6026"/>
        <item m="1" x="6094"/>
        <item m="1" x="6172"/>
        <item m="1" x="6241"/>
        <item m="1" x="6295"/>
        <item m="1" x="6351"/>
        <item m="1" x="6430"/>
        <item m="1" x="6503"/>
        <item m="1" x="6568"/>
        <item m="1" x="6633"/>
        <item m="1" x="6700"/>
        <item m="1" x="6762"/>
        <item m="1" x="6831"/>
        <item m="1" x="6892"/>
        <item m="1" x="6954"/>
        <item m="1" x="2007"/>
        <item m="1" x="1241"/>
        <item m="1" x="815"/>
        <item m="1" x="1338"/>
        <item m="1" x="1443"/>
        <item m="1" x="4569"/>
        <item m="1" x="5241"/>
        <item m="1" x="5271"/>
        <item m="1" x="5311"/>
        <item m="1" x="5338"/>
        <item m="1" x="5353"/>
        <item m="1" x="1264"/>
        <item m="1" x="1297"/>
        <item m="1" x="1417"/>
        <item m="1" x="1602"/>
        <item m="1" x="2694"/>
        <item m="1" x="3416"/>
        <item m="1" x="3435"/>
        <item m="1" x="3589"/>
        <item m="1" x="3623"/>
        <item m="1" x="3655"/>
        <item m="1" x="2611"/>
        <item m="1" x="1250"/>
        <item m="1" x="2286"/>
        <item m="1" x="2414"/>
        <item m="1" x="1811"/>
        <item m="1" x="2632"/>
        <item m="1" x="2939"/>
        <item m="1" x="3498"/>
        <item m="1" x="1514"/>
        <item m="1" x="1532"/>
        <item m="1" x="1553"/>
        <item m="1" x="6384"/>
        <item m="1" x="6461"/>
        <item m="1" x="3094"/>
        <item m="1" x="3111"/>
        <item m="1" x="3127"/>
        <item m="1" x="3139"/>
        <item m="1" x="3154"/>
        <item m="1" x="3168"/>
        <item m="1" x="3186"/>
        <item m="1" x="3200"/>
        <item m="1" x="3214"/>
        <item m="1" x="3228"/>
        <item m="1" x="3243"/>
        <item m="1" x="3257"/>
        <item m="1" x="3273"/>
        <item m="1" x="3286"/>
        <item m="1" x="3314"/>
        <item m="1" x="3333"/>
        <item m="1" x="3352"/>
        <item m="1" x="3369"/>
        <item m="1" x="5393"/>
        <item m="1" x="5409"/>
        <item m="1" x="5423"/>
        <item m="1" x="5441"/>
        <item m="1" x="5454"/>
        <item m="1" x="5468"/>
        <item m="1" x="5482"/>
        <item m="1" x="5502"/>
        <item m="1" x="5517"/>
        <item m="1" x="5532"/>
        <item m="1" x="5544"/>
        <item m="1" x="5562"/>
        <item m="1" x="5577"/>
        <item m="1" x="5692"/>
        <item m="1" x="5710"/>
        <item m="1" x="5728"/>
        <item m="1" x="5746"/>
        <item m="1" x="5767"/>
        <item m="1" x="6711"/>
        <item m="1" x="6757"/>
        <item m="1" x="6775"/>
        <item m="1" x="3176"/>
        <item m="1" x="5320"/>
        <item m="1" x="5363"/>
        <item m="1" x="5283"/>
        <item m="1" x="1577"/>
        <item m="1" x="88"/>
        <item m="1" x="151"/>
        <item m="1" x="169"/>
        <item m="1" x="591"/>
        <item m="1" x="609"/>
        <item m="1" x="1342"/>
        <item m="1" x="1614"/>
        <item m="1" x="1627"/>
        <item m="1" x="4665"/>
        <item m="1" x="3899"/>
        <item m="1" x="3913"/>
        <item m="1" x="3926"/>
        <item m="1" x="3955"/>
        <item m="1" x="3982"/>
        <item m="1" x="4085"/>
        <item m="1" x="4198"/>
        <item m="1" x="4212"/>
        <item m="1" x="4258"/>
        <item m="1" x="4342"/>
        <item m="1" x="5305"/>
        <item m="1" x="1119"/>
        <item m="1" x="4149"/>
        <item m="1" x="2842"/>
        <item m="1" x="801"/>
        <item m="1" x="3652"/>
        <item m="1" x="3671"/>
        <item m="1" x="2782"/>
        <item m="1" x="2439"/>
        <item m="1" x="2732"/>
        <item m="1" x="3471"/>
        <item m="1" x="1755"/>
        <item m="1" x="1767"/>
        <item m="1" x="1780"/>
        <item m="1" x="1799"/>
        <item m="1" x="1816"/>
        <item m="1" x="1829"/>
        <item m="1" x="1845"/>
        <item m="1" x="1861"/>
        <item m="1" x="1881"/>
        <item m="1" x="1897"/>
        <item m="1" x="1912"/>
        <item m="1" x="1927"/>
        <item m="1" x="1942"/>
        <item m="1" x="1956"/>
        <item m="1" x="1971"/>
        <item m="1" x="1986"/>
        <item m="1" x="1999"/>
        <item m="1" x="2017"/>
        <item m="1" x="2031"/>
        <item m="1" x="2989"/>
        <item m="1" x="3172"/>
        <item m="1" x="3502"/>
        <item m="1" x="1347"/>
        <item m="1" x="1386"/>
        <item m="1" x="1548"/>
        <item m="1" x="1791"/>
        <item m="1" x="1399"/>
        <item m="1" x="1433"/>
        <item m="1" x="1939"/>
        <item m="1" x="394"/>
        <item m="1" x="426"/>
        <item m="1" x="492"/>
        <item m="1" x="510"/>
        <item m="1" x="1369"/>
        <item m="1" x="159"/>
        <item m="1" x="191"/>
        <item m="1" x="206"/>
        <item m="1" x="360"/>
        <item m="1" x="2009"/>
        <item m="1" x="2026"/>
        <item m="1" x="2037"/>
        <item m="1" x="2094"/>
        <item m="1" x="3484"/>
        <item m="1" x="5655"/>
        <item m="1" x="5608"/>
        <item m="1" x="4558"/>
        <item m="1" x="5205"/>
        <item m="1" x="4300"/>
        <item m="1" x="5881"/>
        <item m="1" x="5094"/>
        <item m="1" x="4137"/>
        <item m="1" x="4153"/>
        <item m="1" x="4169"/>
        <item m="1" x="4189"/>
        <item m="1" x="5689"/>
        <item m="1" x="5303"/>
        <item m="1" x="5319"/>
        <item m="1" x="5346"/>
        <item m="1" x="5359"/>
        <item m="1" x="5389"/>
        <item m="1" x="5438"/>
        <item m="1" x="5451"/>
        <item m="1" x="5814"/>
        <item m="1" x="5947"/>
        <item m="1" x="4715"/>
        <item m="1" x="4749"/>
        <item m="1" x="4766"/>
        <item m="1" x="897"/>
        <item m="1" x="913"/>
        <item m="1" x="1485"/>
        <item m="1" x="1498"/>
        <item m="1" x="1512"/>
        <item m="1" x="1528"/>
        <item m="1" x="948"/>
        <item m="1" x="5965"/>
        <item m="1" x="5934"/>
        <item m="1" x="4959"/>
        <item m="1" x="77"/>
        <item m="1" x="130"/>
        <item m="1" x="5110"/>
        <item m="1" x="5140"/>
        <item m="1" x="1702"/>
        <item m="1" x="6108"/>
        <item m="1" x="1674"/>
        <item m="1" x="1687"/>
        <item m="1" x="2054"/>
        <item m="1" x="2066"/>
        <item m="1" x="2115"/>
        <item m="1" x="2148"/>
        <item m="1" x="5280"/>
        <item m="1" x="5378"/>
        <item m="1" x="5497"/>
        <item m="1" x="3916"/>
        <item m="1" x="3931"/>
        <item m="1" x="3946"/>
        <item m="1" x="4401"/>
        <item m="1" x="4416"/>
        <item m="1" x="4436"/>
        <item m="1" x="4449"/>
        <item m="1" x="4468"/>
        <item m="1" x="4477"/>
        <item m="1" x="4490"/>
        <item m="1" x="4499"/>
        <item m="1" x="4516"/>
        <item m="1" x="748"/>
        <item m="1" x="768"/>
        <item m="1" x="786"/>
        <item m="1" x="803"/>
        <item m="1" x="822"/>
        <item m="1" x="839"/>
        <item m="1" x="859"/>
        <item m="1" x="875"/>
        <item m="1" x="1010"/>
        <item m="1" x="1328"/>
        <item m="1" x="581"/>
        <item m="1" x="1211"/>
        <item m="1" x="1295"/>
        <item m="1" x="933"/>
        <item m="1" x="970"/>
        <item m="1" x="990"/>
        <item m="1" x="1030"/>
        <item m="1" x="1449"/>
        <item m="1" x="1470"/>
        <item m="1" x="3221"/>
        <item m="1" x="2125"/>
        <item m="1" x="2372"/>
        <item m="1" x="2424"/>
        <item m="1" x="2020"/>
        <item m="1" x="2048"/>
        <item m="1" x="2064"/>
        <item m="1" x="2076"/>
        <item m="1" x="2277"/>
        <item m="1" x="86"/>
        <item m="1" x="125"/>
        <item m="1" x="139"/>
        <item m="1" x="149"/>
        <item m="1" x="167"/>
        <item m="1" x="183"/>
        <item m="1" x="203"/>
        <item m="1" x="215"/>
        <item m="1" x="231"/>
        <item m="1" x="243"/>
        <item m="1" x="256"/>
        <item m="1" x="266"/>
        <item m="1" x="2387"/>
        <item m="1" x="2337"/>
        <item m="1" x="3206"/>
        <item m="1" x="3247"/>
        <item m="1" x="3263"/>
        <item m="1" x="6354"/>
        <item m="1" x="6715"/>
        <item m="1" x="6733"/>
        <item m="1" x="3125"/>
        <item m="1" x="4305"/>
        <item m="1" x="211"/>
        <item m="1" x="2365"/>
        <item m="1" x="2346"/>
        <item m="1" x="2205"/>
        <item m="1" x="2452"/>
        <item m="1" x="4335"/>
        <item m="1" x="4355"/>
        <item m="1" x="4374"/>
        <item m="1" x="752"/>
        <item m="1" x="1707"/>
        <item m="1" x="1895"/>
        <item m="1" x="1910"/>
        <item m="1" x="1925"/>
        <item m="1" x="1691"/>
        <item m="1" x="1720"/>
        <item m="1" x="1859"/>
        <item m="1" x="1878"/>
        <item m="1" x="427"/>
        <item m="1" x="443"/>
        <item m="1" x="459"/>
        <item m="1" x="480"/>
        <item m="1" x="497"/>
        <item m="1" x="516"/>
        <item m="1" x="532"/>
        <item m="1" x="553"/>
        <item m="1" x="572"/>
        <item m="1" x="586"/>
        <item m="1" x="600"/>
        <item m="1" x="1955"/>
        <item m="1" x="4017"/>
        <item m="1" x="4088"/>
        <item m="1" x="2548"/>
        <item m="1" x="2587"/>
        <item m="1" x="2670"/>
        <item m="1" x="2690"/>
        <item m="1" x="3678"/>
        <item m="1" x="3711"/>
        <item m="1" x="4151"/>
        <item m="1" x="4382"/>
        <item m="1" x="2409"/>
        <item m="1" x="2431"/>
        <item m="1" x="2468"/>
        <item m="1" x="2528"/>
        <item m="1" x="2777"/>
        <item m="1" x="2794"/>
        <item m="1" x="2815"/>
        <item m="1" x="2855"/>
        <item m="1" x="2900"/>
        <item m="1" x="2921"/>
        <item m="1" x="3295"/>
        <item m="1" x="3461"/>
        <item m="1" x="3757"/>
        <item m="1" x="4668"/>
        <item m="1" x="4680"/>
        <item m="1" x="4629"/>
        <item m="1" x="3627"/>
        <item m="1" x="4554"/>
        <item m="1" x="629"/>
        <item m="1" x="2359"/>
        <item m="1" x="2376"/>
        <item m="1" x="2394"/>
        <item m="1" x="4649"/>
        <item m="1" x="4278"/>
        <item m="1" x="3508"/>
        <item m="1" x="4296"/>
        <item m="1" x="4327"/>
        <item m="1" x="4345"/>
        <item m="1" x="4366"/>
        <item m="1" x="2997"/>
        <item m="1" x="3016"/>
        <item m="1" x="3030"/>
        <item m="1" x="3045"/>
        <item m="1" x="3971"/>
        <item m="1" x="4047"/>
        <item m="1" x="4063"/>
        <item m="1" x="3091"/>
        <item m="1" x="3165"/>
        <item m="1" x="3197"/>
        <item m="1" x="3520"/>
        <item m="1" x="3536"/>
        <item m="1" x="3558"/>
        <item m="1" x="3661"/>
        <item m="1" x="4167"/>
        <item m="1" x="4186"/>
        <item m="1" x="4201"/>
        <item m="1" x="4216"/>
        <item m="1" x="74"/>
        <item m="1" x="89"/>
        <item m="1" x="115"/>
        <item m="1" x="143"/>
        <item m="1" x="173"/>
        <item m="1" x="187"/>
        <item m="1" x="220"/>
        <item m="1" x="100"/>
        <item m="1" x="6516"/>
        <item m="1" x="3078"/>
        <item m="1" x="3446"/>
        <item m="1" x="663"/>
        <item m="1" x="3957"/>
        <item m="1" x="448"/>
        <item m="1" x="464"/>
        <item m="1" x="539"/>
        <item m="1" x="2442"/>
        <item m="1" x="2521"/>
        <item m="1" x="2560"/>
        <item m="1" x="5645"/>
        <item m="1" x="5661"/>
        <item m="1" x="5735"/>
        <item m="1" x="5788"/>
        <item m="1" x="5843"/>
        <item m="1" x="6012"/>
        <item m="1" x="5135"/>
        <item m="1" x="5703"/>
        <item m="1" x="3029"/>
        <item m="1" x="3060"/>
        <item m="1" x="3090"/>
        <item m="1" x="3122"/>
        <item m="1" x="3147"/>
        <item m="1" x="3180"/>
        <item m="1" x="3208"/>
        <item m="1" x="3236"/>
        <item m="1" x="3265"/>
        <item m="1" x="3293"/>
        <item m="1" x="3325"/>
        <item m="1" x="4923"/>
        <item m="1" x="3373"/>
        <item m="1" x="3387"/>
        <item m="1" x="3403"/>
        <item m="1" x="3620"/>
        <item m="1" x="3635"/>
        <item m="1" x="3825"/>
        <item m="1" x="960"/>
        <item m="1" x="1149"/>
        <item m="1" x="1257"/>
        <item m="1" x="1288"/>
        <item m="1" x="1309"/>
        <item m="1" x="1324"/>
        <item m="1" x="1411"/>
        <item m="1" x="1427"/>
        <item m="1" x="1480"/>
        <item m="1" x="1508"/>
        <item m="1" x="1544"/>
        <item m="1" x="1578"/>
        <item m="1" x="1615"/>
        <item m="1" x="1628"/>
        <item m="1" x="1729"/>
        <item m="1" x="1741"/>
        <item m="1" x="1869"/>
        <item m="1" x="1887"/>
        <item m="1" x="2180"/>
        <item m="1" x="2263"/>
        <item m="1" x="2279"/>
        <item m="1" x="2354"/>
        <item m="1" x="2373"/>
        <item m="1" x="2390"/>
        <item m="1" x="2427"/>
        <item m="1" x="2445"/>
        <item m="1" x="2464"/>
        <item m="1" x="2505"/>
        <item m="1" x="2526"/>
        <item m="1" x="2567"/>
        <item m="1" x="2621"/>
        <item m="1" x="2665"/>
        <item m="1" x="2703"/>
        <item m="1" x="2724"/>
        <item m="1" x="3249"/>
        <item m="1" x="3264"/>
        <item m="1" x="5809"/>
        <item m="1" x="5826"/>
        <item m="1" x="5846"/>
        <item m="1" x="5861"/>
        <item m="1" x="5877"/>
        <item m="1" x="5896"/>
        <item m="1" x="5913"/>
        <item m="1" x="5928"/>
        <item m="1" x="6339"/>
        <item m="1" x="6356"/>
        <item m="1" x="6376"/>
        <item m="1" x="6396"/>
        <item m="1" x="6472"/>
        <item m="1" x="6491"/>
        <item m="1" x="6505"/>
        <item m="1" x="6523"/>
        <item m="1" x="6538"/>
        <item m="1" x="6556"/>
        <item m="1" x="6571"/>
        <item m="1" x="6603"/>
        <item m="1" x="6618"/>
        <item m="1" x="6637"/>
        <item m="1" x="6651"/>
        <item m="1" x="6671"/>
        <item m="1" x="6705"/>
        <item m="1" x="6718"/>
        <item m="1" x="6736"/>
        <item m="1" x="6750"/>
        <item m="1" x="6818"/>
        <item m="1" x="6898"/>
        <item m="1" x="6911"/>
        <item m="1" x="6924"/>
        <item m="1" x="6940"/>
        <item m="1" x="6959"/>
        <item m="1" x="6974"/>
        <item m="1" x="6977"/>
        <item m="1" x="4756"/>
        <item m="1" x="2804"/>
        <item m="1" x="6953"/>
        <item m="1" x="7218"/>
        <item m="1" x="7230"/>
        <item m="1" x="7249"/>
        <item m="1" x="7603"/>
        <item m="1" x="367"/>
        <item m="1" x="7072"/>
        <item m="1" x="5239"/>
        <item m="1" x="3158"/>
        <item m="1" x="7235"/>
        <item m="1" x="7244"/>
        <item m="1" x="1530"/>
        <item m="1" x="1567"/>
        <item m="1" x="1601"/>
        <item m="1" x="1689"/>
        <item m="1" x="7479"/>
        <item m="1" x="7491"/>
        <item m="1" x="7507"/>
        <item m="1" x="7517"/>
        <item m="1" x="7525"/>
        <item m="1" x="7533"/>
        <item m="1" x="7459"/>
        <item m="1" x="7466"/>
        <item m="1" x="5111"/>
        <item m="1" x="5123"/>
        <item m="1" x="5141"/>
        <item m="1" x="5157"/>
        <item m="1" x="5169"/>
        <item m="1" x="5181"/>
        <item m="1" x="5192"/>
        <item m="1" x="5218"/>
        <item m="1" x="5233"/>
        <item m="1" x="5248"/>
        <item m="1" x="5264"/>
        <item m="1" x="5281"/>
        <item m="1" x="5293"/>
        <item m="1" x="1529"/>
        <item m="1" x="3254"/>
        <item m="1" x="5690"/>
        <item m="1" x="5744"/>
        <item m="1" x="5764"/>
        <item m="1" x="5781"/>
        <item m="1" x="5797"/>
        <item m="1" x="5815"/>
        <item m="1" x="5833"/>
        <item m="1" x="5851"/>
        <item m="1" x="5866"/>
        <item m="1" x="5882"/>
        <item m="1" x="5918"/>
        <item m="1" x="5935"/>
        <item m="1" x="5948"/>
        <item m="1" x="5966"/>
        <item m="1" x="5985"/>
        <item m="1" x="6001"/>
        <item m="1" x="6017"/>
        <item m="1" x="6035"/>
        <item m="1" x="6050"/>
        <item m="1" x="6085"/>
        <item m="1" x="6109"/>
        <item m="1" x="6185"/>
        <item m="1" x="1450"/>
        <item m="1" x="2197"/>
        <item m="1" x="1499"/>
        <item m="1" x="3367"/>
        <item m="1" x="3383"/>
        <item m="1" x="3399"/>
        <item m="1" x="3432"/>
        <item m="1" x="6980"/>
        <item m="1" x="6987"/>
        <item m="1" x="6997"/>
        <item m="1" x="7002"/>
        <item m="1" x="7009"/>
        <item m="1" x="7098"/>
        <item m="1" x="7105"/>
        <item m="1" x="7113"/>
        <item m="1" x="7126"/>
        <item m="1" x="7134"/>
        <item m="1" x="7141"/>
        <item m="1" x="7150"/>
        <item m="1" x="7152"/>
        <item m="1" x="3448"/>
        <item m="1" x="7159"/>
        <item m="1" x="1792"/>
        <item m="1" x="1808"/>
        <item m="1" x="1688"/>
        <item m="1" x="1703"/>
        <item m="1" x="1717"/>
        <item m="1" x="1747"/>
        <item m="1" x="1763"/>
        <item m="1" x="5360"/>
        <item m="1" x="5379"/>
        <item m="1" x="5390"/>
        <item m="1" x="5407"/>
        <item m="1" x="5419"/>
        <item m="1" x="5439"/>
        <item m="1" x="5452"/>
        <item m="1" x="5466"/>
        <item m="1" x="5479"/>
        <item m="1" x="5498"/>
        <item m="1" x="7619"/>
        <item m="1" x="7623"/>
        <item m="1" x="7640"/>
        <item m="1" x="7645"/>
        <item m="1" x="7649"/>
        <item m="1" x="7652"/>
        <item m="1" x="2220"/>
        <item m="1" x="1992"/>
        <item m="1" x="1891"/>
        <item m="1" x="1246"/>
        <item m="1" x="5625"/>
        <item m="1" x="5559"/>
        <item m="1" x="5592"/>
        <item m="1" x="5347"/>
        <item m="1" x="3032"/>
        <item m="1" x="6591"/>
        <item m="1" x="6625"/>
        <item m="1" x="7615"/>
        <item m="1" x="1908"/>
        <item m="1" x="1921"/>
        <item m="1" x="6991"/>
        <item m="1" x="3647"/>
        <item m="1" x="7708"/>
        <item m="1" x="705"/>
        <item m="1" x="1361"/>
        <item m="1" x="851"/>
        <item m="1" x="1549"/>
        <item m="1" x="1566"/>
        <item m="1" x="1582"/>
        <item m="1" x="1600"/>
        <item m="1" x="1839"/>
        <item m="1" x="1854"/>
        <item m="1" x="1875"/>
        <item m="1" x="3562"/>
        <item m="1" x="3583"/>
        <item m="1" x="3601"/>
        <item m="1" x="3614"/>
        <item m="1" x="3630"/>
        <item m="1" x="6276"/>
        <item m="1" x="6289"/>
        <item m="1" x="6309"/>
        <item m="1" x="6318"/>
        <item m="1" x="6330"/>
        <item m="1" x="6345"/>
        <item m="1" x="6361"/>
        <item m="1" x="6381"/>
        <item m="1" x="6405"/>
        <item m="1" x="6421"/>
        <item m="1" x="6478"/>
        <item m="1" x="6495"/>
        <item m="1" x="6512"/>
        <item m="1" x="6529"/>
        <item m="1" x="6544"/>
        <item m="1" x="6642"/>
        <item m="1" x="6656"/>
        <item m="1" x="7013"/>
        <item m="1" x="7019"/>
        <item m="1" x="7026"/>
        <item m="1" x="7033"/>
        <item m="1" x="7038"/>
        <item m="1" x="7042"/>
        <item m="1" x="7046"/>
        <item m="1" x="7050"/>
        <item m="1" x="7053"/>
        <item m="1" x="7059"/>
        <item m="1" x="7062"/>
        <item m="1" x="7067"/>
        <item m="1" x="7071"/>
        <item m="1" x="7076"/>
        <item m="1" x="7082"/>
        <item m="1" x="7089"/>
        <item m="1" x="7092"/>
        <item m="1" x="1462"/>
        <item m="1" x="3408"/>
        <item m="1" x="5552"/>
        <item m="1" x="5637"/>
        <item m="1" x="5683"/>
        <item m="1" x="1445"/>
        <item m="1" x="1541"/>
        <item m="1" x="3455"/>
        <item m="1" x="5569"/>
        <item m="1" x="5585"/>
        <item m="1" x="5603"/>
        <item m="1" x="5619"/>
        <item m="1" x="5650"/>
        <item m="1" x="5665"/>
        <item m="1" x="5702"/>
        <item m="1" x="5177"/>
        <item m="1" x="3843"/>
        <item m="1" x="5087"/>
        <item m="1" x="5106"/>
        <item m="1" x="5117"/>
        <item m="1" x="5491"/>
        <item m="1" x="3593"/>
        <item m="1" x="5372"/>
        <item m="1" x="5386"/>
        <item m="1" x="5401"/>
        <item m="1" x="5416"/>
        <item m="1" x="5431"/>
        <item m="1" x="5449"/>
        <item m="1" x="3953"/>
        <item m="1" x="3967"/>
        <item m="1" x="3980"/>
        <item m="1" x="5314"/>
        <item m="1" x="3658"/>
        <item m="1" x="7515"/>
        <item m="1" x="5189"/>
        <item m="1" x="7302"/>
        <item m="1" x="7305"/>
        <item m="1" x="7388"/>
        <item m="1" x="7442"/>
        <item m="1" x="7445"/>
        <item m="1" x="7399"/>
        <item m="1" x="7403"/>
        <item m="1" x="7309"/>
        <item m="1" x="7313"/>
        <item m="1" x="7342"/>
        <item m="1" x="7347"/>
        <item m="1" x="7351"/>
        <item m="1" x="5477"/>
        <item m="1" x="451"/>
        <item m="1" x="468"/>
        <item m="1" x="486"/>
        <item m="1" x="504"/>
        <item m="1" x="521"/>
        <item m="1" x="541"/>
        <item m="1" x="558"/>
        <item m="1" x="577"/>
        <item m="1" x="589"/>
        <item m="1" x="607"/>
        <item m="1" x="622"/>
        <item m="1" x="646"/>
        <item m="1" x="665"/>
        <item m="1" x="686"/>
        <item m="1" x="7497"/>
        <item m="1" x="7415"/>
        <item m="1" x="7265"/>
        <item m="1" x="7282"/>
        <item m="1" x="5100"/>
        <item m="1" x="3942"/>
        <item m="1" x="7108"/>
        <item m="1" x="7676"/>
        <item m="1" x="723"/>
        <item m="1" x="7449"/>
        <item m="1" x="3625"/>
        <item m="1" x="3639"/>
        <item m="1" x="5215"/>
        <item m="1" x="5245"/>
        <item m="1" x="5260"/>
        <item m="1" x="5275"/>
        <item m="1" x="5132"/>
        <item m="1" x="7102"/>
        <item m="1" x="3786"/>
        <item m="1" x="7068"/>
        <item m="1" x="7078"/>
        <item m="1" x="7151"/>
        <item m="1" x="7155"/>
        <item m="1" x="7419"/>
        <item m="1" x="4172"/>
        <item m="1" x="4205"/>
        <item m="1" x="4317"/>
        <item m="1" x="119"/>
        <item m="1" x="160"/>
        <item m="1" x="194"/>
        <item m="1" x="251"/>
        <item m="1" x="262"/>
        <item m="1" x="2344"/>
        <item m="1" x="2364"/>
        <item m="1" x="2493"/>
        <item m="1" x="861"/>
        <item m="1" x="4439"/>
        <item m="1" x="4605"/>
        <item m="1" x="4301"/>
        <item m="1" x="4533"/>
        <item m="1" x="4404"/>
        <item m="1" x="4157"/>
        <item m="1" x="5017"/>
        <item m="1" x="6498"/>
        <item m="1" x="5144"/>
        <item m="1" x="6071"/>
        <item m="1" x="6113"/>
        <item m="1" x="6319"/>
        <item m="1" x="6332"/>
        <item m="1" x="2417"/>
        <item m="1" x="6202"/>
        <item m="1" x="5195"/>
        <item m="1" x="5207"/>
        <item m="1" x="5221"/>
        <item m="1" x="5235"/>
        <item m="1" x="5004"/>
        <item m="1" x="5251"/>
        <item m="1" x="5971"/>
        <item m="1" x="2069"/>
        <item m="1" x="6088"/>
        <item m="1" x="6039"/>
        <item m="1" x="5078"/>
        <item m="1" x="6278"/>
        <item m="1" x="7451"/>
        <item m="1" x="7456"/>
        <item m="1" x="4978"/>
        <item m="1" x="7359"/>
        <item m="1" x="7572"/>
        <item m="1" x="7426"/>
        <item m="1" x="7429"/>
        <item m="1" x="7686"/>
        <item m="1" x="4753"/>
        <item m="1" x="4879"/>
        <item m="1" x="4931"/>
        <item m="1" x="5711"/>
        <item m="1" x="5768"/>
        <item m="1" x="7390"/>
        <item m="1" x="7394"/>
        <item m="1" x="7402"/>
        <item m="1" x="7448"/>
        <item m="1" x="7694"/>
        <item m="1" x="7704"/>
        <item m="1" x="7709"/>
        <item m="1" x="4915"/>
        <item m="1" x="5800"/>
        <item m="1" x="4963"/>
        <item m="1" x="7354"/>
        <item m="1" x="2476"/>
        <item m="1" x="7341"/>
        <item m="1" x="7374"/>
        <item m="1" x="4178"/>
        <item m="1" x="4769"/>
        <item m="1" x="7405"/>
        <item m="1" x="7467"/>
        <item m="1" x="7474"/>
        <item m="1" x="7480"/>
        <item m="1" x="7488"/>
        <item m="1" x="7492"/>
        <item m="1" x="7502"/>
        <item m="1" x="7508"/>
        <item m="1" x="7554"/>
        <item m="1" x="7558"/>
        <item m="1" x="7565"/>
        <item m="1" x="7578"/>
        <item m="1" x="7581"/>
        <item m="1" x="7585"/>
        <item m="1" x="7587"/>
        <item m="1" x="7594"/>
        <item m="1" x="7597"/>
        <item m="1" x="7602"/>
        <item m="1" x="7607"/>
        <item m="1" x="7636"/>
        <item m="1" x="7641"/>
        <item m="1" x="7646"/>
        <item m="1" x="7650"/>
        <item m="1" x="7653"/>
        <item m="1" x="7657"/>
        <item m="1" x="7659"/>
        <item m="1" x="7663"/>
        <item m="1" x="7674"/>
        <item m="1" x="152"/>
        <item m="1" x="170"/>
        <item m="1" x="2435"/>
        <item m="1" x="7345"/>
        <item m="1" x="7362"/>
        <item m="1" x="7366"/>
        <item m="1" x="7370"/>
        <item m="1" x="7379"/>
        <item m="1" x="7397"/>
        <item m="1" x="4182"/>
        <item m="1" x="2339"/>
        <item m="1" x="2193"/>
        <item m="1" x="2213"/>
        <item m="1" x="3443"/>
        <item m="1" x="3788"/>
        <item m="1" x="4363"/>
        <item m="1" x="3828"/>
        <item m="1" x="3871"/>
        <item m="1" x="3888"/>
        <item m="1" x="3956"/>
        <item m="1" x="4213"/>
        <item m="1" x="507"/>
        <item m="1" x="523"/>
        <item m="1" x="544"/>
        <item m="1" x="561"/>
        <item m="1" x="2828"/>
        <item m="1" x="3998"/>
        <item m="1" x="7350"/>
        <item m="1" x="4276"/>
        <item m="1" x="303"/>
        <item m="1" x="3103"/>
        <item m="1" x="7085"/>
        <item m="1" x="7240"/>
        <item m="1" x="7334"/>
        <item m="1" x="5081"/>
        <item m="1" x="4520"/>
        <item m="1" x="5101"/>
        <item m="1" x="315"/>
        <item m="1" x="329"/>
        <item m="1" x="339"/>
        <item m="1" x="353"/>
        <item m="1" x="368"/>
        <item m="1" x="385"/>
        <item m="1" x="397"/>
        <item m="1" x="409"/>
        <item m="1" x="431"/>
        <item m="1" x="445"/>
        <item m="1" x="461"/>
        <item m="1" x="482"/>
        <item m="1" x="500"/>
        <item m="1" x="517"/>
        <item m="1" x="535"/>
        <item m="1" x="699"/>
        <item m="1" x="720"/>
        <item m="1" x="735"/>
        <item m="1" x="756"/>
        <item m="1" x="774"/>
        <item m="1" x="795"/>
        <item m="1" x="811"/>
        <item m="1" x="830"/>
        <item m="1" x="846"/>
        <item m="1" x="868"/>
        <item m="1" x="883"/>
        <item m="1" x="903"/>
        <item m="1" x="921"/>
        <item m="1" x="1019"/>
        <item m="1" x="1071"/>
        <item m="1" x="6282"/>
        <item m="1" x="5537"/>
        <item m="1" x="5548"/>
        <item m="1" x="5582"/>
        <item m="1" x="5631"/>
        <item m="1" x="5660"/>
        <item m="1" x="5696"/>
        <item m="1" x="5715"/>
        <item m="1" x="5751"/>
        <item m="1" x="6506"/>
        <item m="1" x="3195"/>
        <item m="1" x="2317"/>
        <item m="1" x="2334"/>
        <item m="1" x="2348"/>
        <item m="1" x="2018"/>
        <item m="1" x="6524"/>
        <item m="1" x="2772"/>
        <item m="1" x="2789"/>
        <item m="1" x="7109"/>
        <item m="1" x="7132"/>
        <item m="1" x="7320"/>
        <item m="1" x="435"/>
        <item m="1" x="3121"/>
        <item m="1" x="6585"/>
        <item m="1" x="7206"/>
        <item m="1" x="6364"/>
        <item m="1" x="6385"/>
        <item m="1" x="6408"/>
        <item m="1" x="6424"/>
        <item m="1" x="2264"/>
        <item m="1" x="4396"/>
        <item m="1" x="6191"/>
        <item m="1" x="5324"/>
        <item m="1" x="5335"/>
        <item m="1" x="6117"/>
        <item m="1" x="6864"/>
        <item m="1" x="7621"/>
        <item m="1" x="6681"/>
        <item m="1" x="207"/>
        <item m="1" x="102"/>
        <item m="1" x="567"/>
        <item m="1" x="633"/>
        <item m="1" x="652"/>
        <item m="1" x="804"/>
        <item m="1" x="273"/>
        <item m="1" x="307"/>
        <item m="1" x="322"/>
        <item m="1" x="376"/>
        <item m="1" x="6536"/>
        <item m="1" x="2674"/>
        <item m="1" x="2691"/>
        <item m="1" x="2710"/>
        <item m="1" x="2760"/>
        <item m="1" x="2797"/>
        <item m="1" x="4370"/>
        <item m="1" x="2590"/>
        <item m="1" x="2608"/>
        <item m="1" x="2628"/>
        <item m="1" x="2818"/>
        <item m="1" x="3018"/>
        <item m="1" x="3033"/>
        <item m="1" x="3584"/>
        <item m="1" x="3615"/>
        <item m="1" x="456"/>
        <item m="1" x="474"/>
        <item m="1" x="493"/>
        <item m="1" x="511"/>
        <item m="1" x="529"/>
        <item m="1" x="596"/>
        <item m="1" x="612"/>
        <item m="1" x="4034"/>
        <item m="1" x="3848"/>
        <item m="1" x="3876"/>
        <item m="1" x="3903"/>
        <item m="1" x="3917"/>
        <item m="1" x="3932"/>
        <item m="1" x="3947"/>
        <item m="1" x="3960"/>
        <item m="1" x="2835"/>
        <item m="1" x="2984"/>
        <item m="1" x="3047"/>
        <item m="1" x="3063"/>
        <item m="1" x="4237"/>
        <item m="1" x="6821"/>
        <item m="1" x="7003"/>
        <item m="1" x="7020"/>
        <item m="1" x="7027"/>
        <item m="1" x="7043"/>
        <item m="1" x="7054"/>
        <item m="1" x="7093"/>
        <item m="1" x="6626"/>
        <item m="1" x="4170"/>
        <item m="1" x="4402"/>
        <item m="1" x="4531"/>
        <item m="1" x="4559"/>
        <item m="1" x="7127"/>
        <item m="1" x="7135"/>
        <item m="1" x="7142"/>
        <item m="1" x="7284"/>
        <item m="1" x="7293"/>
        <item m="1" x="7311"/>
        <item m="1" x="7222"/>
        <item m="1" x="7267"/>
        <item m="1" x="7270"/>
        <item m="1" x="7257"/>
        <item m="1" x="7384"/>
        <item m="1" x="7228"/>
        <item m="1" x="222"/>
        <item m="1" x="7225"/>
        <item m="1" x="7238"/>
        <item m="1" x="1550"/>
        <item m="1" x="2603"/>
        <item m="1" x="7685"/>
        <item m="1" x="7692"/>
        <item m="1" x="2421"/>
        <item m="1" x="2458"/>
        <item m="1" x="4253"/>
        <item m="1" x="4288"/>
        <item m="1" x="4320"/>
        <item m="1" x="4357"/>
        <item m="1" x="4390"/>
        <item m="1" x="4425"/>
        <item m="1" x="4458"/>
        <item m="1" x="4481"/>
        <item m="1" x="4506"/>
        <item m="1" x="4537"/>
        <item m="1" x="4566"/>
        <item m="1" x="4595"/>
        <item m="1" x="4621"/>
        <item m="1" x="4658"/>
        <item m="1" x="4690"/>
        <item m="1" x="4722"/>
        <item m="1" x="4757"/>
        <item m="1" x="4786"/>
        <item m="1" x="4813"/>
        <item m="1" x="4837"/>
        <item m="1" x="4867"/>
        <item m="1" x="4904"/>
        <item m="1" x="4937"/>
        <item m="1" x="4968"/>
        <item m="1" x="4994"/>
        <item m="1" x="5023"/>
        <item m="1" x="5053"/>
        <item m="1" x="5082"/>
        <item m="1" x="5114"/>
        <item m="1" x="5149"/>
        <item m="1" x="5175"/>
        <item m="1" x="5199"/>
        <item m="1" x="5226"/>
        <item m="1" x="5255"/>
        <item m="1" x="5286"/>
        <item m="1" x="5309"/>
        <item m="1" x="1610"/>
        <item m="1" x="1625"/>
        <item m="1" x="1643"/>
        <item m="1" x="1043"/>
        <item m="1" x="1058"/>
        <item m="1" x="1075"/>
        <item m="1" x="1132"/>
        <item m="1" x="1147"/>
        <item m="1" x="1409"/>
        <item m="1" x="1424"/>
        <item m="1" x="1520"/>
        <item m="1" x="1542"/>
        <item m="1" x="3058"/>
        <item m="1" x="3073"/>
        <item m="1" x="3088"/>
        <item m="1" x="4743"/>
        <item m="1" x="4839"/>
        <item m="1" x="5041"/>
        <item m="1" x="5164"/>
        <item m="1" x="5190"/>
        <item m="1" x="2106"/>
        <item m="1" x="2126"/>
        <item m="1" x="2142"/>
        <item m="1" x="2192"/>
        <item m="1" x="2227"/>
        <item m="1" x="2252"/>
        <item m="1" x="2260"/>
        <item m="1" x="2278"/>
        <item m="1" x="2320"/>
        <item m="1" x="2338"/>
        <item m="1" x="3178"/>
        <item m="1" x="5329"/>
        <item m="1" x="5958"/>
        <item m="1" x="673"/>
        <item m="1" x="6602"/>
        <item m="1" x="5276"/>
        <item m="1" x="2701"/>
        <item m="1" x="2723"/>
        <item m="1" x="2736"/>
        <item m="1" x="5511"/>
        <item m="1" x="5526"/>
        <item m="1" x="5540"/>
        <item m="1" x="5570"/>
        <item m="1" x="6880"/>
        <item m="1" x="6922"/>
        <item m="1" x="6910"/>
        <item m="1" x="6993"/>
        <item m="1" x="6995"/>
        <item m="1" x="7001"/>
        <item m="1" x="7024"/>
        <item m="1" x="7030"/>
        <item m="1" x="5387"/>
        <item m="1" x="6988"/>
        <item m="1" x="6081"/>
        <item m="1" x="6228"/>
        <item m="1" x="6257"/>
        <item m="1" x="6285"/>
        <item m="1" x="6299"/>
        <item m="1" x="6355"/>
        <item m="1" x="6395"/>
        <item m="1" x="6489"/>
        <item m="1" x="2769"/>
        <item m="1" x="5300"/>
        <item m="1" x="3415"/>
        <item m="1" x="3449"/>
        <item m="1" x="3481"/>
        <item m="1" x="3510"/>
        <item m="1" x="3540"/>
        <item m="1" x="3616"/>
        <item m="1" x="3743"/>
        <item m="1" x="6709"/>
        <item m="1" x="7472"/>
        <item m="1" x="7477"/>
        <item m="1" x="7485"/>
        <item m="1" x="7490"/>
        <item m="1" x="7498"/>
        <item m="1" x="7715"/>
        <item m="1" x="7569"/>
        <item m="1" x="6555"/>
        <item m="1" x="7544"/>
        <item m="1" x="7546"/>
        <item m="1" x="7552"/>
        <item m="1" x="7556"/>
        <item m="1" x="7196"/>
        <item m="1" x="7200"/>
        <item m="1" x="7205"/>
        <item m="1" x="7208"/>
        <item m="1" x="7212"/>
        <item m="1" x="7216"/>
        <item m="1" x="7221"/>
        <item m="1" x="7227"/>
        <item m="1" x="7234"/>
        <item m="1" x="7243"/>
        <item m="1" x="7253"/>
        <item m="1" x="7258"/>
        <item m="1" x="7263"/>
        <item m="1" x="7272"/>
        <item m="1" x="7279"/>
        <item m="1" x="7290"/>
        <item m="1" x="7300"/>
        <item m="1" x="7307"/>
        <item m="1" x="7317"/>
        <item m="1" x="7325"/>
        <item m="1" x="7336"/>
        <item m="1" x="7344"/>
        <item m="1" x="7353"/>
        <item m="1" x="7361"/>
        <item m="1" x="7369"/>
        <item m="1" x="7378"/>
        <item m="1" x="176"/>
        <item m="1" x="724"/>
        <item m="1" x="6999"/>
        <item m="1" x="7005"/>
        <item m="1" x="5097"/>
        <item m="1" x="4835"/>
        <item m="1" x="4881"/>
        <item m="1" x="6983"/>
        <item m="1" x="4993"/>
        <item m="1" x="7101"/>
        <item m="1" x="7122"/>
        <item m="1" x="7137"/>
        <item m="1" x="7144"/>
        <item m="1" x="7162"/>
        <item m="1" x="7434"/>
        <item m="1" x="212"/>
        <item m="1" x="4689"/>
        <item m="1" x="4705"/>
        <item m="1" x="4736"/>
        <item m="1" x="4901"/>
        <item m="1" x="4918"/>
        <item m="1" x="4866"/>
        <item m="1" x="1037"/>
        <item m="1" x="1201"/>
        <item m="1" x="1218"/>
        <item m="1" x="4107"/>
        <item m="1" x="3514"/>
        <item m="1" x="3545"/>
        <item m="1" x="481"/>
        <item m="1" x="198"/>
        <item m="1" x="407"/>
        <item m="1" x="428"/>
        <item m="1" x="444"/>
        <item m="1" x="3605"/>
        <item m="1" x="3764"/>
        <item m="1" x="6375"/>
        <item m="1" x="1080"/>
        <item m="1" x="1109"/>
        <item m="1" x="1136"/>
        <item m="1" x="1163"/>
        <item m="1" x="1194"/>
        <item m="1" x="1228"/>
        <item m="1" x="1260"/>
        <item m="1" x="1293"/>
        <item m="1" x="1327"/>
        <item m="1" x="1366"/>
        <item m="1" x="1397"/>
        <item m="1" x="1431"/>
        <item m="1" x="1468"/>
        <item m="1" x="1496"/>
        <item m="1" x="1525"/>
        <item m="1" x="1564"/>
        <item m="1" x="1598"/>
        <item m="1" x="1633"/>
        <item m="1" x="1660"/>
        <item m="1" x="1686"/>
        <item m="1" x="1716"/>
        <item m="1" x="1746"/>
        <item m="1" x="1772"/>
        <item m="1" x="1806"/>
        <item m="1" x="1837"/>
        <item m="1" x="1873"/>
        <item m="1" x="1906"/>
        <item m="1" x="2470"/>
        <item m="1" x="1430"/>
        <item m="1" x="2093"/>
        <item m="1" x="2113"/>
        <item m="1" x="2299"/>
        <item m="1" x="1938"/>
        <item m="1" x="2164"/>
        <item m="1" x="2283"/>
        <item m="1" x="2377"/>
        <item m="1" x="2395"/>
        <item m="1" x="2410"/>
        <item m="1" x="1659"/>
        <item m="1" x="1152"/>
        <item m="1" x="1581"/>
        <item m="1" x="3537"/>
        <item m="1" x="5794"/>
        <item m="1" x="2469"/>
        <item m="1" x="5706"/>
        <item m="1" x="5723"/>
        <item m="1" x="5742"/>
        <item m="1" x="5779"/>
        <item m="1" x="6147"/>
        <item m="1" x="3597"/>
        <item m="1" x="5435"/>
        <item m="1" x="5317"/>
        <item m="1" x="5344"/>
        <item m="1" x="5357"/>
        <item m="1" x="5376"/>
        <item m="1" x="5418"/>
        <item m="1" x="5590"/>
        <item m="1" x="3580"/>
        <item m="1" x="7644"/>
        <item m="1" x="7593"/>
        <item m="1" x="7551"/>
        <item m="1" x="7563"/>
        <item m="1" x="7575"/>
        <item m="1" x="7583"/>
        <item m="1" x="7591"/>
        <item m="1" x="7165"/>
        <item m="1" x="7172"/>
        <item m="1" x="7179"/>
        <item m="1" x="7185"/>
        <item m="1" x="7190"/>
        <item m="1" x="7194"/>
        <item m="1" x="7198"/>
        <item m="1" x="488"/>
        <item m="1" x="545"/>
        <item m="1" x="562"/>
        <item m="1" x="578"/>
        <item m="1" x="610"/>
        <item m="1" x="726"/>
        <item m="1" x="740"/>
        <item m="1" x="762"/>
        <item m="1" x="889"/>
        <item m="1" x="961"/>
        <item m="1" x="985"/>
        <item m="1" x="1003"/>
        <item m="1" x="1026"/>
        <item m="1" x="3565"/>
        <item m="1" x="5578"/>
        <item m="1" x="5593"/>
        <item m="1" x="5609"/>
        <item m="1" x="5626"/>
        <item m="1" x="5672"/>
        <item m="1" x="5729"/>
        <item m="1" x="5747"/>
        <item m="1" x="5769"/>
        <item m="1" x="5783"/>
        <item m="1" x="5801"/>
        <item m="1" x="5818"/>
        <item m="1" x="5853"/>
        <item m="1" x="5869"/>
        <item m="1" x="5884"/>
        <item m="1" x="5904"/>
        <item m="1" x="5921"/>
        <item m="1" x="5938"/>
        <item m="1" x="5950"/>
        <item m="1" x="5972"/>
        <item m="1" x="5988"/>
        <item m="1" x="6006"/>
        <item m="1" x="6020"/>
        <item m="1" x="6040"/>
        <item m="1" x="6053"/>
        <item m="1" x="6611"/>
        <item m="1" x="6629"/>
        <item m="1" x="6644"/>
        <item m="1" x="6659"/>
        <item m="1" x="6678"/>
        <item m="1" x="6692"/>
        <item m="1" x="6712"/>
        <item m="1" x="6743"/>
        <item m="1" x="6758"/>
        <item m="1" x="6776"/>
        <item m="1" x="6791"/>
        <item m="1" x="6807"/>
        <item m="1" x="6824"/>
        <item m="1" x="6843"/>
        <item m="1" x="6857"/>
        <item m="1" x="6873"/>
        <item m="1" x="1803"/>
        <item m="1" x="1833"/>
        <item m="1" x="1867"/>
        <item m="1" x="1902"/>
        <item m="1" x="1932"/>
        <item m="1" x="1962"/>
        <item m="1" x="1988"/>
        <item m="1" x="2021"/>
        <item m="1" x="2049"/>
        <item m="1" x="2077"/>
        <item m="1" x="2107"/>
        <item m="1" x="2143"/>
        <item m="1" x="2178"/>
        <item m="1" x="2209"/>
        <item m="1" x="2238"/>
        <item m="1" x="2261"/>
        <item m="1" x="2293"/>
        <item m="1" x="2321"/>
        <item m="1" x="2352"/>
        <item m="1" x="2388"/>
        <item m="1" x="2425"/>
        <item m="1" x="2461"/>
        <item m="1" x="2503"/>
        <item m="1" x="2543"/>
        <item m="1" x="2581"/>
        <item m="1" x="2619"/>
        <item m="1" x="2663"/>
        <item m="1" x="2737"/>
        <item m="1" x="2770"/>
        <item m="1" x="2808"/>
        <item m="1" x="2848"/>
        <item m="1" x="2880"/>
        <item m="1" x="2913"/>
        <item m="1" x="2947"/>
        <item m="1" x="2976"/>
        <item m="1" x="1918"/>
        <item m="1" x="1788"/>
        <item m="1" x="1934"/>
        <item m="1" x="1963"/>
        <item m="1" x="3789"/>
        <item m="1" x="1363"/>
        <item m="1" x="1289"/>
        <item m="1" x="1310"/>
        <item m="1" x="1325"/>
        <item m="1" x="3872"/>
        <item m="1" x="7247"/>
        <item m="1" x="383"/>
        <item m="1" x="408"/>
        <item m="1" x="430"/>
        <item m="1" x="460"/>
        <item m="1" x="499"/>
        <item m="1" x="533"/>
        <item m="1" x="573"/>
        <item m="1" x="602"/>
        <item m="1" x="638"/>
        <item m="1" x="679"/>
        <item m="1" x="719"/>
        <item m="1" x="754"/>
        <item m="1" x="793"/>
        <item m="1" x="829"/>
        <item m="1" x="866"/>
        <item m="1" x="900"/>
        <item m="1" x="940"/>
        <item m="1" x="4980"/>
        <item m="1" x="7469"/>
        <item m="1" x="7482"/>
        <item m="1" x="7493"/>
        <item m="1" x="7510"/>
        <item m="1" x="7520"/>
        <item m="1" x="7528"/>
        <item m="1" x="7535"/>
        <item m="1" x="7542"/>
        <item m="1" x="7549"/>
        <item m="1" x="7560"/>
        <item m="1" x="7574"/>
        <item m="1" x="7582"/>
        <item m="1" x="7589"/>
        <item m="1" x="7600"/>
        <item m="1" x="7606"/>
        <item m="1" x="7609"/>
        <item m="1" x="7611"/>
        <item m="1" x="7617"/>
        <item m="1" x="7625"/>
        <item m="1" x="7630"/>
        <item m="1" x="7637"/>
        <item m="1" x="7647"/>
        <item m="1" x="7655"/>
        <item m="1" x="7660"/>
        <item m="1" x="7668"/>
        <item m="1" x="7672"/>
        <item m="1" x="7677"/>
        <item m="1" x="7682"/>
        <item m="1" x="7689"/>
        <item m="1" x="7700"/>
        <item m="1" x="7710"/>
        <item m="1" x="7719"/>
        <item m="1" x="2456"/>
        <item m="1" x="2044"/>
        <item m="1" x="2060"/>
        <item m="1" x="2101"/>
        <item m="1" x="2274"/>
        <item m="1" x="2349"/>
        <item m="1" x="3839"/>
        <item m="1" x="7219"/>
        <item m="1" x="6118"/>
        <item m="1" x="4836"/>
        <item m="1" x="4934"/>
        <item m="1" x="75"/>
        <item m="1" x="6558"/>
        <item m="1" x="4064"/>
        <item m="1" x="4528"/>
        <item m="1" x="437"/>
        <item m="1" x="508"/>
        <item m="1" x="630"/>
        <item m="1" x="689"/>
        <item m="1" x="6787"/>
        <item m="1" x="6803"/>
        <item m="1" x="6838"/>
        <item m="1" x="6852"/>
        <item m="1" x="6869"/>
        <item m="1" x="6883"/>
        <item m="1" x="3727"/>
        <item m="1" x="4048"/>
        <item m="1" x="4986"/>
        <item m="1" x="7464"/>
        <item m="1" x="2647"/>
        <item m="1" x="4279"/>
        <item m="1" x="4297"/>
        <item m="1" x="4328"/>
        <item m="1" x="4346"/>
        <item m="1" x="4367"/>
        <item m="1" x="4414"/>
        <item m="1" x="4217"/>
        <item m="1" x="4232"/>
        <item m="1" x="7058"/>
        <item m="1" x="7061"/>
        <item m="1" x="7066"/>
        <item m="1" x="7070"/>
        <item m="1" x="7075"/>
        <item m="1" x="7081"/>
        <item m="1" x="7088"/>
        <item m="1" x="7091"/>
        <item m="1" x="7097"/>
        <item m="1" x="7104"/>
        <item m="1" x="7112"/>
        <item m="1" x="7119"/>
        <item m="1" x="7125"/>
        <item m="1" x="7140"/>
        <item m="1" x="6687"/>
        <item m="1" x="6707"/>
        <item m="1" x="6721"/>
        <item m="1" x="849"/>
        <item m="1" x="645"/>
        <item m="1" x="760"/>
        <item m="1" x="683"/>
        <item m="1" x="702"/>
        <item m="1" x="5724"/>
        <item m="1" x="5762"/>
        <item m="1" x="5795"/>
        <item m="1" x="5864"/>
        <item m="1" x="5831"/>
        <item m="1" x="5900"/>
        <item m="1" x="5932"/>
        <item m="1" x="5963"/>
        <item m="1" x="5999"/>
        <item m="1" x="7567"/>
        <item m="1" x="5633"/>
        <item m="1" x="5662"/>
        <item m="1" x="7586"/>
        <item m="1" x="7610"/>
        <item m="1" x="7612"/>
        <item m="1" x="7616"/>
        <item m="1" x="7618"/>
        <item m="1" x="7620"/>
        <item m="1" x="7626"/>
        <item m="1" x="7628"/>
        <item m="1" x="7631"/>
        <item m="1" x="7634"/>
        <item m="1" x="7638"/>
        <item m="1" x="7648"/>
        <item m="1" x="7651"/>
        <item m="1" x="7656"/>
        <item m="1" x="7658"/>
        <item m="1" x="7661"/>
        <item m="1" x="7665"/>
        <item m="1" x="7669"/>
        <item m="1" x="7671"/>
        <item m="1" x="7673"/>
        <item m="1" x="7675"/>
        <item m="1" x="7678"/>
        <item m="1" x="7680"/>
        <item m="1" x="7687"/>
        <item m="1" x="7701"/>
        <item m="1" x="7706"/>
        <item m="1" x="7711"/>
        <item m="1" x="7714"/>
        <item m="1" x="7496"/>
        <item m="1" x="7504"/>
        <item m="1" x="7514"/>
        <item m="1" x="5789"/>
        <item m="1" x="7000"/>
        <item m="1" x="7006"/>
        <item m="1" x="7011"/>
        <item m="1" x="7015"/>
        <item m="1" x="7023"/>
        <item m="1" x="7029"/>
        <item m="1" x="7035"/>
        <item m="1" x="6782"/>
        <item m="1" x="6648"/>
        <item m="1" x="6667"/>
        <item m="1" x="6391"/>
        <item m="1" x="6981"/>
        <item m="1" x="6984"/>
        <item m="1" x="6077"/>
        <item m="1" x="6098"/>
        <item m="1" x="6121"/>
        <item m="1" x="6140"/>
        <item m="1" x="6176"/>
        <item m="1" x="6194"/>
        <item m="1" x="6212"/>
        <item m="1" x="6225"/>
        <item m="1" x="6242"/>
        <item m="1" x="6255"/>
        <item m="1" x="6268"/>
        <item m="1" x="6283"/>
        <item m="1" x="6296"/>
        <item m="1" x="6323"/>
        <item m="1" x="6336"/>
        <item m="1" x="6894"/>
        <item m="1" x="6908"/>
        <item m="1" x="6937"/>
        <item m="1" x="6956"/>
        <item m="1" x="6970"/>
        <item m="1" x="6979"/>
        <item m="1" x="348"/>
        <item m="1" x="6300"/>
        <item m="1" x="2331"/>
        <item m="1" x="2055"/>
        <item m="1" x="2116"/>
        <item m="1" x="2149"/>
        <item m="1" x="2184"/>
        <item m="1" x="2221"/>
        <item m="1" x="2244"/>
        <item m="1" x="2268"/>
        <item m="1" x="2300"/>
        <item m="1" x="2328"/>
        <item m="1" x="2362"/>
        <item m="1" x="2396"/>
        <item m="1" x="2432"/>
        <item m="1" x="2473"/>
        <item m="1" x="2551"/>
        <item m="1" x="2591"/>
        <item m="1" x="2629"/>
        <item m="1" x="2675"/>
        <item m="1" x="2711"/>
        <item m="1" x="2778"/>
        <item m="1" x="2819"/>
        <item m="1" x="2857"/>
        <item m="1" x="2954"/>
        <item m="1" x="2985"/>
        <item m="1" x="3048"/>
        <item m="1" x="5560"/>
        <item m="1" x="5691"/>
        <item m="1" x="5726"/>
        <item m="1" x="5765"/>
        <item m="1" x="5798"/>
        <item m="1" x="5835"/>
        <item m="1" x="5867"/>
        <item m="1" x="5902"/>
        <item m="1" x="5936"/>
        <item m="1" x="5967"/>
        <item m="1" x="6002"/>
        <item m="1" x="6036"/>
        <item m="1" x="6068"/>
        <item m="1" x="6110"/>
        <item m="1" x="6150"/>
        <item m="1" x="7255"/>
        <item m="1" x="7458"/>
        <item m="1" x="7396"/>
        <item m="1" x="7400"/>
        <item m="1" x="7404"/>
        <item m="1" x="7505"/>
        <item m="1" x="7547"/>
        <item m="1" x="7553"/>
        <item m="1" x="7557"/>
        <item m="1" x="7570"/>
        <item m="1" x="5816"/>
        <item m="1" x="7688"/>
        <item m="1" x="7693"/>
        <item m="1" x="6215"/>
        <item m="1" x="6229"/>
        <item m="1" x="6258"/>
        <item m="1" x="6271"/>
        <item m="1" x="7193"/>
        <item m="1" x="2308"/>
        <item m="1" x="7210"/>
        <item m="1" x="7214"/>
        <item m="1" x="7297"/>
        <item m="1" x="7254"/>
        <item m="1" x="7259"/>
        <item m="1" x="7261"/>
        <item m="1" x="7283"/>
        <item m="1" x="7288"/>
        <item m="1" x="7292"/>
        <item m="1" x="7303"/>
        <item m="1" x="7310"/>
        <item m="1" x="7332"/>
        <item m="1" x="7117"/>
        <item m="1" x="7123"/>
        <item m="1" x="7131"/>
        <item m="1" x="7138"/>
        <item m="1" x="7153"/>
        <item m="1" x="7156"/>
        <item m="1" x="7163"/>
        <item m="1" x="7167"/>
        <item m="1" x="7174"/>
        <item m="1" x="7189"/>
        <item m="1" x="7408"/>
        <item m="1" x="7412"/>
        <item m="1" x="7416"/>
        <item m="1" x="7420"/>
        <item m="1" x="7423"/>
        <item m="1" x="7428"/>
        <item m="1" x="7432"/>
        <item m="1" x="7435"/>
        <item m="1" x="7438"/>
        <item m="1" x="7443"/>
        <item m="1" x="7446"/>
        <item m="1" x="7450"/>
        <item m="1" x="7454"/>
        <item m="1" x="7461"/>
        <item m="1" x="7465"/>
        <item m="1" x="7473"/>
        <item m="1" x="7478"/>
        <item m="1" x="7486"/>
        <item m="1" x="7500"/>
        <item m="1" x="4456"/>
        <item m="1" x="2418"/>
        <item m="1" x="6135"/>
        <item m="1" x="6166"/>
        <item m="1" x="6207"/>
        <item m="1" x="4784"/>
        <item m="1" x="4721"/>
        <item m="1" x="6464"/>
        <item m="1" x="1185"/>
        <item m="1" x="1280"/>
        <item m="1" x="1300"/>
        <item m="1" x="601"/>
        <item m="1" x="618"/>
        <item m="1" x="637"/>
        <item m="1" x="658"/>
        <item m="1" x="678"/>
        <item m="1" x="698"/>
        <item m="1" x="717"/>
        <item m="1" x="734"/>
        <item m="1" x="753"/>
        <item m="1" x="773"/>
        <item m="1" x="792"/>
        <item m="1" x="810"/>
        <item m="1" x="828"/>
        <item m="1" x="845"/>
        <item m="1" x="865"/>
        <item m="1" x="881"/>
        <item m="1" x="899"/>
        <item m="1" x="919"/>
        <item m="1" x="939"/>
        <item m="1" x="975"/>
        <item m="1" x="4737"/>
        <item m="1" x="5098"/>
        <item m="1" x="1996"/>
        <item m="1" x="4422"/>
        <item m="1" x="4503"/>
        <item m="1" x="6253"/>
        <item m="1" x="6265"/>
        <item m="1" x="6280"/>
        <item m="1" x="6291"/>
        <item m="1" x="6726"/>
        <item m="1" x="7705"/>
        <item m="1" x="7537"/>
        <item m="1" x="7555"/>
        <item m="1" x="7559"/>
        <item m="1" x="6810"/>
        <item m="1" x="7664"/>
        <item m="1" x="7413"/>
        <item m="1" x="7430"/>
        <item m="1" x="7436"/>
        <item m="1" x="7441"/>
        <item m="1" x="7468"/>
        <item m="1" x="7481"/>
        <item m="1" x="7579"/>
        <item m="1" x="3898"/>
        <item m="1" x="3925"/>
        <item m="1" x="3954"/>
        <item m="1" x="3981"/>
        <item m="1" x="4013"/>
        <item m="1" x="2453"/>
        <item m="1" x="2495"/>
        <item m="1" x="2536"/>
        <item m="1" x="2576"/>
        <item m="1" x="2614"/>
        <item m="1" x="2657"/>
        <item m="1" x="2696"/>
        <item m="1" x="2731"/>
        <item m="1" x="2764"/>
        <item m="1" x="2802"/>
        <item m="1" x="2840"/>
        <item m="1" x="2875"/>
        <item m="1" x="2908"/>
        <item m="1" x="2943"/>
        <item m="1" x="2972"/>
        <item m="1" x="3005"/>
        <item m="1" x="3037"/>
        <item m="1" x="3069"/>
        <item m="1" x="3098"/>
        <item m="1" x="3130"/>
        <item m="1" x="3156"/>
        <item m="1" x="3190"/>
        <item m="1" x="3215"/>
        <item m="1" x="3244"/>
        <item m="1" x="3276"/>
        <item m="1" x="3304"/>
        <item m="1" x="3337"/>
        <item m="1" x="3371"/>
        <item m="1" x="3402"/>
        <item m="1" x="3437"/>
        <item m="1" x="3470"/>
        <item m="1" x="3501"/>
        <item m="1" x="3527"/>
        <item m="1" x="3570"/>
        <item m="1" x="3606"/>
        <item m="1" x="3634"/>
        <item m="1" x="3670"/>
        <item m="1" x="3702"/>
        <item m="1" x="3734"/>
        <item m="1" x="3765"/>
        <item m="1" x="3801"/>
        <item m="1" x="3824"/>
        <item m="1" x="3854"/>
        <item m="1" x="3883"/>
        <item m="1" x="3909"/>
        <item m="1" x="7418"/>
        <item m="1" x="1863"/>
        <item m="1" x="4990"/>
        <item m="1" x="5005"/>
        <item m="1" x="598"/>
        <item m="1" x="4090"/>
        <item m="1" x="7457"/>
        <item m="1" x="4078"/>
        <item m="1" x="441"/>
        <item m="1" x="7513"/>
        <item m="1" x="616"/>
        <item m="1" x="5222"/>
        <item m="1" x="7463"/>
        <item m="1" x="7471"/>
        <item m="1" x="7476"/>
        <item m="1" x="7484"/>
        <item m="1" x="7489"/>
        <item m="1" x="7060"/>
        <item m="1" x="5584"/>
        <item m="1" x="5600"/>
        <item m="1" x="5617"/>
        <item m="1" x="5646"/>
        <item m="1" x="5680"/>
        <item m="1" x="5698"/>
        <item m="1" x="5718"/>
        <item m="1" x="5736"/>
        <item m="1" x="5756"/>
        <item m="1" x="4606"/>
        <item m="1" x="4617"/>
        <item m="1" x="2958"/>
        <item m="1" x="2987"/>
        <item m="1" x="1654"/>
        <item m="1" x="1669"/>
        <item m="1" x="1678"/>
        <item m="1" x="1695"/>
        <item m="1" x="1709"/>
        <item m="1" x="1725"/>
        <item m="1" x="3218"/>
        <item m="1" x="6731"/>
        <item m="1" x="6764"/>
        <item m="1" x="7608"/>
        <item m="1" x="80"/>
        <item m="1" x="7186"/>
        <item m="1" x="7188"/>
        <item m="1" x="1826"/>
        <item m="1" x="287"/>
        <item m="1" x="209"/>
        <item m="1" x="7598"/>
        <item m="1" x="7395"/>
        <item m="1" x="936"/>
        <item m="1" x="225"/>
        <item m="1" x="1265"/>
        <item m="1" x="3353"/>
        <item m="1" x="3385"/>
        <item m="1" x="4249"/>
        <item m="1" x="4266"/>
        <item m="1" x="4284"/>
        <item m="1" x="4302"/>
        <item m="1" x="3315"/>
        <item m="1" x="3936"/>
        <item m="1" x="3973"/>
        <item m="1" x="3989"/>
        <item m="1" x="4004"/>
        <item m="1" x="4066"/>
        <item m="1" x="1353"/>
        <item m="1" x="3302"/>
        <item m="1" x="3417"/>
        <item m="1" x="238"/>
        <item m="1" x="3400"/>
        <item m="1" x="841"/>
        <item m="1" x="92"/>
        <item m="1" x="4053"/>
        <item m="1" x="5125"/>
        <item m="1" x="5172"/>
        <item m="1" x="5182"/>
        <item m="1" x="5266"/>
        <item m="1" x="6932"/>
        <item m="1" x="7090"/>
        <item m="1" x="7094"/>
        <item m="1" x="7100"/>
        <item m="1" x="7107"/>
        <item m="1" x="7115"/>
        <item m="1" x="7121"/>
        <item m="1" x="7129"/>
        <item m="1" x="7147"/>
        <item m="1" x="7161"/>
        <item m="1" x="7166"/>
        <item m="1" x="7173"/>
        <item m="1" x="7191"/>
        <item m="1" x="7280"/>
        <item m="1" x="7286"/>
        <item m="1" x="7291"/>
        <item m="1" x="7296"/>
        <item m="1" x="7331"/>
        <item m="1" x="7367"/>
        <item m="1" x="7386"/>
        <item m="1" x="7475"/>
        <item m="1" x="7509"/>
        <item m="1" x="7518"/>
        <item m="1" x="7523"/>
        <item m="1" x="7526"/>
        <item m="1" x="7540"/>
        <item m="1" x="7545"/>
        <item m="1" x="7548"/>
        <item m="1" x="2773"/>
        <item m="1" x="2810"/>
        <item m="1" x="2850"/>
        <item m="1" x="2883"/>
        <item m="1" x="2916"/>
        <item m="1" x="2949"/>
        <item m="1" x="2979"/>
        <item m="1" x="3012"/>
        <item m="1" x="3043"/>
        <item m="1" x="3076"/>
        <item m="1" x="3105"/>
        <item m="1" x="6103"/>
        <item m="1" x="6144"/>
        <item m="1" x="6180"/>
        <item m="1" x="537"/>
        <item m="1" x="1238"/>
        <item m="1" x="1268"/>
        <item m="1" x="1303"/>
        <item m="1" x="1335"/>
        <item m="1" x="1378"/>
        <item m="1" x="1405"/>
        <item m="1" x="1440"/>
        <item m="1" x="1475"/>
        <item m="1" x="1503"/>
        <item m="1" x="1537"/>
        <item m="1" x="1571"/>
        <item m="1" x="1605"/>
        <item m="1" x="1640"/>
        <item m="1" x="1667"/>
        <item m="1" x="1693"/>
        <item m="1" x="1723"/>
        <item m="1" x="1756"/>
        <item m="1" x="1781"/>
        <item m="1" x="1817"/>
        <item m="1" x="1846"/>
        <item m="1" x="1882"/>
        <item m="1" x="1913"/>
        <item m="1" x="1943"/>
        <item m="1" x="1972"/>
        <item m="1" x="2000"/>
        <item m="1" x="2032"/>
        <item m="1" x="2061"/>
        <item m="1" x="2084"/>
        <item m="1" x="2122"/>
        <item m="1" x="2157"/>
        <item m="1" x="2190"/>
        <item m="1" x="2225"/>
        <item m="1" x="2250"/>
        <item m="1" x="2275"/>
        <item m="1" x="2305"/>
        <item m="1" x="2335"/>
        <item m="1" x="2368"/>
        <item m="1" x="2400"/>
        <item m="1" x="2440"/>
        <item m="1" x="2480"/>
        <item m="1" x="2517"/>
        <item m="1" x="2558"/>
        <item m="1" x="2596"/>
        <item m="1" x="2637"/>
        <item m="1" x="2681"/>
        <item m="1" x="2717"/>
        <item m="1" x="2750"/>
        <item m="1" x="2784"/>
        <item m="1" x="2822"/>
        <item m="1" x="7406"/>
        <item m="1" x="7411"/>
        <item m="1" x="7355"/>
        <item m="1" x="7273"/>
        <item m="1" x="7276"/>
        <item m="1" x="7326"/>
        <item m="1" x="7180"/>
        <item m="1" x="7183"/>
        <item m="1" x="7322"/>
        <item m="1" x="104"/>
        <item m="1" x="3760"/>
        <item m="1" x="3795"/>
        <item m="1" x="3818"/>
        <item m="1" x="3849"/>
        <item m="1" x="3878"/>
        <item m="1" x="3904"/>
        <item m="1" x="3933"/>
        <item m="1" x="3961"/>
        <item m="1" x="3987"/>
        <item m="1" x="4020"/>
        <item m="1" x="4050"/>
        <item m="1" x="4075"/>
        <item m="1" x="4101"/>
        <item m="1" x="4124"/>
        <item m="1" x="4154"/>
        <item m="1" x="4190"/>
        <item m="1" x="4220"/>
        <item m="1" x="4246"/>
        <item m="1" x="4282"/>
        <item m="1" x="4314"/>
        <item m="1" x="4349"/>
        <item m="1" x="4385"/>
        <item m="1" x="4417"/>
        <item m="1" x="263"/>
        <item m="1" x="296"/>
        <item m="1" x="312"/>
        <item m="1" x="337"/>
        <item m="1" x="789"/>
        <item m="1" x="825"/>
        <item m="1" x="179"/>
        <item m="1" x="1168"/>
        <item m="1" x="1182"/>
        <item m="1" x="1199"/>
        <item m="1" x="1214"/>
        <item m="1" x="1233"/>
        <item m="1" x="1371"/>
        <item m="1" x="378"/>
        <item m="1" x="365"/>
        <item m="1" x="3474"/>
        <item m="1" x="3066"/>
        <item m="1" x="3081"/>
        <item m="1" x="3095"/>
        <item m="1" x="3021"/>
        <item m="1" x="7063"/>
        <item m="1" x="4850"/>
        <item m="1" x="7588"/>
        <item m="1" x="7595"/>
        <item m="1" x="4703"/>
        <item m="1" x="4719"/>
        <item m="1" x="4733"/>
        <item m="1" x="4754"/>
        <item m="1" x="4770"/>
        <item m="1" x="3433"/>
        <item m="1" x="7260"/>
        <item m="1" x="7268"/>
        <item m="1" x="7275"/>
        <item m="1" x="7285"/>
        <item m="1" x="7295"/>
        <item m="1" x="7304"/>
        <item m="1" x="7312"/>
        <item m="1" x="7321"/>
        <item m="1" x="7330"/>
        <item m="1" x="7340"/>
        <item m="1" x="7349"/>
        <item m="1" x="7358"/>
        <item m="1" x="7365"/>
        <item m="1" x="7373"/>
        <item m="1" x="7385"/>
        <item m="1" x="7393"/>
        <item m="1" x="7401"/>
        <item m="1" x="7410"/>
        <item m="1" x="7417"/>
        <item m="1" x="7425"/>
        <item m="1" x="7433"/>
        <item m="1" x="7439"/>
        <item m="1" x="7447"/>
        <item m="1" x="7455"/>
        <item m="1" x="7462"/>
        <item m="1" x="5059"/>
        <item m="1" x="5074"/>
        <item m="1" x="6102"/>
        <item m="1" x="1989"/>
        <item m="1" x="2004"/>
        <item m="1" x="3323"/>
        <item m="1" x="3344"/>
        <item m="1" x="3361"/>
        <item m="1" x="3393"/>
        <item m="1" x="3595"/>
        <item m="1" x="3250"/>
        <item m="1" x="1104"/>
        <item m="1" x="3104"/>
        <item m="1" x="7103"/>
        <item m="1" x="6751"/>
        <item m="1" x="6994"/>
        <item m="1" x="5827"/>
        <item m="1" x="7073"/>
        <item m="1" x="7080"/>
        <item m="1" x="7086"/>
        <item m="1" x="5108"/>
        <item m="1" x="7007"/>
        <item m="1" x="7012"/>
        <item m="1" x="7017"/>
        <item m="1" x="7025"/>
        <item m="1" x="7031"/>
        <item m="1" x="7037"/>
        <item m="1" x="7110"/>
        <item m="1" x="7118"/>
        <item m="1" x="7614"/>
        <item m="1" x="6989"/>
        <item m="1" x="7576"/>
        <item m="1" x="7633"/>
        <item m="1" x="7635"/>
        <item m="1" x="7639"/>
        <item m="1" x="7643"/>
        <item m="1" x="832"/>
        <item m="1" x="5315"/>
        <item m="1" x="5341"/>
        <item m="1" x="5373"/>
        <item m="1" x="5402"/>
        <item m="1" x="5432"/>
        <item m="1" x="5462"/>
        <item m="1" x="5492"/>
        <item m="1" x="5527"/>
        <item m="1" x="5553"/>
        <item m="1" x="5586"/>
        <item m="1" x="5620"/>
        <item m="1" x="5651"/>
        <item m="1" x="5684"/>
        <item m="1" x="5027"/>
        <item m="1" x="7867"/>
        <item m="1" x="7904"/>
        <item m="1" x="7905"/>
        <item m="1" x="2482"/>
        <item m="1" x="2500"/>
        <item m="1" x="2522"/>
        <item m="1" x="2540"/>
        <item m="1" x="2561"/>
        <item m="1" x="2579"/>
        <item m="1" x="2599"/>
        <item m="1" x="2617"/>
        <item m="1" x="2640"/>
        <item m="1" x="2661"/>
        <item m="1" x="2684"/>
        <item m="1" x="2700"/>
        <item m="1" x="2720"/>
        <item m="1" x="2735"/>
        <item m="1" x="2753"/>
        <item m="1" x="2768"/>
        <item m="1" x="2787"/>
        <item m="1" x="2806"/>
        <item m="1" x="2825"/>
        <item m="1" x="2845"/>
        <item m="1" x="2863"/>
        <item m="1" x="2878"/>
        <item m="1" x="2929"/>
        <item m="1" x="2961"/>
        <item m="1" x="2992"/>
        <item m="1" x="3008"/>
        <item m="1" x="3025"/>
        <item m="1" x="3054"/>
        <item m="1" x="3085"/>
        <item m="1" x="3117"/>
        <item m="1" x="3132"/>
        <item m="1" x="3191"/>
        <item m="1" x="5055"/>
        <item m="1" x="5084"/>
        <item m="1" x="5104"/>
        <item m="1" x="5176"/>
        <item m="1" x="5187"/>
        <item m="1" x="5200"/>
        <item m="1" x="5213"/>
        <item m="1" x="5227"/>
        <item m="1" x="5242"/>
        <item m="1" x="5257"/>
        <item m="1" x="5272"/>
        <item m="1" x="5289"/>
        <item m="1" x="5297"/>
        <item m="1" x="5312"/>
        <item m="1" x="5339"/>
        <item m="1" x="5354"/>
        <item m="1" x="5370"/>
        <item m="1" x="5398"/>
        <item m="1" x="5428"/>
        <item m="1" x="5447"/>
        <item m="1" x="5459"/>
        <item m="1" x="5475"/>
        <item m="1" x="5489"/>
        <item m="1" x="5508"/>
        <item m="1" x="5524"/>
        <item m="1" x="6030"/>
        <item m="1" x="7590"/>
        <item m="1" x="7596"/>
        <item m="1" x="7601"/>
        <item m="1" x="7604"/>
        <item m="1" x="7642"/>
        <item m="1" x="7683"/>
        <item m="1" x="7690"/>
        <item m="1" x="7696"/>
        <item m="1" x="7723"/>
        <item m="1" x="7793"/>
        <item m="1" x="7797"/>
        <item m="1" x="7802"/>
        <item m="1" x="7823"/>
        <item m="1" x="120"/>
        <item m="1" x="132"/>
        <item m="1" x="458"/>
        <item m="1" x="478"/>
        <item m="1" x="495"/>
        <item m="1" x="514"/>
        <item m="1" x="530"/>
        <item m="1" x="550"/>
        <item m="1" x="569"/>
        <item m="1" x="714"/>
        <item m="1" x="951"/>
        <item m="1" x="973"/>
        <item m="1" x="992"/>
        <item m="1" x="1013"/>
        <item m="1" x="1034"/>
        <item m="1" x="1251"/>
        <item m="1" x="3112"/>
        <item m="1" x="4371"/>
        <item m="1" x="4440"/>
        <item m="1" x="4453"/>
        <item m="1" x="3334"/>
        <item m="1" x="3436"/>
        <item m="1" x="3499"/>
        <item m="1" x="3542"/>
        <item m="1" x="3566"/>
        <item m="1" x="3700"/>
        <item m="1" x="3746"/>
        <item m="1" x="3798"/>
        <item m="1" x="4126"/>
        <item m="1" x="4138"/>
        <item m="1" x="4158"/>
        <item m="1" x="4562"/>
        <item m="1" x="4685"/>
        <item m="1" x="4798"/>
        <item m="1" x="4811"/>
        <item m="1" x="4896"/>
        <item m="1" x="7197"/>
        <item m="1" x="7209"/>
        <item m="1" x="7264"/>
        <item m="1" x="354"/>
        <item m="1" x="387"/>
        <item m="1" x="7301"/>
        <item m="1" x="7308"/>
        <item m="1" x="7318"/>
        <item m="1" x="7327"/>
        <item m="1" x="7337"/>
        <item m="1" x="7346"/>
        <item m="1" x="7356"/>
        <item m="1" x="7363"/>
        <item m="1" x="7371"/>
        <item m="1" x="7381"/>
        <item m="1" x="7391"/>
        <item m="1" x="7398"/>
        <item m="1" x="7407"/>
        <item m="1" x="7414"/>
        <item m="1" x="7422"/>
        <item m="1" x="7431"/>
        <item m="1" x="7437"/>
        <item m="1" x="7444"/>
        <item m="1" x="7452"/>
        <item m="1" x="7460"/>
        <item m="1" x="7470"/>
        <item m="1" x="7483"/>
        <item m="1" x="7495"/>
        <item m="1" x="7511"/>
        <item m="1" x="7521"/>
        <item m="1" x="7529"/>
        <item m="1" x="7536"/>
        <item m="1" x="7543"/>
        <item m="1" x="7550"/>
        <item m="1" x="7561"/>
        <item m="1" x="7817"/>
        <item m="1" x="1857"/>
        <item m="1" x="1923"/>
        <item m="1" x="1952"/>
        <item m="1" x="1982"/>
        <item m="1" x="2012"/>
        <item m="1" x="2040"/>
        <item m="1" x="2070"/>
        <item m="1" x="2098"/>
        <item m="1" x="2135"/>
        <item m="1" x="2169"/>
        <item m="1" x="2201"/>
        <item m="1" x="2234"/>
        <item m="1" x="2257"/>
        <item m="1" x="2287"/>
        <item m="1" x="2313"/>
        <item m="1" x="6203"/>
        <item m="1" x="7213"/>
        <item m="1" x="7427"/>
        <item m="1" x="7440"/>
        <item m="1" x="2506"/>
        <item m="1" x="2545"/>
        <item m="1" x="2583"/>
        <item m="1" x="2622"/>
        <item m="1" x="2666"/>
        <item m="1" x="2704"/>
        <item m="1" x="2740"/>
        <item m="1" x="6397"/>
        <item m="1" x="6435"/>
        <item m="1" x="6473"/>
        <item m="1" x="6507"/>
        <item m="1" x="6539"/>
        <item m="1" x="6572"/>
        <item m="1" x="6604"/>
        <item m="1" x="6638"/>
        <item m="1" x="6672"/>
        <item m="1" x="6706"/>
        <item m="1" x="6737"/>
        <item m="1" x="6768"/>
        <item m="1" x="6835"/>
        <item m="1" x="6867"/>
        <item m="1" x="6899"/>
        <item m="1" x="6925"/>
        <item m="1" x="6961"/>
        <item m="1" x="6978"/>
        <item m="1" x="6982"/>
        <item m="1" x="6990"/>
        <item m="1" x="6996"/>
        <item m="1" x="7008"/>
        <item m="1" x="7018"/>
        <item m="1" x="7032"/>
        <item m="1" x="7041"/>
        <item m="1" x="7049"/>
        <item m="1" x="7057"/>
        <item m="1" x="7065"/>
        <item m="1" x="7074"/>
        <item m="1" x="7087"/>
        <item m="1" x="7096"/>
        <item m="1" x="7111"/>
        <item m="1" x="7124"/>
        <item m="1" x="7139"/>
        <item m="1" x="7148"/>
        <item m="1" x="7154"/>
        <item m="1" x="7158"/>
        <item m="1" x="7164"/>
        <item m="1" x="7168"/>
        <item m="1" x="7176"/>
        <item m="1" x="7181"/>
        <item m="1" x="7187"/>
        <item m="1" x="7192"/>
        <item m="1" x="7195"/>
        <item m="1" x="7199"/>
        <item m="1" x="7204"/>
        <item m="1" x="7207"/>
        <item m="1" x="7211"/>
        <item m="1" x="7215"/>
        <item m="1" x="7220"/>
        <item m="1" x="7224"/>
        <item m="1" x="7232"/>
        <item m="1" x="7241"/>
        <item m="1" x="7251"/>
        <item m="1" x="7256"/>
        <item m="1" x="7262"/>
        <item m="1" x="7269"/>
        <item m="1" x="7278"/>
        <item m="1" x="7289"/>
        <item m="1" x="7298"/>
        <item m="1" x="7306"/>
        <item m="1" x="7315"/>
        <item m="1" x="7324"/>
        <item m="1" x="574"/>
        <item m="1" x="603"/>
        <item m="1" x="642"/>
        <item m="1" x="681"/>
        <item m="1" x="757"/>
        <item m="1" x="796"/>
        <item m="1" x="905"/>
        <item m="1" x="942"/>
        <item m="1" x="980"/>
        <item m="1" x="1020"/>
        <item m="1" x="1172"/>
        <item m="1" x="6960"/>
        <item m="1" x="7762"/>
        <item m="1" x="640"/>
        <item m="1" x="1358"/>
        <item m="1" x="1128"/>
        <item m="1" x="3533"/>
        <item m="1" x="3554"/>
        <item m="1" x="3576"/>
        <item m="1" x="6986"/>
        <item m="1" x="7898"/>
        <item m="1" x="7899"/>
        <item m="1" x="7902"/>
        <item m="1" x="5670"/>
        <item m="1" x="5834"/>
        <item m="1" x="7759"/>
        <item m="1" x="7908"/>
        <item m="1" x="7912"/>
        <item m="1" x="7914"/>
        <item m="1" x="7916"/>
        <item m="1" x="6149"/>
        <item m="1" x="7726"/>
        <item m="1" x="7735"/>
        <item m="1" x="7739"/>
        <item m="1" x="7740"/>
        <item m="1" x="7742"/>
        <item m="1" x="7744"/>
        <item m="1" x="5457"/>
        <item m="1" x="7909"/>
        <item m="1" x="7910"/>
        <item m="1" x="7911"/>
        <item m="1" x="7915"/>
        <item m="1" x="7906"/>
        <item m="1" x="7907"/>
        <item m="1" x="7913"/>
        <item m="1" x="536"/>
        <item m="1" x="3339"/>
        <item m="1" x="3404"/>
        <item m="1" x="1318"/>
        <item m="1" x="3356"/>
        <item m="1" x="3374"/>
        <item m="1" x="3388"/>
        <item m="1" x="3418"/>
        <item m="1" x="3439"/>
        <item m="1" x="3485"/>
        <item m="1" x="3503"/>
        <item m="1" x="3528"/>
        <item m="1" x="3653"/>
        <item m="1" x="3672"/>
        <item m="1" x="3685"/>
        <item m="1" x="3703"/>
        <item m="1" x="3720"/>
        <item m="1" x="3549"/>
        <item m="1" x="1708"/>
        <item m="1" x="1722"/>
        <item m="1" x="3621"/>
        <item m="1" x="1377"/>
        <item m="1" x="1390"/>
        <item m="1" x="1237"/>
        <item m="1" x="5567"/>
        <item m="1" x="3766"/>
        <item m="1" x="7116"/>
        <item m="1" x="6754"/>
        <item m="1" x="4571"/>
        <item m="1" x="4583"/>
        <item m="1" x="4598"/>
        <item m="1" x="4624"/>
        <item m="1" x="4641"/>
        <item m="1" x="4663"/>
        <item m="1" x="7592"/>
        <item m="1" x="7605"/>
        <item m="1" x="7613"/>
        <item m="1" x="7627"/>
        <item m="1" x="7629"/>
        <item m="1" x="7632"/>
        <item m="1" x="7681"/>
        <item m="1" x="7697"/>
        <item m="1" x="7702"/>
        <item m="1" x="7707"/>
        <item m="1" x="7712"/>
        <item m="1" x="7716"/>
        <item m="1" x="7720"/>
        <item m="1" x="7724"/>
        <item m="1" x="7728"/>
        <item m="1" x="7731"/>
        <item m="1" x="7733"/>
        <item m="1" x="7736"/>
        <item m="1" x="7737"/>
        <item m="1" x="7022"/>
        <item m="1" x="5679"/>
        <item m="1" x="5716"/>
        <item m="1" x="5753"/>
        <item m="1" x="5786"/>
        <item m="1" x="5822"/>
        <item m="1" x="5858"/>
        <item m="1" x="5891"/>
        <item m="1" x="5924"/>
        <item m="1" x="5955"/>
        <item m="1" x="5993"/>
        <item m="1" x="6027"/>
        <item m="1" x="6059"/>
        <item m="1" x="6095"/>
        <item m="1" x="6137"/>
        <item m="1" x="6173"/>
        <item m="1" x="7314"/>
        <item m="1" x="7319"/>
        <item m="1" x="7323"/>
        <item m="1" x="7328"/>
        <item m="1" x="7333"/>
        <item m="1" x="7338"/>
        <item m="1" x="7343"/>
        <item m="1" x="7348"/>
        <item m="1" x="7352"/>
        <item m="1" x="7357"/>
        <item m="1" x="7360"/>
        <item m="1" x="7364"/>
        <item m="1" x="7368"/>
        <item m="1" x="7372"/>
        <item m="1" x="7375"/>
        <item m="1" x="7382"/>
        <item m="1" x="7389"/>
        <item m="1" x="7392"/>
        <item m="1" x="7882"/>
        <item m="1" x="7883"/>
        <item m="1" x="7885"/>
        <item m="1" x="4652"/>
        <item m="1" x="4203"/>
        <item m="1" x="5158"/>
        <item m="1" x="5234"/>
        <item m="1" x="6998"/>
        <item m="1" x="7004"/>
        <item m="1" x="7010"/>
        <item m="1" x="7014"/>
        <item m="1" x="7021"/>
        <item m="1" x="7028"/>
        <item m="1" x="7034"/>
        <item m="1" x="7039"/>
        <item m="1" x="7044"/>
        <item m="1" x="7047"/>
        <item m="1" x="7051"/>
        <item m="1" x="7055"/>
        <item m="1" x="7099"/>
        <item m="1" x="7106"/>
        <item m="1" x="7114"/>
        <item m="1" x="7128"/>
        <item m="1" x="7136"/>
        <item m="1" x="7143"/>
        <item m="1" x="7146"/>
        <item m="1" x="7157"/>
        <item m="1" x="7077"/>
        <item m="1" x="7170"/>
        <item m="1" x="7178"/>
        <item m="1" x="7182"/>
        <item m="1" x="7184"/>
        <item m="1" x="7217"/>
        <item m="1" x="7223"/>
        <item m="1" x="7226"/>
        <item m="1" x="7229"/>
        <item m="1" x="7271"/>
        <item m="1" x="7274"/>
        <item m="1" x="7294"/>
        <item m="1" x="7329"/>
        <item m="1" x="7335"/>
        <item m="1" x="7339"/>
        <item m="1" x="7409"/>
        <item m="1" x="7799"/>
        <item m="1" x="7801"/>
        <item m="1" x="7807"/>
        <item m="1" x="7810"/>
        <item m="1" x="7813"/>
        <item m="1" x="7842"/>
        <item m="1" x="7845"/>
        <item m="1" x="7849"/>
        <item m="1" x="7852"/>
        <item m="1" x="7855"/>
        <item m="1" x="7870"/>
        <item m="1" x="7876"/>
        <item m="1" x="7879"/>
        <item m="1" x="7881"/>
        <item m="1" x="7884"/>
        <item m="1" x="7886"/>
        <item m="1" x="7890"/>
        <item m="1" x="7891"/>
        <item m="1" x="7892"/>
        <item m="1" x="7893"/>
        <item m="1" x="7894"/>
        <item m="1" x="7840"/>
        <item m="1" x="4750"/>
        <item m="1" x="4847"/>
        <item m="1" x="4893"/>
        <item m="1" x="4716"/>
        <item m="1" x="4877"/>
        <item m="1" x="7769"/>
        <item m="1" x="7774"/>
        <item m="1" x="7779"/>
        <item m="1" x="7780"/>
        <item m="1" x="7781"/>
        <item m="1" x="7783"/>
        <item m="1" x="7784"/>
        <item m="1" x="7785"/>
        <item m="1" x="7787"/>
        <item m="1" x="7788"/>
        <item m="1" x="7790"/>
        <item m="1" x="7791"/>
        <item m="1" x="7917"/>
        <item m="1" x="7921"/>
        <item m="1" x="7922"/>
        <item m="1" x="4701"/>
        <item m="1" x="7982"/>
        <item m="1" x="7984"/>
        <item m="1" x="7986"/>
        <item m="1" x="7987"/>
        <item m="1" x="7988"/>
        <item m="1" x="7991"/>
        <item m="1" x="7994"/>
        <item m="1" x="7996"/>
        <item m="1" x="7998"/>
        <item m="1" x="4035"/>
        <item m="1" x="4767"/>
        <item m="1" x="4780"/>
        <item m="1" x="4808"/>
        <item m="1" x="4821"/>
        <item m="1" x="4860"/>
        <item m="1" x="4911"/>
        <item m="1" x="4927"/>
        <item m="1" x="7083"/>
        <item m="1" x="7860"/>
        <item m="1" x="2460"/>
        <item m="1" x="7377"/>
        <item m="1" x="7421"/>
        <item m="1" x="7424"/>
        <item m="1" x="7487"/>
        <item m="1" x="7501"/>
        <item m="1" x="7506"/>
        <item m="1" x="7512"/>
        <item m="1" x="7516"/>
        <item m="1" x="5759"/>
        <item m="1" x="7624"/>
        <item m="1" x="6286"/>
        <item m="1" x="6434"/>
        <item m="1" x="6670"/>
        <item m="1" x="6716"/>
        <item m="1" x="7679"/>
        <item m="1" x="7713"/>
        <item m="1" x="7717"/>
        <item m="1" x="7718"/>
        <item m="1" x="7721"/>
        <item m="1" x="7722"/>
        <item m="1" x="7725"/>
        <item m="1" x="7727"/>
        <item m="1" x="7729"/>
        <item m="1" x="7730"/>
        <item m="1" x="7745"/>
        <item m="1" x="7746"/>
        <item m="1" x="7751"/>
        <item m="1" x="7754"/>
        <item m="1" x="7755"/>
        <item m="1" x="7786"/>
        <item m="1" x="6985"/>
        <item m="1" x="7016"/>
        <item m="1" x="7036"/>
        <item m="1" x="7040"/>
        <item m="1" x="7045"/>
        <item m="1" x="7048"/>
        <item m="1" x="7052"/>
        <item m="1" x="7056"/>
        <item m="1" x="7064"/>
        <item m="1" x="7079"/>
        <item m="1" x="7084"/>
        <item m="1" x="7095"/>
        <item m="1" x="5026"/>
        <item m="1" x="6230"/>
        <item m="1" x="6301"/>
        <item m="1" x="6313"/>
        <item m="1" x="6325"/>
        <item m="1" x="6471"/>
        <item m="1" x="6490"/>
        <item m="1" x="6684"/>
        <item m="1" x="6703"/>
        <item m="1" x="6734"/>
        <item m="1" x="7069"/>
        <item m="1" x="7519"/>
        <item m="1" x="7522"/>
        <item m="1" x="7662"/>
        <item m="1" x="7666"/>
        <item m="1" x="7667"/>
        <item m="1" x="7670"/>
        <item m="1" x="7684"/>
        <item m="1" x="7691"/>
        <item m="1" x="7695"/>
        <item m="1" x="7699"/>
        <item m="1" x="7703"/>
        <item m="1" x="7732"/>
        <item m="1" x="7734"/>
        <item m="1" x="3815"/>
        <item m="1" x="7792"/>
        <item m="1" x="7794"/>
        <item m="1" x="7796"/>
        <item m="1" x="7896"/>
        <item m="1" x="7741"/>
        <item m="1" x="7795"/>
        <item m="1" x="7798"/>
        <item m="1" x="7800"/>
        <item m="1" x="7803"/>
        <item m="1" x="7804"/>
        <item m="1" x="7805"/>
        <item m="1" x="7806"/>
        <item m="1" x="7808"/>
        <item m="1" x="7809"/>
        <item m="1" x="7811"/>
        <item m="1" x="7812"/>
        <item m="1" x="7814"/>
        <item m="1" x="7815"/>
        <item m="1" x="7816"/>
        <item m="1" x="7819"/>
        <item m="1" x="7820"/>
        <item m="1" x="7821"/>
        <item m="1" x="7822"/>
        <item m="1" x="7824"/>
        <item m="1" x="7825"/>
        <item m="1" x="7826"/>
        <item m="1" x="7827"/>
        <item m="1" x="7828"/>
        <item m="1" x="7829"/>
        <item m="1" x="7830"/>
        <item m="1" x="7834"/>
        <item m="1" x="7835"/>
        <item m="1" x="7839"/>
        <item m="1" x="7841"/>
        <item m="1" x="7843"/>
        <item m="1" x="7844"/>
        <item m="1" x="7851"/>
        <item m="1" x="7995"/>
        <item m="1" x="7966"/>
        <item m="1" x="7622"/>
        <item m="1" x="7971"/>
        <item m="1" x="7941"/>
        <item m="1" x="7967"/>
        <item m="1" x="7969"/>
        <item m="1" x="7970"/>
        <item m="1" x="7980"/>
        <item m="1" x="7981"/>
        <item m="1" x="554"/>
        <item m="1" x="587"/>
        <item m="1" x="619"/>
        <item m="1" x="660"/>
        <item m="1" x="700"/>
        <item m="1" x="737"/>
        <item m="1" x="776"/>
        <item m="1" x="813"/>
        <item m="1" x="847"/>
        <item m="1" x="885"/>
        <item m="1" x="923"/>
        <item m="1" x="956"/>
        <item m="1" x="999"/>
        <item m="1" x="1040"/>
        <item m="1" x="1072"/>
        <item m="1" x="7942"/>
        <item m="1" x="7989"/>
        <item m="1" x="7992"/>
        <item m="1" x="7993"/>
        <item m="1" x="7999"/>
        <item m="1" x="7960"/>
        <item m="1" x="7968"/>
        <item m="1" x="7957"/>
        <item m="1" x="6973"/>
        <item m="1" x="78"/>
        <item m="1" x="103"/>
        <item m="1" x="131"/>
        <item m="1" x="7958"/>
        <item m="1" x="471"/>
        <item m="1" x="498"/>
        <item m="1" x="94"/>
        <item m="1" x="7299"/>
        <item m="1" x="199"/>
        <item m="1" x="7977"/>
        <item m="1" x="7747"/>
        <item m="1" x="7990"/>
        <item m="1" x="7997"/>
        <item m="1" x="7946"/>
        <item m="1" x="7948"/>
        <item m="1" x="7950"/>
        <item m="1" x="7959"/>
        <item m="1" x="7961"/>
        <item m="1" x="7962"/>
        <item m="1" x="7963"/>
        <item m="1" x="7964"/>
        <item m="1" x="7972"/>
        <item m="1" x="7973"/>
        <item m="1" x="7974"/>
        <item m="1" x="7975"/>
        <item m="1" x="7976"/>
        <item m="1" x="7978"/>
        <item m="1" x="7979"/>
        <item m="1" x="7983"/>
        <item m="1" x="7985"/>
        <item m="1" x="3718"/>
        <item m="1" x="3853"/>
        <item m="1" x="3569"/>
        <item m="1" x="3633"/>
        <item m="1" x="4431"/>
        <item m="1" x="3968"/>
        <item m="1" x="4504"/>
        <item m="1" x="5493"/>
        <item m="1" x="3546"/>
        <item m="1" x="7277"/>
        <item m="1" x="3610"/>
        <item m="1" x="7584"/>
        <item m="1" x="7566"/>
        <item m="1" x="7573"/>
        <item m="1" x="7577"/>
        <item m="1" x="7580"/>
        <item m="1" x="7599"/>
        <item m="1" x="7934"/>
        <item m="1" x="7938"/>
        <item m="1" x="7943"/>
        <item m="1" x="7952"/>
        <item m="1" x="7955"/>
        <item m="1" x="7956"/>
        <item m="1" x="7524"/>
        <item m="1" x="7527"/>
        <item m="1" x="7530"/>
        <item m="1" x="7531"/>
        <item m="1" x="7532"/>
        <item m="1" x="7534"/>
        <item m="1" x="7929"/>
        <item m="1" x="3324"/>
        <item m="1" x="7175"/>
        <item m="1" x="7177"/>
        <item m="1" x="7281"/>
        <item m="1" x="7539"/>
        <item m="1" x="7203"/>
        <item m="1" x="7201"/>
        <item m="1" x="7918"/>
        <item m="1" x="7925"/>
        <item m="1" x="7933"/>
        <item m="1" x="7935"/>
        <item m="1" x="7931"/>
        <item m="1" x="7932"/>
        <item m="1" x="7940"/>
        <item m="1" x="7926"/>
        <item m="1" x="7927"/>
        <item m="1" x="7928"/>
        <item m="1" x="7930"/>
        <item m="1" x="7944"/>
        <item m="1" x="7831"/>
        <item m="1" x="7924"/>
        <item m="1" x="7945"/>
        <item m="1" x="7947"/>
        <item m="1" x="7949"/>
        <item m="1" x="7951"/>
        <item m="1" x="7953"/>
        <item m="1" x="7954"/>
        <item m="1" x="7939"/>
        <item m="1" x="7846"/>
        <item m="1" x="7848"/>
        <item m="1" x="7853"/>
        <item m="1" x="7854"/>
        <item m="1" x="7856"/>
        <item m="1" x="7857"/>
        <item m="1" x="7858"/>
        <item m="1" x="7859"/>
        <item m="1" x="7861"/>
        <item m="1" x="7862"/>
        <item m="1" x="7863"/>
        <item m="1" x="7864"/>
        <item m="1" x="7865"/>
        <item m="1" x="7866"/>
        <item m="1" x="7868"/>
        <item m="1" x="7874"/>
        <item m="1" x="7877"/>
        <item m="1" x="7878"/>
        <item m="1" x="7880"/>
        <item m="1" x="7965"/>
        <item m="1" x="7538"/>
        <item m="1" x="7936"/>
        <item m="1" x="7937"/>
        <item m="1" x="1458"/>
        <item m="1" x="1467"/>
        <item m="1" x="1483"/>
        <item m="1" x="1524"/>
        <item m="1" x="1556"/>
        <item m="1" x="1589"/>
        <item m="1" x="1647"/>
        <item m="1" x="2708"/>
        <item m="1" x="2726"/>
        <item m="1" x="2744"/>
        <item m="1" x="2449"/>
        <item m="1" x="2457"/>
        <item m="1" x="1737"/>
        <item m="1" x="2121"/>
        <item m="1" x="2130"/>
        <item m="1" x="2139"/>
        <item m="1" x="2146"/>
        <item m="1" x="2156"/>
        <item m="1" x="2165"/>
        <item m="1" x="2326"/>
        <item m="1" x="2498"/>
        <item m="1" x="2509"/>
        <item m="1" x="2516"/>
        <item m="1" x="2625"/>
        <item m="1" x="2636"/>
        <item m="1" x="2648"/>
        <item m="1" x="2659"/>
        <item m="1" x="2671"/>
        <item m="1" x="2698"/>
        <item m="1" x="2716"/>
        <item m="1" x="2733"/>
        <item m="1" x="2749"/>
        <item m="1" x="2843"/>
        <item m="1" x="2901"/>
        <item m="1" x="6365"/>
        <item m="1" x="3688"/>
        <item m="1" x="3698"/>
        <item m="1" x="3705"/>
        <item m="1" x="3751"/>
        <item m="1" x="3768"/>
        <item m="1" x="3777"/>
        <item m="1" x="3794"/>
        <item m="1" x="3803"/>
        <item m="1" x="3877"/>
        <item m="1" x="3972"/>
        <item m="1" x="3978"/>
        <item m="1" x="3986"/>
        <item m="1" x="3996"/>
        <item m="1" x="4002"/>
        <item m="1" x="4011"/>
        <item m="1" x="4019"/>
        <item m="1" x="1635"/>
        <item m="1" x="1784"/>
        <item m="1" x="1793"/>
        <item m="1" x="7246"/>
        <item m="1" x="7738"/>
        <item m="1" x="7748"/>
        <item m="1" x="7749"/>
        <item m="1" x="7750"/>
        <item m="1" x="7752"/>
        <item m="1" x="7753"/>
        <item m="1" x="7756"/>
        <item m="1" x="7757"/>
        <item m="1" x="7758"/>
        <item m="1" x="7760"/>
        <item m="1" x="7761"/>
        <item m="1" x="7763"/>
        <item m="1" x="7764"/>
        <item m="1" x="7765"/>
        <item m="1" x="7766"/>
        <item m="1" x="7767"/>
        <item m="1" x="7768"/>
        <item m="1" x="7770"/>
        <item m="1" x="7771"/>
        <item m="1" x="7772"/>
        <item m="1" x="7773"/>
        <item m="1" x="7775"/>
        <item m="1" x="7776"/>
        <item m="1" x="7777"/>
        <item m="1" x="7778"/>
        <item m="1" x="7871"/>
        <item m="1" x="7872"/>
        <item m="1" x="7873"/>
        <item m="1" x="7875"/>
        <item m="1" x="7887"/>
        <item m="1" x="7888"/>
        <item m="1" x="7889"/>
        <item m="1" x="7895"/>
        <item m="1" x="7897"/>
        <item m="1" x="7901"/>
        <item m="1" x="7903"/>
        <item m="1" x="7919"/>
        <item m="1" x="7920"/>
        <item m="1" x="7923"/>
        <item m="1" x="112"/>
        <item m="1" x="313"/>
        <item m="1" x="195"/>
        <item m="1" x="204"/>
        <item m="1" x="4488"/>
        <item m="1" x="4514"/>
        <item m="1" x="4602"/>
        <item m="1" x="4630"/>
        <item m="1" x="4669"/>
        <item m="1" x="4699"/>
        <item m="1" x="4730"/>
        <item m="1" x="4875"/>
        <item m="1" x="5031"/>
        <item m="1" x="5062"/>
        <item m="1" x="5092"/>
        <item m="1" x="5122"/>
        <item m="1" x="5156"/>
        <item m="1" x="5180"/>
        <item m="1" x="5232"/>
        <item m="1" x="110"/>
        <item m="1" x="116"/>
        <item m="1" x="164"/>
        <item m="1" x="180"/>
        <item m="1" x="235"/>
        <item m="1" x="239"/>
        <item m="1" x="650"/>
        <item m="1" x="659"/>
        <item m="1" x="669"/>
        <item m="1" x="690"/>
        <item m="1" x="766"/>
        <item m="1" x="775"/>
        <item m="1" x="800"/>
        <item m="1" x="812"/>
        <item m="1" x="819"/>
        <item m="1" x="831"/>
        <item m="1" x="869"/>
        <item m="1" x="884"/>
        <item m="1" x="894"/>
        <item m="1" x="904"/>
        <item m="1" x="911"/>
        <item m="1" x="922"/>
        <item m="1" x="955"/>
        <item m="1" x="966"/>
        <item m="1" x="979"/>
        <item m="1" x="988"/>
        <item m="1" x="998"/>
        <item m="1" x="1007"/>
        <item m="1" x="4399"/>
        <item m="1" x="4434"/>
        <item m="1" x="4465"/>
        <item m="1" x="6992"/>
        <item m="1" x="7120"/>
        <item m="1" x="7130"/>
        <item m="1" x="7133"/>
        <item m="1" x="7145"/>
        <item m="1" x="7149"/>
        <item m="1" x="7169"/>
        <item m="1" x="7171"/>
        <item m="1" x="7231"/>
        <item m="1" x="7233"/>
        <item m="1" x="7236"/>
        <item m="1" x="7237"/>
        <item m="1" x="7239"/>
        <item m="1" x="7242"/>
        <item m="1" x="7245"/>
        <item m="1" x="7248"/>
        <item m="1" x="7250"/>
        <item m="1" x="7252"/>
        <item m="1" x="7266"/>
        <item m="1" x="7287"/>
        <item m="1" x="7316"/>
        <item m="1" x="7376"/>
        <item m="1" x="7380"/>
        <item m="1" x="7383"/>
        <item m="1" x="7387"/>
        <item m="1" x="7494"/>
        <item m="1" x="7499"/>
        <item m="1" x="7503"/>
        <item m="1" x="7782"/>
        <item m="1" x="7789"/>
        <item m="1" x="7743"/>
        <item m="1" x="4560"/>
        <item m="1" x="7654"/>
        <item m="1" x="4099"/>
        <item m="1" x="7541"/>
        <item m="1" x="7900"/>
        <item m="1" x="6468"/>
        <item m="1" x="862"/>
        <item m="1" x="7869"/>
        <item m="1" x="5953"/>
        <item m="1" x="345"/>
        <item m="1" x="7818"/>
        <item m="1" x="3419"/>
        <item m="1" x="3440"/>
        <item m="1" x="3462"/>
        <item m="1" x="3491"/>
        <item m="1" x="3529"/>
        <item m="1" x="3538"/>
        <item m="1" x="3559"/>
        <item m="1" x="3571"/>
        <item m="1" x="3622"/>
        <item m="1" x="3636"/>
        <item x="51"/>
        <item m="1" x="7160"/>
        <item m="1" x="7453"/>
        <item m="1" x="3100"/>
        <item m="1" x="3783"/>
        <item m="1" x="4323"/>
        <item m="1" x="4331"/>
        <item m="1" x="5064"/>
        <item m="1" x="7202"/>
        <item m="1" x="7562"/>
        <item m="1" x="7564"/>
        <item m="1" x="7568"/>
        <item m="1" x="7571"/>
        <item m="1" x="7698"/>
        <item m="1" x="7832"/>
        <item m="1" x="7833"/>
        <item m="1" x="7836"/>
        <item m="1" x="7837"/>
        <item m="1" x="7838"/>
        <item m="1" x="7847"/>
        <item m="1" x="7850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3"/>
        <item sd="0" m="1" x="804"/>
        <item m="1" x="553"/>
        <item sd="0" m="1" x="163"/>
        <item sd="0" m="1" x="200"/>
        <item sd="0" m="1" x="287"/>
        <item m="1" x="27"/>
        <item m="1" x="772"/>
        <item m="1" x="406"/>
        <item sd="0" m="1" x="722"/>
        <item m="1" x="310"/>
        <item sd="0" m="1" x="127"/>
        <item m="1" x="285"/>
        <item m="1" x="600"/>
        <item m="1" x="337"/>
        <item sd="0" m="1" x="686"/>
        <item sd="0" m="1" x="514"/>
        <item m="1" x="38"/>
        <item m="1" x="591"/>
        <item m="1" x="860"/>
        <item x="11"/>
        <item m="1" x="768"/>
        <item m="1" x="126"/>
        <item m="1" x="554"/>
        <item m="1" x="836"/>
        <item m="1" x="284"/>
        <item m="1" x="492"/>
        <item m="1" x="783"/>
        <item m="1" x="280"/>
        <item m="1" x="18"/>
        <item m="1" x="357"/>
        <item m="1" x="687"/>
        <item sd="0" m="1" x="811"/>
        <item m="1" x="90"/>
        <item m="1" x="62"/>
        <item sd="0" m="1" x="679"/>
        <item m="1" x="671"/>
        <item m="1" x="482"/>
        <item m="1" x="59"/>
        <item sd="0" m="1" x="741"/>
        <item m="1" x="701"/>
        <item m="1" x="229"/>
        <item sd="0" m="1" x="489"/>
        <item m="1" x="643"/>
        <item m="1" x="459"/>
        <item sd="0" m="1" x="818"/>
        <item m="1" x="678"/>
        <item m="1" x="228"/>
        <item sd="0" m="1" x="145"/>
        <item m="1" x="236"/>
        <item m="1" x="172"/>
        <item m="1" x="244"/>
        <item m="1" x="123"/>
        <item m="1" x="631"/>
        <item m="1" x="155"/>
        <item m="1" x="626"/>
        <item m="1" x="334"/>
        <item m="1" x="828"/>
        <item x="8"/>
        <item m="1" x="335"/>
        <item m="1" x="474"/>
        <item m="1" x="14"/>
        <item sd="0" m="1" x="563"/>
        <item m="1" x="490"/>
        <item sd="0" m="1" x="258"/>
        <item m="1" x="856"/>
        <item m="1" x="840"/>
        <item m="1" x="753"/>
        <item m="1" x="254"/>
        <item m="1" x="253"/>
        <item m="1" x="475"/>
        <item m="1" x="300"/>
        <item m="1" x="559"/>
        <item m="1" x="853"/>
        <item m="1" x="458"/>
        <item m="1" x="540"/>
        <item m="1" x="676"/>
        <item m="1" x="529"/>
        <item m="1" x="802"/>
        <item sd="0" m="1" x="191"/>
        <item sd="0" m="1" x="73"/>
        <item m="1" x="370"/>
        <item m="1" x="697"/>
        <item m="1" x="326"/>
        <item m="1" x="150"/>
        <item m="1" x="308"/>
        <item m="1" x="611"/>
        <item m="1" x="220"/>
        <item m="1" x="685"/>
        <item m="1" x="153"/>
        <item m="1" x="700"/>
        <item m="1" x="699"/>
        <item m="1" x="466"/>
        <item m="1" x="422"/>
        <item x="3"/>
        <item m="1" x="332"/>
        <item m="1" x="601"/>
        <item m="1" x="605"/>
        <item m="1" x="743"/>
        <item m="1" x="795"/>
        <item m="1" x="196"/>
        <item m="1" x="843"/>
        <item m="1" x="721"/>
        <item m="1" x="392"/>
        <item m="1" x="221"/>
        <item sd="0" m="1" x="532"/>
        <item m="1" x="476"/>
        <item x="9"/>
        <item m="1" x="152"/>
        <item m="1" x="672"/>
        <item m="1" x="386"/>
        <item m="1" x="168"/>
        <item m="1" x="265"/>
        <item m="1" x="638"/>
        <item m="1" x="747"/>
        <item m="1" x="435"/>
        <item m="1" x="94"/>
        <item m="1" x="708"/>
        <item m="1" x="298"/>
        <item m="1" x="854"/>
        <item m="1" x="262"/>
        <item sd="0" m="1" x="774"/>
        <item m="1" x="439"/>
        <item m="1" x="449"/>
        <item m="1" x="180"/>
        <item m="1" x="552"/>
        <item x="10"/>
        <item sd="0" m="1" x="630"/>
        <item m="1" x="20"/>
        <item m="1" x="781"/>
        <item m="1" x="29"/>
        <item m="1" x="750"/>
        <item m="1" x="407"/>
        <item m="1" x="290"/>
        <item m="1" x="80"/>
        <item sd="0" m="1" x="199"/>
        <item sd="0" m="1" x="321"/>
        <item sd="0" m="1" x="190"/>
        <item m="1" x="606"/>
        <item m="1" x="185"/>
        <item m="1" x="624"/>
        <item sd="0" m="1" x="778"/>
        <item m="1" x="496"/>
        <item m="1" x="67"/>
        <item m="1" x="660"/>
        <item m="1" x="483"/>
        <item m="1" x="263"/>
        <item m="1" x="341"/>
        <item m="1" x="450"/>
        <item m="1" x="366"/>
        <item sd="0" m="1" x="581"/>
        <item m="1" x="577"/>
        <item sd="0" m="1" x="744"/>
        <item m="1" x="766"/>
        <item m="1" x="134"/>
        <item m="1" x="404"/>
        <item sd="0" m="1" x="102"/>
        <item m="1" x="396"/>
        <item m="1" x="822"/>
        <item m="1" x="410"/>
        <item m="1" x="272"/>
        <item m="1" x="391"/>
        <item m="1" x="351"/>
        <item m="1" x="857"/>
        <item sd="0" m="1" x="658"/>
        <item m="1" x="861"/>
        <item sd="0" m="1" x="837"/>
        <item m="1" x="120"/>
        <item m="1" x="415"/>
        <item m="1" x="128"/>
        <item sd="0" m="1" x="663"/>
        <item m="1" x="667"/>
        <item m="1" x="805"/>
        <item sd="0" m="1" x="707"/>
        <item m="1" x="468"/>
        <item m="1" x="395"/>
        <item m="1" x="461"/>
        <item m="1" x="173"/>
        <item m="1" x="291"/>
        <item sd="0" m="1" x="217"/>
        <item m="1" x="507"/>
        <item m="1" x="303"/>
        <item m="1" x="537"/>
        <item m="1" x="271"/>
        <item m="1" x="646"/>
        <item m="1" x="420"/>
        <item m="1" x="848"/>
        <item m="1" x="470"/>
        <item sd="0" m="1" x="491"/>
        <item m="1" x="761"/>
        <item sd="0" m="1" x="649"/>
        <item m="1" x="68"/>
        <item m="1" x="803"/>
        <item m="1" x="727"/>
        <item m="1" x="431"/>
        <item m="1" x="745"/>
        <item m="1" x="821"/>
        <item m="1" x="571"/>
        <item m="1" x="568"/>
        <item m="1" x="442"/>
        <item m="1" x="724"/>
        <item m="1" x="517"/>
        <item m="1" x="186"/>
        <item m="1" x="637"/>
        <item m="1" x="389"/>
        <item m="1" x="816"/>
        <item m="1" x="74"/>
        <item m="1" x="641"/>
        <item m="1" x="541"/>
        <item m="1" x="309"/>
        <item m="1" x="318"/>
        <item m="1" x="187"/>
        <item m="1" x="115"/>
        <item sd="0" m="1" x="85"/>
        <item m="1" x="808"/>
        <item m="1" x="588"/>
        <item sd="0" m="1" x="809"/>
        <item m="1" x="46"/>
        <item m="1" x="684"/>
        <item m="1" x="301"/>
        <item m="1" x="639"/>
        <item m="1" x="279"/>
        <item m="1" x="129"/>
        <item m="1" x="347"/>
        <item m="1" x="233"/>
        <item m="1" x="521"/>
        <item m="1" x="131"/>
        <item sd="0" m="1" x="547"/>
        <item m="1" x="97"/>
        <item m="1" x="612"/>
        <item sd="0" m="1" x="463"/>
        <item m="1" x="363"/>
        <item m="1" x="92"/>
        <item m="1" x="592"/>
        <item m="1" x="33"/>
        <item m="1" x="174"/>
        <item m="1" x="784"/>
        <item m="1" x="589"/>
        <item m="1" x="528"/>
        <item m="1" x="807"/>
        <item m="1" x="178"/>
        <item sd="0" m="1" x="834"/>
        <item m="1" x="124"/>
        <item m="1" x="436"/>
        <item m="1" x="440"/>
        <item sd="0" m="1" x="25"/>
        <item m="1" x="57"/>
        <item m="1" x="31"/>
        <item m="1" x="632"/>
        <item m="1" x="566"/>
        <item m="1" x="636"/>
        <item m="1" x="359"/>
        <item m="1" x="446"/>
        <item m="1" x="224"/>
        <item m="1" x="452"/>
        <item sd="0" m="1" x="116"/>
        <item sd="0" m="1" x="209"/>
        <item m="1" x="839"/>
        <item m="1" x="775"/>
        <item m="1" x="520"/>
        <item m="1" x="829"/>
        <item m="1" x="355"/>
        <item m="1" x="237"/>
        <item m="1" x="344"/>
        <item m="1" x="79"/>
        <item m="1" x="645"/>
        <item m="1" x="471"/>
        <item m="1" x="800"/>
        <item m="1" x="715"/>
        <item m="1" x="248"/>
        <item m="1" x="607"/>
        <item m="1" x="58"/>
        <item m="1" x="211"/>
        <item sd="0" m="1" x="851"/>
        <item sd="0" m="1" x="137"/>
        <item m="1" x="281"/>
        <item m="1" x="306"/>
        <item m="1" x="368"/>
        <item m="1" x="725"/>
        <item m="1" x="112"/>
        <item m="1" x="473"/>
        <item m="1" x="590"/>
        <item m="1" x="367"/>
        <item m="1" x="117"/>
        <item sd="0" m="1" x="549"/>
        <item m="1" x="222"/>
        <item m="1" x="682"/>
        <item m="1" x="499"/>
        <item m="1" x="651"/>
        <item m="1" x="616"/>
        <item m="1" x="542"/>
        <item sd="0" m="1" x="573"/>
        <item m="1" x="749"/>
        <item m="1" x="527"/>
        <item sd="0" m="1" x="400"/>
        <item m="1" x="555"/>
        <item m="1" x="226"/>
        <item m="1" x="429"/>
        <item m="1" x="433"/>
        <item x="7"/>
        <item m="1" x="55"/>
        <item m="1" x="815"/>
        <item sd="0" m="1" x="500"/>
        <item m="1" x="456"/>
        <item m="1" x="413"/>
        <item sd="0" m="1" x="618"/>
        <item m="1" x="167"/>
        <item m="1" x="30"/>
        <item m="1" x="246"/>
        <item m="1" x="255"/>
        <item m="1" x="21"/>
        <item m="1" x="402"/>
        <item m="1" x="384"/>
        <item m="1" x="625"/>
        <item m="1" x="72"/>
        <item m="1" x="718"/>
        <item m="1" x="37"/>
        <item m="1" x="50"/>
        <item m="1" x="24"/>
        <item m="1" x="432"/>
        <item sd="0" m="1" x="694"/>
        <item m="1" x="299"/>
        <item m="1" x="330"/>
        <item m="1" x="394"/>
        <item m="1" x="328"/>
        <item m="1" x="782"/>
        <item m="1" x="157"/>
        <item m="1" x="677"/>
        <item sd="0" m="1" x="847"/>
        <item sd="0" m="1" x="52"/>
        <item m="1" x="397"/>
        <item m="1" x="599"/>
        <item m="1" x="758"/>
        <item sd="0" m="1" x="283"/>
        <item m="1" x="32"/>
        <item m="1" x="648"/>
        <item m="1" x="403"/>
        <item m="1" x="493"/>
        <item m="1" x="358"/>
        <item m="1" x="748"/>
        <item m="1" x="259"/>
        <item m="1" x="275"/>
        <item sd="0" m="1" x="288"/>
        <item sd="0" m="1" x="830"/>
        <item m="1" x="22"/>
        <item m="1" x="364"/>
        <item m="1" x="587"/>
        <item m="1" x="15"/>
        <item m="1" x="329"/>
        <item sd="0" m="1" x="710"/>
        <item m="1" x="345"/>
        <item m="1" x="635"/>
        <item m="1" x="551"/>
        <item sd="0" m="1" x="383"/>
        <item sd="0" m="1" x="349"/>
        <item sd="0" m="1" x="188"/>
        <item m="1" x="434"/>
        <item m="1" x="713"/>
        <item m="1" x="709"/>
        <item m="1" x="393"/>
        <item m="1" x="362"/>
        <item m="1" x="164"/>
        <item m="1" x="770"/>
        <item sd="0" m="1" x="702"/>
        <item sd="0" m="1" x="35"/>
        <item m="1" x="738"/>
        <item x="12"/>
        <item m="1" x="650"/>
        <item m="1" x="342"/>
        <item m="1" x="382"/>
        <item m="1" x="823"/>
        <item m="1" x="787"/>
        <item m="1" x="158"/>
        <item m="1" x="510"/>
        <item m="1" x="480"/>
        <item sd="0" m="1" x="154"/>
        <item sd="0" m="1" x="767"/>
        <item m="1" x="162"/>
        <item m="1" x="238"/>
        <item m="1" x="731"/>
        <item m="1" x="565"/>
        <item m="1" x="130"/>
        <item m="1" x="390"/>
        <item m="1" x="729"/>
        <item m="1" x="141"/>
        <item m="1" x="47"/>
        <item m="1" x="316"/>
        <item m="1" x="558"/>
        <item m="1" x="75"/>
        <item m="1" x="465"/>
        <item m="1" x="785"/>
        <item m="1" x="498"/>
        <item m="1" x="751"/>
        <item sd="0" m="1" x="467"/>
        <item m="1" x="531"/>
        <item m="1" x="175"/>
        <item sd="0" m="1" x="418"/>
        <item m="1" x="752"/>
        <item m="1" x="207"/>
        <item m="1" x="757"/>
        <item m="1" x="398"/>
        <item sd="0" m="1" x="151"/>
        <item m="1" x="669"/>
        <item m="1" x="443"/>
        <item m="1" x="675"/>
        <item m="1" x="506"/>
        <item sd="0" m="1" x="696"/>
        <item sd="0" m="1" x="340"/>
        <item m="1" x="779"/>
        <item sd="0" m="1" x="814"/>
        <item m="1" x="105"/>
        <item m="1" x="582"/>
        <item m="1" x="171"/>
        <item sd="0" m="1" x="570"/>
        <item m="1" x="60"/>
        <item m="1" x="734"/>
        <item m="1" x="759"/>
        <item m="1" x="754"/>
        <item m="1" x="855"/>
        <item sd="0" m="1" x="138"/>
        <item m="1" x="478"/>
        <item m="1" x="712"/>
        <item m="1" x="441"/>
        <item m="1" x="377"/>
        <item m="1" x="114"/>
        <item m="1" x="494"/>
        <item m="1" x="617"/>
        <item sd="0" m="1" x="726"/>
        <item sd="0" m="1" x="69"/>
        <item m="1" x="312"/>
        <item m="1" x="693"/>
        <item x="1"/>
        <item m="1" x="149"/>
        <item m="1" x="343"/>
        <item m="1" x="546"/>
        <item sd="0" m="1" x="251"/>
        <item m="1" x="567"/>
        <item m="1" x="556"/>
        <item m="1" x="858"/>
        <item m="1" x="17"/>
        <item m="1" x="286"/>
        <item sd="0" m="1" x="89"/>
        <item m="1" x="144"/>
        <item m="1" x="665"/>
        <item sd="0" m="1" x="732"/>
        <item m="1" x="652"/>
        <item m="1" x="245"/>
        <item m="1" x="387"/>
        <item m="1" x="746"/>
        <item sd="0" m="1" x="146"/>
        <item m="1" x="100"/>
        <item m="1" x="223"/>
        <item m="1" x="692"/>
        <item m="1" x="289"/>
        <item m="1" x="485"/>
        <item m="1" x="810"/>
        <item m="1" x="56"/>
        <item m="1" x="230"/>
        <item m="1" x="835"/>
        <item m="1" x="84"/>
        <item m="1" x="132"/>
        <item m="1" x="656"/>
        <item m="1" x="425"/>
        <item m="1" x="862"/>
        <item m="1" x="445"/>
        <item m="1" x="579"/>
        <item m="1" x="501"/>
        <item m="1" x="195"/>
        <item sd="0" m="1" x="388"/>
        <item m="1" x="256"/>
        <item m="1" x="352"/>
        <item m="1" x="538"/>
        <item m="1" x="437"/>
        <item m="1" x="798"/>
        <item m="1" x="315"/>
        <item m="1" x="323"/>
        <item m="1" x="381"/>
        <item m="1" x="504"/>
        <item m="1" x="673"/>
        <item m="1" x="201"/>
        <item m="1" x="670"/>
        <item m="1" x="235"/>
        <item m="1" x="462"/>
        <item m="1" x="161"/>
        <item m="1" x="376"/>
        <item m="1" x="277"/>
        <item m="1" x="305"/>
        <item m="1" x="550"/>
        <item m="1" x="613"/>
        <item m="1" x="45"/>
        <item m="1" x="282"/>
        <item m="1" x="762"/>
        <item m="1" x="385"/>
        <item m="1" x="260"/>
        <item m="1" x="412"/>
        <item sd="0" m="1" x="495"/>
        <item m="1" x="353"/>
        <item m="1" x="622"/>
        <item m="1" x="683"/>
        <item m="1" x="846"/>
        <item m="1" x="65"/>
        <item m="1" x="615"/>
        <item m="1" x="98"/>
        <item m="1" x="339"/>
        <item m="1" x="48"/>
        <item m="1" x="508"/>
        <item sd="0" m="1" x="518"/>
        <item m="1" x="460"/>
        <item m="1" x="179"/>
        <item m="1" x="147"/>
        <item m="1" x="266"/>
        <item m="1" x="314"/>
        <item m="1" x="827"/>
        <item m="1" x="182"/>
        <item m="1" x="719"/>
        <item m="1" x="184"/>
        <item m="1" x="596"/>
        <item m="1" x="241"/>
        <item m="1" x="405"/>
        <item m="1" x="668"/>
        <item m="1" x="324"/>
        <item m="1" x="88"/>
        <item sd="0" m="1" x="680"/>
        <item m="1" x="108"/>
        <item m="1" x="453"/>
        <item sd="0" m="1" x="365"/>
        <item m="1" x="794"/>
        <item m="1" x="511"/>
        <item m="1" x="76"/>
        <item m="1" x="469"/>
        <item m="1" x="96"/>
        <item m="1" x="338"/>
        <item sd="0" m="1" x="181"/>
        <item m="1" x="346"/>
        <item m="1" x="574"/>
        <item m="1" x="516"/>
        <item m="1" x="242"/>
        <item m="1" x="295"/>
        <item m="1" x="107"/>
        <item m="1" x="421"/>
        <item x="5"/>
        <item m="1" x="720"/>
        <item m="1" x="545"/>
        <item m="1" x="655"/>
        <item m="1" x="619"/>
        <item m="1" x="842"/>
        <item m="1" x="797"/>
        <item m="1" x="42"/>
        <item m="1" x="792"/>
        <item m="1" x="267"/>
        <item m="1" x="488"/>
        <item m="1" x="820"/>
        <item m="1" x="477"/>
        <item m="1" x="756"/>
        <item m="1" x="659"/>
        <item m="1" x="786"/>
        <item sd="0" m="1" x="86"/>
        <item m="1" x="723"/>
        <item m="1" x="583"/>
        <item m="1" x="197"/>
        <item m="1" x="728"/>
        <item m="1" x="125"/>
        <item m="1" x="268"/>
        <item m="1" x="523"/>
        <item m="1" x="109"/>
        <item m="1" x="533"/>
        <item m="1" x="799"/>
        <item m="1" x="34"/>
        <item m="1" x="548"/>
        <item m="1" x="647"/>
        <item m="1" x="585"/>
        <item sd="0" m="1" x="210"/>
        <item m="1" x="584"/>
        <item m="1" x="379"/>
        <item m="1" x="831"/>
        <item m="1" x="350"/>
        <item m="1" x="534"/>
        <item m="1" x="261"/>
        <item sd="0" m="1" x="26"/>
        <item m="1" x="156"/>
        <item m="1" x="662"/>
        <item m="1" x="614"/>
        <item m="1" x="454"/>
        <item m="1" x="36"/>
        <item m="1" x="604"/>
        <item m="1" x="448"/>
        <item m="1" x="82"/>
        <item m="1" x="666"/>
        <item m="1" x="688"/>
        <item m="1" x="575"/>
        <item m="1" x="526"/>
        <item m="1" x="608"/>
        <item m="1" x="331"/>
        <item m="1" x="791"/>
        <item m="1" x="497"/>
        <item m="1" x="327"/>
        <item m="1" x="361"/>
        <item m="1" x="296"/>
        <item m="1" x="336"/>
        <item m="1" x="852"/>
        <item m="1" x="372"/>
        <item sd="0" m="1" x="401"/>
        <item m="1" x="87"/>
        <item m="1" x="91"/>
        <item m="1" x="539"/>
        <item m="1" x="576"/>
        <item m="1" x="698"/>
        <item m="1" x="294"/>
        <item m="1" x="535"/>
        <item m="1" x="536"/>
        <item m="1" x="51"/>
        <item m="1" x="602"/>
        <item m="1" x="812"/>
        <item m="1" x="593"/>
        <item m="1" x="760"/>
        <item m="1" x="733"/>
        <item m="1" x="543"/>
        <item sd="0" m="1" x="61"/>
        <item m="1" x="564"/>
        <item m="1" x="122"/>
        <item m="1" x="249"/>
        <item sd="0" m="1" x="373"/>
        <item m="1" x="274"/>
        <item m="1" x="378"/>
        <item m="1" x="513"/>
        <item sd="0" m="1" x="160"/>
        <item m="1" x="183"/>
        <item m="1" x="594"/>
        <item m="1" x="813"/>
        <item sd="0" m="1" x="801"/>
        <item m="1" x="214"/>
        <item m="1" x="165"/>
        <item m="1" x="250"/>
        <item m="1" x="515"/>
        <item m="1" x="796"/>
        <item m="1" x="273"/>
        <item sd="0" m="1" x="763"/>
        <item m="1" x="142"/>
        <item m="1" x="225"/>
        <item m="1" x="841"/>
        <item m="1" x="595"/>
        <item m="1" x="806"/>
        <item m="1" x="737"/>
        <item m="1" x="426"/>
        <item m="1" x="39"/>
        <item m="1" x="356"/>
        <item m="1" x="503"/>
        <item m="1" x="522"/>
        <item m="1" x="780"/>
        <item m="1" x="730"/>
        <item m="1" x="771"/>
        <item m="1" x="530"/>
        <item m="1" x="653"/>
        <item m="1" x="302"/>
        <item m="1" x="193"/>
        <item m="1" x="348"/>
        <item m="1" x="825"/>
        <item sd="0" m="1" x="620"/>
        <item m="1" x="597"/>
        <item sd="0" m="1" x="270"/>
        <item m="1" x="560"/>
        <item m="1" x="118"/>
        <item m="1" x="101"/>
        <item m="1" x="765"/>
        <item m="1" x="169"/>
        <item m="1" x="247"/>
        <item m="1" x="252"/>
        <item m="1" x="479"/>
        <item m="1" x="629"/>
        <item m="1" x="742"/>
        <item m="1" x="484"/>
        <item m="1" x="561"/>
        <item m="1" x="278"/>
        <item m="1" x="264"/>
        <item m="1" x="642"/>
        <item m="1" x="711"/>
        <item m="1" x="371"/>
        <item x="0"/>
        <item m="1" x="239"/>
        <item m="1" x="793"/>
        <item m="1" x="735"/>
        <item m="1" x="849"/>
        <item m="1" x="457"/>
        <item m="1" x="206"/>
        <item m="1" x="320"/>
        <item m="1" x="354"/>
        <item sd="0" m="1" x="110"/>
        <item m="1" x="706"/>
        <item m="1" x="319"/>
        <item sd="0" m="1" x="369"/>
        <item m="1" x="416"/>
        <item m="1" x="627"/>
        <item m="1" x="623"/>
        <item m="1" x="788"/>
        <item m="1" x="408"/>
        <item m="1" x="414"/>
        <item m="1" x="716"/>
        <item m="1" x="417"/>
        <item m="1" x="838"/>
        <item x="6"/>
        <item m="1" x="409"/>
        <item m="1" x="681"/>
        <item m="1" x="198"/>
        <item sd="0" m="1" x="423"/>
        <item m="1" x="487"/>
        <item m="1" x="845"/>
        <item m="1" x="139"/>
        <item sd="0" m="1" x="166"/>
        <item m="1" x="603"/>
        <item m="1" x="789"/>
        <item m="1" x="621"/>
        <item m="1" x="569"/>
        <item m="1" x="322"/>
        <item m="1" x="664"/>
        <item m="1" x="736"/>
        <item sd="0" m="1" x="419"/>
        <item m="1" x="755"/>
        <item m="1" x="93"/>
        <item m="1" x="66"/>
        <item m="1" x="859"/>
        <item m="1" x="43"/>
        <item sd="0" m="1" x="580"/>
        <item m="1" x="524"/>
        <item m="1" x="427"/>
        <item m="1" x="714"/>
        <item m="1" x="218"/>
        <item sd="0" m="1" x="654"/>
        <item m="1" x="790"/>
        <item sd="0" m="1" x="481"/>
        <item sd="0" m="1" x="54"/>
        <item m="1" x="705"/>
        <item m="1" x="674"/>
        <item sd="0" m="1" x="817"/>
        <item m="1" x="234"/>
        <item m="1" x="824"/>
        <item m="1" x="634"/>
        <item m="1" x="472"/>
        <item m="1" x="703"/>
        <item sd="0" m="1" x="148"/>
        <item m="1" x="424"/>
        <item m="1" x="704"/>
        <item m="1" x="455"/>
        <item m="1" x="375"/>
        <item sd="0" m="1" x="717"/>
        <item m="1" x="317"/>
        <item m="1" x="202"/>
        <item m="1" x="691"/>
        <item sd="0" m="1" x="297"/>
        <item m="1" x="232"/>
        <item m="1" x="333"/>
        <item m="1" x="269"/>
        <item m="1" x="16"/>
        <item sd="0" m="1" x="205"/>
        <item m="1" x="740"/>
        <item m="1" x="399"/>
        <item m="1" x="586"/>
        <item m="1" x="374"/>
        <item m="1" x="464"/>
        <item m="1" x="525"/>
        <item m="1" x="136"/>
        <item m="1" x="657"/>
        <item m="1" x="63"/>
        <item m="1" x="430"/>
        <item m="1" x="159"/>
        <item sd="0" m="1" x="739"/>
        <item m="1" x="177"/>
        <item m="1" x="360"/>
        <item m="1" x="133"/>
        <item m="1" x="304"/>
        <item sd="0" m="1" x="213"/>
        <item m="1" x="219"/>
        <item m="1" x="103"/>
        <item sd="0" m="1" x="41"/>
        <item m="1" x="292"/>
        <item m="1" x="519"/>
        <item sd="0" m="1" x="512"/>
        <item m="1" x="83"/>
        <item m="1" x="690"/>
        <item m="1" x="95"/>
        <item m="1" x="644"/>
        <item m="1" x="81"/>
        <item m="1" x="661"/>
        <item m="1" x="502"/>
        <item m="1" x="764"/>
        <item m="1" x="176"/>
        <item m="1" x="204"/>
        <item m="1" x="689"/>
        <item m="1" x="313"/>
        <item m="1" x="598"/>
        <item sd="0" m="1" x="192"/>
        <item m="1" x="633"/>
        <item sd="0" m="1" x="78"/>
        <item m="1" x="438"/>
        <item sd="0" m="1" x="40"/>
        <item sd="0" m="1" x="776"/>
        <item m="1" x="428"/>
        <item sd="0" m="1" x="562"/>
        <item m="1" x="111"/>
        <item m="1" x="99"/>
        <item sd="0" m="1" x="307"/>
        <item m="1" x="208"/>
        <item sd="0" m="1" x="509"/>
        <item m="1" x="276"/>
        <item m="1" x="44"/>
        <item m="1" x="119"/>
        <item m="1" x="544"/>
        <item sd="0" m="1" x="311"/>
        <item sd="0" m="1" x="411"/>
        <item sd="0" m="1" x="243"/>
        <item sd="0" m="1" x="23"/>
        <item m="1" x="486"/>
        <item sd="0" m="1" x="832"/>
        <item m="1" x="49"/>
        <item m="1" x="325"/>
        <item m="1" x="833"/>
        <item m="1" x="572"/>
        <item m="1" x="77"/>
        <item m="1" x="578"/>
        <item m="1" x="444"/>
        <item m="1" x="189"/>
        <item m="1" x="380"/>
        <item m="1" x="769"/>
        <item m="1" x="610"/>
        <item m="1" x="28"/>
        <item m="1" x="106"/>
        <item m="1" x="451"/>
        <item m="1" x="447"/>
        <item m="1" x="135"/>
        <item m="1" x="640"/>
        <item m="1" x="215"/>
        <item m="1" x="170"/>
        <item m="1" x="70"/>
        <item m="1" x="557"/>
        <item sd="0" m="1" x="628"/>
        <item m="1" x="113"/>
        <item m="1" x="777"/>
        <item m="1" x="140"/>
        <item m="1" x="231"/>
        <item m="1" x="819"/>
        <item m="1" x="293"/>
        <item m="1" x="121"/>
        <item m="1" x="212"/>
        <item m="1" x="227"/>
        <item m="1" x="194"/>
        <item x="2"/>
        <item x="4"/>
        <item m="1" x="609"/>
        <item m="1" x="203"/>
        <item m="1" x="240"/>
        <item m="1" x="850"/>
        <item m="1" x="844"/>
        <item m="1" x="505"/>
        <item m="1" x="695"/>
        <item m="1" x="257"/>
        <item m="1" x="71"/>
        <item m="1" x="143"/>
        <item m="1" x="19"/>
        <item m="1" x="64"/>
        <item m="1" x="104"/>
        <item sd="0" m="1" x="216"/>
        <item m="1" x="53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5"/>
        <item m="1" x="15"/>
        <item m="1" x="17"/>
        <item m="1" x="26"/>
        <item m="1" x="22"/>
        <item x="7"/>
        <item m="1" x="12"/>
        <item m="1" x="8"/>
        <item m="1" x="14"/>
        <item x="6"/>
        <item m="1" x="9"/>
        <item m="1" x="11"/>
        <item m="1" x="19"/>
        <item m="1" x="18"/>
        <item m="1" x="25"/>
        <item m="1" x="23"/>
        <item m="1" x="24"/>
        <item m="1" x="10"/>
        <item m="1" x="16"/>
        <item x="3"/>
        <item m="1" x="13"/>
        <item m="1" x="20"/>
        <item x="4"/>
        <item x="0"/>
        <item m="1" x="21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6">
    <i>
      <x v="21"/>
    </i>
    <i r="1">
      <x v="7977"/>
    </i>
    <i r="1">
      <x v="7978"/>
    </i>
    <i>
      <x v="59"/>
    </i>
    <i r="1">
      <x v="7967"/>
    </i>
    <i>
      <x v="95"/>
    </i>
    <i r="1">
      <x v="7953"/>
    </i>
    <i r="1">
      <x v="7954"/>
    </i>
    <i>
      <x v="108"/>
    </i>
    <i r="1">
      <x v="7968"/>
    </i>
    <i>
      <x v="127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>
      <x v="300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>
      <x v="367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2"/>
    </i>
    <i r="1">
      <x v="7950"/>
    </i>
    <i r="1">
      <x v="7951"/>
    </i>
    <i>
      <x v="541"/>
    </i>
    <i r="1">
      <x v="7957"/>
    </i>
    <i>
      <x v="678"/>
    </i>
    <i r="1">
      <x v="7949"/>
    </i>
    <i>
      <x v="700"/>
    </i>
    <i r="1">
      <x v="7958"/>
    </i>
    <i r="1">
      <x v="7959"/>
    </i>
    <i>
      <x v="845"/>
    </i>
    <i r="1">
      <x v="7952"/>
    </i>
    <i>
      <x v="846"/>
    </i>
    <i r="1">
      <x v="7955"/>
    </i>
    <i r="1">
      <x v="7956"/>
    </i>
    <i>
      <x v="862"/>
    </i>
    <i r="1">
      <x v="790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2"/>
            <x v="122"/>
            <x v="141"/>
            <x v="151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5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8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3"/>
        <item sd="0" m="1" x="804"/>
        <item m="1" x="553"/>
        <item sd="0" m="1" x="163"/>
        <item sd="0" m="1" x="200"/>
        <item sd="0" m="1" x="287"/>
        <item m="1" x="27"/>
        <item m="1" x="772"/>
        <item m="1" x="406"/>
        <item sd="0" m="1" x="722"/>
        <item m="1" x="310"/>
        <item sd="0" m="1" x="127"/>
        <item m="1" x="285"/>
        <item m="1" x="600"/>
        <item m="1" x="337"/>
        <item sd="0" m="1" x="686"/>
        <item sd="0" m="1" x="514"/>
        <item m="1" x="38"/>
        <item m="1" x="591"/>
        <item m="1" x="860"/>
        <item x="11"/>
        <item m="1" x="768"/>
        <item m="1" x="126"/>
        <item m="1" x="554"/>
        <item m="1" x="836"/>
        <item m="1" x="284"/>
        <item m="1" x="492"/>
        <item m="1" x="783"/>
        <item m="1" x="280"/>
        <item m="1" x="18"/>
        <item m="1" x="357"/>
        <item m="1" x="687"/>
        <item sd="0" m="1" x="811"/>
        <item m="1" x="90"/>
        <item m="1" x="62"/>
        <item sd="0" m="1" x="679"/>
        <item m="1" x="671"/>
        <item m="1" x="482"/>
        <item m="1" x="59"/>
        <item sd="0" m="1" x="741"/>
        <item m="1" x="701"/>
        <item m="1" x="229"/>
        <item sd="0" m="1" x="489"/>
        <item m="1" x="643"/>
        <item m="1" x="459"/>
        <item sd="0" m="1" x="818"/>
        <item m="1" x="678"/>
        <item m="1" x="228"/>
        <item sd="0" m="1" x="145"/>
        <item m="1" x="236"/>
        <item m="1" x="172"/>
        <item m="1" x="244"/>
        <item m="1" x="123"/>
        <item m="1" x="631"/>
        <item m="1" x="155"/>
        <item m="1" x="626"/>
        <item m="1" x="334"/>
        <item m="1" x="828"/>
        <item x="8"/>
        <item m="1" x="335"/>
        <item m="1" x="474"/>
        <item m="1" x="14"/>
        <item sd="0" m="1" x="563"/>
        <item m="1" x="490"/>
        <item sd="0" m="1" x="258"/>
        <item m="1" x="856"/>
        <item m="1" x="840"/>
        <item m="1" x="753"/>
        <item m="1" x="254"/>
        <item m="1" x="253"/>
        <item m="1" x="475"/>
        <item m="1" x="300"/>
        <item m="1" x="559"/>
        <item m="1" x="853"/>
        <item m="1" x="458"/>
        <item m="1" x="540"/>
        <item m="1" x="676"/>
        <item m="1" x="529"/>
        <item m="1" x="802"/>
        <item sd="0" m="1" x="191"/>
        <item sd="0" m="1" x="73"/>
        <item m="1" x="370"/>
        <item m="1" x="697"/>
        <item m="1" x="326"/>
        <item m="1" x="150"/>
        <item m="1" x="308"/>
        <item m="1" x="611"/>
        <item m="1" x="220"/>
        <item m="1" x="685"/>
        <item m="1" x="153"/>
        <item m="1" x="700"/>
        <item m="1" x="699"/>
        <item m="1" x="466"/>
        <item m="1" x="422"/>
        <item x="3"/>
        <item m="1" x="332"/>
        <item m="1" x="601"/>
        <item m="1" x="605"/>
        <item m="1" x="743"/>
        <item m="1" x="795"/>
        <item m="1" x="196"/>
        <item m="1" x="843"/>
        <item m="1" x="721"/>
        <item m="1" x="392"/>
        <item m="1" x="221"/>
        <item sd="0" m="1" x="532"/>
        <item m="1" x="476"/>
        <item x="9"/>
        <item m="1" x="152"/>
        <item m="1" x="672"/>
        <item m="1" x="386"/>
        <item m="1" x="168"/>
        <item m="1" x="265"/>
        <item m="1" x="638"/>
        <item m="1" x="747"/>
        <item m="1" x="435"/>
        <item m="1" x="94"/>
        <item m="1" x="708"/>
        <item m="1" x="298"/>
        <item m="1" x="854"/>
        <item m="1" x="262"/>
        <item sd="0" m="1" x="774"/>
        <item m="1" x="439"/>
        <item m="1" x="449"/>
        <item m="1" x="180"/>
        <item m="1" x="552"/>
        <item x="10"/>
        <item sd="0" m="1" x="630"/>
        <item m="1" x="20"/>
        <item m="1" x="781"/>
        <item m="1" x="29"/>
        <item m="1" x="750"/>
        <item m="1" x="407"/>
        <item m="1" x="290"/>
        <item m="1" x="80"/>
        <item sd="0" m="1" x="199"/>
        <item sd="0" m="1" x="321"/>
        <item sd="0" m="1" x="190"/>
        <item m="1" x="606"/>
        <item m="1" x="185"/>
        <item m="1" x="624"/>
        <item sd="0" m="1" x="778"/>
        <item m="1" x="496"/>
        <item m="1" x="67"/>
        <item m="1" x="660"/>
        <item m="1" x="483"/>
        <item m="1" x="263"/>
        <item m="1" x="341"/>
        <item m="1" x="450"/>
        <item m="1" x="366"/>
        <item sd="0" m="1" x="581"/>
        <item m="1" x="577"/>
        <item sd="0" m="1" x="744"/>
        <item m="1" x="766"/>
        <item m="1" x="134"/>
        <item m="1" x="404"/>
        <item sd="0" m="1" x="102"/>
        <item m="1" x="396"/>
        <item m="1" x="822"/>
        <item m="1" x="410"/>
        <item m="1" x="272"/>
        <item m="1" x="391"/>
        <item m="1" x="351"/>
        <item m="1" x="857"/>
        <item sd="0" m="1" x="658"/>
        <item m="1" x="861"/>
        <item sd="0" m="1" x="837"/>
        <item m="1" x="120"/>
        <item m="1" x="415"/>
        <item m="1" x="128"/>
        <item sd="0" m="1" x="663"/>
        <item m="1" x="667"/>
        <item m="1" x="805"/>
        <item sd="0" m="1" x="707"/>
        <item m="1" x="468"/>
        <item m="1" x="395"/>
        <item m="1" x="461"/>
        <item m="1" x="173"/>
        <item m="1" x="291"/>
        <item sd="0" m="1" x="217"/>
        <item m="1" x="507"/>
        <item m="1" x="303"/>
        <item m="1" x="537"/>
        <item m="1" x="271"/>
        <item m="1" x="646"/>
        <item m="1" x="420"/>
        <item m="1" x="848"/>
        <item m="1" x="470"/>
        <item sd="0" m="1" x="491"/>
        <item m="1" x="761"/>
        <item sd="0" m="1" x="649"/>
        <item m="1" x="68"/>
        <item m="1" x="803"/>
        <item m="1" x="727"/>
        <item m="1" x="431"/>
        <item m="1" x="745"/>
        <item m="1" x="821"/>
        <item m="1" x="571"/>
        <item m="1" x="568"/>
        <item m="1" x="442"/>
        <item m="1" x="724"/>
        <item m="1" x="517"/>
        <item m="1" x="186"/>
        <item m="1" x="637"/>
        <item m="1" x="389"/>
        <item m="1" x="816"/>
        <item m="1" x="74"/>
        <item m="1" x="641"/>
        <item m="1" x="541"/>
        <item m="1" x="309"/>
        <item m="1" x="318"/>
        <item m="1" x="187"/>
        <item m="1" x="115"/>
        <item sd="0" m="1" x="85"/>
        <item m="1" x="808"/>
        <item m="1" x="588"/>
        <item sd="0" m="1" x="809"/>
        <item m="1" x="46"/>
        <item m="1" x="684"/>
        <item m="1" x="301"/>
        <item m="1" x="639"/>
        <item m="1" x="279"/>
        <item m="1" x="129"/>
        <item m="1" x="347"/>
        <item m="1" x="233"/>
        <item m="1" x="521"/>
        <item m="1" x="131"/>
        <item sd="0" m="1" x="547"/>
        <item m="1" x="97"/>
        <item m="1" x="612"/>
        <item sd="0" m="1" x="463"/>
        <item m="1" x="363"/>
        <item m="1" x="92"/>
        <item m="1" x="592"/>
        <item m="1" x="33"/>
        <item m="1" x="174"/>
        <item m="1" x="784"/>
        <item m="1" x="589"/>
        <item m="1" x="528"/>
        <item m="1" x="807"/>
        <item m="1" x="178"/>
        <item sd="0" m="1" x="834"/>
        <item m="1" x="124"/>
        <item m="1" x="436"/>
        <item m="1" x="440"/>
        <item sd="0" m="1" x="25"/>
        <item m="1" x="57"/>
        <item m="1" x="31"/>
        <item m="1" x="632"/>
        <item m="1" x="566"/>
        <item m="1" x="636"/>
        <item m="1" x="359"/>
        <item m="1" x="446"/>
        <item m="1" x="224"/>
        <item m="1" x="452"/>
        <item sd="0" m="1" x="116"/>
        <item sd="0" m="1" x="209"/>
        <item m="1" x="839"/>
        <item m="1" x="775"/>
        <item m="1" x="520"/>
        <item m="1" x="829"/>
        <item m="1" x="355"/>
        <item m="1" x="237"/>
        <item m="1" x="344"/>
        <item m="1" x="79"/>
        <item m="1" x="645"/>
        <item m="1" x="471"/>
        <item m="1" x="800"/>
        <item sd="0" m="1" x="715"/>
        <item m="1" x="248"/>
        <item m="1" x="607"/>
        <item m="1" x="58"/>
        <item m="1" x="211"/>
        <item sd="0" m="1" x="851"/>
        <item sd="0" m="1" x="137"/>
        <item m="1" x="281"/>
        <item m="1" x="306"/>
        <item m="1" x="368"/>
        <item m="1" x="725"/>
        <item m="1" x="112"/>
        <item m="1" x="473"/>
        <item m="1" x="590"/>
        <item m="1" x="367"/>
        <item m="1" x="117"/>
        <item sd="0" m="1" x="549"/>
        <item m="1" x="222"/>
        <item m="1" x="682"/>
        <item m="1" x="499"/>
        <item m="1" x="651"/>
        <item m="1" x="616"/>
        <item m="1" x="542"/>
        <item sd="0" m="1" x="573"/>
        <item m="1" x="749"/>
        <item m="1" x="527"/>
        <item sd="0" m="1" x="400"/>
        <item m="1" x="555"/>
        <item m="1" x="226"/>
        <item m="1" x="429"/>
        <item m="1" x="433"/>
        <item x="7"/>
        <item m="1" x="55"/>
        <item m="1" x="815"/>
        <item sd="0" m="1" x="500"/>
        <item m="1" x="456"/>
        <item m="1" x="413"/>
        <item sd="0" m="1" x="618"/>
        <item m="1" x="167"/>
        <item m="1" x="30"/>
        <item m="1" x="246"/>
        <item m="1" x="255"/>
        <item m="1" x="21"/>
        <item m="1" x="402"/>
        <item m="1" x="384"/>
        <item m="1" x="625"/>
        <item m="1" x="72"/>
        <item m="1" x="718"/>
        <item m="1" x="37"/>
        <item m="1" x="50"/>
        <item m="1" x="24"/>
        <item m="1" x="432"/>
        <item sd="0" m="1" x="694"/>
        <item m="1" x="299"/>
        <item m="1" x="330"/>
        <item m="1" x="394"/>
        <item m="1" x="328"/>
        <item m="1" x="782"/>
        <item m="1" x="157"/>
        <item m="1" x="677"/>
        <item sd="0" m="1" x="847"/>
        <item sd="0" m="1" x="52"/>
        <item m="1" x="397"/>
        <item m="1" x="599"/>
        <item m="1" x="758"/>
        <item sd="0" m="1" x="283"/>
        <item m="1" x="32"/>
        <item m="1" x="648"/>
        <item m="1" x="403"/>
        <item m="1" x="493"/>
        <item m="1" x="358"/>
        <item m="1" x="748"/>
        <item m="1" x="259"/>
        <item m="1" x="275"/>
        <item sd="0" m="1" x="288"/>
        <item sd="0" m="1" x="830"/>
        <item m="1" x="22"/>
        <item m="1" x="364"/>
        <item m="1" x="587"/>
        <item m="1" x="15"/>
        <item m="1" x="329"/>
        <item sd="0" m="1" x="710"/>
        <item m="1" x="345"/>
        <item m="1" x="635"/>
        <item m="1" x="551"/>
        <item sd="0" m="1" x="383"/>
        <item sd="0" m="1" x="349"/>
        <item sd="0" m="1" x="188"/>
        <item m="1" x="434"/>
        <item m="1" x="713"/>
        <item m="1" x="709"/>
        <item m="1" x="393"/>
        <item m="1" x="362"/>
        <item m="1" x="164"/>
        <item m="1" x="770"/>
        <item sd="0" m="1" x="702"/>
        <item sd="0" m="1" x="35"/>
        <item m="1" x="738"/>
        <item x="12"/>
        <item m="1" x="650"/>
        <item m="1" x="342"/>
        <item m="1" x="382"/>
        <item m="1" x="823"/>
        <item m="1" x="787"/>
        <item m="1" x="158"/>
        <item m="1" x="510"/>
        <item m="1" x="480"/>
        <item sd="0" m="1" x="154"/>
        <item sd="0" m="1" x="767"/>
        <item m="1" x="162"/>
        <item m="1" x="238"/>
        <item m="1" x="731"/>
        <item m="1" x="565"/>
        <item m="1" x="130"/>
        <item m="1" x="390"/>
        <item m="1" x="729"/>
        <item m="1" x="141"/>
        <item m="1" x="47"/>
        <item m="1" x="316"/>
        <item m="1" x="558"/>
        <item m="1" x="75"/>
        <item m="1" x="465"/>
        <item m="1" x="785"/>
        <item m="1" x="498"/>
        <item m="1" x="751"/>
        <item sd="0" m="1" x="467"/>
        <item m="1" x="531"/>
        <item m="1" x="175"/>
        <item sd="0" m="1" x="418"/>
        <item m="1" x="752"/>
        <item m="1" x="207"/>
        <item m="1" x="757"/>
        <item m="1" x="398"/>
        <item sd="0" m="1" x="151"/>
        <item m="1" x="669"/>
        <item m="1" x="443"/>
        <item m="1" x="675"/>
        <item m="1" x="506"/>
        <item sd="0" m="1" x="696"/>
        <item sd="0" m="1" x="340"/>
        <item m="1" x="779"/>
        <item sd="0" m="1" x="814"/>
        <item m="1" x="105"/>
        <item m="1" x="582"/>
        <item m="1" x="171"/>
        <item sd="0" m="1" x="570"/>
        <item m="1" x="60"/>
        <item m="1" x="734"/>
        <item m="1" x="759"/>
        <item m="1" x="754"/>
        <item m="1" x="855"/>
        <item sd="0" m="1" x="138"/>
        <item m="1" x="478"/>
        <item m="1" x="712"/>
        <item m="1" x="441"/>
        <item m="1" x="377"/>
        <item m="1" x="114"/>
        <item m="1" x="494"/>
        <item m="1" x="617"/>
        <item sd="0" m="1" x="726"/>
        <item sd="0" m="1" x="69"/>
        <item m="1" x="312"/>
        <item m="1" x="693"/>
        <item x="1"/>
        <item m="1" x="149"/>
        <item m="1" x="343"/>
        <item m="1" x="546"/>
        <item sd="0" m="1" x="251"/>
        <item m="1" x="567"/>
        <item m="1" x="556"/>
        <item m="1" x="858"/>
        <item m="1" x="17"/>
        <item m="1" x="286"/>
        <item sd="0" m="1" x="89"/>
        <item m="1" x="144"/>
        <item m="1" x="665"/>
        <item sd="0" m="1" x="732"/>
        <item m="1" x="652"/>
        <item m="1" x="245"/>
        <item m="1" x="387"/>
        <item m="1" x="746"/>
        <item sd="0" m="1" x="146"/>
        <item m="1" x="100"/>
        <item m="1" x="223"/>
        <item m="1" x="692"/>
        <item m="1" x="289"/>
        <item m="1" x="485"/>
        <item m="1" x="810"/>
        <item m="1" x="56"/>
        <item m="1" x="230"/>
        <item m="1" x="835"/>
        <item m="1" x="84"/>
        <item m="1" x="132"/>
        <item m="1" x="656"/>
        <item m="1" x="425"/>
        <item m="1" x="862"/>
        <item m="1" x="445"/>
        <item m="1" x="579"/>
        <item m="1" x="501"/>
        <item m="1" x="195"/>
        <item sd="0" m="1" x="388"/>
        <item m="1" x="256"/>
        <item m="1" x="352"/>
        <item m="1" x="538"/>
        <item m="1" x="437"/>
        <item m="1" x="798"/>
        <item m="1" x="315"/>
        <item m="1" x="323"/>
        <item m="1" x="381"/>
        <item m="1" x="504"/>
        <item m="1" x="673"/>
        <item m="1" x="201"/>
        <item m="1" x="670"/>
        <item m="1" x="235"/>
        <item m="1" x="462"/>
        <item m="1" x="161"/>
        <item m="1" x="376"/>
        <item m="1" x="277"/>
        <item m="1" x="305"/>
        <item m="1" x="550"/>
        <item m="1" x="613"/>
        <item m="1" x="45"/>
        <item m="1" x="282"/>
        <item m="1" x="762"/>
        <item m="1" x="385"/>
        <item m="1" x="260"/>
        <item m="1" x="412"/>
        <item sd="0" m="1" x="495"/>
        <item m="1" x="353"/>
        <item m="1" x="622"/>
        <item m="1" x="683"/>
        <item m="1" x="846"/>
        <item m="1" x="65"/>
        <item m="1" x="615"/>
        <item m="1" x="98"/>
        <item m="1" x="339"/>
        <item m="1" x="48"/>
        <item m="1" x="508"/>
        <item sd="0" m="1" x="518"/>
        <item m="1" x="460"/>
        <item m="1" x="179"/>
        <item m="1" x="147"/>
        <item m="1" x="266"/>
        <item m="1" x="314"/>
        <item m="1" x="827"/>
        <item m="1" x="182"/>
        <item m="1" x="719"/>
        <item m="1" x="184"/>
        <item m="1" x="596"/>
        <item m="1" x="241"/>
        <item m="1" x="405"/>
        <item m="1" x="668"/>
        <item m="1" x="324"/>
        <item m="1" x="88"/>
        <item sd="0" m="1" x="680"/>
        <item m="1" x="108"/>
        <item m="1" x="453"/>
        <item sd="0" m="1" x="365"/>
        <item m="1" x="794"/>
        <item m="1" x="511"/>
        <item m="1" x="76"/>
        <item m="1" x="469"/>
        <item m="1" x="96"/>
        <item m="1" x="338"/>
        <item sd="0" m="1" x="181"/>
        <item m="1" x="346"/>
        <item m="1" x="574"/>
        <item m="1" x="516"/>
        <item m="1" x="242"/>
        <item m="1" x="295"/>
        <item m="1" x="107"/>
        <item m="1" x="421"/>
        <item x="5"/>
        <item m="1" x="720"/>
        <item m="1" x="545"/>
        <item m="1" x="655"/>
        <item m="1" x="619"/>
        <item m="1" x="842"/>
        <item m="1" x="797"/>
        <item m="1" x="42"/>
        <item m="1" x="792"/>
        <item m="1" x="267"/>
        <item m="1" x="488"/>
        <item m="1" x="820"/>
        <item m="1" x="477"/>
        <item m="1" x="756"/>
        <item m="1" x="659"/>
        <item m="1" x="786"/>
        <item sd="0" m="1" x="86"/>
        <item m="1" x="723"/>
        <item m="1" x="583"/>
        <item m="1" x="197"/>
        <item m="1" x="728"/>
        <item m="1" x="125"/>
        <item m="1" x="268"/>
        <item m="1" x="523"/>
        <item m="1" x="109"/>
        <item m="1" x="533"/>
        <item m="1" x="799"/>
        <item m="1" x="34"/>
        <item m="1" x="548"/>
        <item m="1" x="647"/>
        <item m="1" x="585"/>
        <item sd="0" m="1" x="210"/>
        <item m="1" x="584"/>
        <item m="1" x="379"/>
        <item m="1" x="831"/>
        <item m="1" x="350"/>
        <item m="1" x="534"/>
        <item m="1" x="261"/>
        <item sd="0" m="1" x="26"/>
        <item m="1" x="156"/>
        <item m="1" x="662"/>
        <item m="1" x="614"/>
        <item m="1" x="454"/>
        <item m="1" x="36"/>
        <item m="1" x="604"/>
        <item m="1" x="448"/>
        <item m="1" x="82"/>
        <item m="1" x="666"/>
        <item m="1" x="688"/>
        <item m="1" x="575"/>
        <item m="1" x="526"/>
        <item m="1" x="608"/>
        <item m="1" x="331"/>
        <item m="1" x="791"/>
        <item m="1" x="497"/>
        <item m="1" x="327"/>
        <item m="1" x="361"/>
        <item m="1" x="296"/>
        <item m="1" x="336"/>
        <item m="1" x="852"/>
        <item m="1" x="372"/>
        <item sd="0" m="1" x="401"/>
        <item m="1" x="87"/>
        <item m="1" x="91"/>
        <item m="1" x="539"/>
        <item m="1" x="576"/>
        <item m="1" x="698"/>
        <item m="1" x="294"/>
        <item m="1" x="535"/>
        <item m="1" x="536"/>
        <item m="1" x="51"/>
        <item m="1" x="602"/>
        <item m="1" x="812"/>
        <item m="1" x="593"/>
        <item m="1" x="760"/>
        <item m="1" x="733"/>
        <item m="1" x="543"/>
        <item sd="0" m="1" x="61"/>
        <item m="1" x="564"/>
        <item m="1" x="122"/>
        <item m="1" x="249"/>
        <item sd="0" m="1" x="373"/>
        <item m="1" x="274"/>
        <item m="1" x="378"/>
        <item m="1" x="513"/>
        <item sd="0" m="1" x="160"/>
        <item m="1" x="183"/>
        <item m="1" x="594"/>
        <item m="1" x="813"/>
        <item sd="0" m="1" x="801"/>
        <item m="1" x="214"/>
        <item m="1" x="165"/>
        <item m="1" x="250"/>
        <item m="1" x="515"/>
        <item m="1" x="796"/>
        <item m="1" x="273"/>
        <item sd="0" m="1" x="763"/>
        <item m="1" x="142"/>
        <item m="1" x="225"/>
        <item m="1" x="841"/>
        <item m="1" x="595"/>
        <item m="1" x="806"/>
        <item m="1" x="737"/>
        <item m="1" x="426"/>
        <item m="1" x="39"/>
        <item m="1" x="356"/>
        <item m="1" x="503"/>
        <item m="1" x="522"/>
        <item m="1" x="780"/>
        <item m="1" x="730"/>
        <item m="1" x="771"/>
        <item m="1" x="530"/>
        <item m="1" x="653"/>
        <item m="1" x="302"/>
        <item m="1" x="193"/>
        <item m="1" x="348"/>
        <item m="1" x="825"/>
        <item sd="0" m="1" x="620"/>
        <item m="1" x="597"/>
        <item sd="0" m="1" x="270"/>
        <item m="1" x="560"/>
        <item m="1" x="118"/>
        <item m="1" x="101"/>
        <item m="1" x="765"/>
        <item m="1" x="169"/>
        <item m="1" x="247"/>
        <item m="1" x="252"/>
        <item m="1" x="479"/>
        <item m="1" x="629"/>
        <item m="1" x="742"/>
        <item m="1" x="484"/>
        <item m="1" x="561"/>
        <item m="1" x="278"/>
        <item m="1" x="264"/>
        <item m="1" x="642"/>
        <item m="1" x="711"/>
        <item m="1" x="371"/>
        <item x="0"/>
        <item m="1" x="239"/>
        <item m="1" x="793"/>
        <item m="1" x="735"/>
        <item m="1" x="849"/>
        <item m="1" x="457"/>
        <item m="1" x="206"/>
        <item m="1" x="320"/>
        <item m="1" x="354"/>
        <item sd="0" m="1" x="110"/>
        <item m="1" x="706"/>
        <item m="1" x="319"/>
        <item sd="0" m="1" x="369"/>
        <item m="1" x="416"/>
        <item m="1" x="627"/>
        <item m="1" x="623"/>
        <item m="1" x="788"/>
        <item m="1" x="408"/>
        <item m="1" x="414"/>
        <item m="1" x="716"/>
        <item m="1" x="417"/>
        <item m="1" x="838"/>
        <item x="6"/>
        <item m="1" x="409"/>
        <item m="1" x="681"/>
        <item m="1" x="198"/>
        <item sd="0" m="1" x="423"/>
        <item m="1" x="487"/>
        <item m="1" x="845"/>
        <item m="1" x="139"/>
        <item sd="0" m="1" x="166"/>
        <item m="1" x="603"/>
        <item m="1" x="789"/>
        <item m="1" x="621"/>
        <item m="1" x="569"/>
        <item m="1" x="322"/>
        <item m="1" x="664"/>
        <item m="1" x="736"/>
        <item sd="0" m="1" x="419"/>
        <item m="1" x="755"/>
        <item m="1" x="93"/>
        <item m="1" x="66"/>
        <item m="1" x="859"/>
        <item m="1" x="43"/>
        <item sd="0" m="1" x="580"/>
        <item m="1" x="524"/>
        <item m="1" x="427"/>
        <item m="1" x="714"/>
        <item m="1" x="218"/>
        <item sd="0" m="1" x="654"/>
        <item m="1" x="790"/>
        <item sd="0" m="1" x="481"/>
        <item sd="0" m="1" x="54"/>
        <item m="1" x="705"/>
        <item m="1" x="674"/>
        <item sd="0" m="1" x="817"/>
        <item m="1" x="234"/>
        <item m="1" x="824"/>
        <item m="1" x="634"/>
        <item m="1" x="472"/>
        <item m="1" x="703"/>
        <item sd="0" m="1" x="148"/>
        <item m="1" x="424"/>
        <item m="1" x="704"/>
        <item m="1" x="455"/>
        <item m="1" x="375"/>
        <item sd="0" m="1" x="717"/>
        <item m="1" x="317"/>
        <item m="1" x="202"/>
        <item m="1" x="691"/>
        <item sd="0" m="1" x="297"/>
        <item m="1" x="232"/>
        <item m="1" x="333"/>
        <item m="1" x="269"/>
        <item m="1" x="16"/>
        <item sd="0" m="1" x="205"/>
        <item m="1" x="740"/>
        <item m="1" x="399"/>
        <item m="1" x="586"/>
        <item m="1" x="374"/>
        <item m="1" x="464"/>
        <item m="1" x="525"/>
        <item m="1" x="136"/>
        <item m="1" x="657"/>
        <item m="1" x="63"/>
        <item m="1" x="430"/>
        <item m="1" x="159"/>
        <item sd="0" m="1" x="739"/>
        <item m="1" x="177"/>
        <item m="1" x="360"/>
        <item m="1" x="133"/>
        <item m="1" x="304"/>
        <item sd="0" m="1" x="213"/>
        <item m="1" x="219"/>
        <item m="1" x="103"/>
        <item sd="0" m="1" x="41"/>
        <item m="1" x="292"/>
        <item m="1" x="519"/>
        <item sd="0" m="1" x="512"/>
        <item m="1" x="83"/>
        <item m="1" x="690"/>
        <item m="1" x="95"/>
        <item m="1" x="644"/>
        <item m="1" x="81"/>
        <item m="1" x="661"/>
        <item m="1" x="502"/>
        <item m="1" x="764"/>
        <item m="1" x="176"/>
        <item m="1" x="204"/>
        <item m="1" x="689"/>
        <item m="1" x="313"/>
        <item m="1" x="598"/>
        <item sd="0" m="1" x="192"/>
        <item m="1" x="633"/>
        <item sd="0" m="1" x="78"/>
        <item m="1" x="438"/>
        <item sd="0" m="1" x="40"/>
        <item sd="0" m="1" x="776"/>
        <item m="1" x="428"/>
        <item sd="0" m="1" x="562"/>
        <item m="1" x="111"/>
        <item m="1" x="99"/>
        <item sd="0" m="1" x="307"/>
        <item m="1" x="208"/>
        <item sd="0" m="1" x="509"/>
        <item m="1" x="276"/>
        <item m="1" x="44"/>
        <item m="1" x="119"/>
        <item m="1" x="544"/>
        <item sd="0" m="1" x="311"/>
        <item sd="0" m="1" x="411"/>
        <item sd="0" m="1" x="243"/>
        <item sd="0" m="1" x="23"/>
        <item m="1" x="486"/>
        <item sd="0" m="1" x="832"/>
        <item m="1" x="49"/>
        <item m="1" x="325"/>
        <item m="1" x="833"/>
        <item m="1" x="572"/>
        <item m="1" x="77"/>
        <item m="1" x="578"/>
        <item m="1" x="444"/>
        <item m="1" x="189"/>
        <item m="1" x="380"/>
        <item m="1" x="769"/>
        <item m="1" x="610"/>
        <item m="1" x="28"/>
        <item m="1" x="106"/>
        <item m="1" x="451"/>
        <item m="1" x="447"/>
        <item m="1" x="135"/>
        <item m="1" x="640"/>
        <item m="1" x="215"/>
        <item m="1" x="170"/>
        <item m="1" x="70"/>
        <item m="1" x="557"/>
        <item sd="0" m="1" x="628"/>
        <item m="1" x="113"/>
        <item m="1" x="777"/>
        <item m="1" x="140"/>
        <item m="1" x="231"/>
        <item m="1" x="819"/>
        <item m="1" x="293"/>
        <item m="1" x="121"/>
        <item m="1" x="212"/>
        <item m="1" x="227"/>
        <item m="1" x="194"/>
        <item x="2"/>
        <item x="4"/>
        <item m="1" x="609"/>
        <item m="1" x="203"/>
        <item m="1" x="240"/>
        <item m="1" x="850"/>
        <item m="1" x="844"/>
        <item m="1" x="505"/>
        <item m="1" x="695"/>
        <item m="1" x="257"/>
        <item m="1" x="71"/>
        <item m="1" x="143"/>
        <item m="1" x="19"/>
        <item m="1" x="64"/>
        <item m="1" x="104"/>
        <item sd="0" m="1" x="216"/>
        <item m="1" x="53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5"/>
        <item m="1" x="15"/>
        <item m="1" x="17"/>
        <item m="1" x="26"/>
        <item m="1" x="22"/>
        <item x="7"/>
        <item m="1" x="12"/>
        <item m="1" x="8"/>
        <item m="1" x="14"/>
        <item x="6"/>
        <item m="1" x="9"/>
        <item m="1" x="11"/>
        <item m="1" x="19"/>
        <item m="1" x="18"/>
        <item m="1" x="25"/>
        <item m="1" x="23"/>
        <item m="1" x="24"/>
        <item m="1" x="10"/>
        <item m="1" x="16"/>
        <item x="3"/>
        <item m="1" x="13"/>
        <item m="1" x="20"/>
        <item x="4"/>
        <item x="0"/>
        <item m="1" x="21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4">
    <i>
      <x v="21"/>
    </i>
    <i>
      <x v="59"/>
    </i>
    <i>
      <x v="95"/>
    </i>
    <i>
      <x v="108"/>
    </i>
    <i>
      <x v="127"/>
    </i>
    <i>
      <x v="300"/>
    </i>
    <i>
      <x v="367"/>
    </i>
    <i>
      <x v="432"/>
    </i>
    <i>
      <x v="541"/>
    </i>
    <i>
      <x v="678"/>
    </i>
    <i>
      <x v="700"/>
    </i>
    <i>
      <x v="845"/>
    </i>
    <i>
      <x v="846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2"/>
            <x v="122"/>
            <x v="141"/>
            <x v="151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5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8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9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0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12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541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78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00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45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84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1" s="1"/>
        <i x="8" s="1"/>
        <i x="3" s="1"/>
        <i x="9" s="1"/>
        <i x="10" s="1"/>
        <i x="7" s="1"/>
        <i x="12" s="1"/>
        <i x="1" s="1"/>
        <i x="5" s="1"/>
        <i x="0" s="1"/>
        <i x="6" s="1"/>
        <i x="2" s="1"/>
        <i x="4" s="1"/>
        <i x="13" s="1"/>
        <i x="826" s="1" nd="1"/>
        <i x="773" s="1" nd="1"/>
        <i x="804" s="1" nd="1"/>
        <i x="553" s="1" nd="1"/>
        <i x="163" s="1" nd="1"/>
        <i x="200" s="1" nd="1"/>
        <i x="287" s="1" nd="1"/>
        <i x="27" s="1" nd="1"/>
        <i x="772" s="1" nd="1"/>
        <i x="406" s="1" nd="1"/>
        <i x="722" s="1" nd="1"/>
        <i x="310" s="1" nd="1"/>
        <i x="127" s="1" nd="1"/>
        <i x="285" s="1" nd="1"/>
        <i x="600" s="1" nd="1"/>
        <i x="337" s="1" nd="1"/>
        <i x="686" s="1" nd="1"/>
        <i x="514" s="1" nd="1"/>
        <i x="38" s="1" nd="1"/>
        <i x="591" s="1" nd="1"/>
        <i x="860" s="1" nd="1"/>
        <i x="768" s="1" nd="1"/>
        <i x="126" s="1" nd="1"/>
        <i x="554" s="1" nd="1"/>
        <i x="836" s="1" nd="1"/>
        <i x="284" s="1" nd="1"/>
        <i x="492" s="1" nd="1"/>
        <i x="783" s="1" nd="1"/>
        <i x="280" s="1" nd="1"/>
        <i x="18" s="1" nd="1"/>
        <i x="357" s="1" nd="1"/>
        <i x="687" s="1" nd="1"/>
        <i x="811" s="1" nd="1"/>
        <i x="90" s="1" nd="1"/>
        <i x="62" s="1" nd="1"/>
        <i x="679" s="1" nd="1"/>
        <i x="671" s="1" nd="1"/>
        <i x="482" s="1" nd="1"/>
        <i x="59" s="1" nd="1"/>
        <i x="741" s="1" nd="1"/>
        <i x="701" s="1" nd="1"/>
        <i x="229" s="1" nd="1"/>
        <i x="489" s="1" nd="1"/>
        <i x="643" s="1" nd="1"/>
        <i x="459" s="1" nd="1"/>
        <i x="818" s="1" nd="1"/>
        <i x="678" s="1" nd="1"/>
        <i x="228" s="1" nd="1"/>
        <i x="145" s="1" nd="1"/>
        <i x="236" s="1" nd="1"/>
        <i x="172" s="1" nd="1"/>
        <i x="244" s="1" nd="1"/>
        <i x="123" s="1" nd="1"/>
        <i x="631" s="1" nd="1"/>
        <i x="155" s="1" nd="1"/>
        <i x="626" s="1" nd="1"/>
        <i x="334" s="1" nd="1"/>
        <i x="828" s="1" nd="1"/>
        <i x="335" s="1" nd="1"/>
        <i x="474" s="1" nd="1"/>
        <i x="14" s="1" nd="1"/>
        <i x="563" s="1" nd="1"/>
        <i x="490" s="1" nd="1"/>
        <i x="258" s="1" nd="1"/>
        <i x="856" s="1" nd="1"/>
        <i x="840" s="1" nd="1"/>
        <i x="753" s="1" nd="1"/>
        <i x="254" s="1" nd="1"/>
        <i x="253" s="1" nd="1"/>
        <i x="475" s="1" nd="1"/>
        <i x="300" s="1" nd="1"/>
        <i x="559" s="1" nd="1"/>
        <i x="853" s="1" nd="1"/>
        <i x="458" s="1" nd="1"/>
        <i x="540" s="1" nd="1"/>
        <i x="676" s="1" nd="1"/>
        <i x="529" s="1" nd="1"/>
        <i x="802" s="1" nd="1"/>
        <i x="191" s="1" nd="1"/>
        <i x="73" s="1" nd="1"/>
        <i x="370" s="1" nd="1"/>
        <i x="697" s="1" nd="1"/>
        <i x="326" s="1" nd="1"/>
        <i x="150" s="1" nd="1"/>
        <i x="308" s="1" nd="1"/>
        <i x="611" s="1" nd="1"/>
        <i x="220" s="1" nd="1"/>
        <i x="685" s="1" nd="1"/>
        <i x="153" s="1" nd="1"/>
        <i x="700" s="1" nd="1"/>
        <i x="699" s="1" nd="1"/>
        <i x="466" s="1" nd="1"/>
        <i x="422" s="1" nd="1"/>
        <i x="332" s="1" nd="1"/>
        <i x="601" s="1" nd="1"/>
        <i x="605" s="1" nd="1"/>
        <i x="743" s="1" nd="1"/>
        <i x="795" s="1" nd="1"/>
        <i x="196" s="1" nd="1"/>
        <i x="843" s="1" nd="1"/>
        <i x="721" s="1" nd="1"/>
        <i x="392" s="1" nd="1"/>
        <i x="221" s="1" nd="1"/>
        <i x="532" s="1" nd="1"/>
        <i x="476" s="1" nd="1"/>
        <i x="152" s="1" nd="1"/>
        <i x="672" s="1" nd="1"/>
        <i x="386" s="1" nd="1"/>
        <i x="168" s="1" nd="1"/>
        <i x="265" s="1" nd="1"/>
        <i x="638" s="1" nd="1"/>
        <i x="747" s="1" nd="1"/>
        <i x="435" s="1" nd="1"/>
        <i x="94" s="1" nd="1"/>
        <i x="708" s="1" nd="1"/>
        <i x="298" s="1" nd="1"/>
        <i x="854" s="1" nd="1"/>
        <i x="262" s="1" nd="1"/>
        <i x="774" s="1" nd="1"/>
        <i x="439" s="1" nd="1"/>
        <i x="449" s="1" nd="1"/>
        <i x="180" s="1" nd="1"/>
        <i x="552" s="1" nd="1"/>
        <i x="630" s="1" nd="1"/>
        <i x="20" s="1" nd="1"/>
        <i x="781" s="1" nd="1"/>
        <i x="29" s="1" nd="1"/>
        <i x="750" s="1" nd="1"/>
        <i x="407" s="1" nd="1"/>
        <i x="290" s="1" nd="1"/>
        <i x="80" s="1" nd="1"/>
        <i x="199" s="1" nd="1"/>
        <i x="321" s="1" nd="1"/>
        <i x="190" s="1" nd="1"/>
        <i x="606" s="1" nd="1"/>
        <i x="185" s="1" nd="1"/>
        <i x="624" s="1" nd="1"/>
        <i x="778" s="1" nd="1"/>
        <i x="496" s="1" nd="1"/>
        <i x="67" s="1" nd="1"/>
        <i x="660" s="1" nd="1"/>
        <i x="483" s="1" nd="1"/>
        <i x="263" s="1" nd="1"/>
        <i x="341" s="1" nd="1"/>
        <i x="450" s="1" nd="1"/>
        <i x="366" s="1" nd="1"/>
        <i x="581" s="1" nd="1"/>
        <i x="577" s="1" nd="1"/>
        <i x="744" s="1" nd="1"/>
        <i x="766" s="1" nd="1"/>
        <i x="134" s="1" nd="1"/>
        <i x="404" s="1" nd="1"/>
        <i x="102" s="1" nd="1"/>
        <i x="396" s="1" nd="1"/>
        <i x="822" s="1" nd="1"/>
        <i x="410" s="1" nd="1"/>
        <i x="272" s="1" nd="1"/>
        <i x="391" s="1" nd="1"/>
        <i x="351" s="1" nd="1"/>
        <i x="857" s="1" nd="1"/>
        <i x="658" s="1" nd="1"/>
        <i x="861" s="1" nd="1"/>
        <i x="837" s="1" nd="1"/>
        <i x="120" s="1" nd="1"/>
        <i x="415" s="1" nd="1"/>
        <i x="128" s="1" nd="1"/>
        <i x="663" s="1" nd="1"/>
        <i x="667" s="1" nd="1"/>
        <i x="805" s="1" nd="1"/>
        <i x="707" s="1" nd="1"/>
        <i x="468" s="1" nd="1"/>
        <i x="395" s="1" nd="1"/>
        <i x="461" s="1" nd="1"/>
        <i x="173" s="1" nd="1"/>
        <i x="291" s="1" nd="1"/>
        <i x="217" s="1" nd="1"/>
        <i x="507" s="1" nd="1"/>
        <i x="303" s="1" nd="1"/>
        <i x="537" s="1" nd="1"/>
        <i x="271" s="1" nd="1"/>
        <i x="646" s="1" nd="1"/>
        <i x="420" s="1" nd="1"/>
        <i x="848" s="1" nd="1"/>
        <i x="470" s="1" nd="1"/>
        <i x="491" s="1" nd="1"/>
        <i x="761" s="1" nd="1"/>
        <i x="649" s="1" nd="1"/>
        <i x="68" s="1" nd="1"/>
        <i x="803" s="1" nd="1"/>
        <i x="727" s="1" nd="1"/>
        <i x="431" s="1" nd="1"/>
        <i x="745" s="1" nd="1"/>
        <i x="821" s="1" nd="1"/>
        <i x="571" s="1" nd="1"/>
        <i x="568" s="1" nd="1"/>
        <i x="442" s="1" nd="1"/>
        <i x="724" s="1" nd="1"/>
        <i x="517" s="1" nd="1"/>
        <i x="186" s="1" nd="1"/>
        <i x="637" s="1" nd="1"/>
        <i x="389" s="1" nd="1"/>
        <i x="816" s="1" nd="1"/>
        <i x="74" s="1" nd="1"/>
        <i x="641" s="1" nd="1"/>
        <i x="541" s="1" nd="1"/>
        <i x="309" s="1" nd="1"/>
        <i x="318" s="1" nd="1"/>
        <i x="187" s="1" nd="1"/>
        <i x="115" s="1" nd="1"/>
        <i x="85" s="1" nd="1"/>
        <i x="808" s="1" nd="1"/>
        <i x="588" s="1" nd="1"/>
        <i x="809" s="1" nd="1"/>
        <i x="46" s="1" nd="1"/>
        <i x="684" s="1" nd="1"/>
        <i x="301" s="1" nd="1"/>
        <i x="639" s="1" nd="1"/>
        <i x="279" s="1" nd="1"/>
        <i x="129" s="1" nd="1"/>
        <i x="347" s="1" nd="1"/>
        <i x="233" s="1" nd="1"/>
        <i x="521" s="1" nd="1"/>
        <i x="131" s="1" nd="1"/>
        <i x="547" s="1" nd="1"/>
        <i x="97" s="1" nd="1"/>
        <i x="612" s="1" nd="1"/>
        <i x="463" s="1" nd="1"/>
        <i x="363" s="1" nd="1"/>
        <i x="92" s="1" nd="1"/>
        <i x="592" s="1" nd="1"/>
        <i x="33" s="1" nd="1"/>
        <i x="174" s="1" nd="1"/>
        <i x="784" s="1" nd="1"/>
        <i x="589" s="1" nd="1"/>
        <i x="528" s="1" nd="1"/>
        <i x="807" s="1" nd="1"/>
        <i x="178" s="1" nd="1"/>
        <i x="834" s="1" nd="1"/>
        <i x="124" s="1" nd="1"/>
        <i x="436" s="1" nd="1"/>
        <i x="440" s="1" nd="1"/>
        <i x="25" s="1" nd="1"/>
        <i x="57" s="1" nd="1"/>
        <i x="31" s="1" nd="1"/>
        <i x="632" s="1" nd="1"/>
        <i x="566" s="1" nd="1"/>
        <i x="636" s="1" nd="1"/>
        <i x="359" s="1" nd="1"/>
        <i x="446" s="1" nd="1"/>
        <i x="224" s="1" nd="1"/>
        <i x="452" s="1" nd="1"/>
        <i x="116" s="1" nd="1"/>
        <i x="209" s="1" nd="1"/>
        <i x="839" s="1" nd="1"/>
        <i x="775" s="1" nd="1"/>
        <i x="520" s="1" nd="1"/>
        <i x="829" s="1" nd="1"/>
        <i x="355" s="1" nd="1"/>
        <i x="237" s="1" nd="1"/>
        <i x="344" s="1" nd="1"/>
        <i x="79" s="1" nd="1"/>
        <i x="645" s="1" nd="1"/>
        <i x="471" s="1" nd="1"/>
        <i x="800" s="1" nd="1"/>
        <i x="715" s="1" nd="1"/>
        <i x="248" s="1" nd="1"/>
        <i x="607" s="1" nd="1"/>
        <i x="58" s="1" nd="1"/>
        <i x="211" s="1" nd="1"/>
        <i x="851" s="1" nd="1"/>
        <i x="137" s="1" nd="1"/>
        <i x="281" s="1" nd="1"/>
        <i x="306" s="1" nd="1"/>
        <i x="368" s="1" nd="1"/>
        <i x="725" s="1" nd="1"/>
        <i x="112" s="1" nd="1"/>
        <i x="473" s="1" nd="1"/>
        <i x="590" s="1" nd="1"/>
        <i x="367" s="1" nd="1"/>
        <i x="117" s="1" nd="1"/>
        <i x="549" s="1" nd="1"/>
        <i x="222" s="1" nd="1"/>
        <i x="682" s="1" nd="1"/>
        <i x="499" s="1" nd="1"/>
        <i x="651" s="1" nd="1"/>
        <i x="616" s="1" nd="1"/>
        <i x="542" s="1" nd="1"/>
        <i x="573" s="1" nd="1"/>
        <i x="749" s="1" nd="1"/>
        <i x="527" s="1" nd="1"/>
        <i x="400" s="1" nd="1"/>
        <i x="555" s="1" nd="1"/>
        <i x="226" s="1" nd="1"/>
        <i x="429" s="1" nd="1"/>
        <i x="433" s="1" nd="1"/>
        <i x="55" s="1" nd="1"/>
        <i x="815" s="1" nd="1"/>
        <i x="500" s="1" nd="1"/>
        <i x="456" s="1" nd="1"/>
        <i x="413" s="1" nd="1"/>
        <i x="618" s="1" nd="1"/>
        <i x="167" s="1" nd="1"/>
        <i x="30" s="1" nd="1"/>
        <i x="246" s="1" nd="1"/>
        <i x="255" s="1" nd="1"/>
        <i x="21" s="1" nd="1"/>
        <i x="402" s="1" nd="1"/>
        <i x="384" s="1" nd="1"/>
        <i x="625" s="1" nd="1"/>
        <i x="72" s="1" nd="1"/>
        <i x="718" s="1" nd="1"/>
        <i x="37" s="1" nd="1"/>
        <i x="50" s="1" nd="1"/>
        <i x="24" s="1" nd="1"/>
        <i x="432" s="1" nd="1"/>
        <i x="694" s="1" nd="1"/>
        <i x="299" s="1" nd="1"/>
        <i x="330" s="1" nd="1"/>
        <i x="394" s="1" nd="1"/>
        <i x="328" s="1" nd="1"/>
        <i x="782" s="1" nd="1"/>
        <i x="157" s="1" nd="1"/>
        <i x="677" s="1" nd="1"/>
        <i x="847" s="1" nd="1"/>
        <i x="52" s="1" nd="1"/>
        <i x="397" s="1" nd="1"/>
        <i x="599" s="1" nd="1"/>
        <i x="758" s="1" nd="1"/>
        <i x="283" s="1" nd="1"/>
        <i x="32" s="1" nd="1"/>
        <i x="648" s="1" nd="1"/>
        <i x="403" s="1" nd="1"/>
        <i x="493" s="1" nd="1"/>
        <i x="358" s="1" nd="1"/>
        <i x="748" s="1" nd="1"/>
        <i x="259" s="1" nd="1"/>
        <i x="275" s="1" nd="1"/>
        <i x="288" s="1" nd="1"/>
        <i x="830" s="1" nd="1"/>
        <i x="22" s="1" nd="1"/>
        <i x="364" s="1" nd="1"/>
        <i x="587" s="1" nd="1"/>
        <i x="15" s="1" nd="1"/>
        <i x="329" s="1" nd="1"/>
        <i x="710" s="1" nd="1"/>
        <i x="345" s="1" nd="1"/>
        <i x="635" s="1" nd="1"/>
        <i x="551" s="1" nd="1"/>
        <i x="383" s="1" nd="1"/>
        <i x="349" s="1" nd="1"/>
        <i x="188" s="1" nd="1"/>
        <i x="434" s="1" nd="1"/>
        <i x="713" s="1" nd="1"/>
        <i x="709" s="1" nd="1"/>
        <i x="393" s="1" nd="1"/>
        <i x="362" s="1" nd="1"/>
        <i x="164" s="1" nd="1"/>
        <i x="770" s="1" nd="1"/>
        <i x="702" s="1" nd="1"/>
        <i x="35" s="1" nd="1"/>
        <i x="738" s="1" nd="1"/>
        <i x="650" s="1" nd="1"/>
        <i x="342" s="1" nd="1"/>
        <i x="382" s="1" nd="1"/>
        <i x="823" s="1" nd="1"/>
        <i x="787" s="1" nd="1"/>
        <i x="158" s="1" nd="1"/>
        <i x="510" s="1" nd="1"/>
        <i x="480" s="1" nd="1"/>
        <i x="154" s="1" nd="1"/>
        <i x="767" s="1" nd="1"/>
        <i x="162" s="1" nd="1"/>
        <i x="238" s="1" nd="1"/>
        <i x="731" s="1" nd="1"/>
        <i x="565" s="1" nd="1"/>
        <i x="130" s="1" nd="1"/>
        <i x="390" s="1" nd="1"/>
        <i x="729" s="1" nd="1"/>
        <i x="141" s="1" nd="1"/>
        <i x="47" s="1" nd="1"/>
        <i x="316" s="1" nd="1"/>
        <i x="558" s="1" nd="1"/>
        <i x="75" s="1" nd="1"/>
        <i x="465" s="1" nd="1"/>
        <i x="785" s="1" nd="1"/>
        <i x="498" s="1" nd="1"/>
        <i x="751" s="1" nd="1"/>
        <i x="467" s="1" nd="1"/>
        <i x="531" s="1" nd="1"/>
        <i x="175" s="1" nd="1"/>
        <i x="418" s="1" nd="1"/>
        <i x="752" s="1" nd="1"/>
        <i x="207" s="1" nd="1"/>
        <i x="757" s="1" nd="1"/>
        <i x="398" s="1" nd="1"/>
        <i x="151" s="1" nd="1"/>
        <i x="669" s="1" nd="1"/>
        <i x="443" s="1" nd="1"/>
        <i x="675" s="1" nd="1"/>
        <i x="506" s="1" nd="1"/>
        <i x="696" s="1" nd="1"/>
        <i x="340" s="1" nd="1"/>
        <i x="779" s="1" nd="1"/>
        <i x="814" s="1" nd="1"/>
        <i x="105" s="1" nd="1"/>
        <i x="582" s="1" nd="1"/>
        <i x="171" s="1" nd="1"/>
        <i x="570" s="1" nd="1"/>
        <i x="60" s="1" nd="1"/>
        <i x="734" s="1" nd="1"/>
        <i x="759" s="1" nd="1"/>
        <i x="754" s="1" nd="1"/>
        <i x="855" s="1" nd="1"/>
        <i x="138" s="1" nd="1"/>
        <i x="478" s="1" nd="1"/>
        <i x="712" s="1" nd="1"/>
        <i x="441" s="1" nd="1"/>
        <i x="377" s="1" nd="1"/>
        <i x="114" s="1" nd="1"/>
        <i x="494" s="1" nd="1"/>
        <i x="617" s="1" nd="1"/>
        <i x="726" s="1" nd="1"/>
        <i x="69" s="1" nd="1"/>
        <i x="312" s="1" nd="1"/>
        <i x="693" s="1" nd="1"/>
        <i x="149" s="1" nd="1"/>
        <i x="343" s="1" nd="1"/>
        <i x="546" s="1" nd="1"/>
        <i x="251" s="1" nd="1"/>
        <i x="567" s="1" nd="1"/>
        <i x="556" s="1" nd="1"/>
        <i x="858" s="1" nd="1"/>
        <i x="17" s="1" nd="1"/>
        <i x="286" s="1" nd="1"/>
        <i x="89" s="1" nd="1"/>
        <i x="144" s="1" nd="1"/>
        <i x="665" s="1" nd="1"/>
        <i x="732" s="1" nd="1"/>
        <i x="652" s="1" nd="1"/>
        <i x="245" s="1" nd="1"/>
        <i x="387" s="1" nd="1"/>
        <i x="746" s="1" nd="1"/>
        <i x="146" s="1" nd="1"/>
        <i x="100" s="1" nd="1"/>
        <i x="223" s="1" nd="1"/>
        <i x="692" s="1" nd="1"/>
        <i x="289" s="1" nd="1"/>
        <i x="485" s="1" nd="1"/>
        <i x="810" s="1" nd="1"/>
        <i x="56" s="1" nd="1"/>
        <i x="230" s="1" nd="1"/>
        <i x="835" s="1" nd="1"/>
        <i x="84" s="1" nd="1"/>
        <i x="132" s="1" nd="1"/>
        <i x="656" s="1" nd="1"/>
        <i x="425" s="1" nd="1"/>
        <i x="862" s="1" nd="1"/>
        <i x="445" s="1" nd="1"/>
        <i x="579" s="1" nd="1"/>
        <i x="501" s="1" nd="1"/>
        <i x="195" s="1" nd="1"/>
        <i x="388" s="1" nd="1"/>
        <i x="256" s="1" nd="1"/>
        <i x="352" s="1" nd="1"/>
        <i x="538" s="1" nd="1"/>
        <i x="437" s="1" nd="1"/>
        <i x="798" s="1" nd="1"/>
        <i x="315" s="1" nd="1"/>
        <i x="323" s="1" nd="1"/>
        <i x="381" s="1" nd="1"/>
        <i x="504" s="1" nd="1"/>
        <i x="673" s="1" nd="1"/>
        <i x="201" s="1" nd="1"/>
        <i x="670" s="1" nd="1"/>
        <i x="235" s="1" nd="1"/>
        <i x="462" s="1" nd="1"/>
        <i x="161" s="1" nd="1"/>
        <i x="376" s="1" nd="1"/>
        <i x="277" s="1" nd="1"/>
        <i x="305" s="1" nd="1"/>
        <i x="550" s="1" nd="1"/>
        <i x="613" s="1" nd="1"/>
        <i x="45" s="1" nd="1"/>
        <i x="282" s="1" nd="1"/>
        <i x="762" s="1" nd="1"/>
        <i x="385" s="1" nd="1"/>
        <i x="260" s="1" nd="1"/>
        <i x="412" s="1" nd="1"/>
        <i x="495" s="1" nd="1"/>
        <i x="353" s="1" nd="1"/>
        <i x="622" s="1" nd="1"/>
        <i x="683" s="1" nd="1"/>
        <i x="846" s="1" nd="1"/>
        <i x="65" s="1" nd="1"/>
        <i x="615" s="1" nd="1"/>
        <i x="98" s="1" nd="1"/>
        <i x="339" s="1" nd="1"/>
        <i x="48" s="1" nd="1"/>
        <i x="508" s="1" nd="1"/>
        <i x="518" s="1" nd="1"/>
        <i x="460" s="1" nd="1"/>
        <i x="179" s="1" nd="1"/>
        <i x="147" s="1" nd="1"/>
        <i x="266" s="1" nd="1"/>
        <i x="314" s="1" nd="1"/>
        <i x="827" s="1" nd="1"/>
        <i x="182" s="1" nd="1"/>
        <i x="719" s="1" nd="1"/>
        <i x="184" s="1" nd="1"/>
        <i x="596" s="1" nd="1"/>
        <i x="241" s="1" nd="1"/>
        <i x="405" s="1" nd="1"/>
        <i x="668" s="1" nd="1"/>
        <i x="324" s="1" nd="1"/>
        <i x="88" s="1" nd="1"/>
        <i x="680" s="1" nd="1"/>
        <i x="108" s="1" nd="1"/>
        <i x="453" s="1" nd="1"/>
        <i x="365" s="1" nd="1"/>
        <i x="794" s="1" nd="1"/>
        <i x="511" s="1" nd="1"/>
        <i x="76" s="1" nd="1"/>
        <i x="469" s="1" nd="1"/>
        <i x="96" s="1" nd="1"/>
        <i x="338" s="1" nd="1"/>
        <i x="181" s="1" nd="1"/>
        <i x="346" s="1" nd="1"/>
        <i x="574" s="1" nd="1"/>
        <i x="516" s="1" nd="1"/>
        <i x="242" s="1" nd="1"/>
        <i x="295" s="1" nd="1"/>
        <i x="107" s="1" nd="1"/>
        <i x="421" s="1" nd="1"/>
        <i x="720" s="1" nd="1"/>
        <i x="545" s="1" nd="1"/>
        <i x="655" s="1" nd="1"/>
        <i x="619" s="1" nd="1"/>
        <i x="842" s="1" nd="1"/>
        <i x="797" s="1" nd="1"/>
        <i x="42" s="1" nd="1"/>
        <i x="792" s="1" nd="1"/>
        <i x="267" s="1" nd="1"/>
        <i x="488" s="1" nd="1"/>
        <i x="820" s="1" nd="1"/>
        <i x="477" s="1" nd="1"/>
        <i x="756" s="1" nd="1"/>
        <i x="659" s="1" nd="1"/>
        <i x="786" s="1" nd="1"/>
        <i x="86" s="1" nd="1"/>
        <i x="723" s="1" nd="1"/>
        <i x="583" s="1" nd="1"/>
        <i x="197" s="1" nd="1"/>
        <i x="728" s="1" nd="1"/>
        <i x="125" s="1" nd="1"/>
        <i x="268" s="1" nd="1"/>
        <i x="523" s="1" nd="1"/>
        <i x="109" s="1" nd="1"/>
        <i x="533" s="1" nd="1"/>
        <i x="799" s="1" nd="1"/>
        <i x="34" s="1" nd="1"/>
        <i x="548" s="1" nd="1"/>
        <i x="647" s="1" nd="1"/>
        <i x="585" s="1" nd="1"/>
        <i x="210" s="1" nd="1"/>
        <i x="584" s="1" nd="1"/>
        <i x="379" s="1" nd="1"/>
        <i x="831" s="1" nd="1"/>
        <i x="350" s="1" nd="1"/>
        <i x="534" s="1" nd="1"/>
        <i x="261" s="1" nd="1"/>
        <i x="26" s="1" nd="1"/>
        <i x="156" s="1" nd="1"/>
        <i x="662" s="1" nd="1"/>
        <i x="614" s="1" nd="1"/>
        <i x="454" s="1" nd="1"/>
        <i x="36" s="1" nd="1"/>
        <i x="604" s="1" nd="1"/>
        <i x="448" s="1" nd="1"/>
        <i x="82" s="1" nd="1"/>
        <i x="666" s="1" nd="1"/>
        <i x="688" s="1" nd="1"/>
        <i x="575" s="1" nd="1"/>
        <i x="526" s="1" nd="1"/>
        <i x="608" s="1" nd="1"/>
        <i x="331" s="1" nd="1"/>
        <i x="791" s="1" nd="1"/>
        <i x="497" s="1" nd="1"/>
        <i x="327" s="1" nd="1"/>
        <i x="361" s="1" nd="1"/>
        <i x="296" s="1" nd="1"/>
        <i x="336" s="1" nd="1"/>
        <i x="852" s="1" nd="1"/>
        <i x="372" s="1" nd="1"/>
        <i x="401" s="1" nd="1"/>
        <i x="87" s="1" nd="1"/>
        <i x="91" s="1" nd="1"/>
        <i x="539" s="1" nd="1"/>
        <i x="576" s="1" nd="1"/>
        <i x="698" s="1" nd="1"/>
        <i x="294" s="1" nd="1"/>
        <i x="535" s="1" nd="1"/>
        <i x="536" s="1" nd="1"/>
        <i x="51" s="1" nd="1"/>
        <i x="602" s="1" nd="1"/>
        <i x="812" s="1" nd="1"/>
        <i x="593" s="1" nd="1"/>
        <i x="760" s="1" nd="1"/>
        <i x="733" s="1" nd="1"/>
        <i x="543" s="1" nd="1"/>
        <i x="61" s="1" nd="1"/>
        <i x="564" s="1" nd="1"/>
        <i x="122" s="1" nd="1"/>
        <i x="249" s="1" nd="1"/>
        <i x="373" s="1" nd="1"/>
        <i x="274" s="1" nd="1"/>
        <i x="378" s="1" nd="1"/>
        <i x="513" s="1" nd="1"/>
        <i x="160" s="1" nd="1"/>
        <i x="183" s="1" nd="1"/>
        <i x="594" s="1" nd="1"/>
        <i x="813" s="1" nd="1"/>
        <i x="801" s="1" nd="1"/>
        <i x="214" s="1" nd="1"/>
        <i x="165" s="1" nd="1"/>
        <i x="250" s="1" nd="1"/>
        <i x="515" s="1" nd="1"/>
        <i x="796" s="1" nd="1"/>
        <i x="273" s="1" nd="1"/>
        <i x="763" s="1" nd="1"/>
        <i x="142" s="1" nd="1"/>
        <i x="225" s="1" nd="1"/>
        <i x="841" s="1" nd="1"/>
        <i x="595" s="1" nd="1"/>
        <i x="806" s="1" nd="1"/>
        <i x="737" s="1" nd="1"/>
        <i x="426" s="1" nd="1"/>
        <i x="39" s="1" nd="1"/>
        <i x="356" s="1" nd="1"/>
        <i x="503" s="1" nd="1"/>
        <i x="522" s="1" nd="1"/>
        <i x="780" s="1" nd="1"/>
        <i x="730" s="1" nd="1"/>
        <i x="771" s="1" nd="1"/>
        <i x="530" s="1" nd="1"/>
        <i x="653" s="1" nd="1"/>
        <i x="302" s="1" nd="1"/>
        <i x="193" s="1" nd="1"/>
        <i x="348" s="1" nd="1"/>
        <i x="825" s="1" nd="1"/>
        <i x="620" s="1" nd="1"/>
        <i x="597" s="1" nd="1"/>
        <i x="270" s="1" nd="1"/>
        <i x="560" s="1" nd="1"/>
        <i x="118" s="1" nd="1"/>
        <i x="101" s="1" nd="1"/>
        <i x="765" s="1" nd="1"/>
        <i x="169" s="1" nd="1"/>
        <i x="247" s="1" nd="1"/>
        <i x="252" s="1" nd="1"/>
        <i x="479" s="1" nd="1"/>
        <i x="629" s="1" nd="1"/>
        <i x="742" s="1" nd="1"/>
        <i x="484" s="1" nd="1"/>
        <i x="561" s="1" nd="1"/>
        <i x="278" s="1" nd="1"/>
        <i x="264" s="1" nd="1"/>
        <i x="642" s="1" nd="1"/>
        <i x="711" s="1" nd="1"/>
        <i x="371" s="1" nd="1"/>
        <i x="239" s="1" nd="1"/>
        <i x="793" s="1" nd="1"/>
        <i x="735" s="1" nd="1"/>
        <i x="849" s="1" nd="1"/>
        <i x="457" s="1" nd="1"/>
        <i x="206" s="1" nd="1"/>
        <i x="320" s="1" nd="1"/>
        <i x="354" s="1" nd="1"/>
        <i x="110" s="1" nd="1"/>
        <i x="706" s="1" nd="1"/>
        <i x="319" s="1" nd="1"/>
        <i x="369" s="1" nd="1"/>
        <i x="416" s="1" nd="1"/>
        <i x="627" s="1" nd="1"/>
        <i x="623" s="1" nd="1"/>
        <i x="788" s="1" nd="1"/>
        <i x="408" s="1" nd="1"/>
        <i x="414" s="1" nd="1"/>
        <i x="716" s="1" nd="1"/>
        <i x="417" s="1" nd="1"/>
        <i x="838" s="1" nd="1"/>
        <i x="409" s="1" nd="1"/>
        <i x="681" s="1" nd="1"/>
        <i x="198" s="1" nd="1"/>
        <i x="423" s="1" nd="1"/>
        <i x="487" s="1" nd="1"/>
        <i x="845" s="1" nd="1"/>
        <i x="139" s="1" nd="1"/>
        <i x="166" s="1" nd="1"/>
        <i x="603" s="1" nd="1"/>
        <i x="789" s="1" nd="1"/>
        <i x="621" s="1" nd="1"/>
        <i x="569" s="1" nd="1"/>
        <i x="322" s="1" nd="1"/>
        <i x="664" s="1" nd="1"/>
        <i x="736" s="1" nd="1"/>
        <i x="419" s="1" nd="1"/>
        <i x="755" s="1" nd="1"/>
        <i x="93" s="1" nd="1"/>
        <i x="66" s="1" nd="1"/>
        <i x="859" s="1" nd="1"/>
        <i x="43" s="1" nd="1"/>
        <i x="580" s="1" nd="1"/>
        <i x="524" s="1" nd="1"/>
        <i x="427" s="1" nd="1"/>
        <i x="714" s="1" nd="1"/>
        <i x="218" s="1" nd="1"/>
        <i x="654" s="1" nd="1"/>
        <i x="790" s="1" nd="1"/>
        <i x="481" s="1" nd="1"/>
        <i x="54" s="1" nd="1"/>
        <i x="705" s="1" nd="1"/>
        <i x="674" s="1" nd="1"/>
        <i x="817" s="1" nd="1"/>
        <i x="234" s="1" nd="1"/>
        <i x="824" s="1" nd="1"/>
        <i x="634" s="1" nd="1"/>
        <i x="472" s="1" nd="1"/>
        <i x="703" s="1" nd="1"/>
        <i x="148" s="1" nd="1"/>
        <i x="424" s="1" nd="1"/>
        <i x="704" s="1" nd="1"/>
        <i x="455" s="1" nd="1"/>
        <i x="375" s="1" nd="1"/>
        <i x="717" s="1" nd="1"/>
        <i x="317" s="1" nd="1"/>
        <i x="202" s="1" nd="1"/>
        <i x="691" s="1" nd="1"/>
        <i x="297" s="1" nd="1"/>
        <i x="232" s="1" nd="1"/>
        <i x="333" s="1" nd="1"/>
        <i x="269" s="1" nd="1"/>
        <i x="16" s="1" nd="1"/>
        <i x="205" s="1" nd="1"/>
        <i x="740" s="1" nd="1"/>
        <i x="399" s="1" nd="1"/>
        <i x="586" s="1" nd="1"/>
        <i x="374" s="1" nd="1"/>
        <i x="464" s="1" nd="1"/>
        <i x="525" s="1" nd="1"/>
        <i x="136" s="1" nd="1"/>
        <i x="657" s="1" nd="1"/>
        <i x="63" s="1" nd="1"/>
        <i x="430" s="1" nd="1"/>
        <i x="159" s="1" nd="1"/>
        <i x="739" s="1" nd="1"/>
        <i x="177" s="1" nd="1"/>
        <i x="360" s="1" nd="1"/>
        <i x="133" s="1" nd="1"/>
        <i x="304" s="1" nd="1"/>
        <i x="213" s="1" nd="1"/>
        <i x="219" s="1" nd="1"/>
        <i x="103" s="1" nd="1"/>
        <i x="41" s="1" nd="1"/>
        <i x="292" s="1" nd="1"/>
        <i x="519" s="1" nd="1"/>
        <i x="512" s="1" nd="1"/>
        <i x="83" s="1" nd="1"/>
        <i x="690" s="1" nd="1"/>
        <i x="95" s="1" nd="1"/>
        <i x="644" s="1" nd="1"/>
        <i x="81" s="1" nd="1"/>
        <i x="661" s="1" nd="1"/>
        <i x="502" s="1" nd="1"/>
        <i x="764" s="1" nd="1"/>
        <i x="176" s="1" nd="1"/>
        <i x="204" s="1" nd="1"/>
        <i x="689" s="1" nd="1"/>
        <i x="313" s="1" nd="1"/>
        <i x="598" s="1" nd="1"/>
        <i x="192" s="1" nd="1"/>
        <i x="633" s="1" nd="1"/>
        <i x="78" s="1" nd="1"/>
        <i x="438" s="1" nd="1"/>
        <i x="40" s="1" nd="1"/>
        <i x="776" s="1" nd="1"/>
        <i x="428" s="1" nd="1"/>
        <i x="562" s="1" nd="1"/>
        <i x="111" s="1" nd="1"/>
        <i x="99" s="1" nd="1"/>
        <i x="307" s="1" nd="1"/>
        <i x="208" s="1" nd="1"/>
        <i x="509" s="1" nd="1"/>
        <i x="276" s="1" nd="1"/>
        <i x="44" s="1" nd="1"/>
        <i x="119" s="1" nd="1"/>
        <i x="544" s="1" nd="1"/>
        <i x="311" s="1" nd="1"/>
        <i x="411" s="1" nd="1"/>
        <i x="243" s="1" nd="1"/>
        <i x="23" s="1" nd="1"/>
        <i x="486" s="1" nd="1"/>
        <i x="832" s="1" nd="1"/>
        <i x="49" s="1" nd="1"/>
        <i x="325" s="1" nd="1"/>
        <i x="833" s="1" nd="1"/>
        <i x="572" s="1" nd="1"/>
        <i x="77" s="1" nd="1"/>
        <i x="578" s="1" nd="1"/>
        <i x="444" s="1" nd="1"/>
        <i x="189" s="1" nd="1"/>
        <i x="380" s="1" nd="1"/>
        <i x="769" s="1" nd="1"/>
        <i x="610" s="1" nd="1"/>
        <i x="28" s="1" nd="1"/>
        <i x="106" s="1" nd="1"/>
        <i x="451" s="1" nd="1"/>
        <i x="447" s="1" nd="1"/>
        <i x="135" s="1" nd="1"/>
        <i x="640" s="1" nd="1"/>
        <i x="215" s="1" nd="1"/>
        <i x="170" s="1" nd="1"/>
        <i x="70" s="1" nd="1"/>
        <i x="557" s="1" nd="1"/>
        <i x="628" s="1" nd="1"/>
        <i x="113" s="1" nd="1"/>
        <i x="777" s="1" nd="1"/>
        <i x="140" s="1" nd="1"/>
        <i x="231" s="1" nd="1"/>
        <i x="819" s="1" nd="1"/>
        <i x="293" s="1" nd="1"/>
        <i x="121" s="1" nd="1"/>
        <i x="212" s="1" nd="1"/>
        <i x="227" s="1" nd="1"/>
        <i x="194" s="1" nd="1"/>
        <i x="609" s="1" nd="1"/>
        <i x="203" s="1" nd="1"/>
        <i x="240" s="1" nd="1"/>
        <i x="850" s="1" nd="1"/>
        <i x="844" s="1" nd="1"/>
        <i x="505" s="1" nd="1"/>
        <i x="695" s="1" nd="1"/>
        <i x="257" s="1" nd="1"/>
        <i x="71" s="1" nd="1"/>
        <i x="143" s="1" nd="1"/>
        <i x="19" s="1" nd="1"/>
        <i x="64" s="1" nd="1"/>
        <i x="104" s="1" nd="1"/>
        <i x="216" s="1" nd="1"/>
        <i x="5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5" s="1"/>
        <i x="6" s="1"/>
        <i x="4" s="1"/>
        <i x="2" s="1"/>
        <i x="3" s="1"/>
        <i x="7" s="1"/>
        <i x="10" s="1" nd="1"/>
        <i x="18" s="1" nd="1"/>
        <i x="19" s="1" nd="1"/>
        <i x="25" s="1" nd="1"/>
        <i x="9" s="1" nd="1"/>
        <i x="12" s="1" nd="1"/>
        <i x="16" s="1" nd="1"/>
        <i x="22" s="1" nd="1"/>
        <i x="24" s="1" nd="1"/>
        <i x="11" s="1" nd="1"/>
        <i x="23" s="1" nd="1"/>
        <i x="21" s="1" nd="1"/>
        <i x="8" s="1" nd="1"/>
        <i x="26" s="1" nd="1"/>
        <i x="15" s="1" nd="1"/>
        <i x="17" s="1" nd="1"/>
        <i x="14" s="1" nd="1"/>
        <i x="13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299948</v>
      </c>
      <c r="B2" s="20" t="s">
        <v>578</v>
      </c>
      <c r="C2" s="22">
        <v>46273</v>
      </c>
      <c r="D2" s="22">
        <v>46273</v>
      </c>
      <c r="E2" s="20"/>
      <c r="F2" s="23" t="s">
        <v>579</v>
      </c>
      <c r="G2" s="23" t="s">
        <v>580</v>
      </c>
      <c r="H2" s="23" t="s">
        <v>391</v>
      </c>
      <c r="I2" s="24">
        <v>339044.83</v>
      </c>
      <c r="J2" s="23" t="s">
        <v>581</v>
      </c>
      <c r="K2" s="23" t="s">
        <v>393</v>
      </c>
      <c r="L2" s="23" t="s">
        <v>582</v>
      </c>
      <c r="M2" s="24">
        <v>9543.68</v>
      </c>
      <c r="N2" s="23">
        <v>169</v>
      </c>
      <c r="O2" s="24">
        <v>8435.6</v>
      </c>
      <c r="P2" s="23" t="s">
        <v>583</v>
      </c>
      <c r="Q2" s="23">
        <v>0</v>
      </c>
      <c r="R2" s="23" t="s">
        <v>394</v>
      </c>
      <c r="S2" s="23">
        <v>0</v>
      </c>
      <c r="T2" s="23" t="s">
        <v>584</v>
      </c>
      <c r="U2" s="24">
        <v>1829.53</v>
      </c>
      <c r="V2" s="23">
        <v>1145.24</v>
      </c>
      <c r="W2" s="23">
        <v>0</v>
      </c>
      <c r="X2" s="23">
        <v>0</v>
      </c>
      <c r="Y2" s="23">
        <v>169.52</v>
      </c>
      <c r="Z2" s="23">
        <v>383.98</v>
      </c>
      <c r="AA2" s="24">
        <v>3528.27</v>
      </c>
      <c r="AB2" s="24">
        <v>6015.41</v>
      </c>
      <c r="AC2" s="24">
        <v>2481.36</v>
      </c>
      <c r="AD2" s="23">
        <v>3534.05</v>
      </c>
      <c r="AE2" s="23">
        <v>0</v>
      </c>
      <c r="AF2" s="23">
        <v>3534.05</v>
      </c>
      <c r="AG2" s="25">
        <v>0.37030000000000002</v>
      </c>
      <c r="AH2" s="23"/>
    </row>
    <row r="3" spans="1:34" s="1" customFormat="1" ht="12" customHeight="1" x14ac:dyDescent="0.3">
      <c r="A3" s="21">
        <v>301486</v>
      </c>
      <c r="B3" s="20" t="s">
        <v>578</v>
      </c>
      <c r="C3" s="22"/>
      <c r="D3" s="22">
        <v>46282</v>
      </c>
      <c r="E3" s="20"/>
      <c r="F3" s="23" t="s">
        <v>585</v>
      </c>
      <c r="G3" s="23" t="s">
        <v>586</v>
      </c>
      <c r="H3" s="23" t="s">
        <v>587</v>
      </c>
      <c r="I3" s="24">
        <v>7697.2</v>
      </c>
      <c r="J3" s="23" t="s">
        <v>588</v>
      </c>
      <c r="K3" s="23" t="s">
        <v>393</v>
      </c>
      <c r="L3" s="23" t="s">
        <v>589</v>
      </c>
      <c r="M3" s="24">
        <v>348.06</v>
      </c>
      <c r="N3" s="23">
        <v>4</v>
      </c>
      <c r="O3" s="23">
        <v>195.77</v>
      </c>
      <c r="P3" s="23" t="s">
        <v>590</v>
      </c>
      <c r="Q3" s="23">
        <v>6.55</v>
      </c>
      <c r="R3" s="23" t="s">
        <v>591</v>
      </c>
      <c r="S3" s="23">
        <v>91.89</v>
      </c>
      <c r="T3" s="23" t="s">
        <v>584</v>
      </c>
      <c r="U3" s="23">
        <v>42.46</v>
      </c>
      <c r="V3" s="23">
        <v>41.77</v>
      </c>
      <c r="W3" s="23">
        <v>0</v>
      </c>
      <c r="X3" s="23">
        <v>0</v>
      </c>
      <c r="Y3" s="23">
        <v>3.85</v>
      </c>
      <c r="Z3" s="23">
        <v>0</v>
      </c>
      <c r="AA3" s="23">
        <v>186.52</v>
      </c>
      <c r="AB3" s="23">
        <v>161.54</v>
      </c>
      <c r="AC3" s="23">
        <v>90.5</v>
      </c>
      <c r="AD3" s="23">
        <v>71.040000000000006</v>
      </c>
      <c r="AE3" s="23">
        <v>9.19</v>
      </c>
      <c r="AF3" s="23">
        <v>61.85</v>
      </c>
      <c r="AG3" s="25">
        <v>0.1777</v>
      </c>
      <c r="AH3" s="23"/>
    </row>
    <row r="4" spans="1:34" s="1" customFormat="1" ht="12" customHeight="1" x14ac:dyDescent="0.3">
      <c r="A4" s="21">
        <v>301487</v>
      </c>
      <c r="B4" s="20" t="s">
        <v>578</v>
      </c>
      <c r="C4" s="22"/>
      <c r="D4" s="22">
        <v>46282</v>
      </c>
      <c r="E4" s="20"/>
      <c r="F4" s="23" t="s">
        <v>592</v>
      </c>
      <c r="G4" s="23" t="s">
        <v>586</v>
      </c>
      <c r="H4" s="23" t="s">
        <v>587</v>
      </c>
      <c r="I4" s="24">
        <v>1280</v>
      </c>
      <c r="J4" s="23" t="s">
        <v>588</v>
      </c>
      <c r="K4" s="23" t="s">
        <v>393</v>
      </c>
      <c r="L4" s="23" t="s">
        <v>593</v>
      </c>
      <c r="M4" s="23">
        <v>114.48</v>
      </c>
      <c r="N4" s="23">
        <v>1</v>
      </c>
      <c r="O4" s="23">
        <v>25.23</v>
      </c>
      <c r="P4" s="23" t="s">
        <v>590</v>
      </c>
      <c r="Q4" s="23">
        <v>0.84</v>
      </c>
      <c r="R4" s="23" t="s">
        <v>594</v>
      </c>
      <c r="S4" s="23">
        <v>50</v>
      </c>
      <c r="T4" s="23" t="s">
        <v>584</v>
      </c>
      <c r="U4" s="23">
        <v>5.47</v>
      </c>
      <c r="V4" s="23">
        <v>13.74</v>
      </c>
      <c r="W4" s="23">
        <v>0</v>
      </c>
      <c r="X4" s="23">
        <v>0</v>
      </c>
      <c r="Y4" s="23">
        <v>0.64</v>
      </c>
      <c r="Z4" s="23">
        <v>0</v>
      </c>
      <c r="AA4" s="23">
        <v>70.69</v>
      </c>
      <c r="AB4" s="23">
        <v>43.79</v>
      </c>
      <c r="AC4" s="23">
        <v>29.76</v>
      </c>
      <c r="AD4" s="23">
        <v>14.03</v>
      </c>
      <c r="AE4" s="23">
        <v>3.02</v>
      </c>
      <c r="AF4" s="23">
        <v>11.01</v>
      </c>
      <c r="AG4" s="25">
        <v>9.6199999999999994E-2</v>
      </c>
      <c r="AH4" s="23"/>
    </row>
    <row r="5" spans="1:34" s="1" customFormat="1" ht="12" customHeight="1" x14ac:dyDescent="0.3">
      <c r="A5" s="21">
        <v>301551</v>
      </c>
      <c r="B5" s="20" t="s">
        <v>578</v>
      </c>
      <c r="C5" s="22">
        <v>46282</v>
      </c>
      <c r="D5" s="22">
        <v>46282</v>
      </c>
      <c r="E5" s="20"/>
      <c r="F5" s="23"/>
      <c r="G5" s="23" t="s">
        <v>595</v>
      </c>
      <c r="H5" s="23" t="s">
        <v>395</v>
      </c>
      <c r="I5" s="24">
        <v>37060.410000000003</v>
      </c>
      <c r="J5" s="23" t="s">
        <v>588</v>
      </c>
      <c r="K5" s="23" t="s">
        <v>393</v>
      </c>
      <c r="L5" s="23" t="s">
        <v>589</v>
      </c>
      <c r="M5" s="23">
        <v>857</v>
      </c>
      <c r="N5" s="23">
        <v>3</v>
      </c>
      <c r="O5" s="23">
        <v>1714</v>
      </c>
      <c r="P5" s="23" t="s">
        <v>578</v>
      </c>
      <c r="Q5" s="23">
        <v>0</v>
      </c>
      <c r="R5" s="23" t="s">
        <v>596</v>
      </c>
      <c r="S5" s="23">
        <v>42.85</v>
      </c>
      <c r="T5" s="23" t="s">
        <v>584</v>
      </c>
      <c r="U5" s="23">
        <v>371.74</v>
      </c>
      <c r="V5" s="23">
        <v>0</v>
      </c>
      <c r="W5" s="23">
        <v>0</v>
      </c>
      <c r="X5" s="23">
        <v>0</v>
      </c>
      <c r="Y5" s="23">
        <v>18.53</v>
      </c>
      <c r="Z5" s="23">
        <v>0</v>
      </c>
      <c r="AA5" s="23">
        <v>433.12</v>
      </c>
      <c r="AB5" s="23">
        <v>423.88</v>
      </c>
      <c r="AC5" s="23">
        <v>222.82</v>
      </c>
      <c r="AD5" s="23">
        <v>201.06</v>
      </c>
      <c r="AE5" s="23">
        <v>8.57</v>
      </c>
      <c r="AF5" s="23">
        <v>192.49</v>
      </c>
      <c r="AG5" s="25">
        <v>0.22460000000000002</v>
      </c>
      <c r="AH5" s="23"/>
    </row>
    <row r="6" spans="1:34" s="1" customFormat="1" ht="12" customHeight="1" x14ac:dyDescent="0.3">
      <c r="A6" s="21">
        <v>301716</v>
      </c>
      <c r="B6" s="20" t="s">
        <v>578</v>
      </c>
      <c r="C6" s="22">
        <v>46283</v>
      </c>
      <c r="D6" s="22">
        <v>46283</v>
      </c>
      <c r="E6" s="20"/>
      <c r="F6" s="23" t="s">
        <v>597</v>
      </c>
      <c r="G6" s="23" t="s">
        <v>598</v>
      </c>
      <c r="H6" s="23" t="s">
        <v>599</v>
      </c>
      <c r="I6" s="24">
        <v>12983.11</v>
      </c>
      <c r="J6" s="23" t="s">
        <v>588</v>
      </c>
      <c r="K6" s="23" t="s">
        <v>393</v>
      </c>
      <c r="L6" s="23" t="s">
        <v>600</v>
      </c>
      <c r="M6" s="23">
        <v>584.24</v>
      </c>
      <c r="N6" s="23">
        <v>31</v>
      </c>
      <c r="O6" s="23">
        <v>155</v>
      </c>
      <c r="P6" s="23" t="s">
        <v>601</v>
      </c>
      <c r="Q6" s="23">
        <v>43.61</v>
      </c>
      <c r="R6" s="23" t="s">
        <v>602</v>
      </c>
      <c r="S6" s="23">
        <v>154.24</v>
      </c>
      <c r="T6" s="23" t="s">
        <v>584</v>
      </c>
      <c r="U6" s="23">
        <v>33.619999999999997</v>
      </c>
      <c r="V6" s="23">
        <v>70.11</v>
      </c>
      <c r="W6" s="23">
        <v>0</v>
      </c>
      <c r="X6" s="23">
        <v>0</v>
      </c>
      <c r="Y6" s="23">
        <v>6.49</v>
      </c>
      <c r="Z6" s="23">
        <v>0</v>
      </c>
      <c r="AA6" s="23">
        <v>308.07</v>
      </c>
      <c r="AB6" s="23">
        <v>276.17</v>
      </c>
      <c r="AC6" s="23">
        <v>151.9</v>
      </c>
      <c r="AD6" s="23">
        <v>124.27</v>
      </c>
      <c r="AE6" s="23">
        <v>15.42</v>
      </c>
      <c r="AF6" s="23">
        <v>108.85</v>
      </c>
      <c r="AG6" s="25">
        <v>0.18629999999999999</v>
      </c>
      <c r="AH6" s="23"/>
    </row>
    <row r="7" spans="1:34" s="1" customFormat="1" ht="12" customHeight="1" x14ac:dyDescent="0.3">
      <c r="A7" s="21">
        <v>301718</v>
      </c>
      <c r="B7" s="20" t="s">
        <v>578</v>
      </c>
      <c r="C7" s="22">
        <v>46283</v>
      </c>
      <c r="D7" s="22">
        <v>46283</v>
      </c>
      <c r="E7" s="20"/>
      <c r="F7" s="23" t="s">
        <v>603</v>
      </c>
      <c r="G7" s="23" t="s">
        <v>598</v>
      </c>
      <c r="H7" s="23" t="s">
        <v>599</v>
      </c>
      <c r="I7" s="24">
        <v>6024.74</v>
      </c>
      <c r="J7" s="23" t="s">
        <v>588</v>
      </c>
      <c r="K7" s="23" t="s">
        <v>393</v>
      </c>
      <c r="L7" s="23" t="s">
        <v>600</v>
      </c>
      <c r="M7" s="23">
        <v>271.11</v>
      </c>
      <c r="N7" s="23">
        <v>11</v>
      </c>
      <c r="O7" s="23">
        <v>55</v>
      </c>
      <c r="P7" s="23" t="s">
        <v>601</v>
      </c>
      <c r="Q7" s="23">
        <v>15.48</v>
      </c>
      <c r="R7" s="23" t="s">
        <v>604</v>
      </c>
      <c r="S7" s="23">
        <v>71.569999999999993</v>
      </c>
      <c r="T7" s="23" t="s">
        <v>584</v>
      </c>
      <c r="U7" s="23">
        <v>11.93</v>
      </c>
      <c r="V7" s="23">
        <v>32.53</v>
      </c>
      <c r="W7" s="23">
        <v>0</v>
      </c>
      <c r="X7" s="23">
        <v>0</v>
      </c>
      <c r="Y7" s="23">
        <v>3.01</v>
      </c>
      <c r="Z7" s="23">
        <v>0</v>
      </c>
      <c r="AA7" s="23">
        <v>134.52000000000001</v>
      </c>
      <c r="AB7" s="23">
        <v>136.59</v>
      </c>
      <c r="AC7" s="23">
        <v>70.489999999999995</v>
      </c>
      <c r="AD7" s="23">
        <v>66.099999999999994</v>
      </c>
      <c r="AE7" s="23">
        <v>7.16</v>
      </c>
      <c r="AF7" s="23">
        <v>58.94</v>
      </c>
      <c r="AG7" s="25">
        <v>0.21739999999999998</v>
      </c>
      <c r="AH7" s="23"/>
    </row>
    <row r="8" spans="1:34" s="1" customFormat="1" ht="12" customHeight="1" x14ac:dyDescent="0.3">
      <c r="A8" s="21">
        <v>301720</v>
      </c>
      <c r="B8" s="20" t="s">
        <v>578</v>
      </c>
      <c r="C8" s="22"/>
      <c r="D8" s="22">
        <v>46283</v>
      </c>
      <c r="E8" s="20"/>
      <c r="F8" s="23" t="s">
        <v>605</v>
      </c>
      <c r="G8" s="23" t="s">
        <v>606</v>
      </c>
      <c r="H8" s="23" t="s">
        <v>607</v>
      </c>
      <c r="I8" s="24">
        <v>146658.76999999999</v>
      </c>
      <c r="J8" s="23" t="s">
        <v>608</v>
      </c>
      <c r="K8" s="23" t="s">
        <v>393</v>
      </c>
      <c r="L8" s="23" t="s">
        <v>589</v>
      </c>
      <c r="M8" s="23">
        <v>10900</v>
      </c>
      <c r="N8" s="23">
        <v>571</v>
      </c>
      <c r="O8" s="23">
        <v>4605</v>
      </c>
      <c r="P8" s="23" t="s">
        <v>394</v>
      </c>
      <c r="Q8" s="23">
        <v>0</v>
      </c>
      <c r="R8" s="23" t="s">
        <v>604</v>
      </c>
      <c r="S8" s="23">
        <v>2877.6</v>
      </c>
      <c r="T8" s="23" t="s">
        <v>584</v>
      </c>
      <c r="U8" s="23">
        <v>998.74</v>
      </c>
      <c r="V8" s="23">
        <v>1308</v>
      </c>
      <c r="W8" s="23">
        <v>0</v>
      </c>
      <c r="X8" s="23">
        <v>0</v>
      </c>
      <c r="Y8" s="23">
        <v>73.33</v>
      </c>
      <c r="Z8" s="23">
        <v>0</v>
      </c>
      <c r="AA8" s="23">
        <v>5257.67</v>
      </c>
      <c r="AB8" s="23">
        <v>5642.33</v>
      </c>
      <c r="AC8" s="23">
        <v>2834</v>
      </c>
      <c r="AD8" s="23">
        <v>2808.33</v>
      </c>
      <c r="AE8" s="23">
        <v>0</v>
      </c>
      <c r="AF8" s="23">
        <v>2808.33</v>
      </c>
      <c r="AG8" s="25">
        <v>0.2576</v>
      </c>
      <c r="AH8" s="23"/>
    </row>
    <row r="9" spans="1:34" s="1" customFormat="1" ht="12" customHeight="1" x14ac:dyDescent="0.3">
      <c r="A9" s="21">
        <v>301721</v>
      </c>
      <c r="B9" s="20" t="s">
        <v>578</v>
      </c>
      <c r="C9" s="22">
        <v>46282</v>
      </c>
      <c r="D9" s="22">
        <v>46283</v>
      </c>
      <c r="E9" s="20"/>
      <c r="F9" s="23" t="s">
        <v>609</v>
      </c>
      <c r="G9" s="23" t="s">
        <v>606</v>
      </c>
      <c r="H9" s="23" t="s">
        <v>607</v>
      </c>
      <c r="I9" s="24">
        <v>13897.71</v>
      </c>
      <c r="J9" s="23" t="s">
        <v>588</v>
      </c>
      <c r="K9" s="23" t="s">
        <v>393</v>
      </c>
      <c r="L9" s="23" t="s">
        <v>589</v>
      </c>
      <c r="M9" s="23">
        <v>1016.11</v>
      </c>
      <c r="N9" s="23">
        <v>37</v>
      </c>
      <c r="O9" s="23">
        <v>362</v>
      </c>
      <c r="P9" s="23" t="s">
        <v>394</v>
      </c>
      <c r="Q9" s="23">
        <v>0</v>
      </c>
      <c r="R9" s="23" t="s">
        <v>591</v>
      </c>
      <c r="S9" s="23">
        <v>268.25</v>
      </c>
      <c r="T9" s="23" t="s">
        <v>584</v>
      </c>
      <c r="U9" s="23">
        <v>78.510000000000005</v>
      </c>
      <c r="V9" s="23">
        <v>121.93</v>
      </c>
      <c r="W9" s="23">
        <v>0</v>
      </c>
      <c r="X9" s="23">
        <v>0</v>
      </c>
      <c r="Y9" s="23">
        <v>6.95</v>
      </c>
      <c r="Z9" s="23">
        <v>0</v>
      </c>
      <c r="AA9" s="23">
        <v>475.64</v>
      </c>
      <c r="AB9" s="23">
        <v>540.47</v>
      </c>
      <c r="AC9" s="23">
        <v>264.19</v>
      </c>
      <c r="AD9" s="23">
        <v>276.27999999999997</v>
      </c>
      <c r="AE9" s="23">
        <v>0</v>
      </c>
      <c r="AF9" s="23">
        <v>276.27999999999997</v>
      </c>
      <c r="AG9" s="25">
        <v>0.27190000000000003</v>
      </c>
      <c r="AH9" s="23"/>
    </row>
    <row r="10" spans="1:34" s="1" customFormat="1" ht="12" customHeight="1" x14ac:dyDescent="0.3">
      <c r="A10" s="21">
        <v>301763</v>
      </c>
      <c r="B10" s="20" t="s">
        <v>578</v>
      </c>
      <c r="C10" s="22"/>
      <c r="D10" s="22">
        <v>46283</v>
      </c>
      <c r="E10" s="20"/>
      <c r="F10" s="23" t="s">
        <v>610</v>
      </c>
      <c r="G10" s="23" t="s">
        <v>611</v>
      </c>
      <c r="H10" s="23" t="s">
        <v>612</v>
      </c>
      <c r="I10" s="24">
        <v>51000</v>
      </c>
      <c r="J10" s="23" t="s">
        <v>588</v>
      </c>
      <c r="K10" s="23" t="s">
        <v>393</v>
      </c>
      <c r="L10" s="23" t="s">
        <v>613</v>
      </c>
      <c r="M10" s="23">
        <v>1785</v>
      </c>
      <c r="N10" s="23">
        <v>17</v>
      </c>
      <c r="O10" s="23">
        <v>306</v>
      </c>
      <c r="P10" s="23" t="s">
        <v>394</v>
      </c>
      <c r="Q10" s="23">
        <v>0</v>
      </c>
      <c r="R10" s="23" t="s">
        <v>614</v>
      </c>
      <c r="S10" s="23">
        <v>0</v>
      </c>
      <c r="T10" s="23" t="s">
        <v>584</v>
      </c>
      <c r="U10" s="23">
        <v>66.37</v>
      </c>
      <c r="V10" s="23">
        <v>214.2</v>
      </c>
      <c r="W10" s="23">
        <v>0</v>
      </c>
      <c r="X10" s="23">
        <v>0</v>
      </c>
      <c r="Y10" s="23">
        <v>25.5</v>
      </c>
      <c r="Z10" s="23">
        <v>0</v>
      </c>
      <c r="AA10" s="23">
        <v>306.07</v>
      </c>
      <c r="AB10" s="23">
        <v>1478.93</v>
      </c>
      <c r="AC10" s="23">
        <v>464.1</v>
      </c>
      <c r="AD10" s="23">
        <v>1014.83</v>
      </c>
      <c r="AE10" s="23">
        <v>0</v>
      </c>
      <c r="AF10" s="23">
        <v>1014.83</v>
      </c>
      <c r="AG10" s="25">
        <v>0.56850000000000001</v>
      </c>
      <c r="AH10" s="23"/>
    </row>
    <row r="11" spans="1:34" s="1" customFormat="1" ht="12" customHeight="1" x14ac:dyDescent="0.3">
      <c r="A11" s="21">
        <v>301769</v>
      </c>
      <c r="B11" s="20" t="s">
        <v>578</v>
      </c>
      <c r="C11" s="22"/>
      <c r="D11" s="22">
        <v>46283</v>
      </c>
      <c r="E11" s="20"/>
      <c r="F11" s="23" t="s">
        <v>615</v>
      </c>
      <c r="G11" s="23" t="s">
        <v>616</v>
      </c>
      <c r="H11" s="23" t="s">
        <v>612</v>
      </c>
      <c r="I11" s="24">
        <v>11600</v>
      </c>
      <c r="J11" s="23" t="s">
        <v>588</v>
      </c>
      <c r="K11" s="23" t="s">
        <v>393</v>
      </c>
      <c r="L11" s="23" t="s">
        <v>617</v>
      </c>
      <c r="M11" s="23">
        <v>161.03</v>
      </c>
      <c r="N11" s="23">
        <v>1</v>
      </c>
      <c r="O11" s="23">
        <v>7.2</v>
      </c>
      <c r="P11" s="23" t="s">
        <v>394</v>
      </c>
      <c r="Q11" s="23">
        <v>0</v>
      </c>
      <c r="R11" s="23" t="s">
        <v>594</v>
      </c>
      <c r="S11" s="23">
        <v>56.68</v>
      </c>
      <c r="T11" s="23" t="s">
        <v>584</v>
      </c>
      <c r="U11" s="23">
        <v>1.56</v>
      </c>
      <c r="V11" s="23">
        <v>19.32</v>
      </c>
      <c r="W11" s="23">
        <v>0</v>
      </c>
      <c r="X11" s="23">
        <v>0</v>
      </c>
      <c r="Y11" s="23">
        <v>5.8</v>
      </c>
      <c r="Z11" s="23">
        <v>0</v>
      </c>
      <c r="AA11" s="23">
        <v>83.36</v>
      </c>
      <c r="AB11" s="23">
        <v>77.67</v>
      </c>
      <c r="AC11" s="23">
        <v>41.87</v>
      </c>
      <c r="AD11" s="23">
        <v>35.799999999999997</v>
      </c>
      <c r="AE11" s="23">
        <v>0</v>
      </c>
      <c r="AF11" s="23">
        <v>35.799999999999997</v>
      </c>
      <c r="AG11" s="25">
        <v>0.2223</v>
      </c>
      <c r="AH11" s="23"/>
    </row>
    <row r="12" spans="1:34" s="1" customFormat="1" ht="12" customHeight="1" x14ac:dyDescent="0.3">
      <c r="A12" s="21">
        <v>301770</v>
      </c>
      <c r="B12" s="20" t="s">
        <v>578</v>
      </c>
      <c r="C12" s="22"/>
      <c r="D12" s="22">
        <v>46283</v>
      </c>
      <c r="E12" s="20"/>
      <c r="F12" s="23" t="s">
        <v>618</v>
      </c>
      <c r="G12" s="23" t="s">
        <v>616</v>
      </c>
      <c r="H12" s="23" t="s">
        <v>612</v>
      </c>
      <c r="I12" s="23">
        <v>16031.82</v>
      </c>
      <c r="J12" s="23" t="s">
        <v>588</v>
      </c>
      <c r="K12" s="23" t="s">
        <v>393</v>
      </c>
      <c r="L12" s="23" t="s">
        <v>589</v>
      </c>
      <c r="M12" s="23">
        <v>169.24</v>
      </c>
      <c r="N12" s="23">
        <v>1</v>
      </c>
      <c r="O12" s="23">
        <v>4.46</v>
      </c>
      <c r="P12" s="23" t="s">
        <v>394</v>
      </c>
      <c r="Q12" s="23">
        <v>0</v>
      </c>
      <c r="R12" s="23" t="s">
        <v>602</v>
      </c>
      <c r="S12" s="23">
        <v>44.68</v>
      </c>
      <c r="T12" s="23" t="s">
        <v>584</v>
      </c>
      <c r="U12" s="23">
        <v>0.97</v>
      </c>
      <c r="V12" s="23">
        <v>20.309999999999999</v>
      </c>
      <c r="W12" s="23">
        <v>0</v>
      </c>
      <c r="X12" s="23">
        <v>0</v>
      </c>
      <c r="Y12" s="23">
        <v>8.02</v>
      </c>
      <c r="Z12" s="23">
        <v>0</v>
      </c>
      <c r="AA12" s="23">
        <v>73.98</v>
      </c>
      <c r="AB12" s="23">
        <v>95.26</v>
      </c>
      <c r="AC12" s="23">
        <v>44</v>
      </c>
      <c r="AD12" s="23">
        <v>51.26</v>
      </c>
      <c r="AE12" s="23">
        <v>0</v>
      </c>
      <c r="AF12" s="23">
        <v>51.26</v>
      </c>
      <c r="AG12" s="25">
        <v>0.3029</v>
      </c>
      <c r="AH12" s="23"/>
    </row>
    <row r="13" spans="1:34" s="1" customFormat="1" ht="12" customHeight="1" x14ac:dyDescent="0.3">
      <c r="A13" s="21">
        <v>301815</v>
      </c>
      <c r="B13" s="20" t="s">
        <v>578</v>
      </c>
      <c r="C13" s="22">
        <v>46283</v>
      </c>
      <c r="D13" s="22">
        <v>46283</v>
      </c>
      <c r="E13" s="20"/>
      <c r="F13" s="23" t="s">
        <v>619</v>
      </c>
      <c r="G13" s="23" t="s">
        <v>620</v>
      </c>
      <c r="H13" s="23" t="s">
        <v>607</v>
      </c>
      <c r="I13" s="23">
        <v>127597.34</v>
      </c>
      <c r="J13" s="23" t="s">
        <v>621</v>
      </c>
      <c r="K13" s="23" t="s">
        <v>393</v>
      </c>
      <c r="L13" s="23" t="s">
        <v>589</v>
      </c>
      <c r="M13" s="23">
        <v>1331.85</v>
      </c>
      <c r="N13" s="23">
        <v>11</v>
      </c>
      <c r="O13" s="23">
        <v>654</v>
      </c>
      <c r="P13" s="23" t="s">
        <v>622</v>
      </c>
      <c r="Q13" s="23">
        <v>25.46</v>
      </c>
      <c r="R13" s="23" t="s">
        <v>623</v>
      </c>
      <c r="S13" s="23">
        <v>351.61</v>
      </c>
      <c r="T13" s="23" t="s">
        <v>584</v>
      </c>
      <c r="U13" s="23">
        <v>141.84</v>
      </c>
      <c r="V13" s="23">
        <v>0</v>
      </c>
      <c r="W13" s="23">
        <v>0</v>
      </c>
      <c r="X13" s="23">
        <v>0</v>
      </c>
      <c r="Y13" s="23">
        <v>63.8</v>
      </c>
      <c r="Z13" s="23">
        <v>0</v>
      </c>
      <c r="AA13" s="23">
        <v>582.71</v>
      </c>
      <c r="AB13" s="23">
        <v>749.14</v>
      </c>
      <c r="AC13" s="23">
        <v>346.28</v>
      </c>
      <c r="AD13" s="23">
        <v>402.86</v>
      </c>
      <c r="AE13" s="23">
        <v>0</v>
      </c>
      <c r="AF13" s="23">
        <v>402.86</v>
      </c>
      <c r="AG13" s="25">
        <v>0.30249999999999999</v>
      </c>
      <c r="AH13" s="23"/>
    </row>
    <row r="14" spans="1:34" s="1" customFormat="1" ht="12" customHeight="1" x14ac:dyDescent="0.3">
      <c r="A14" s="21">
        <v>301816</v>
      </c>
      <c r="B14" s="20" t="s">
        <v>578</v>
      </c>
      <c r="C14" s="22">
        <v>46283</v>
      </c>
      <c r="D14" s="22">
        <v>46283</v>
      </c>
      <c r="E14" s="20"/>
      <c r="F14" s="23" t="s">
        <v>624</v>
      </c>
      <c r="G14" s="23" t="s">
        <v>620</v>
      </c>
      <c r="H14" s="23" t="s">
        <v>607</v>
      </c>
      <c r="I14" s="23">
        <v>78097.39</v>
      </c>
      <c r="J14" s="23" t="s">
        <v>621</v>
      </c>
      <c r="K14" s="23" t="s">
        <v>393</v>
      </c>
      <c r="L14" s="23" t="s">
        <v>617</v>
      </c>
      <c r="M14" s="23">
        <v>912.43</v>
      </c>
      <c r="N14" s="23">
        <v>5</v>
      </c>
      <c r="O14" s="23">
        <v>414</v>
      </c>
      <c r="P14" s="23" t="s">
        <v>622</v>
      </c>
      <c r="Q14" s="23">
        <v>16.12</v>
      </c>
      <c r="R14" s="23" t="s">
        <v>594</v>
      </c>
      <c r="S14" s="23">
        <v>321.18</v>
      </c>
      <c r="T14" s="23" t="s">
        <v>584</v>
      </c>
      <c r="U14" s="23">
        <v>89.79</v>
      </c>
      <c r="V14" s="23">
        <v>0</v>
      </c>
      <c r="W14" s="23">
        <v>0</v>
      </c>
      <c r="X14" s="23">
        <v>0</v>
      </c>
      <c r="Y14" s="23">
        <v>39.049999999999997</v>
      </c>
      <c r="Z14" s="23">
        <v>0</v>
      </c>
      <c r="AA14" s="23">
        <v>466.14</v>
      </c>
      <c r="AB14" s="23">
        <v>446.29</v>
      </c>
      <c r="AC14" s="23">
        <v>237.23</v>
      </c>
      <c r="AD14" s="23">
        <v>209.06</v>
      </c>
      <c r="AE14" s="23">
        <v>0</v>
      </c>
      <c r="AF14" s="23">
        <v>209.06</v>
      </c>
      <c r="AG14" s="25">
        <v>0.2291</v>
      </c>
      <c r="AH14" s="23"/>
    </row>
    <row r="15" spans="1:34" s="1" customFormat="1" ht="12" customHeight="1" x14ac:dyDescent="0.3">
      <c r="A15" s="21">
        <v>301817</v>
      </c>
      <c r="B15" s="20" t="s">
        <v>578</v>
      </c>
      <c r="C15" s="22">
        <v>46283</v>
      </c>
      <c r="D15" s="22">
        <v>46283</v>
      </c>
      <c r="E15" s="20"/>
      <c r="F15" s="23" t="s">
        <v>625</v>
      </c>
      <c r="G15" s="23" t="s">
        <v>620</v>
      </c>
      <c r="H15" s="23" t="s">
        <v>607</v>
      </c>
      <c r="I15" s="23">
        <v>26454.38</v>
      </c>
      <c r="J15" s="23" t="s">
        <v>621</v>
      </c>
      <c r="K15" s="23" t="s">
        <v>393</v>
      </c>
      <c r="L15" s="23" t="s">
        <v>626</v>
      </c>
      <c r="M15" s="23">
        <v>543.27</v>
      </c>
      <c r="N15" s="23">
        <v>3</v>
      </c>
      <c r="O15" s="23">
        <v>145.85</v>
      </c>
      <c r="P15" s="23" t="s">
        <v>622</v>
      </c>
      <c r="Q15" s="23">
        <v>5.68</v>
      </c>
      <c r="R15" s="23" t="s">
        <v>627</v>
      </c>
      <c r="S15" s="23">
        <v>90</v>
      </c>
      <c r="T15" s="23" t="s">
        <v>628</v>
      </c>
      <c r="U15" s="23">
        <v>142.38999999999999</v>
      </c>
      <c r="V15" s="23">
        <v>0</v>
      </c>
      <c r="W15" s="23">
        <v>0</v>
      </c>
      <c r="X15" s="23">
        <v>0</v>
      </c>
      <c r="Y15" s="23">
        <v>13.23</v>
      </c>
      <c r="Z15" s="23">
        <v>0</v>
      </c>
      <c r="AA15" s="23">
        <v>251.3</v>
      </c>
      <c r="AB15" s="23">
        <v>291.97000000000003</v>
      </c>
      <c r="AC15" s="23">
        <v>141.25</v>
      </c>
      <c r="AD15" s="23">
        <v>150.72</v>
      </c>
      <c r="AE15" s="23">
        <v>0</v>
      </c>
      <c r="AF15" s="23">
        <v>150.72</v>
      </c>
      <c r="AG15" s="25">
        <v>0.27739999999999998</v>
      </c>
      <c r="AH15" s="23"/>
    </row>
    <row r="16" spans="1:34" s="1" customFormat="1" ht="12" customHeight="1" x14ac:dyDescent="0.3">
      <c r="A16" s="21">
        <v>301818</v>
      </c>
      <c r="B16" s="20" t="s">
        <v>578</v>
      </c>
      <c r="C16" s="22">
        <v>46283</v>
      </c>
      <c r="D16" s="22">
        <v>46283</v>
      </c>
      <c r="E16" s="20"/>
      <c r="F16" s="23" t="s">
        <v>629</v>
      </c>
      <c r="G16" s="23" t="s">
        <v>620</v>
      </c>
      <c r="H16" s="23" t="s">
        <v>607</v>
      </c>
      <c r="I16" s="23">
        <v>119713.91</v>
      </c>
      <c r="J16" s="23" t="s">
        <v>621</v>
      </c>
      <c r="K16" s="23" t="s">
        <v>393</v>
      </c>
      <c r="L16" s="23" t="s">
        <v>589</v>
      </c>
      <c r="M16" s="23">
        <v>1300.31</v>
      </c>
      <c r="N16" s="23">
        <v>18</v>
      </c>
      <c r="O16" s="23">
        <v>636</v>
      </c>
      <c r="P16" s="23" t="s">
        <v>622</v>
      </c>
      <c r="Q16" s="23">
        <v>24.76</v>
      </c>
      <c r="R16" s="23" t="s">
        <v>623</v>
      </c>
      <c r="S16" s="23">
        <v>343.28</v>
      </c>
      <c r="T16" s="23" t="s">
        <v>584</v>
      </c>
      <c r="U16" s="23">
        <v>137.94</v>
      </c>
      <c r="V16" s="23">
        <v>0</v>
      </c>
      <c r="W16" s="23">
        <v>0</v>
      </c>
      <c r="X16" s="23">
        <v>0</v>
      </c>
      <c r="Y16" s="23">
        <v>59.86</v>
      </c>
      <c r="Z16" s="23">
        <v>0</v>
      </c>
      <c r="AA16" s="23">
        <v>565.84</v>
      </c>
      <c r="AB16" s="23">
        <v>734.47</v>
      </c>
      <c r="AC16" s="23">
        <v>338.08</v>
      </c>
      <c r="AD16" s="23">
        <v>396.39</v>
      </c>
      <c r="AE16" s="23">
        <v>0</v>
      </c>
      <c r="AF16" s="23">
        <v>396.39</v>
      </c>
      <c r="AG16" s="25">
        <v>0.30480000000000002</v>
      </c>
      <c r="AH16" s="23"/>
    </row>
    <row r="17" spans="1:34" s="1" customFormat="1" ht="12" customHeight="1" x14ac:dyDescent="0.3">
      <c r="A17" s="21">
        <v>301819</v>
      </c>
      <c r="B17" s="20" t="s">
        <v>578</v>
      </c>
      <c r="C17" s="22">
        <v>46283</v>
      </c>
      <c r="D17" s="22">
        <v>46283</v>
      </c>
      <c r="E17" s="20"/>
      <c r="F17" s="23" t="s">
        <v>630</v>
      </c>
      <c r="G17" s="23" t="s">
        <v>620</v>
      </c>
      <c r="H17" s="23" t="s">
        <v>607</v>
      </c>
      <c r="I17" s="23">
        <v>8931.8799999999992</v>
      </c>
      <c r="J17" s="23" t="s">
        <v>621</v>
      </c>
      <c r="K17" s="23" t="s">
        <v>393</v>
      </c>
      <c r="L17" s="23" t="s">
        <v>589</v>
      </c>
      <c r="M17" s="23">
        <v>119.75</v>
      </c>
      <c r="N17" s="23">
        <v>2</v>
      </c>
      <c r="O17" s="23">
        <v>15</v>
      </c>
      <c r="P17" s="23" t="s">
        <v>622</v>
      </c>
      <c r="Q17" s="23">
        <v>0.57999999999999996</v>
      </c>
      <c r="R17" s="23" t="s">
        <v>623</v>
      </c>
      <c r="S17" s="23">
        <v>40</v>
      </c>
      <c r="T17" s="23" t="s">
        <v>584</v>
      </c>
      <c r="U17" s="23">
        <v>3.25</v>
      </c>
      <c r="V17" s="23">
        <v>0</v>
      </c>
      <c r="W17" s="23">
        <v>0</v>
      </c>
      <c r="X17" s="23">
        <v>0</v>
      </c>
      <c r="Y17" s="23">
        <v>4.47</v>
      </c>
      <c r="Z17" s="23">
        <v>0</v>
      </c>
      <c r="AA17" s="23">
        <v>48.3</v>
      </c>
      <c r="AB17" s="23">
        <v>71.45</v>
      </c>
      <c r="AC17" s="23">
        <v>31.14</v>
      </c>
      <c r="AD17" s="23">
        <v>40.31</v>
      </c>
      <c r="AE17" s="23">
        <v>0</v>
      </c>
      <c r="AF17" s="23">
        <v>40.31</v>
      </c>
      <c r="AG17" s="25">
        <v>0.33659999999999995</v>
      </c>
      <c r="AH17" s="23"/>
    </row>
    <row r="18" spans="1:34" s="1" customFormat="1" ht="12" customHeight="1" x14ac:dyDescent="0.3">
      <c r="A18" s="21">
        <v>301820</v>
      </c>
      <c r="B18" s="20" t="s">
        <v>578</v>
      </c>
      <c r="C18" s="22">
        <v>46283</v>
      </c>
      <c r="D18" s="22">
        <v>46283</v>
      </c>
      <c r="E18" s="20"/>
      <c r="F18" s="23" t="s">
        <v>631</v>
      </c>
      <c r="G18" s="23" t="s">
        <v>620</v>
      </c>
      <c r="H18" s="23" t="s">
        <v>607</v>
      </c>
      <c r="I18" s="23">
        <v>134241.72</v>
      </c>
      <c r="J18" s="23" t="s">
        <v>621</v>
      </c>
      <c r="K18" s="23" t="s">
        <v>393</v>
      </c>
      <c r="L18" s="23" t="s">
        <v>589</v>
      </c>
      <c r="M18" s="23">
        <v>2902.98</v>
      </c>
      <c r="N18" s="23">
        <v>18</v>
      </c>
      <c r="O18" s="23">
        <v>1167.9000000000001</v>
      </c>
      <c r="P18" s="23" t="s">
        <v>622</v>
      </c>
      <c r="Q18" s="23">
        <v>45.47</v>
      </c>
      <c r="R18" s="23" t="s">
        <v>604</v>
      </c>
      <c r="S18" s="23">
        <v>766.39</v>
      </c>
      <c r="T18" s="23" t="s">
        <v>584</v>
      </c>
      <c r="U18" s="23">
        <v>253.3</v>
      </c>
      <c r="V18" s="23">
        <v>0</v>
      </c>
      <c r="W18" s="23">
        <v>0</v>
      </c>
      <c r="X18" s="23">
        <v>0</v>
      </c>
      <c r="Y18" s="23">
        <v>67.12</v>
      </c>
      <c r="Z18" s="23">
        <v>0</v>
      </c>
      <c r="AA18" s="23">
        <v>1132.28</v>
      </c>
      <c r="AB18" s="23">
        <v>1770.7</v>
      </c>
      <c r="AC18" s="23">
        <v>754.77</v>
      </c>
      <c r="AD18" s="23">
        <v>1015.93</v>
      </c>
      <c r="AE18" s="23">
        <v>0</v>
      </c>
      <c r="AF18" s="23">
        <v>1015.93</v>
      </c>
      <c r="AG18" s="25">
        <v>0.35</v>
      </c>
      <c r="AH18" s="23"/>
    </row>
    <row r="19" spans="1:34" s="1" customFormat="1" ht="12" customHeight="1" x14ac:dyDescent="0.3">
      <c r="A19" s="21">
        <v>301822</v>
      </c>
      <c r="B19" s="20" t="s">
        <v>578</v>
      </c>
      <c r="C19" s="22">
        <v>46283</v>
      </c>
      <c r="D19" s="22">
        <v>46283</v>
      </c>
      <c r="E19" s="20"/>
      <c r="F19" s="23" t="s">
        <v>632</v>
      </c>
      <c r="G19" s="23" t="s">
        <v>620</v>
      </c>
      <c r="H19" s="23" t="s">
        <v>607</v>
      </c>
      <c r="I19" s="24">
        <v>390.84</v>
      </c>
      <c r="J19" s="23" t="s">
        <v>621</v>
      </c>
      <c r="K19" s="23" t="s">
        <v>393</v>
      </c>
      <c r="L19" s="23" t="s">
        <v>589</v>
      </c>
      <c r="M19" s="23">
        <v>85.59</v>
      </c>
      <c r="N19" s="23">
        <v>1</v>
      </c>
      <c r="O19" s="23">
        <v>0.9</v>
      </c>
      <c r="P19" s="23" t="s">
        <v>622</v>
      </c>
      <c r="Q19" s="23">
        <v>0.04</v>
      </c>
      <c r="R19" s="23" t="s">
        <v>623</v>
      </c>
      <c r="S19" s="23">
        <v>40</v>
      </c>
      <c r="T19" s="23" t="s">
        <v>584</v>
      </c>
      <c r="U19" s="23">
        <v>0.2</v>
      </c>
      <c r="V19" s="23">
        <v>0</v>
      </c>
      <c r="W19" s="23">
        <v>0</v>
      </c>
      <c r="X19" s="23">
        <v>0</v>
      </c>
      <c r="Y19" s="23">
        <v>0.2</v>
      </c>
      <c r="Z19" s="23">
        <v>0</v>
      </c>
      <c r="AA19" s="23">
        <v>40.44</v>
      </c>
      <c r="AB19" s="23">
        <v>45.15</v>
      </c>
      <c r="AC19" s="23">
        <v>22.25</v>
      </c>
      <c r="AD19" s="23">
        <v>22.9</v>
      </c>
      <c r="AE19" s="23">
        <v>0</v>
      </c>
      <c r="AF19" s="23">
        <v>22.9</v>
      </c>
      <c r="AG19" s="25">
        <v>0.2676</v>
      </c>
      <c r="AH19" s="23"/>
    </row>
    <row r="20" spans="1:34" s="1" customFormat="1" ht="12" customHeight="1" x14ac:dyDescent="0.3">
      <c r="A20" s="21">
        <v>301828</v>
      </c>
      <c r="B20" s="20" t="s">
        <v>390</v>
      </c>
      <c r="C20" s="22">
        <v>46281</v>
      </c>
      <c r="D20" s="22">
        <v>46283</v>
      </c>
      <c r="E20" s="20">
        <v>65740</v>
      </c>
      <c r="F20" s="23" t="s">
        <v>633</v>
      </c>
      <c r="G20" s="23" t="s">
        <v>634</v>
      </c>
      <c r="H20" s="23" t="s">
        <v>635</v>
      </c>
      <c r="I20" s="24">
        <v>1934.2</v>
      </c>
      <c r="J20" s="23" t="s">
        <v>588</v>
      </c>
      <c r="K20" s="23" t="s">
        <v>393</v>
      </c>
      <c r="L20" s="23" t="s">
        <v>589</v>
      </c>
      <c r="M20" s="23">
        <v>88.1</v>
      </c>
      <c r="N20" s="23">
        <v>3</v>
      </c>
      <c r="O20" s="23">
        <v>28.4</v>
      </c>
      <c r="P20" s="23" t="s">
        <v>636</v>
      </c>
      <c r="Q20" s="23">
        <v>5.08</v>
      </c>
      <c r="R20" s="23" t="s">
        <v>604</v>
      </c>
      <c r="S20" s="23">
        <v>40</v>
      </c>
      <c r="T20" s="23" t="s">
        <v>584</v>
      </c>
      <c r="U20" s="23">
        <v>6.16</v>
      </c>
      <c r="V20" s="23">
        <v>10.57</v>
      </c>
      <c r="W20" s="23">
        <v>0</v>
      </c>
      <c r="X20" s="23">
        <v>0</v>
      </c>
      <c r="Y20" s="23">
        <v>0.97</v>
      </c>
      <c r="Z20" s="23">
        <v>0</v>
      </c>
      <c r="AA20" s="23">
        <v>62.78</v>
      </c>
      <c r="AB20" s="23">
        <v>25.32</v>
      </c>
      <c r="AC20" s="23">
        <v>22.91</v>
      </c>
      <c r="AD20" s="23">
        <v>2.41</v>
      </c>
      <c r="AE20" s="23">
        <v>2.33</v>
      </c>
      <c r="AF20" s="23">
        <v>0.08</v>
      </c>
      <c r="AG20" s="25">
        <v>8.9999999999999998E-4</v>
      </c>
      <c r="AH20" s="23"/>
    </row>
    <row r="21" spans="1:34" s="1" customFormat="1" ht="12" customHeight="1" x14ac:dyDescent="0.3">
      <c r="A21" s="21">
        <v>301833</v>
      </c>
      <c r="B21" s="20" t="s">
        <v>390</v>
      </c>
      <c r="C21" s="22">
        <v>46281</v>
      </c>
      <c r="D21" s="22">
        <v>46283</v>
      </c>
      <c r="E21" s="20">
        <v>65741</v>
      </c>
      <c r="F21" s="23" t="s">
        <v>637</v>
      </c>
      <c r="G21" s="23" t="s">
        <v>638</v>
      </c>
      <c r="H21" s="23"/>
      <c r="I21" s="23">
        <v>9580</v>
      </c>
      <c r="J21" s="23" t="s">
        <v>588</v>
      </c>
      <c r="K21" s="23" t="s">
        <v>393</v>
      </c>
      <c r="L21" s="23" t="s">
        <v>617</v>
      </c>
      <c r="M21" s="23">
        <v>139</v>
      </c>
      <c r="N21" s="23">
        <v>4</v>
      </c>
      <c r="O21" s="23">
        <v>69.16</v>
      </c>
      <c r="P21" s="23" t="s">
        <v>639</v>
      </c>
      <c r="Q21" s="23">
        <v>700</v>
      </c>
      <c r="R21" s="23" t="s">
        <v>594</v>
      </c>
      <c r="S21" s="23">
        <v>50</v>
      </c>
      <c r="T21" s="23" t="s">
        <v>584</v>
      </c>
      <c r="U21" s="23">
        <v>15</v>
      </c>
      <c r="V21" s="23">
        <v>16.68</v>
      </c>
      <c r="W21" s="23">
        <v>0</v>
      </c>
      <c r="X21" s="23">
        <v>0</v>
      </c>
      <c r="Y21" s="23">
        <v>4.79</v>
      </c>
      <c r="Z21" s="23">
        <v>0</v>
      </c>
      <c r="AA21" s="23">
        <v>786.47</v>
      </c>
      <c r="AB21" s="23">
        <v>-647.47</v>
      </c>
      <c r="AC21" s="23">
        <v>36.14</v>
      </c>
      <c r="AD21" s="23">
        <v>-683.61</v>
      </c>
      <c r="AE21" s="23">
        <v>0</v>
      </c>
      <c r="AF21" s="23">
        <v>-683.61</v>
      </c>
      <c r="AG21" s="25">
        <v>-4.9180999999999999</v>
      </c>
      <c r="AH21" s="23"/>
    </row>
    <row r="22" spans="1:34" s="1" customFormat="1" ht="12" customHeight="1" x14ac:dyDescent="0.3">
      <c r="A22" s="21">
        <v>3222</v>
      </c>
      <c r="B22" s="20" t="s">
        <v>578</v>
      </c>
      <c r="C22" s="22">
        <v>46283</v>
      </c>
      <c r="D22" s="22">
        <v>46283</v>
      </c>
      <c r="E22" s="20"/>
      <c r="F22" s="23" t="s">
        <v>640</v>
      </c>
      <c r="G22" s="23" t="s">
        <v>641</v>
      </c>
      <c r="H22" s="23" t="s">
        <v>642</v>
      </c>
      <c r="I22" s="24">
        <v>6239.17</v>
      </c>
      <c r="J22" s="23" t="s">
        <v>643</v>
      </c>
      <c r="K22" s="23" t="s">
        <v>393</v>
      </c>
      <c r="L22" s="23" t="s">
        <v>600</v>
      </c>
      <c r="M22" s="23">
        <v>203.49</v>
      </c>
      <c r="N22" s="23">
        <v>14</v>
      </c>
      <c r="O22" s="23">
        <v>151.66999999999999</v>
      </c>
      <c r="P22" s="23" t="s">
        <v>644</v>
      </c>
      <c r="Q22" s="23">
        <v>10.56</v>
      </c>
      <c r="R22" s="23" t="s">
        <v>602</v>
      </c>
      <c r="S22" s="23">
        <v>53.72</v>
      </c>
      <c r="T22" s="23" t="s">
        <v>584</v>
      </c>
      <c r="U22" s="23">
        <v>48.15</v>
      </c>
      <c r="V22" s="23">
        <v>24.42</v>
      </c>
      <c r="W22" s="23">
        <v>0</v>
      </c>
      <c r="X22" s="23">
        <v>0</v>
      </c>
      <c r="Y22" s="23">
        <v>2.5</v>
      </c>
      <c r="Z22" s="23">
        <v>0</v>
      </c>
      <c r="AA22" s="23">
        <v>139.35</v>
      </c>
      <c r="AB22" s="23">
        <v>64.14</v>
      </c>
      <c r="AC22" s="23">
        <v>32.56</v>
      </c>
      <c r="AD22" s="23">
        <v>31.58</v>
      </c>
      <c r="AE22" s="23">
        <v>3.58</v>
      </c>
      <c r="AF22" s="23">
        <v>28</v>
      </c>
      <c r="AG22" s="25">
        <v>0.1376</v>
      </c>
      <c r="AH22" s="23"/>
    </row>
    <row r="23" spans="1:34" s="1" customFormat="1" ht="12" customHeight="1" x14ac:dyDescent="0.3">
      <c r="A23" s="21">
        <v>3223</v>
      </c>
      <c r="B23" s="20" t="s">
        <v>578</v>
      </c>
      <c r="C23" s="22">
        <v>46283</v>
      </c>
      <c r="D23" s="22">
        <v>46283</v>
      </c>
      <c r="E23" s="20"/>
      <c r="F23" s="23" t="s">
        <v>645</v>
      </c>
      <c r="G23" s="23" t="s">
        <v>641</v>
      </c>
      <c r="H23" s="23" t="s">
        <v>642</v>
      </c>
      <c r="I23" s="24">
        <v>17621.07</v>
      </c>
      <c r="J23" s="23" t="s">
        <v>643</v>
      </c>
      <c r="K23" s="23" t="s">
        <v>393</v>
      </c>
      <c r="L23" s="23" t="s">
        <v>600</v>
      </c>
      <c r="M23" s="23">
        <v>307.98</v>
      </c>
      <c r="N23" s="23">
        <v>28</v>
      </c>
      <c r="O23" s="23">
        <v>273</v>
      </c>
      <c r="P23" s="23" t="s">
        <v>644</v>
      </c>
      <c r="Q23" s="23">
        <v>19</v>
      </c>
      <c r="R23" s="23" t="s">
        <v>394</v>
      </c>
      <c r="S23" s="23">
        <v>0</v>
      </c>
      <c r="T23" s="23" t="s">
        <v>584</v>
      </c>
      <c r="U23" s="23">
        <v>72.88</v>
      </c>
      <c r="V23" s="23">
        <v>36.96</v>
      </c>
      <c r="W23" s="23">
        <v>0</v>
      </c>
      <c r="X23" s="23">
        <v>0</v>
      </c>
      <c r="Y23" s="23">
        <v>7.05</v>
      </c>
      <c r="Z23" s="23">
        <v>0</v>
      </c>
      <c r="AA23" s="23">
        <v>135.88999999999999</v>
      </c>
      <c r="AB23" s="23">
        <v>172.09</v>
      </c>
      <c r="AC23" s="23">
        <v>49.28</v>
      </c>
      <c r="AD23" s="23">
        <v>122.81</v>
      </c>
      <c r="AE23" s="23">
        <v>5.42</v>
      </c>
      <c r="AF23" s="23">
        <v>117.39</v>
      </c>
      <c r="AG23" s="25">
        <v>0.38119999999999998</v>
      </c>
      <c r="AH23" s="23"/>
    </row>
    <row r="24" spans="1:34" s="1" customFormat="1" ht="12" customHeight="1" x14ac:dyDescent="0.3">
      <c r="A24" s="21">
        <v>3224</v>
      </c>
      <c r="B24" s="20" t="s">
        <v>578</v>
      </c>
      <c r="C24" s="22">
        <v>46283</v>
      </c>
      <c r="D24" s="22">
        <v>46283</v>
      </c>
      <c r="E24" s="20"/>
      <c r="F24" s="23" t="s">
        <v>646</v>
      </c>
      <c r="G24" s="23" t="s">
        <v>641</v>
      </c>
      <c r="H24" s="23" t="s">
        <v>642</v>
      </c>
      <c r="I24" s="24">
        <v>21444.06</v>
      </c>
      <c r="J24" s="23" t="s">
        <v>643</v>
      </c>
      <c r="K24" s="23" t="s">
        <v>393</v>
      </c>
      <c r="L24" s="23" t="s">
        <v>600</v>
      </c>
      <c r="M24" s="23">
        <v>470.41</v>
      </c>
      <c r="N24" s="23">
        <v>55</v>
      </c>
      <c r="O24" s="23">
        <v>467.68</v>
      </c>
      <c r="P24" s="23" t="s">
        <v>644</v>
      </c>
      <c r="Q24" s="23">
        <v>32.549999999999997</v>
      </c>
      <c r="R24" s="23" t="s">
        <v>602</v>
      </c>
      <c r="S24" s="23">
        <v>124.19</v>
      </c>
      <c r="T24" s="23" t="s">
        <v>584</v>
      </c>
      <c r="U24" s="23">
        <v>111.32</v>
      </c>
      <c r="V24" s="23">
        <v>56.45</v>
      </c>
      <c r="W24" s="23">
        <v>0</v>
      </c>
      <c r="X24" s="23">
        <v>0</v>
      </c>
      <c r="Y24" s="23">
        <v>8.58</v>
      </c>
      <c r="Z24" s="23">
        <v>0</v>
      </c>
      <c r="AA24" s="23">
        <v>333.09</v>
      </c>
      <c r="AB24" s="23">
        <v>137.32</v>
      </c>
      <c r="AC24" s="23">
        <v>75.27</v>
      </c>
      <c r="AD24" s="23">
        <v>62.050000000000004</v>
      </c>
      <c r="AE24" s="23">
        <v>8.2799999999999994</v>
      </c>
      <c r="AF24" s="23">
        <v>53.77</v>
      </c>
      <c r="AG24" s="25">
        <v>0.1143</v>
      </c>
      <c r="AH24" s="23"/>
    </row>
    <row r="25" spans="1:34" s="1" customFormat="1" ht="12" customHeight="1" x14ac:dyDescent="0.3">
      <c r="A25" s="21">
        <v>3225</v>
      </c>
      <c r="B25" s="20" t="s">
        <v>578</v>
      </c>
      <c r="C25" s="22">
        <v>46283</v>
      </c>
      <c r="D25" s="22">
        <v>46283</v>
      </c>
      <c r="E25" s="20"/>
      <c r="F25" s="23" t="s">
        <v>647</v>
      </c>
      <c r="G25" s="23" t="s">
        <v>641</v>
      </c>
      <c r="H25" s="23" t="s">
        <v>642</v>
      </c>
      <c r="I25" s="24">
        <v>2371.89</v>
      </c>
      <c r="J25" s="23" t="s">
        <v>643</v>
      </c>
      <c r="K25" s="23" t="s">
        <v>393</v>
      </c>
      <c r="L25" s="23" t="s">
        <v>600</v>
      </c>
      <c r="M25" s="23">
        <v>111.4</v>
      </c>
      <c r="N25" s="23">
        <v>3</v>
      </c>
      <c r="O25" s="23">
        <v>21.67</v>
      </c>
      <c r="P25" s="23" t="s">
        <v>644</v>
      </c>
      <c r="Q25" s="23">
        <v>1.51</v>
      </c>
      <c r="R25" s="23" t="s">
        <v>602</v>
      </c>
      <c r="S25" s="23">
        <v>40</v>
      </c>
      <c r="T25" s="23" t="s">
        <v>584</v>
      </c>
      <c r="U25" s="23">
        <v>26.36</v>
      </c>
      <c r="V25" s="23">
        <v>13.37</v>
      </c>
      <c r="W25" s="23">
        <v>0</v>
      </c>
      <c r="X25" s="23">
        <v>0</v>
      </c>
      <c r="Y25" s="23">
        <v>0.95</v>
      </c>
      <c r="Z25" s="23">
        <v>0</v>
      </c>
      <c r="AA25" s="23">
        <v>82.19</v>
      </c>
      <c r="AB25" s="23">
        <v>29.21</v>
      </c>
      <c r="AC25" s="23">
        <v>17.82</v>
      </c>
      <c r="AD25" s="23">
        <v>11.39</v>
      </c>
      <c r="AE25" s="23">
        <v>1.96</v>
      </c>
      <c r="AF25" s="23">
        <v>9.43</v>
      </c>
      <c r="AG25" s="25">
        <v>8.4600000000000009E-2</v>
      </c>
      <c r="AH25" s="23"/>
    </row>
    <row r="26" spans="1:34" s="1" customFormat="1" ht="12" customHeight="1" x14ac:dyDescent="0.3">
      <c r="A26" s="21">
        <v>3226</v>
      </c>
      <c r="B26" s="20" t="s">
        <v>578</v>
      </c>
      <c r="C26" s="22">
        <v>46283</v>
      </c>
      <c r="D26" s="22">
        <v>46283</v>
      </c>
      <c r="E26" s="20"/>
      <c r="F26" s="23" t="s">
        <v>648</v>
      </c>
      <c r="G26" s="23" t="s">
        <v>641</v>
      </c>
      <c r="H26" s="23" t="s">
        <v>642</v>
      </c>
      <c r="I26" s="24">
        <v>4875.96</v>
      </c>
      <c r="J26" s="23" t="s">
        <v>643</v>
      </c>
      <c r="K26" s="23" t="s">
        <v>393</v>
      </c>
      <c r="L26" s="23" t="s">
        <v>589</v>
      </c>
      <c r="M26" s="23">
        <v>172.41</v>
      </c>
      <c r="N26" s="23">
        <v>9</v>
      </c>
      <c r="O26" s="23">
        <v>108.93</v>
      </c>
      <c r="P26" s="23" t="s">
        <v>644</v>
      </c>
      <c r="Q26" s="23">
        <v>7.58</v>
      </c>
      <c r="R26" s="23" t="s">
        <v>394</v>
      </c>
      <c r="S26" s="23">
        <v>0</v>
      </c>
      <c r="T26" s="23" t="s">
        <v>584</v>
      </c>
      <c r="U26" s="23">
        <v>40.799999999999997</v>
      </c>
      <c r="V26" s="23">
        <v>20.69</v>
      </c>
      <c r="W26" s="23">
        <v>0</v>
      </c>
      <c r="X26" s="23">
        <v>0</v>
      </c>
      <c r="Y26" s="23">
        <v>1.95</v>
      </c>
      <c r="Z26" s="23">
        <v>0</v>
      </c>
      <c r="AA26" s="23">
        <v>71.02</v>
      </c>
      <c r="AB26" s="23">
        <v>101.39</v>
      </c>
      <c r="AC26" s="23">
        <v>27.59</v>
      </c>
      <c r="AD26" s="23">
        <v>73.8</v>
      </c>
      <c r="AE26" s="23">
        <v>3.03</v>
      </c>
      <c r="AF26" s="23">
        <v>70.77</v>
      </c>
      <c r="AG26" s="25">
        <v>0.41049999999999998</v>
      </c>
      <c r="AH26" s="23"/>
    </row>
    <row r="27" spans="1:34" s="1" customFormat="1" ht="12" customHeight="1" x14ac:dyDescent="0.3">
      <c r="A27" s="21">
        <v>3227</v>
      </c>
      <c r="B27" s="20" t="s">
        <v>578</v>
      </c>
      <c r="C27" s="22">
        <v>46283</v>
      </c>
      <c r="D27" s="22">
        <v>46283</v>
      </c>
      <c r="E27" s="20"/>
      <c r="F27" s="23" t="s">
        <v>649</v>
      </c>
      <c r="G27" s="23" t="s">
        <v>641</v>
      </c>
      <c r="H27" s="23" t="s">
        <v>642</v>
      </c>
      <c r="I27" s="24">
        <v>4584.1099999999997</v>
      </c>
      <c r="J27" s="23" t="s">
        <v>643</v>
      </c>
      <c r="K27" s="23" t="s">
        <v>393</v>
      </c>
      <c r="L27" s="23" t="s">
        <v>589</v>
      </c>
      <c r="M27" s="23">
        <v>173.14</v>
      </c>
      <c r="N27" s="23">
        <v>10</v>
      </c>
      <c r="O27" s="23">
        <v>109.93</v>
      </c>
      <c r="P27" s="23" t="s">
        <v>644</v>
      </c>
      <c r="Q27" s="23">
        <v>7.65</v>
      </c>
      <c r="R27" s="23" t="s">
        <v>394</v>
      </c>
      <c r="S27" s="23">
        <v>0</v>
      </c>
      <c r="T27" s="23" t="s">
        <v>584</v>
      </c>
      <c r="U27" s="23">
        <v>40.97</v>
      </c>
      <c r="V27" s="23">
        <v>20.78</v>
      </c>
      <c r="W27" s="23">
        <v>0</v>
      </c>
      <c r="X27" s="23">
        <v>0</v>
      </c>
      <c r="Y27" s="23">
        <v>1.83</v>
      </c>
      <c r="Z27" s="23">
        <v>0</v>
      </c>
      <c r="AA27" s="23">
        <v>71.23</v>
      </c>
      <c r="AB27" s="23">
        <v>101.91</v>
      </c>
      <c r="AC27" s="23">
        <v>27.7</v>
      </c>
      <c r="AD27" s="23">
        <v>74.209999999999994</v>
      </c>
      <c r="AE27" s="23">
        <v>3.05</v>
      </c>
      <c r="AF27" s="23">
        <v>71.16</v>
      </c>
      <c r="AG27" s="25">
        <v>0.41100000000000003</v>
      </c>
      <c r="AH27" s="23"/>
    </row>
    <row r="28" spans="1:34" s="1" customFormat="1" ht="12" customHeight="1" x14ac:dyDescent="0.3">
      <c r="A28" s="21">
        <v>3228</v>
      </c>
      <c r="B28" s="20" t="s">
        <v>578</v>
      </c>
      <c r="C28" s="22">
        <v>46283</v>
      </c>
      <c r="D28" s="22">
        <v>46283</v>
      </c>
      <c r="E28" s="20"/>
      <c r="F28" s="23" t="s">
        <v>650</v>
      </c>
      <c r="G28" s="23" t="s">
        <v>641</v>
      </c>
      <c r="H28" s="23" t="s">
        <v>642</v>
      </c>
      <c r="I28" s="24">
        <v>5125.25</v>
      </c>
      <c r="J28" s="23" t="s">
        <v>643</v>
      </c>
      <c r="K28" s="23" t="s">
        <v>393</v>
      </c>
      <c r="L28" s="23" t="s">
        <v>600</v>
      </c>
      <c r="M28" s="23">
        <v>175.15</v>
      </c>
      <c r="N28" s="23">
        <v>20</v>
      </c>
      <c r="O28" s="23">
        <v>112.7</v>
      </c>
      <c r="P28" s="23" t="s">
        <v>644</v>
      </c>
      <c r="Q28" s="23">
        <v>7.84</v>
      </c>
      <c r="R28" s="23" t="s">
        <v>602</v>
      </c>
      <c r="S28" s="23">
        <v>46.24</v>
      </c>
      <c r="T28" s="23" t="s">
        <v>584</v>
      </c>
      <c r="U28" s="23">
        <v>41.45</v>
      </c>
      <c r="V28" s="23">
        <v>21.02</v>
      </c>
      <c r="W28" s="23">
        <v>0</v>
      </c>
      <c r="X28" s="23">
        <v>0</v>
      </c>
      <c r="Y28" s="23">
        <v>2.0499999999999998</v>
      </c>
      <c r="Z28" s="23">
        <v>0</v>
      </c>
      <c r="AA28" s="23">
        <v>118.6</v>
      </c>
      <c r="AB28" s="23">
        <v>56.55</v>
      </c>
      <c r="AC28" s="23">
        <v>28.02</v>
      </c>
      <c r="AD28" s="23">
        <v>28.53</v>
      </c>
      <c r="AE28" s="23">
        <v>3.08</v>
      </c>
      <c r="AF28" s="23">
        <v>25.45</v>
      </c>
      <c r="AG28" s="25">
        <v>0.14529999999999998</v>
      </c>
      <c r="AH28" s="23"/>
    </row>
    <row r="29" spans="1:34" s="1" customFormat="1" ht="12" customHeight="1" x14ac:dyDescent="0.3">
      <c r="A29" s="21">
        <v>3229</v>
      </c>
      <c r="B29" s="20" t="s">
        <v>578</v>
      </c>
      <c r="C29" s="22">
        <v>46283</v>
      </c>
      <c r="D29" s="22">
        <v>46283</v>
      </c>
      <c r="E29" s="20"/>
      <c r="F29" s="23" t="s">
        <v>651</v>
      </c>
      <c r="G29" s="23" t="s">
        <v>641</v>
      </c>
      <c r="H29" s="23" t="s">
        <v>642</v>
      </c>
      <c r="I29" s="23">
        <v>8251.66</v>
      </c>
      <c r="J29" s="23" t="s">
        <v>643</v>
      </c>
      <c r="K29" s="23" t="s">
        <v>393</v>
      </c>
      <c r="L29" s="23" t="s">
        <v>600</v>
      </c>
      <c r="M29" s="23">
        <v>232.24</v>
      </c>
      <c r="N29" s="23">
        <v>19</v>
      </c>
      <c r="O29" s="23">
        <v>191.21</v>
      </c>
      <c r="P29" s="23" t="s">
        <v>644</v>
      </c>
      <c r="Q29" s="23">
        <v>13.31</v>
      </c>
      <c r="R29" s="23" t="s">
        <v>602</v>
      </c>
      <c r="S29" s="23">
        <v>61.31</v>
      </c>
      <c r="T29" s="23" t="s">
        <v>584</v>
      </c>
      <c r="U29" s="23">
        <v>54.96</v>
      </c>
      <c r="V29" s="23">
        <v>27.87</v>
      </c>
      <c r="W29" s="23">
        <v>0</v>
      </c>
      <c r="X29" s="23">
        <v>0</v>
      </c>
      <c r="Y29" s="23">
        <v>3.3</v>
      </c>
      <c r="Z29" s="23">
        <v>0</v>
      </c>
      <c r="AA29" s="23">
        <v>160.75</v>
      </c>
      <c r="AB29" s="23">
        <v>71.489999999999995</v>
      </c>
      <c r="AC29" s="23">
        <v>37.159999999999997</v>
      </c>
      <c r="AD29" s="23">
        <v>34.33</v>
      </c>
      <c r="AE29" s="23">
        <v>4.09</v>
      </c>
      <c r="AF29" s="23">
        <v>30.24</v>
      </c>
      <c r="AG29" s="25">
        <v>0.13019999999999998</v>
      </c>
      <c r="AH29" s="23"/>
    </row>
    <row r="30" spans="1:34" s="1" customFormat="1" ht="12" customHeight="1" x14ac:dyDescent="0.3">
      <c r="A30" s="21">
        <v>3237</v>
      </c>
      <c r="B30" s="20" t="s">
        <v>578</v>
      </c>
      <c r="C30" s="22">
        <v>46283</v>
      </c>
      <c r="D30" s="22">
        <v>46283</v>
      </c>
      <c r="E30" s="20"/>
      <c r="F30" s="23" t="s">
        <v>652</v>
      </c>
      <c r="G30" s="23" t="s">
        <v>653</v>
      </c>
      <c r="H30" s="23" t="s">
        <v>599</v>
      </c>
      <c r="I30" s="24">
        <v>241072.44</v>
      </c>
      <c r="J30" s="23" t="s">
        <v>392</v>
      </c>
      <c r="K30" s="23" t="s">
        <v>393</v>
      </c>
      <c r="L30" s="23" t="s">
        <v>600</v>
      </c>
      <c r="M30" s="23">
        <v>969.03</v>
      </c>
      <c r="N30" s="23">
        <v>62</v>
      </c>
      <c r="O30" s="23">
        <v>121.07</v>
      </c>
      <c r="P30" s="23" t="s">
        <v>654</v>
      </c>
      <c r="Q30" s="23">
        <v>31.24</v>
      </c>
      <c r="R30" s="23" t="s">
        <v>655</v>
      </c>
      <c r="S30" s="23">
        <v>0</v>
      </c>
      <c r="T30" s="23" t="s">
        <v>584</v>
      </c>
      <c r="U30" s="23">
        <v>229.31</v>
      </c>
      <c r="V30" s="23">
        <v>116.28</v>
      </c>
      <c r="W30" s="23">
        <v>0</v>
      </c>
      <c r="X30" s="23">
        <v>0</v>
      </c>
      <c r="Y30" s="23">
        <v>96.43</v>
      </c>
      <c r="Z30" s="23">
        <v>0</v>
      </c>
      <c r="AA30" s="23">
        <v>473.26</v>
      </c>
      <c r="AB30" s="23">
        <v>495.77</v>
      </c>
      <c r="AC30" s="23">
        <v>155.04</v>
      </c>
      <c r="AD30" s="23">
        <v>340.72999999999996</v>
      </c>
      <c r="AE30" s="23">
        <v>8.5299999999999994</v>
      </c>
      <c r="AF30" s="23">
        <v>332.2</v>
      </c>
      <c r="AG30" s="25">
        <v>0.34279999999999999</v>
      </c>
      <c r="AH30" s="23"/>
    </row>
    <row r="31" spans="1:34" s="1" customFormat="1" ht="12" customHeight="1" x14ac:dyDescent="0.3">
      <c r="A31" s="21">
        <v>3238</v>
      </c>
      <c r="B31" s="20" t="s">
        <v>578</v>
      </c>
      <c r="C31" s="22">
        <v>46283</v>
      </c>
      <c r="D31" s="22">
        <v>46283</v>
      </c>
      <c r="E31" s="20"/>
      <c r="F31" s="23" t="s">
        <v>656</v>
      </c>
      <c r="G31" s="23" t="s">
        <v>653</v>
      </c>
      <c r="H31" s="23" t="s">
        <v>599</v>
      </c>
      <c r="I31" s="24">
        <v>296260.37</v>
      </c>
      <c r="J31" s="23" t="s">
        <v>392</v>
      </c>
      <c r="K31" s="23" t="s">
        <v>393</v>
      </c>
      <c r="L31" s="23" t="s">
        <v>600</v>
      </c>
      <c r="M31" s="23">
        <v>1410.53</v>
      </c>
      <c r="N31" s="23">
        <v>184</v>
      </c>
      <c r="O31" s="23">
        <v>460.22</v>
      </c>
      <c r="P31" s="23" t="s">
        <v>654</v>
      </c>
      <c r="Q31" s="23">
        <v>118.76</v>
      </c>
      <c r="R31" s="23" t="s">
        <v>604</v>
      </c>
      <c r="S31" s="23">
        <v>372.38</v>
      </c>
      <c r="T31" s="23" t="s">
        <v>584</v>
      </c>
      <c r="U31" s="23">
        <v>333.79</v>
      </c>
      <c r="V31" s="23">
        <v>169.26</v>
      </c>
      <c r="W31" s="23">
        <v>0</v>
      </c>
      <c r="X31" s="23">
        <v>0</v>
      </c>
      <c r="Y31" s="23">
        <v>118.5</v>
      </c>
      <c r="Z31" s="23">
        <v>0</v>
      </c>
      <c r="AA31" s="23">
        <v>1112.69</v>
      </c>
      <c r="AB31" s="23">
        <v>297.83999999999997</v>
      </c>
      <c r="AC31" s="23">
        <v>225.68</v>
      </c>
      <c r="AD31" s="23">
        <v>72.16</v>
      </c>
      <c r="AE31" s="23">
        <v>12.41</v>
      </c>
      <c r="AF31" s="23">
        <v>59.75</v>
      </c>
      <c r="AG31" s="25">
        <v>4.24E-2</v>
      </c>
      <c r="AH31" s="23"/>
    </row>
    <row r="32" spans="1:34" s="1" customFormat="1" ht="12" customHeight="1" x14ac:dyDescent="0.3">
      <c r="A32" s="21">
        <v>3701</v>
      </c>
      <c r="B32" s="20" t="s">
        <v>578</v>
      </c>
      <c r="C32" s="22">
        <v>46283</v>
      </c>
      <c r="D32" s="22">
        <v>46283</v>
      </c>
      <c r="E32" s="20"/>
      <c r="F32" s="23" t="s">
        <v>657</v>
      </c>
      <c r="G32" s="23" t="s">
        <v>658</v>
      </c>
      <c r="H32" s="23" t="s">
        <v>659</v>
      </c>
      <c r="I32" s="23">
        <v>4208.5200000000004</v>
      </c>
      <c r="J32" s="23" t="s">
        <v>660</v>
      </c>
      <c r="K32" s="23" t="s">
        <v>393</v>
      </c>
      <c r="L32" s="23" t="s">
        <v>589</v>
      </c>
      <c r="M32" s="23">
        <v>76.540000000000006</v>
      </c>
      <c r="N32" s="23">
        <v>1</v>
      </c>
      <c r="O32" s="23">
        <v>5.25</v>
      </c>
      <c r="P32" s="23" t="s">
        <v>661</v>
      </c>
      <c r="Q32" s="23">
        <v>0.93</v>
      </c>
      <c r="R32" s="23" t="s">
        <v>394</v>
      </c>
      <c r="S32" s="23">
        <v>0</v>
      </c>
      <c r="T32" s="23" t="s">
        <v>584</v>
      </c>
      <c r="U32" s="23">
        <v>2.94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3.87</v>
      </c>
      <c r="AB32" s="23">
        <v>72.67</v>
      </c>
      <c r="AC32" s="23">
        <v>19.899999999999999</v>
      </c>
      <c r="AD32" s="23">
        <v>52.77</v>
      </c>
      <c r="AE32" s="23">
        <v>0.77</v>
      </c>
      <c r="AF32" s="23">
        <v>52</v>
      </c>
      <c r="AG32" s="25">
        <v>0.6794</v>
      </c>
      <c r="AH32" s="23"/>
    </row>
    <row r="33" spans="1:34" s="1" customFormat="1" ht="12" customHeight="1" x14ac:dyDescent="0.3">
      <c r="A33" s="21">
        <v>3702</v>
      </c>
      <c r="B33" s="20" t="s">
        <v>578</v>
      </c>
      <c r="C33" s="22">
        <v>46283</v>
      </c>
      <c r="D33" s="22">
        <v>46283</v>
      </c>
      <c r="E33" s="20"/>
      <c r="F33" s="23" t="s">
        <v>662</v>
      </c>
      <c r="G33" s="23" t="s">
        <v>658</v>
      </c>
      <c r="H33" s="23" t="s">
        <v>659</v>
      </c>
      <c r="I33" s="23">
        <v>547.66</v>
      </c>
      <c r="J33" s="23" t="s">
        <v>660</v>
      </c>
      <c r="K33" s="23" t="s">
        <v>393</v>
      </c>
      <c r="L33" s="23" t="s">
        <v>589</v>
      </c>
      <c r="M33" s="23">
        <v>9.9600000000000009</v>
      </c>
      <c r="N33" s="23">
        <v>1</v>
      </c>
      <c r="O33" s="23">
        <v>1.54</v>
      </c>
      <c r="P33" s="23" t="s">
        <v>661</v>
      </c>
      <c r="Q33" s="23">
        <v>0.27</v>
      </c>
      <c r="R33" s="23" t="s">
        <v>394</v>
      </c>
      <c r="S33" s="23">
        <v>0</v>
      </c>
      <c r="T33" s="23" t="s">
        <v>584</v>
      </c>
      <c r="U33" s="23">
        <v>0.38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0.65</v>
      </c>
      <c r="AB33" s="23">
        <v>9.31</v>
      </c>
      <c r="AC33" s="23">
        <v>2.59</v>
      </c>
      <c r="AD33" s="23">
        <v>6.72</v>
      </c>
      <c r="AE33" s="23">
        <v>0.1</v>
      </c>
      <c r="AF33" s="23">
        <v>6.62</v>
      </c>
      <c r="AG33" s="25">
        <v>0.66469999999999996</v>
      </c>
      <c r="AH33" s="23"/>
    </row>
    <row r="34" spans="1:34" s="1" customFormat="1" ht="12" customHeight="1" x14ac:dyDescent="0.3">
      <c r="A34" s="21">
        <v>3703</v>
      </c>
      <c r="B34" s="20" t="s">
        <v>578</v>
      </c>
      <c r="C34" s="22">
        <v>46283</v>
      </c>
      <c r="D34" s="22">
        <v>46283</v>
      </c>
      <c r="E34" s="20"/>
      <c r="F34" s="23" t="s">
        <v>663</v>
      </c>
      <c r="G34" s="23" t="s">
        <v>658</v>
      </c>
      <c r="H34" s="23" t="s">
        <v>659</v>
      </c>
      <c r="I34" s="24">
        <v>1036.43</v>
      </c>
      <c r="J34" s="23" t="s">
        <v>660</v>
      </c>
      <c r="K34" s="23" t="s">
        <v>393</v>
      </c>
      <c r="L34" s="23" t="s">
        <v>589</v>
      </c>
      <c r="M34" s="23">
        <v>18.850000000000001</v>
      </c>
      <c r="N34" s="23">
        <v>1</v>
      </c>
      <c r="O34" s="23">
        <v>2.88</v>
      </c>
      <c r="P34" s="23" t="s">
        <v>661</v>
      </c>
      <c r="Q34" s="23">
        <v>0.51</v>
      </c>
      <c r="R34" s="23" t="s">
        <v>394</v>
      </c>
      <c r="S34" s="23">
        <v>0</v>
      </c>
      <c r="T34" s="23" t="s">
        <v>584</v>
      </c>
      <c r="U34" s="23">
        <v>0.72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1.23</v>
      </c>
      <c r="AB34" s="23">
        <v>17.62</v>
      </c>
      <c r="AC34" s="23">
        <v>4.9000000000000004</v>
      </c>
      <c r="AD34" s="23">
        <v>12.719999999999999</v>
      </c>
      <c r="AE34" s="23">
        <v>0.19</v>
      </c>
      <c r="AF34" s="23">
        <v>12.53</v>
      </c>
      <c r="AG34" s="25">
        <v>0.66469999999999996</v>
      </c>
      <c r="AH34" s="23"/>
    </row>
    <row r="35" spans="1:34" s="1" customFormat="1" ht="12" customHeight="1" x14ac:dyDescent="0.3">
      <c r="A35" s="21">
        <v>3704</v>
      </c>
      <c r="B35" s="20" t="s">
        <v>578</v>
      </c>
      <c r="C35" s="22">
        <v>46283</v>
      </c>
      <c r="D35" s="22">
        <v>46283</v>
      </c>
      <c r="E35" s="20"/>
      <c r="F35" s="23" t="s">
        <v>664</v>
      </c>
      <c r="G35" s="23" t="s">
        <v>658</v>
      </c>
      <c r="H35" s="23" t="s">
        <v>659</v>
      </c>
      <c r="I35" s="23">
        <v>34800</v>
      </c>
      <c r="J35" s="23" t="s">
        <v>660</v>
      </c>
      <c r="K35" s="23" t="s">
        <v>393</v>
      </c>
      <c r="L35" s="23" t="s">
        <v>589</v>
      </c>
      <c r="M35" s="23">
        <v>632.94000000000005</v>
      </c>
      <c r="N35" s="23">
        <v>5</v>
      </c>
      <c r="O35" s="23">
        <v>65.7</v>
      </c>
      <c r="P35" s="23" t="s">
        <v>661</v>
      </c>
      <c r="Q35" s="23">
        <v>11.63</v>
      </c>
      <c r="R35" s="23" t="s">
        <v>394</v>
      </c>
      <c r="S35" s="23">
        <v>0</v>
      </c>
      <c r="T35" s="23" t="s">
        <v>584</v>
      </c>
      <c r="U35" s="23">
        <v>24.33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35.96</v>
      </c>
      <c r="AB35" s="23">
        <v>596.98</v>
      </c>
      <c r="AC35" s="23">
        <v>164.56</v>
      </c>
      <c r="AD35" s="23">
        <v>432.41999999999996</v>
      </c>
      <c r="AE35" s="23">
        <v>6.33</v>
      </c>
      <c r="AF35" s="23">
        <v>426.09</v>
      </c>
      <c r="AG35" s="25">
        <v>0.67319999999999991</v>
      </c>
      <c r="AH35" s="23"/>
    </row>
    <row r="36" spans="1:34" s="1" customFormat="1" ht="12" customHeight="1" x14ac:dyDescent="0.3">
      <c r="A36" s="21">
        <v>3705</v>
      </c>
      <c r="B36" s="20" t="s">
        <v>578</v>
      </c>
      <c r="C36" s="22">
        <v>46283</v>
      </c>
      <c r="D36" s="22">
        <v>46283</v>
      </c>
      <c r="E36" s="20"/>
      <c r="F36" s="23" t="s">
        <v>665</v>
      </c>
      <c r="G36" s="23" t="s">
        <v>658</v>
      </c>
      <c r="H36" s="23" t="s">
        <v>659</v>
      </c>
      <c r="I36" s="24">
        <v>2040.8</v>
      </c>
      <c r="J36" s="23" t="s">
        <v>660</v>
      </c>
      <c r="K36" s="23" t="s">
        <v>393</v>
      </c>
      <c r="L36" s="23" t="s">
        <v>589</v>
      </c>
      <c r="M36" s="23">
        <v>37.119999999999997</v>
      </c>
      <c r="N36" s="23">
        <v>1</v>
      </c>
      <c r="O36" s="23">
        <v>0.71</v>
      </c>
      <c r="P36" s="23" t="s">
        <v>661</v>
      </c>
      <c r="Q36" s="23">
        <v>0.13</v>
      </c>
      <c r="R36" s="23" t="s">
        <v>394</v>
      </c>
      <c r="S36" s="23">
        <v>0</v>
      </c>
      <c r="T36" s="23" t="s">
        <v>584</v>
      </c>
      <c r="U36" s="23">
        <v>1.43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1.56</v>
      </c>
      <c r="AB36" s="23">
        <v>35.56</v>
      </c>
      <c r="AC36" s="23">
        <v>9.65</v>
      </c>
      <c r="AD36" s="23">
        <v>25.91</v>
      </c>
      <c r="AE36" s="23">
        <v>0.37</v>
      </c>
      <c r="AF36" s="23">
        <v>25.54</v>
      </c>
      <c r="AG36" s="25">
        <v>0.68799999999999994</v>
      </c>
      <c r="AH36" s="23"/>
    </row>
    <row r="37" spans="1:34" s="1" customFormat="1" ht="12" customHeight="1" x14ac:dyDescent="0.3">
      <c r="A37" s="21">
        <v>3706</v>
      </c>
      <c r="B37" s="20" t="s">
        <v>578</v>
      </c>
      <c r="C37" s="22">
        <v>46283</v>
      </c>
      <c r="D37" s="22">
        <v>46283</v>
      </c>
      <c r="E37" s="20"/>
      <c r="F37" s="23" t="s">
        <v>666</v>
      </c>
      <c r="G37" s="23" t="s">
        <v>658</v>
      </c>
      <c r="H37" s="23" t="s">
        <v>659</v>
      </c>
      <c r="I37" s="24">
        <v>12100</v>
      </c>
      <c r="J37" s="23" t="s">
        <v>660</v>
      </c>
      <c r="K37" s="23" t="s">
        <v>393</v>
      </c>
      <c r="L37" s="23" t="s">
        <v>589</v>
      </c>
      <c r="M37" s="23">
        <v>220.07</v>
      </c>
      <c r="N37" s="23">
        <v>11</v>
      </c>
      <c r="O37" s="23">
        <v>17.600000000000001</v>
      </c>
      <c r="P37" s="23" t="s">
        <v>661</v>
      </c>
      <c r="Q37" s="23">
        <v>3.12</v>
      </c>
      <c r="R37" s="23" t="s">
        <v>394</v>
      </c>
      <c r="S37" s="23">
        <v>0</v>
      </c>
      <c r="T37" s="23" t="s">
        <v>584</v>
      </c>
      <c r="U37" s="23">
        <v>8.4600000000000009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11.58</v>
      </c>
      <c r="AB37" s="23">
        <v>208.49</v>
      </c>
      <c r="AC37" s="23">
        <v>57.22</v>
      </c>
      <c r="AD37" s="23">
        <v>151.26999999999998</v>
      </c>
      <c r="AE37" s="23">
        <v>2.2000000000000002</v>
      </c>
      <c r="AF37" s="23">
        <v>149.07</v>
      </c>
      <c r="AG37" s="25">
        <v>0.6774</v>
      </c>
      <c r="AH37" s="23"/>
    </row>
    <row r="38" spans="1:34" s="1" customFormat="1" ht="12" customHeight="1" x14ac:dyDescent="0.3">
      <c r="A38" s="21">
        <v>3707</v>
      </c>
      <c r="B38" s="20" t="s">
        <v>578</v>
      </c>
      <c r="C38" s="22">
        <v>46283</v>
      </c>
      <c r="D38" s="22">
        <v>46283</v>
      </c>
      <c r="E38" s="20"/>
      <c r="F38" s="23" t="s">
        <v>667</v>
      </c>
      <c r="G38" s="23" t="s">
        <v>658</v>
      </c>
      <c r="H38" s="23" t="s">
        <v>659</v>
      </c>
      <c r="I38" s="24">
        <v>3516.73</v>
      </c>
      <c r="J38" s="23" t="s">
        <v>660</v>
      </c>
      <c r="K38" s="23" t="s">
        <v>393</v>
      </c>
      <c r="L38" s="23" t="s">
        <v>589</v>
      </c>
      <c r="M38" s="23">
        <v>63.96</v>
      </c>
      <c r="N38" s="23">
        <v>1</v>
      </c>
      <c r="O38" s="23">
        <v>5</v>
      </c>
      <c r="P38" s="23" t="s">
        <v>661</v>
      </c>
      <c r="Q38" s="23">
        <v>0.88</v>
      </c>
      <c r="R38" s="23" t="s">
        <v>394</v>
      </c>
      <c r="S38" s="23">
        <v>0</v>
      </c>
      <c r="T38" s="23" t="s">
        <v>584</v>
      </c>
      <c r="U38" s="23">
        <v>2.46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3.34</v>
      </c>
      <c r="AB38" s="23">
        <v>60.62</v>
      </c>
      <c r="AC38" s="23">
        <v>16.63</v>
      </c>
      <c r="AD38" s="23">
        <v>43.99</v>
      </c>
      <c r="AE38" s="23">
        <v>0.64</v>
      </c>
      <c r="AF38" s="23">
        <v>43.35</v>
      </c>
      <c r="AG38" s="25">
        <v>0.67779999999999996</v>
      </c>
      <c r="AH38" s="23"/>
    </row>
    <row r="39" spans="1:34" s="1" customFormat="1" ht="12" customHeight="1" x14ac:dyDescent="0.3">
      <c r="A39" s="21">
        <v>3708</v>
      </c>
      <c r="B39" s="20" t="s">
        <v>578</v>
      </c>
      <c r="C39" s="22">
        <v>46283</v>
      </c>
      <c r="D39" s="22">
        <v>46283</v>
      </c>
      <c r="E39" s="20"/>
      <c r="F39" s="23" t="s">
        <v>668</v>
      </c>
      <c r="G39" s="23" t="s">
        <v>658</v>
      </c>
      <c r="H39" s="23" t="s">
        <v>659</v>
      </c>
      <c r="I39" s="24">
        <v>3193.9</v>
      </c>
      <c r="J39" s="23" t="s">
        <v>660</v>
      </c>
      <c r="K39" s="23" t="s">
        <v>393</v>
      </c>
      <c r="L39" s="23" t="s">
        <v>589</v>
      </c>
      <c r="M39" s="23">
        <v>58.09</v>
      </c>
      <c r="N39" s="23">
        <v>1</v>
      </c>
      <c r="O39" s="23">
        <v>0.48</v>
      </c>
      <c r="P39" s="23" t="s">
        <v>661</v>
      </c>
      <c r="Q39" s="23">
        <v>0.08</v>
      </c>
      <c r="R39" s="23" t="s">
        <v>394</v>
      </c>
      <c r="S39" s="23">
        <v>0</v>
      </c>
      <c r="T39" s="23" t="s">
        <v>584</v>
      </c>
      <c r="U39" s="23">
        <v>2.23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2.31</v>
      </c>
      <c r="AB39" s="23">
        <v>55.78</v>
      </c>
      <c r="AC39" s="23">
        <v>15.1</v>
      </c>
      <c r="AD39" s="23">
        <v>40.68</v>
      </c>
      <c r="AE39" s="23">
        <v>0.57999999999999996</v>
      </c>
      <c r="AF39" s="23">
        <v>40.1</v>
      </c>
      <c r="AG39" s="25">
        <v>0.69030000000000002</v>
      </c>
      <c r="AH39" s="23"/>
    </row>
    <row r="40" spans="1:34" s="1" customFormat="1" ht="12" customHeight="1" x14ac:dyDescent="0.3">
      <c r="A40" s="21">
        <v>3709</v>
      </c>
      <c r="B40" s="20" t="s">
        <v>578</v>
      </c>
      <c r="C40" s="22">
        <v>46283</v>
      </c>
      <c r="D40" s="22">
        <v>46283</v>
      </c>
      <c r="E40" s="20"/>
      <c r="F40" s="23" t="s">
        <v>669</v>
      </c>
      <c r="G40" s="23" t="s">
        <v>658</v>
      </c>
      <c r="H40" s="23" t="s">
        <v>659</v>
      </c>
      <c r="I40" s="24">
        <v>6140.73</v>
      </c>
      <c r="J40" s="23" t="s">
        <v>660</v>
      </c>
      <c r="K40" s="23" t="s">
        <v>393</v>
      </c>
      <c r="L40" s="23" t="s">
        <v>589</v>
      </c>
      <c r="M40" s="23">
        <v>111.69</v>
      </c>
      <c r="N40" s="23">
        <v>3</v>
      </c>
      <c r="O40" s="23">
        <v>31.96</v>
      </c>
      <c r="P40" s="23" t="s">
        <v>661</v>
      </c>
      <c r="Q40" s="23">
        <v>5.66</v>
      </c>
      <c r="R40" s="23" t="s">
        <v>394</v>
      </c>
      <c r="S40" s="23">
        <v>0</v>
      </c>
      <c r="T40" s="23" t="s">
        <v>584</v>
      </c>
      <c r="U40" s="23">
        <v>4.29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9.9499999999999993</v>
      </c>
      <c r="AB40" s="23">
        <v>101.74</v>
      </c>
      <c r="AC40" s="23">
        <v>29.04</v>
      </c>
      <c r="AD40" s="23">
        <v>72.7</v>
      </c>
      <c r="AE40" s="23">
        <v>1.1200000000000001</v>
      </c>
      <c r="AF40" s="23">
        <v>71.58</v>
      </c>
      <c r="AG40" s="25">
        <v>0.64090000000000003</v>
      </c>
      <c r="AH40" s="23"/>
    </row>
    <row r="41" spans="1:34" s="1" customFormat="1" ht="12" customHeight="1" x14ac:dyDescent="0.3">
      <c r="A41" s="21">
        <v>3710</v>
      </c>
      <c r="B41" s="20" t="s">
        <v>578</v>
      </c>
      <c r="C41" s="22">
        <v>46283</v>
      </c>
      <c r="D41" s="22">
        <v>46283</v>
      </c>
      <c r="E41" s="20"/>
      <c r="F41" s="23" t="s">
        <v>670</v>
      </c>
      <c r="G41" s="23" t="s">
        <v>658</v>
      </c>
      <c r="H41" s="23" t="s">
        <v>659</v>
      </c>
      <c r="I41" s="24">
        <v>1095.32</v>
      </c>
      <c r="J41" s="23" t="s">
        <v>660</v>
      </c>
      <c r="K41" s="23" t="s">
        <v>393</v>
      </c>
      <c r="L41" s="23" t="s">
        <v>589</v>
      </c>
      <c r="M41" s="23">
        <v>19.920000000000002</v>
      </c>
      <c r="N41" s="23">
        <v>1</v>
      </c>
      <c r="O41" s="23">
        <v>2.74</v>
      </c>
      <c r="P41" s="23" t="s">
        <v>661</v>
      </c>
      <c r="Q41" s="23">
        <v>0.48</v>
      </c>
      <c r="R41" s="23" t="s">
        <v>394</v>
      </c>
      <c r="S41" s="23">
        <v>0</v>
      </c>
      <c r="T41" s="23" t="s">
        <v>584</v>
      </c>
      <c r="U41" s="23">
        <v>0.77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1.25</v>
      </c>
      <c r="AB41" s="23">
        <v>18.670000000000002</v>
      </c>
      <c r="AC41" s="23">
        <v>5.18</v>
      </c>
      <c r="AD41" s="23">
        <v>13.489999999999998</v>
      </c>
      <c r="AE41" s="23">
        <v>0.2</v>
      </c>
      <c r="AF41" s="23">
        <v>13.29</v>
      </c>
      <c r="AG41" s="25">
        <v>0.66720000000000002</v>
      </c>
      <c r="AH41" s="23"/>
    </row>
    <row r="42" spans="1:34" s="1" customFormat="1" ht="12" customHeight="1" x14ac:dyDescent="0.3">
      <c r="A42" s="21">
        <v>3711</v>
      </c>
      <c r="B42" s="20" t="s">
        <v>578</v>
      </c>
      <c r="C42" s="22">
        <v>46283</v>
      </c>
      <c r="D42" s="22">
        <v>46283</v>
      </c>
      <c r="E42" s="20"/>
      <c r="F42" s="23" t="s">
        <v>671</v>
      </c>
      <c r="G42" s="23" t="s">
        <v>658</v>
      </c>
      <c r="H42" s="23" t="s">
        <v>659</v>
      </c>
      <c r="I42" s="24">
        <v>1331.14</v>
      </c>
      <c r="J42" s="23" t="s">
        <v>660</v>
      </c>
      <c r="K42" s="23" t="s">
        <v>393</v>
      </c>
      <c r="L42" s="23" t="s">
        <v>589</v>
      </c>
      <c r="M42" s="23">
        <v>24.21</v>
      </c>
      <c r="N42" s="23">
        <v>1</v>
      </c>
      <c r="O42" s="23">
        <v>3.95</v>
      </c>
      <c r="P42" s="23" t="s">
        <v>661</v>
      </c>
      <c r="Q42" s="23">
        <v>0.7</v>
      </c>
      <c r="R42" s="23" t="s">
        <v>394</v>
      </c>
      <c r="S42" s="23">
        <v>0</v>
      </c>
      <c r="T42" s="23" t="s">
        <v>584</v>
      </c>
      <c r="U42" s="23">
        <v>0.93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1.63</v>
      </c>
      <c r="AB42" s="23">
        <v>22.58</v>
      </c>
      <c r="AC42" s="23">
        <v>6.29</v>
      </c>
      <c r="AD42" s="23">
        <v>16.29</v>
      </c>
      <c r="AE42" s="23">
        <v>0.24</v>
      </c>
      <c r="AF42" s="23">
        <v>16.05</v>
      </c>
      <c r="AG42" s="25">
        <v>0.66290000000000004</v>
      </c>
      <c r="AH42" s="23"/>
    </row>
    <row r="43" spans="1:34" s="1" customFormat="1" ht="13.2" customHeight="1" x14ac:dyDescent="0.3">
      <c r="A43" s="21">
        <v>3712</v>
      </c>
      <c r="B43" s="20" t="s">
        <v>578</v>
      </c>
      <c r="C43" s="22">
        <v>46283</v>
      </c>
      <c r="D43" s="22">
        <v>46283</v>
      </c>
      <c r="E43" s="20"/>
      <c r="F43" s="23" t="s">
        <v>672</v>
      </c>
      <c r="G43" s="23" t="s">
        <v>658</v>
      </c>
      <c r="H43" s="23" t="s">
        <v>659</v>
      </c>
      <c r="I43" s="24">
        <v>13187.73</v>
      </c>
      <c r="J43" s="23" t="s">
        <v>660</v>
      </c>
      <c r="K43" s="23" t="s">
        <v>393</v>
      </c>
      <c r="L43" s="23" t="s">
        <v>589</v>
      </c>
      <c r="M43" s="23">
        <v>239.86</v>
      </c>
      <c r="N43" s="23">
        <v>2</v>
      </c>
      <c r="O43" s="23">
        <v>19.100000000000001</v>
      </c>
      <c r="P43" s="23" t="s">
        <v>661</v>
      </c>
      <c r="Q43" s="23">
        <v>3.38</v>
      </c>
      <c r="R43" s="23" t="s">
        <v>394</v>
      </c>
      <c r="S43" s="23">
        <v>0</v>
      </c>
      <c r="T43" s="23" t="s">
        <v>584</v>
      </c>
      <c r="U43" s="23">
        <v>9.2200000000000006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12.6</v>
      </c>
      <c r="AB43" s="23">
        <v>227.26</v>
      </c>
      <c r="AC43" s="23">
        <v>62.36</v>
      </c>
      <c r="AD43" s="23">
        <v>164.9</v>
      </c>
      <c r="AE43" s="23">
        <v>2.4</v>
      </c>
      <c r="AF43" s="23">
        <v>162.5</v>
      </c>
      <c r="AG43" s="25">
        <v>0.67749999999999999</v>
      </c>
      <c r="AH43" s="23"/>
    </row>
    <row r="44" spans="1:34" s="1" customFormat="1" ht="13.2" customHeight="1" x14ac:dyDescent="0.3">
      <c r="A44" s="21">
        <v>3713</v>
      </c>
      <c r="B44" s="20" t="s">
        <v>578</v>
      </c>
      <c r="C44" s="22">
        <v>46283</v>
      </c>
      <c r="D44" s="22">
        <v>46283</v>
      </c>
      <c r="E44" s="20"/>
      <c r="F44" s="23" t="s">
        <v>673</v>
      </c>
      <c r="G44" s="23" t="s">
        <v>658</v>
      </c>
      <c r="H44" s="23" t="s">
        <v>659</v>
      </c>
      <c r="I44" s="24">
        <v>1095.32</v>
      </c>
      <c r="J44" s="23" t="s">
        <v>660</v>
      </c>
      <c r="K44" s="23" t="s">
        <v>393</v>
      </c>
      <c r="L44" s="23" t="s">
        <v>589</v>
      </c>
      <c r="M44" s="23">
        <v>19.920000000000002</v>
      </c>
      <c r="N44" s="23">
        <v>1</v>
      </c>
      <c r="O44" s="23">
        <v>2.71</v>
      </c>
      <c r="P44" s="23" t="s">
        <v>661</v>
      </c>
      <c r="Q44" s="23">
        <v>0.48</v>
      </c>
      <c r="R44" s="23" t="s">
        <v>394</v>
      </c>
      <c r="S44" s="23">
        <v>0</v>
      </c>
      <c r="T44" s="23" t="s">
        <v>584</v>
      </c>
      <c r="U44" s="23">
        <v>0.77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1.25</v>
      </c>
      <c r="AB44" s="23">
        <v>18.670000000000002</v>
      </c>
      <c r="AC44" s="23">
        <v>5.18</v>
      </c>
      <c r="AD44" s="23">
        <v>13.489999999999998</v>
      </c>
      <c r="AE44" s="23">
        <v>0.2</v>
      </c>
      <c r="AF44" s="23">
        <v>13.29</v>
      </c>
      <c r="AG44" s="25">
        <v>0.66720000000000002</v>
      </c>
      <c r="AH44" s="23"/>
    </row>
    <row r="45" spans="1:34" s="1" customFormat="1" ht="13.2" customHeight="1" x14ac:dyDescent="0.3">
      <c r="A45" s="21">
        <v>3714</v>
      </c>
      <c r="B45" s="20" t="s">
        <v>578</v>
      </c>
      <c r="C45" s="22">
        <v>46283</v>
      </c>
      <c r="D45" s="22">
        <v>46283</v>
      </c>
      <c r="E45" s="20"/>
      <c r="F45" s="23" t="s">
        <v>674</v>
      </c>
      <c r="G45" s="23" t="s">
        <v>658</v>
      </c>
      <c r="H45" s="23" t="s">
        <v>659</v>
      </c>
      <c r="I45" s="24">
        <v>2074.5300000000002</v>
      </c>
      <c r="J45" s="23" t="s">
        <v>660</v>
      </c>
      <c r="K45" s="23" t="s">
        <v>393</v>
      </c>
      <c r="L45" s="23" t="s">
        <v>589</v>
      </c>
      <c r="M45" s="23">
        <v>37.729999999999997</v>
      </c>
      <c r="N45" s="23">
        <v>3</v>
      </c>
      <c r="O45" s="23">
        <v>4.13</v>
      </c>
      <c r="P45" s="23" t="s">
        <v>661</v>
      </c>
      <c r="Q45" s="23">
        <v>0.73</v>
      </c>
      <c r="R45" s="23" t="s">
        <v>394</v>
      </c>
      <c r="S45" s="23">
        <v>0</v>
      </c>
      <c r="T45" s="23" t="s">
        <v>584</v>
      </c>
      <c r="U45" s="23">
        <v>1.45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2.1800000000000002</v>
      </c>
      <c r="AB45" s="23">
        <v>35.549999999999997</v>
      </c>
      <c r="AC45" s="23">
        <v>9.81</v>
      </c>
      <c r="AD45" s="23">
        <v>25.74</v>
      </c>
      <c r="AE45" s="23">
        <v>0.38</v>
      </c>
      <c r="AF45" s="23">
        <v>25.36</v>
      </c>
      <c r="AG45" s="25">
        <v>0.67209999999999992</v>
      </c>
      <c r="AH45" s="23"/>
    </row>
    <row r="46" spans="1:34" s="1" customFormat="1" ht="13.2" customHeight="1" x14ac:dyDescent="0.3">
      <c r="A46" s="21">
        <v>3715</v>
      </c>
      <c r="B46" s="20" t="s">
        <v>578</v>
      </c>
      <c r="C46" s="22">
        <v>46283</v>
      </c>
      <c r="D46" s="22">
        <v>46283</v>
      </c>
      <c r="E46" s="20"/>
      <c r="F46" s="23" t="s">
        <v>675</v>
      </c>
      <c r="G46" s="23" t="s">
        <v>658</v>
      </c>
      <c r="H46" s="23" t="s">
        <v>659</v>
      </c>
      <c r="I46" s="24">
        <v>7070</v>
      </c>
      <c r="J46" s="23" t="s">
        <v>660</v>
      </c>
      <c r="K46" s="23" t="s">
        <v>393</v>
      </c>
      <c r="L46" s="23" t="s">
        <v>589</v>
      </c>
      <c r="M46" s="23">
        <v>128.59</v>
      </c>
      <c r="N46" s="23">
        <v>3</v>
      </c>
      <c r="O46" s="23">
        <v>31.3</v>
      </c>
      <c r="P46" s="23" t="s">
        <v>661</v>
      </c>
      <c r="Q46" s="23">
        <v>5.54</v>
      </c>
      <c r="R46" s="23" t="s">
        <v>591</v>
      </c>
      <c r="S46" s="23">
        <v>0</v>
      </c>
      <c r="T46" s="23" t="s">
        <v>584</v>
      </c>
      <c r="U46" s="23">
        <v>4.9400000000000004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10.48</v>
      </c>
      <c r="AB46" s="23">
        <v>118.11</v>
      </c>
      <c r="AC46" s="23">
        <v>33.43</v>
      </c>
      <c r="AD46" s="23">
        <v>84.68</v>
      </c>
      <c r="AE46" s="23">
        <v>1.29</v>
      </c>
      <c r="AF46" s="23">
        <v>83.39</v>
      </c>
      <c r="AG46" s="25">
        <v>0.64849999999999997</v>
      </c>
      <c r="AH46" s="23"/>
    </row>
    <row r="47" spans="1:34" s="1" customFormat="1" ht="13.2" customHeight="1" x14ac:dyDescent="0.3">
      <c r="A47" s="21">
        <v>3716</v>
      </c>
      <c r="B47" s="20" t="s">
        <v>578</v>
      </c>
      <c r="C47" s="22">
        <v>46283</v>
      </c>
      <c r="D47" s="22">
        <v>46283</v>
      </c>
      <c r="E47" s="20"/>
      <c r="F47" s="23" t="s">
        <v>676</v>
      </c>
      <c r="G47" s="23" t="s">
        <v>658</v>
      </c>
      <c r="H47" s="23" t="s">
        <v>659</v>
      </c>
      <c r="I47" s="24">
        <v>1758</v>
      </c>
      <c r="J47" s="23" t="s">
        <v>660</v>
      </c>
      <c r="K47" s="23" t="s">
        <v>393</v>
      </c>
      <c r="L47" s="23" t="s">
        <v>589</v>
      </c>
      <c r="M47" s="23">
        <v>31.97</v>
      </c>
      <c r="N47" s="23">
        <v>1</v>
      </c>
      <c r="O47" s="23">
        <v>2.8</v>
      </c>
      <c r="P47" s="23" t="s">
        <v>661</v>
      </c>
      <c r="Q47" s="23">
        <v>0.5</v>
      </c>
      <c r="R47" s="23" t="s">
        <v>591</v>
      </c>
      <c r="S47" s="23">
        <v>0</v>
      </c>
      <c r="T47" s="23" t="s">
        <v>584</v>
      </c>
      <c r="U47" s="23">
        <v>1.23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1.73</v>
      </c>
      <c r="AB47" s="23">
        <v>30.24</v>
      </c>
      <c r="AC47" s="23">
        <v>8.31</v>
      </c>
      <c r="AD47" s="23">
        <v>21.93</v>
      </c>
      <c r="AE47" s="23">
        <v>0.32</v>
      </c>
      <c r="AF47" s="23">
        <v>21.61</v>
      </c>
      <c r="AG47" s="25">
        <v>0.67590000000000006</v>
      </c>
      <c r="AH47" s="23"/>
    </row>
    <row r="48" spans="1:34" s="1" customFormat="1" ht="13.2" customHeight="1" x14ac:dyDescent="0.3">
      <c r="A48" s="21">
        <v>3717</v>
      </c>
      <c r="B48" s="20" t="s">
        <v>578</v>
      </c>
      <c r="C48" s="22">
        <v>46283</v>
      </c>
      <c r="D48" s="22">
        <v>46283</v>
      </c>
      <c r="E48" s="20"/>
      <c r="F48" s="23" t="s">
        <v>677</v>
      </c>
      <c r="G48" s="23" t="s">
        <v>658</v>
      </c>
      <c r="H48" s="23" t="s">
        <v>659</v>
      </c>
      <c r="I48" s="23">
        <v>546.52</v>
      </c>
      <c r="J48" s="23" t="s">
        <v>660</v>
      </c>
      <c r="K48" s="23" t="s">
        <v>393</v>
      </c>
      <c r="L48" s="23" t="s">
        <v>589</v>
      </c>
      <c r="M48" s="23">
        <v>9.94</v>
      </c>
      <c r="N48" s="23">
        <v>1</v>
      </c>
      <c r="O48" s="23">
        <v>1.6</v>
      </c>
      <c r="P48" s="23" t="s">
        <v>661</v>
      </c>
      <c r="Q48" s="23">
        <v>0.28000000000000003</v>
      </c>
      <c r="R48" s="23" t="s">
        <v>591</v>
      </c>
      <c r="S48" s="23">
        <v>0</v>
      </c>
      <c r="T48" s="23" t="s">
        <v>584</v>
      </c>
      <c r="U48" s="23">
        <v>0.38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0.66</v>
      </c>
      <c r="AB48" s="23">
        <v>9.2799999999999994</v>
      </c>
      <c r="AC48" s="23">
        <v>2.58</v>
      </c>
      <c r="AD48" s="23">
        <v>6.6999999999999993</v>
      </c>
      <c r="AE48" s="23">
        <v>0.1</v>
      </c>
      <c r="AF48" s="23">
        <v>6.6</v>
      </c>
      <c r="AG48" s="25">
        <v>0.66400000000000003</v>
      </c>
      <c r="AH48" s="23"/>
    </row>
    <row r="49" spans="1:34" s="1" customFormat="1" ht="13.2" customHeight="1" x14ac:dyDescent="0.3">
      <c r="A49" s="21">
        <v>3718</v>
      </c>
      <c r="B49" s="20" t="s">
        <v>578</v>
      </c>
      <c r="C49" s="22">
        <v>46283</v>
      </c>
      <c r="D49" s="22">
        <v>46283</v>
      </c>
      <c r="E49" s="20"/>
      <c r="F49" s="23" t="s">
        <v>678</v>
      </c>
      <c r="G49" s="23" t="s">
        <v>658</v>
      </c>
      <c r="H49" s="23" t="s">
        <v>659</v>
      </c>
      <c r="I49" s="24">
        <v>1137.76</v>
      </c>
      <c r="J49" s="23" t="s">
        <v>660</v>
      </c>
      <c r="K49" s="23" t="s">
        <v>393</v>
      </c>
      <c r="L49" s="23" t="s">
        <v>589</v>
      </c>
      <c r="M49" s="23">
        <v>20.69</v>
      </c>
      <c r="N49" s="23">
        <v>1</v>
      </c>
      <c r="O49" s="23">
        <v>6.25</v>
      </c>
      <c r="P49" s="23" t="s">
        <v>661</v>
      </c>
      <c r="Q49" s="23">
        <v>1.1100000000000001</v>
      </c>
      <c r="R49" s="23" t="s">
        <v>394</v>
      </c>
      <c r="S49" s="23">
        <v>0</v>
      </c>
      <c r="T49" s="23" t="s">
        <v>584</v>
      </c>
      <c r="U49" s="23">
        <v>0.8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1.91</v>
      </c>
      <c r="AB49" s="23">
        <v>18.78</v>
      </c>
      <c r="AC49" s="23">
        <v>5.38</v>
      </c>
      <c r="AD49" s="23">
        <v>13.4</v>
      </c>
      <c r="AE49" s="23">
        <v>0.21</v>
      </c>
      <c r="AF49" s="23">
        <v>13.19</v>
      </c>
      <c r="AG49" s="25">
        <v>0.63749999999999996</v>
      </c>
      <c r="AH49" s="23"/>
    </row>
    <row r="50" spans="1:34" s="1" customFormat="1" ht="13.2" customHeight="1" x14ac:dyDescent="0.3">
      <c r="A50" s="21">
        <v>3719</v>
      </c>
      <c r="B50" s="20" t="s">
        <v>578</v>
      </c>
      <c r="C50" s="22">
        <v>46283</v>
      </c>
      <c r="D50" s="22">
        <v>46283</v>
      </c>
      <c r="E50" s="20"/>
      <c r="F50" s="23" t="s">
        <v>679</v>
      </c>
      <c r="G50" s="23" t="s">
        <v>658</v>
      </c>
      <c r="H50" s="23" t="s">
        <v>659</v>
      </c>
      <c r="I50" s="24">
        <v>14263.02</v>
      </c>
      <c r="J50" s="23" t="s">
        <v>660</v>
      </c>
      <c r="K50" s="23" t="s">
        <v>393</v>
      </c>
      <c r="L50" s="23" t="s">
        <v>589</v>
      </c>
      <c r="M50" s="23">
        <v>259.41000000000003</v>
      </c>
      <c r="N50" s="23">
        <v>11</v>
      </c>
      <c r="O50" s="23">
        <v>67.25</v>
      </c>
      <c r="P50" s="23" t="s">
        <v>661</v>
      </c>
      <c r="Q50" s="23">
        <v>11.9</v>
      </c>
      <c r="R50" s="23" t="s">
        <v>591</v>
      </c>
      <c r="S50" s="23">
        <v>0</v>
      </c>
      <c r="T50" s="23" t="s">
        <v>584</v>
      </c>
      <c r="U50" s="23">
        <v>9.9700000000000006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21.87</v>
      </c>
      <c r="AB50" s="23">
        <v>237.54</v>
      </c>
      <c r="AC50" s="23">
        <v>67.45</v>
      </c>
      <c r="AD50" s="23">
        <v>170.09</v>
      </c>
      <c r="AE50" s="23">
        <v>2.59</v>
      </c>
      <c r="AF50" s="23">
        <v>167.5</v>
      </c>
      <c r="AG50" s="25">
        <v>0.64569999999999994</v>
      </c>
      <c r="AH50" s="23"/>
    </row>
    <row r="51" spans="1:34" s="1" customFormat="1" ht="13.2" customHeight="1" x14ac:dyDescent="0.3">
      <c r="A51" s="21">
        <v>3720</v>
      </c>
      <c r="B51" s="20" t="s">
        <v>578</v>
      </c>
      <c r="C51" s="22">
        <v>46283</v>
      </c>
      <c r="D51" s="22">
        <v>46283</v>
      </c>
      <c r="E51" s="20"/>
      <c r="F51" s="23" t="s">
        <v>680</v>
      </c>
      <c r="G51" s="23" t="s">
        <v>658</v>
      </c>
      <c r="H51" s="23" t="s">
        <v>659</v>
      </c>
      <c r="I51" s="24">
        <v>2900</v>
      </c>
      <c r="J51" s="23" t="s">
        <v>660</v>
      </c>
      <c r="K51" s="23" t="s">
        <v>393</v>
      </c>
      <c r="L51" s="23" t="s">
        <v>589</v>
      </c>
      <c r="M51" s="23">
        <v>52.74</v>
      </c>
      <c r="N51" s="23">
        <v>1</v>
      </c>
      <c r="O51" s="23">
        <v>7.45</v>
      </c>
      <c r="P51" s="23" t="s">
        <v>661</v>
      </c>
      <c r="Q51" s="23">
        <v>1.32</v>
      </c>
      <c r="R51" s="23" t="s">
        <v>394</v>
      </c>
      <c r="S51" s="23">
        <v>0</v>
      </c>
      <c r="T51" s="23" t="s">
        <v>584</v>
      </c>
      <c r="U51" s="23">
        <v>2.0299999999999998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3.35</v>
      </c>
      <c r="AB51" s="23">
        <v>49.39</v>
      </c>
      <c r="AC51" s="23">
        <v>13.71</v>
      </c>
      <c r="AD51" s="23">
        <v>35.68</v>
      </c>
      <c r="AE51" s="23">
        <v>0.53</v>
      </c>
      <c r="AF51" s="23">
        <v>35.15</v>
      </c>
      <c r="AG51" s="25">
        <v>0.66650000000000009</v>
      </c>
      <c r="AH51" s="23"/>
    </row>
    <row r="52" spans="1:34" s="1" customFormat="1" ht="13.2" customHeight="1" x14ac:dyDescent="0.3">
      <c r="A52" s="21">
        <v>3721</v>
      </c>
      <c r="B52" s="20" t="s">
        <v>578</v>
      </c>
      <c r="C52" s="22">
        <v>46283</v>
      </c>
      <c r="D52" s="22">
        <v>46283</v>
      </c>
      <c r="E52" s="20"/>
      <c r="F52" s="23" t="s">
        <v>681</v>
      </c>
      <c r="G52" s="23" t="s">
        <v>658</v>
      </c>
      <c r="H52" s="23" t="s">
        <v>659</v>
      </c>
      <c r="I52" s="24">
        <v>386.25</v>
      </c>
      <c r="J52" s="23" t="s">
        <v>660</v>
      </c>
      <c r="K52" s="23" t="s">
        <v>393</v>
      </c>
      <c r="L52" s="23" t="s">
        <v>589</v>
      </c>
      <c r="M52" s="23">
        <v>7.03</v>
      </c>
      <c r="N52" s="23">
        <v>1</v>
      </c>
      <c r="O52" s="23">
        <v>2.1</v>
      </c>
      <c r="P52" s="23" t="s">
        <v>661</v>
      </c>
      <c r="Q52" s="23">
        <v>0.37</v>
      </c>
      <c r="R52" s="23" t="s">
        <v>394</v>
      </c>
      <c r="S52" s="23">
        <v>0</v>
      </c>
      <c r="T52" s="23" t="s">
        <v>584</v>
      </c>
      <c r="U52" s="23">
        <v>0.27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0.64</v>
      </c>
      <c r="AB52" s="23">
        <v>6.39</v>
      </c>
      <c r="AC52" s="23">
        <v>1.83</v>
      </c>
      <c r="AD52" s="23">
        <v>4.5600000000000005</v>
      </c>
      <c r="AE52" s="23">
        <v>7.0000000000000007E-2</v>
      </c>
      <c r="AF52" s="23">
        <v>4.49</v>
      </c>
      <c r="AG52" s="25">
        <v>0.63869999999999993</v>
      </c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39480.240000000005</v>
      </c>
      <c r="F3" s="93"/>
      <c r="G3" s="94"/>
      <c r="H3" s="136">
        <f>'Resumo Detalhado'!C2</f>
        <v>21297.05</v>
      </c>
      <c r="I3" s="137"/>
      <c r="J3" s="138">
        <f>E3/H3</f>
        <v>1.8537891398104436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0.96804772727272725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12787.73</v>
      </c>
      <c r="F7" s="117"/>
      <c r="G7" s="117"/>
      <c r="H7" s="117"/>
      <c r="I7" s="117"/>
      <c r="J7" s="117">
        <f>E7/H3</f>
        <v>0.60044607116948123</v>
      </c>
      <c r="K7" s="117"/>
      <c r="L7" s="117"/>
      <c r="M7" s="134">
        <f>E7/E3</f>
        <v>0.32390203301702314</v>
      </c>
      <c r="N7" s="134"/>
      <c r="O7" s="134"/>
      <c r="P7" s="117">
        <f>E11+K11+Q11+E15+K15+Q15+E19+H19+K19</f>
        <v>27473.69</v>
      </c>
      <c r="Q7" s="117"/>
      <c r="R7" s="117"/>
      <c r="S7" s="117">
        <f>P7/J3</f>
        <v>14820.288570041617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5200</v>
      </c>
      <c r="F11" s="94"/>
      <c r="G11" s="46"/>
      <c r="H11" s="92">
        <f>E11/H3</f>
        <v>0.2441652717160358</v>
      </c>
      <c r="I11" s="94"/>
      <c r="J11" s="46"/>
      <c r="K11" s="92">
        <f>'Resumo Detalhado'!E2</f>
        <v>6398.0599999999995</v>
      </c>
      <c r="L11" s="94"/>
      <c r="M11" s="46"/>
      <c r="N11" s="92">
        <f>K11/H3</f>
        <v>0.30042001122221151</v>
      </c>
      <c r="O11" s="94"/>
      <c r="P11" s="46"/>
      <c r="Q11" s="92">
        <f>'Resumo Detalhado'!D2</f>
        <v>1189.6699999999998</v>
      </c>
      <c r="R11" s="94"/>
      <c r="S11" s="46"/>
      <c r="T11" s="92">
        <f>Q11/H3</f>
        <v>5.5860788231233895E-2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3521.5</v>
      </c>
      <c r="F15" s="119"/>
      <c r="G15" s="119"/>
      <c r="H15" s="119"/>
      <c r="I15" s="120"/>
      <c r="J15" s="46"/>
      <c r="K15" s="118">
        <f>'Resumo Detalhado'!K2</f>
        <v>9842.26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818.2700000000001</v>
      </c>
      <c r="F19" s="123"/>
      <c r="G19" s="46"/>
      <c r="H19" s="125">
        <f>'Resumo Detalhado'!J2</f>
        <v>383.98</v>
      </c>
      <c r="I19" s="126"/>
      <c r="J19" s="46"/>
      <c r="K19" s="125">
        <f>'Resumo Detalhado'!L2</f>
        <v>119.94999999999996</v>
      </c>
      <c r="L19" s="126"/>
      <c r="M19" s="46"/>
      <c r="N19" s="124" t="s">
        <v>682</v>
      </c>
      <c r="O19" s="119"/>
      <c r="P19" s="119"/>
      <c r="Q19" s="119"/>
      <c r="R19" s="123"/>
      <c r="S19" s="124">
        <v>5500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11895.79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0.30130997177322122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39480.240000000005</v>
      </c>
      <c r="C2" s="37">
        <f>SUM(C6:C5000)</f>
        <v>21297.05</v>
      </c>
      <c r="D2" s="37">
        <f>SUM(D6:D5000)</f>
        <v>1189.6699999999998</v>
      </c>
      <c r="E2" s="37">
        <f>SUM(E6:E5000)</f>
        <v>6398.0599999999995</v>
      </c>
      <c r="F2" s="37">
        <f>SUM(F6:F5000)</f>
        <v>5310.76</v>
      </c>
      <c r="G2" s="37"/>
      <c r="H2" s="37">
        <f t="shared" ref="H2:M2" si="0">SUM(H6:H5000)</f>
        <v>3521.5</v>
      </c>
      <c r="I2" s="37">
        <f t="shared" si="0"/>
        <v>818.2700000000001</v>
      </c>
      <c r="J2" s="37">
        <f t="shared" si="0"/>
        <v>383.98</v>
      </c>
      <c r="K2" s="37">
        <f t="shared" si="0"/>
        <v>9842.26</v>
      </c>
      <c r="L2" s="37">
        <f t="shared" si="0"/>
        <v>119.94999999999996</v>
      </c>
      <c r="M2" s="37">
        <f t="shared" si="0"/>
        <v>11895.79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653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3237</v>
      </c>
      <c r="B6" s="141">
        <v>969.03</v>
      </c>
      <c r="C6" s="142">
        <v>121.07</v>
      </c>
      <c r="D6" s="141">
        <v>31.24</v>
      </c>
      <c r="E6" s="141">
        <v>0</v>
      </c>
      <c r="F6" s="141">
        <v>229.31</v>
      </c>
      <c r="G6" s="143">
        <v>0.26887712454722767</v>
      </c>
      <c r="H6" s="141">
        <v>116.28</v>
      </c>
      <c r="I6" s="141">
        <v>96.43</v>
      </c>
      <c r="J6" s="141">
        <v>0</v>
      </c>
      <c r="K6" s="141">
        <v>155.04</v>
      </c>
      <c r="L6" s="141">
        <v>8.5299999999999994</v>
      </c>
      <c r="M6" s="141">
        <v>332.20000000000005</v>
      </c>
      <c r="N6" s="143">
        <v>0.34281704384797174</v>
      </c>
      <c r="Q6"/>
    </row>
    <row r="7" spans="1:18" s="39" customFormat="1" x14ac:dyDescent="0.3">
      <c r="A7" s="19">
        <v>3238</v>
      </c>
      <c r="B7" s="141">
        <v>1410.53</v>
      </c>
      <c r="C7" s="142">
        <v>460.22</v>
      </c>
      <c r="D7" s="141">
        <v>118.76</v>
      </c>
      <c r="E7" s="141">
        <v>372.38</v>
      </c>
      <c r="F7" s="141">
        <v>333.79</v>
      </c>
      <c r="G7" s="143">
        <v>0.58483690527674004</v>
      </c>
      <c r="H7" s="141">
        <v>169.26</v>
      </c>
      <c r="I7" s="141">
        <v>118.5</v>
      </c>
      <c r="J7" s="141">
        <v>0</v>
      </c>
      <c r="K7" s="141">
        <v>225.68</v>
      </c>
      <c r="L7" s="141">
        <v>12.41</v>
      </c>
      <c r="M7" s="141">
        <v>59.749999999999915</v>
      </c>
      <c r="N7" s="143">
        <v>4.2359963985168635E-2</v>
      </c>
      <c r="O7"/>
      <c r="P7"/>
    </row>
    <row r="8" spans="1:18" s="39" customFormat="1" x14ac:dyDescent="0.3">
      <c r="A8" s="12" t="s">
        <v>634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301828</v>
      </c>
      <c r="B9" s="141">
        <v>88.1</v>
      </c>
      <c r="C9" s="142">
        <v>28.4</v>
      </c>
      <c r="D9" s="141">
        <v>5.08</v>
      </c>
      <c r="E9" s="141">
        <v>40</v>
      </c>
      <c r="F9" s="141">
        <v>6.16</v>
      </c>
      <c r="G9" s="143">
        <v>0.58161180476730989</v>
      </c>
      <c r="H9" s="141">
        <v>10.57</v>
      </c>
      <c r="I9" s="141">
        <v>0.97</v>
      </c>
      <c r="J9" s="141">
        <v>0</v>
      </c>
      <c r="K9" s="141">
        <v>22.91</v>
      </c>
      <c r="L9" s="141">
        <v>2.33</v>
      </c>
      <c r="M9" s="141">
        <v>8.0000000000000071E-2</v>
      </c>
      <c r="N9" s="143">
        <v>9.0805902383655026E-4</v>
      </c>
      <c r="O9"/>
      <c r="P9"/>
    </row>
    <row r="10" spans="1:18" s="39" customFormat="1" x14ac:dyDescent="0.3">
      <c r="A10" s="76" t="s">
        <v>598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301716</v>
      </c>
      <c r="B11" s="141">
        <v>584.24</v>
      </c>
      <c r="C11" s="142">
        <v>155</v>
      </c>
      <c r="D11" s="141">
        <v>43.61</v>
      </c>
      <c r="E11" s="141">
        <v>154.24</v>
      </c>
      <c r="F11" s="141">
        <v>33.619999999999997</v>
      </c>
      <c r="G11" s="143">
        <v>0.39618992194988367</v>
      </c>
      <c r="H11" s="141">
        <v>70.11</v>
      </c>
      <c r="I11" s="141">
        <v>6.49</v>
      </c>
      <c r="J11" s="141">
        <v>0</v>
      </c>
      <c r="K11" s="141">
        <v>151.9</v>
      </c>
      <c r="L11" s="141">
        <v>15.42</v>
      </c>
      <c r="M11" s="141">
        <v>108.84999999999995</v>
      </c>
      <c r="N11" s="143">
        <v>0.18631042037518819</v>
      </c>
      <c r="O11"/>
      <c r="P11"/>
    </row>
    <row r="12" spans="1:18" s="39" customFormat="1" x14ac:dyDescent="0.3">
      <c r="A12" s="19">
        <v>301718</v>
      </c>
      <c r="B12" s="141">
        <v>271.11</v>
      </c>
      <c r="C12" s="142">
        <v>55</v>
      </c>
      <c r="D12" s="141">
        <v>15.48</v>
      </c>
      <c r="E12" s="141">
        <v>71.569999999999993</v>
      </c>
      <c r="F12" s="141">
        <v>11.93</v>
      </c>
      <c r="G12" s="143">
        <v>0.36509166021172212</v>
      </c>
      <c r="H12" s="141">
        <v>32.53</v>
      </c>
      <c r="I12" s="141">
        <v>3.01</v>
      </c>
      <c r="J12" s="141">
        <v>0</v>
      </c>
      <c r="K12" s="141">
        <v>70.489999999999995</v>
      </c>
      <c r="L12" s="141">
        <v>7.16</v>
      </c>
      <c r="M12" s="141">
        <v>58.94000000000004</v>
      </c>
      <c r="N12" s="143">
        <v>0.21740253033823922</v>
      </c>
      <c r="O12"/>
      <c r="P12"/>
    </row>
    <row r="13" spans="1:18" s="39" customFormat="1" x14ac:dyDescent="0.3">
      <c r="A13" s="12" t="s">
        <v>638</v>
      </c>
      <c r="B13" s="141"/>
      <c r="C13" s="142"/>
      <c r="D13" s="141"/>
      <c r="E13" s="141"/>
      <c r="F13" s="141"/>
      <c r="G13" s="143"/>
      <c r="H13" s="141"/>
      <c r="I13" s="141"/>
      <c r="J13" s="141"/>
      <c r="K13" s="141"/>
      <c r="L13" s="141"/>
      <c r="M13" s="141"/>
      <c r="N13" s="143"/>
      <c r="O13"/>
      <c r="P13"/>
    </row>
    <row r="14" spans="1:18" s="39" customFormat="1" x14ac:dyDescent="0.3">
      <c r="A14" s="19">
        <v>301833</v>
      </c>
      <c r="B14" s="141">
        <v>139</v>
      </c>
      <c r="C14" s="142">
        <v>69.16</v>
      </c>
      <c r="D14" s="141">
        <v>700</v>
      </c>
      <c r="E14" s="141">
        <v>50</v>
      </c>
      <c r="F14" s="141">
        <v>15</v>
      </c>
      <c r="G14" s="143">
        <v>5.5035971223021587</v>
      </c>
      <c r="H14" s="141">
        <v>16.68</v>
      </c>
      <c r="I14" s="141">
        <v>4.79</v>
      </c>
      <c r="J14" s="141">
        <v>0</v>
      </c>
      <c r="K14" s="141">
        <v>36.14</v>
      </c>
      <c r="L14" s="141">
        <v>0</v>
      </c>
      <c r="M14" s="141">
        <v>-683.6099999999999</v>
      </c>
      <c r="N14" s="143">
        <v>-4.9180575539568334</v>
      </c>
      <c r="O14"/>
      <c r="P14"/>
    </row>
    <row r="15" spans="1:18" s="39" customFormat="1" x14ac:dyDescent="0.3">
      <c r="A15" s="12" t="s">
        <v>641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3222</v>
      </c>
      <c r="B16" s="141">
        <v>203.49</v>
      </c>
      <c r="C16" s="142">
        <v>151.66999999999999</v>
      </c>
      <c r="D16" s="141">
        <v>10.56</v>
      </c>
      <c r="E16" s="141">
        <v>53.72</v>
      </c>
      <c r="F16" s="141">
        <v>48.15</v>
      </c>
      <c r="G16" s="143">
        <v>0.55250872278736052</v>
      </c>
      <c r="H16" s="141">
        <v>24.42</v>
      </c>
      <c r="I16" s="141">
        <v>2.5</v>
      </c>
      <c r="J16" s="141">
        <v>0</v>
      </c>
      <c r="K16" s="141">
        <v>32.56</v>
      </c>
      <c r="L16" s="141">
        <v>3.58</v>
      </c>
      <c r="M16" s="141">
        <v>28</v>
      </c>
      <c r="N16" s="143">
        <v>0.13759889920880633</v>
      </c>
      <c r="O16"/>
      <c r="P16"/>
    </row>
    <row r="17" spans="1:16" s="39" customFormat="1" x14ac:dyDescent="0.3">
      <c r="A17" s="19">
        <v>3223</v>
      </c>
      <c r="B17" s="141">
        <v>307.98</v>
      </c>
      <c r="C17" s="142">
        <v>273</v>
      </c>
      <c r="D17" s="141">
        <v>19</v>
      </c>
      <c r="E17" s="141">
        <v>0</v>
      </c>
      <c r="F17" s="141">
        <v>72.88</v>
      </c>
      <c r="G17" s="143">
        <v>0.2983310604584713</v>
      </c>
      <c r="H17" s="141">
        <v>36.96</v>
      </c>
      <c r="I17" s="141">
        <v>7.05</v>
      </c>
      <c r="J17" s="141">
        <v>0</v>
      </c>
      <c r="K17" s="141">
        <v>49.28</v>
      </c>
      <c r="L17" s="141">
        <v>5.42</v>
      </c>
      <c r="M17" s="141">
        <v>117.39</v>
      </c>
      <c r="N17" s="143">
        <v>0.3811611143580752</v>
      </c>
      <c r="O17"/>
      <c r="P17"/>
    </row>
    <row r="18" spans="1:16" s="39" customFormat="1" x14ac:dyDescent="0.3">
      <c r="A18" s="19">
        <v>3224</v>
      </c>
      <c r="B18" s="141">
        <v>470.41</v>
      </c>
      <c r="C18" s="142">
        <v>467.68</v>
      </c>
      <c r="D18" s="141">
        <v>32.549999999999997</v>
      </c>
      <c r="E18" s="141">
        <v>124.19</v>
      </c>
      <c r="F18" s="141">
        <v>111.32</v>
      </c>
      <c r="G18" s="143">
        <v>0.56984332816054073</v>
      </c>
      <c r="H18" s="141">
        <v>56.45</v>
      </c>
      <c r="I18" s="141">
        <v>8.58</v>
      </c>
      <c r="J18" s="141">
        <v>0</v>
      </c>
      <c r="K18" s="141">
        <v>75.27</v>
      </c>
      <c r="L18" s="141">
        <v>8.2799999999999994</v>
      </c>
      <c r="M18" s="141">
        <v>53.770000000000024</v>
      </c>
      <c r="N18" s="143">
        <v>0.11430454284560282</v>
      </c>
      <c r="O18"/>
      <c r="P18"/>
    </row>
    <row r="19" spans="1:16" s="39" customFormat="1" x14ac:dyDescent="0.3">
      <c r="A19" s="19">
        <v>3225</v>
      </c>
      <c r="B19" s="141">
        <v>111.4</v>
      </c>
      <c r="C19" s="142">
        <v>21.67</v>
      </c>
      <c r="D19" s="141">
        <v>1.51</v>
      </c>
      <c r="E19" s="141">
        <v>40</v>
      </c>
      <c r="F19" s="141">
        <v>26.36</v>
      </c>
      <c r="G19" s="143">
        <v>0.60924596050269297</v>
      </c>
      <c r="H19" s="141">
        <v>13.37</v>
      </c>
      <c r="I19" s="141">
        <v>0.95</v>
      </c>
      <c r="J19" s="141">
        <v>0</v>
      </c>
      <c r="K19" s="141">
        <v>17.82</v>
      </c>
      <c r="L19" s="141">
        <v>1.96</v>
      </c>
      <c r="M19" s="141">
        <v>9.4300000000000033</v>
      </c>
      <c r="N19" s="143">
        <v>8.4649910233393202E-2</v>
      </c>
      <c r="O19"/>
      <c r="P19"/>
    </row>
    <row r="20" spans="1:16" s="39" customFormat="1" x14ac:dyDescent="0.3">
      <c r="A20" s="19">
        <v>3226</v>
      </c>
      <c r="B20" s="141">
        <v>172.41</v>
      </c>
      <c r="C20" s="142">
        <v>108.93</v>
      </c>
      <c r="D20" s="141">
        <v>7.58</v>
      </c>
      <c r="E20" s="141">
        <v>0</v>
      </c>
      <c r="F20" s="141">
        <v>40.799999999999997</v>
      </c>
      <c r="G20" s="143">
        <v>0.28061017342381528</v>
      </c>
      <c r="H20" s="141">
        <v>20.69</v>
      </c>
      <c r="I20" s="141">
        <v>1.95</v>
      </c>
      <c r="J20" s="141">
        <v>0</v>
      </c>
      <c r="K20" s="141">
        <v>27.59</v>
      </c>
      <c r="L20" s="141">
        <v>3.03</v>
      </c>
      <c r="M20" s="141">
        <v>70.769999999999982</v>
      </c>
      <c r="N20" s="143">
        <v>0.4104750304506698</v>
      </c>
      <c r="O20"/>
      <c r="P20"/>
    </row>
    <row r="21" spans="1:16" s="39" customFormat="1" x14ac:dyDescent="0.3">
      <c r="A21" s="19">
        <v>3227</v>
      </c>
      <c r="B21" s="141">
        <v>173.14</v>
      </c>
      <c r="C21" s="142">
        <v>109.93</v>
      </c>
      <c r="D21" s="141">
        <v>7.65</v>
      </c>
      <c r="E21" s="141">
        <v>0</v>
      </c>
      <c r="F21" s="141">
        <v>40.97</v>
      </c>
      <c r="G21" s="143">
        <v>0.28081321473951715</v>
      </c>
      <c r="H21" s="141">
        <v>20.78</v>
      </c>
      <c r="I21" s="141">
        <v>1.83</v>
      </c>
      <c r="J21" s="141">
        <v>0</v>
      </c>
      <c r="K21" s="141">
        <v>27.7</v>
      </c>
      <c r="L21" s="141">
        <v>3.05</v>
      </c>
      <c r="M21" s="141">
        <v>71.159999999999982</v>
      </c>
      <c r="N21" s="143">
        <v>0.41099688113665234</v>
      </c>
      <c r="O21"/>
      <c r="P21"/>
    </row>
    <row r="22" spans="1:16" s="39" customFormat="1" x14ac:dyDescent="0.3">
      <c r="A22" s="19">
        <v>3228</v>
      </c>
      <c r="B22" s="141">
        <v>175.15</v>
      </c>
      <c r="C22" s="142">
        <v>112.7</v>
      </c>
      <c r="D22" s="141">
        <v>7.84</v>
      </c>
      <c r="E22" s="141">
        <v>46.24</v>
      </c>
      <c r="F22" s="141">
        <v>41.45</v>
      </c>
      <c r="G22" s="143">
        <v>0.54541821296031967</v>
      </c>
      <c r="H22" s="141">
        <v>21.02</v>
      </c>
      <c r="I22" s="141">
        <v>2.0499999999999998</v>
      </c>
      <c r="J22" s="141">
        <v>0</v>
      </c>
      <c r="K22" s="141">
        <v>28.02</v>
      </c>
      <c r="L22" s="141">
        <v>3.08</v>
      </c>
      <c r="M22" s="141">
        <v>25.449999999999996</v>
      </c>
      <c r="N22" s="143">
        <v>0.14530402512132454</v>
      </c>
      <c r="O22"/>
      <c r="P22"/>
    </row>
    <row r="23" spans="1:16" s="39" customFormat="1" x14ac:dyDescent="0.3">
      <c r="A23" s="19">
        <v>3229</v>
      </c>
      <c r="B23" s="141">
        <v>232.24</v>
      </c>
      <c r="C23" s="142">
        <v>191.21</v>
      </c>
      <c r="D23" s="141">
        <v>13.31</v>
      </c>
      <c r="E23" s="141">
        <v>61.31</v>
      </c>
      <c r="F23" s="141">
        <v>54.96</v>
      </c>
      <c r="G23" s="143">
        <v>0.55795728556665525</v>
      </c>
      <c r="H23" s="141">
        <v>27.87</v>
      </c>
      <c r="I23" s="141">
        <v>3.3</v>
      </c>
      <c r="J23" s="141">
        <v>0</v>
      </c>
      <c r="K23" s="141">
        <v>37.159999999999997</v>
      </c>
      <c r="L23" s="141">
        <v>4.09</v>
      </c>
      <c r="M23" s="141">
        <v>30.24</v>
      </c>
      <c r="N23" s="143">
        <v>0.13021012745435756</v>
      </c>
      <c r="O23"/>
      <c r="P23"/>
    </row>
    <row r="24" spans="1:16" s="39" customFormat="1" x14ac:dyDescent="0.3">
      <c r="A24" s="12" t="s">
        <v>620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301815</v>
      </c>
      <c r="B25" s="141">
        <v>1331.85</v>
      </c>
      <c r="C25" s="142">
        <v>654</v>
      </c>
      <c r="D25" s="141">
        <v>25.46</v>
      </c>
      <c r="E25" s="141">
        <v>351.61</v>
      </c>
      <c r="F25" s="141">
        <v>141.84</v>
      </c>
      <c r="G25" s="143">
        <v>0.38961594774186281</v>
      </c>
      <c r="H25" s="141">
        <v>0</v>
      </c>
      <c r="I25" s="141">
        <v>63.8</v>
      </c>
      <c r="J25" s="141">
        <v>0</v>
      </c>
      <c r="K25" s="141">
        <v>346.28</v>
      </c>
      <c r="L25" s="141">
        <v>0</v>
      </c>
      <c r="M25" s="141">
        <v>402.8599999999999</v>
      </c>
      <c r="N25" s="143">
        <v>0.30248151068063217</v>
      </c>
      <c r="O25"/>
      <c r="P25"/>
    </row>
    <row r="26" spans="1:16" s="39" customFormat="1" x14ac:dyDescent="0.3">
      <c r="A26" s="19">
        <v>301816</v>
      </c>
      <c r="B26" s="141">
        <v>912.43</v>
      </c>
      <c r="C26" s="142">
        <v>414</v>
      </c>
      <c r="D26" s="141">
        <v>16.12</v>
      </c>
      <c r="E26" s="141">
        <v>321.18</v>
      </c>
      <c r="F26" s="141">
        <v>89.79</v>
      </c>
      <c r="G26" s="143">
        <v>0.46807974310358064</v>
      </c>
      <c r="H26" s="141">
        <v>0</v>
      </c>
      <c r="I26" s="141">
        <v>39.049999999999997</v>
      </c>
      <c r="J26" s="141">
        <v>0</v>
      </c>
      <c r="K26" s="141">
        <v>237.23</v>
      </c>
      <c r="L26" s="141">
        <v>0</v>
      </c>
      <c r="M26" s="141">
        <v>209.05999999999986</v>
      </c>
      <c r="N26" s="143">
        <v>0.22912442598336297</v>
      </c>
      <c r="O26"/>
      <c r="P26"/>
    </row>
    <row r="27" spans="1:16" s="39" customFormat="1" x14ac:dyDescent="0.3">
      <c r="A27" s="19">
        <v>301817</v>
      </c>
      <c r="B27" s="141">
        <v>543.27</v>
      </c>
      <c r="C27" s="142">
        <v>145.85</v>
      </c>
      <c r="D27" s="141">
        <v>5.68</v>
      </c>
      <c r="E27" s="141">
        <v>90</v>
      </c>
      <c r="F27" s="141">
        <v>142.38999999999999</v>
      </c>
      <c r="G27" s="143">
        <v>0.43821672464888545</v>
      </c>
      <c r="H27" s="141">
        <v>0</v>
      </c>
      <c r="I27" s="141">
        <v>13.23</v>
      </c>
      <c r="J27" s="141">
        <v>0</v>
      </c>
      <c r="K27" s="141">
        <v>141.25</v>
      </c>
      <c r="L27" s="141">
        <v>0</v>
      </c>
      <c r="M27" s="141">
        <v>150.72000000000003</v>
      </c>
      <c r="N27" s="143">
        <v>0.27743111160196593</v>
      </c>
      <c r="O27"/>
      <c r="P27"/>
    </row>
    <row r="28" spans="1:16" s="39" customFormat="1" x14ac:dyDescent="0.3">
      <c r="A28" s="19">
        <v>301818</v>
      </c>
      <c r="B28" s="141">
        <v>1300.31</v>
      </c>
      <c r="C28" s="142">
        <v>636</v>
      </c>
      <c r="D28" s="141">
        <v>24.76</v>
      </c>
      <c r="E28" s="141">
        <v>343.28</v>
      </c>
      <c r="F28" s="141">
        <v>137.94</v>
      </c>
      <c r="G28" s="143">
        <v>0.38912259384300668</v>
      </c>
      <c r="H28" s="141">
        <v>0</v>
      </c>
      <c r="I28" s="141">
        <v>59.86</v>
      </c>
      <c r="J28" s="141">
        <v>0</v>
      </c>
      <c r="K28" s="141">
        <v>338.08</v>
      </c>
      <c r="L28" s="141">
        <v>0</v>
      </c>
      <c r="M28" s="141">
        <v>396.38999999999993</v>
      </c>
      <c r="N28" s="143">
        <v>0.30484269135821451</v>
      </c>
      <c r="O28"/>
      <c r="P28"/>
    </row>
    <row r="29" spans="1:16" s="39" customFormat="1" x14ac:dyDescent="0.3">
      <c r="A29" s="19">
        <v>301819</v>
      </c>
      <c r="B29" s="141">
        <v>119.75</v>
      </c>
      <c r="C29" s="142">
        <v>15</v>
      </c>
      <c r="D29" s="141">
        <v>0.57999999999999996</v>
      </c>
      <c r="E29" s="141">
        <v>40</v>
      </c>
      <c r="F29" s="141">
        <v>3.25</v>
      </c>
      <c r="G29" s="143">
        <v>0.36601252609603341</v>
      </c>
      <c r="H29" s="141">
        <v>0</v>
      </c>
      <c r="I29" s="141">
        <v>4.47</v>
      </c>
      <c r="J29" s="141">
        <v>0</v>
      </c>
      <c r="K29" s="141">
        <v>31.14</v>
      </c>
      <c r="L29" s="141">
        <v>0</v>
      </c>
      <c r="M29" s="141">
        <v>40.31</v>
      </c>
      <c r="N29" s="143">
        <v>0.33661795407098122</v>
      </c>
      <c r="O29"/>
      <c r="P29"/>
    </row>
    <row r="30" spans="1:16" s="39" customFormat="1" x14ac:dyDescent="0.3">
      <c r="A30" s="19">
        <v>301820</v>
      </c>
      <c r="B30" s="141">
        <v>2902.98</v>
      </c>
      <c r="C30" s="142">
        <v>1167.9000000000001</v>
      </c>
      <c r="D30" s="141">
        <v>45.47</v>
      </c>
      <c r="E30" s="141">
        <v>766.39</v>
      </c>
      <c r="F30" s="141">
        <v>253.3</v>
      </c>
      <c r="G30" s="143">
        <v>0.3669195102963162</v>
      </c>
      <c r="H30" s="141">
        <v>0</v>
      </c>
      <c r="I30" s="141">
        <v>67.12</v>
      </c>
      <c r="J30" s="141">
        <v>0</v>
      </c>
      <c r="K30" s="141">
        <v>754.77</v>
      </c>
      <c r="L30" s="141">
        <v>0</v>
      </c>
      <c r="M30" s="141">
        <v>1015.9300000000003</v>
      </c>
      <c r="N30" s="143">
        <v>0.34996107448208402</v>
      </c>
      <c r="O30"/>
      <c r="P30"/>
    </row>
    <row r="31" spans="1:16" s="39" customFormat="1" x14ac:dyDescent="0.3">
      <c r="A31" s="19">
        <v>301822</v>
      </c>
      <c r="B31" s="141">
        <v>85.59</v>
      </c>
      <c r="C31" s="142">
        <v>0.9</v>
      </c>
      <c r="D31" s="141">
        <v>0.04</v>
      </c>
      <c r="E31" s="141">
        <v>40</v>
      </c>
      <c r="F31" s="141">
        <v>0.2</v>
      </c>
      <c r="G31" s="143">
        <v>0.4701483818203061</v>
      </c>
      <c r="H31" s="141">
        <v>0</v>
      </c>
      <c r="I31" s="141">
        <v>0.2</v>
      </c>
      <c r="J31" s="141">
        <v>0</v>
      </c>
      <c r="K31" s="141">
        <v>22.25</v>
      </c>
      <c r="L31" s="141">
        <v>0</v>
      </c>
      <c r="M31" s="141">
        <v>22.899999999999991</v>
      </c>
      <c r="N31" s="143">
        <v>0.26755462086692361</v>
      </c>
      <c r="O31"/>
      <c r="P31"/>
    </row>
    <row r="32" spans="1:16" s="39" customFormat="1" x14ac:dyDescent="0.3">
      <c r="A32" s="12" t="s">
        <v>658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3701</v>
      </c>
      <c r="B33" s="141">
        <v>76.540000000000006</v>
      </c>
      <c r="C33" s="142">
        <v>5.25</v>
      </c>
      <c r="D33" s="141">
        <v>0.93</v>
      </c>
      <c r="E33" s="141">
        <v>0</v>
      </c>
      <c r="F33" s="141">
        <v>2.94</v>
      </c>
      <c r="G33" s="143">
        <v>5.0561797752808987E-2</v>
      </c>
      <c r="H33" s="141">
        <v>0</v>
      </c>
      <c r="I33" s="141">
        <v>0</v>
      </c>
      <c r="J33" s="141">
        <v>0</v>
      </c>
      <c r="K33" s="141">
        <v>19.899999999999999</v>
      </c>
      <c r="L33" s="141">
        <v>0.77</v>
      </c>
      <c r="M33" s="141">
        <v>52</v>
      </c>
      <c r="N33" s="143">
        <v>0.67938332897831188</v>
      </c>
      <c r="O33"/>
      <c r="P33"/>
    </row>
    <row r="34" spans="1:16" s="39" customFormat="1" x14ac:dyDescent="0.3">
      <c r="A34" s="19">
        <v>3702</v>
      </c>
      <c r="B34" s="141">
        <v>9.9600000000000009</v>
      </c>
      <c r="C34" s="142">
        <v>1.54</v>
      </c>
      <c r="D34" s="141">
        <v>0.27</v>
      </c>
      <c r="E34" s="141">
        <v>0</v>
      </c>
      <c r="F34" s="141">
        <v>0.38</v>
      </c>
      <c r="G34" s="143">
        <v>6.526104417670682E-2</v>
      </c>
      <c r="H34" s="141">
        <v>0</v>
      </c>
      <c r="I34" s="141">
        <v>0</v>
      </c>
      <c r="J34" s="141">
        <v>0</v>
      </c>
      <c r="K34" s="141">
        <v>2.59</v>
      </c>
      <c r="L34" s="141">
        <v>0.1</v>
      </c>
      <c r="M34" s="141">
        <v>6.620000000000001</v>
      </c>
      <c r="N34" s="143">
        <v>0.66465863453815266</v>
      </c>
      <c r="O34"/>
      <c r="P34"/>
    </row>
    <row r="35" spans="1:16" s="39" customFormat="1" x14ac:dyDescent="0.3">
      <c r="A35" s="19">
        <v>3703</v>
      </c>
      <c r="B35" s="141">
        <v>18.850000000000001</v>
      </c>
      <c r="C35" s="142">
        <v>2.88</v>
      </c>
      <c r="D35" s="141">
        <v>0.51</v>
      </c>
      <c r="E35" s="141">
        <v>0</v>
      </c>
      <c r="F35" s="141">
        <v>0.72</v>
      </c>
      <c r="G35" s="143">
        <v>6.5251989389920412E-2</v>
      </c>
      <c r="H35" s="141">
        <v>0</v>
      </c>
      <c r="I35" s="141">
        <v>0</v>
      </c>
      <c r="J35" s="141">
        <v>0</v>
      </c>
      <c r="K35" s="141">
        <v>4.9000000000000004</v>
      </c>
      <c r="L35" s="141">
        <v>0.19</v>
      </c>
      <c r="M35" s="141">
        <v>12.530000000000001</v>
      </c>
      <c r="N35" s="143">
        <v>0.66472148541114062</v>
      </c>
      <c r="O35"/>
      <c r="P35"/>
    </row>
    <row r="36" spans="1:16" s="39" customFormat="1" x14ac:dyDescent="0.3">
      <c r="A36" s="19">
        <v>3704</v>
      </c>
      <c r="B36" s="141">
        <v>632.94000000000005</v>
      </c>
      <c r="C36" s="142">
        <v>65.7</v>
      </c>
      <c r="D36" s="141">
        <v>11.63</v>
      </c>
      <c r="E36" s="141">
        <v>0</v>
      </c>
      <c r="F36" s="141">
        <v>24.33</v>
      </c>
      <c r="G36" s="143">
        <v>5.6814231996713746E-2</v>
      </c>
      <c r="H36" s="141">
        <v>0</v>
      </c>
      <c r="I36" s="141">
        <v>0</v>
      </c>
      <c r="J36" s="141">
        <v>0</v>
      </c>
      <c r="K36" s="141">
        <v>164.56</v>
      </c>
      <c r="L36" s="141">
        <v>6.33</v>
      </c>
      <c r="M36" s="141">
        <v>426.09000000000003</v>
      </c>
      <c r="N36" s="143">
        <v>0.67319177173191769</v>
      </c>
      <c r="O36"/>
      <c r="P36"/>
    </row>
    <row r="37" spans="1:16" s="39" customFormat="1" x14ac:dyDescent="0.3">
      <c r="A37" s="19">
        <v>3705</v>
      </c>
      <c r="B37" s="141">
        <v>37.119999999999997</v>
      </c>
      <c r="C37" s="142">
        <v>0.71</v>
      </c>
      <c r="D37" s="141">
        <v>0.13</v>
      </c>
      <c r="E37" s="141">
        <v>0</v>
      </c>
      <c r="F37" s="141">
        <v>1.43</v>
      </c>
      <c r="G37" s="143">
        <v>4.2025862068965525E-2</v>
      </c>
      <c r="H37" s="141">
        <v>0</v>
      </c>
      <c r="I37" s="141">
        <v>0</v>
      </c>
      <c r="J37" s="141">
        <v>0</v>
      </c>
      <c r="K37" s="141">
        <v>9.65</v>
      </c>
      <c r="L37" s="141">
        <v>0.37</v>
      </c>
      <c r="M37" s="141">
        <v>25.539999999999996</v>
      </c>
      <c r="N37" s="143">
        <v>0.68803879310344818</v>
      </c>
      <c r="O37"/>
      <c r="P37"/>
    </row>
    <row r="38" spans="1:16" s="39" customFormat="1" x14ac:dyDescent="0.3">
      <c r="A38" s="19">
        <v>3706</v>
      </c>
      <c r="B38" s="141">
        <v>220.07</v>
      </c>
      <c r="C38" s="142">
        <v>17.600000000000001</v>
      </c>
      <c r="D38" s="141">
        <v>3.12</v>
      </c>
      <c r="E38" s="141">
        <v>0</v>
      </c>
      <c r="F38" s="141">
        <v>8.4600000000000009</v>
      </c>
      <c r="G38" s="143">
        <v>5.2619621029672388E-2</v>
      </c>
      <c r="H38" s="141">
        <v>0</v>
      </c>
      <c r="I38" s="141">
        <v>0</v>
      </c>
      <c r="J38" s="141">
        <v>0</v>
      </c>
      <c r="K38" s="141">
        <v>57.22</v>
      </c>
      <c r="L38" s="141">
        <v>2.2000000000000002</v>
      </c>
      <c r="M38" s="141">
        <v>149.07</v>
      </c>
      <c r="N38" s="143">
        <v>0.67737538056073066</v>
      </c>
      <c r="O38"/>
      <c r="P38"/>
    </row>
    <row r="39" spans="1:16" s="39" customFormat="1" x14ac:dyDescent="0.3">
      <c r="A39" s="19">
        <v>3707</v>
      </c>
      <c r="B39" s="141">
        <v>63.96</v>
      </c>
      <c r="C39" s="142">
        <v>5</v>
      </c>
      <c r="D39" s="141">
        <v>0.88</v>
      </c>
      <c r="E39" s="141">
        <v>0</v>
      </c>
      <c r="F39" s="141">
        <v>2.46</v>
      </c>
      <c r="G39" s="143">
        <v>5.2220137585991241E-2</v>
      </c>
      <c r="H39" s="141">
        <v>0</v>
      </c>
      <c r="I39" s="141">
        <v>0</v>
      </c>
      <c r="J39" s="141">
        <v>0</v>
      </c>
      <c r="K39" s="141">
        <v>16.63</v>
      </c>
      <c r="L39" s="141">
        <v>0.64</v>
      </c>
      <c r="M39" s="141">
        <v>43.349999999999994</v>
      </c>
      <c r="N39" s="143">
        <v>0.67776735459662274</v>
      </c>
      <c r="O39"/>
      <c r="P39"/>
    </row>
    <row r="40" spans="1:16" s="39" customFormat="1" x14ac:dyDescent="0.3">
      <c r="A40" s="19">
        <v>3708</v>
      </c>
      <c r="B40" s="141">
        <v>58.09</v>
      </c>
      <c r="C40" s="142">
        <v>0.48</v>
      </c>
      <c r="D40" s="141">
        <v>0.08</v>
      </c>
      <c r="E40" s="141">
        <v>0</v>
      </c>
      <c r="F40" s="141">
        <v>2.23</v>
      </c>
      <c r="G40" s="143">
        <v>3.9765880530211739E-2</v>
      </c>
      <c r="H40" s="141">
        <v>0</v>
      </c>
      <c r="I40" s="141">
        <v>0</v>
      </c>
      <c r="J40" s="141">
        <v>0</v>
      </c>
      <c r="K40" s="141">
        <v>15.1</v>
      </c>
      <c r="L40" s="141">
        <v>0.57999999999999996</v>
      </c>
      <c r="M40" s="141">
        <v>40.100000000000009</v>
      </c>
      <c r="N40" s="143">
        <v>0.69030814253744199</v>
      </c>
      <c r="O40"/>
      <c r="P40"/>
    </row>
    <row r="41" spans="1:16" s="39" customFormat="1" x14ac:dyDescent="0.3">
      <c r="A41" s="19">
        <v>3709</v>
      </c>
      <c r="B41" s="141">
        <v>111.69</v>
      </c>
      <c r="C41" s="142">
        <v>31.96</v>
      </c>
      <c r="D41" s="141">
        <v>5.66</v>
      </c>
      <c r="E41" s="141">
        <v>0</v>
      </c>
      <c r="F41" s="141">
        <v>4.29</v>
      </c>
      <c r="G41" s="143">
        <v>8.9085862655564507E-2</v>
      </c>
      <c r="H41" s="141">
        <v>0</v>
      </c>
      <c r="I41" s="141">
        <v>0</v>
      </c>
      <c r="J41" s="141">
        <v>0</v>
      </c>
      <c r="K41" s="141">
        <v>29.04</v>
      </c>
      <c r="L41" s="141">
        <v>1.1200000000000001</v>
      </c>
      <c r="M41" s="141">
        <v>71.579999999999984</v>
      </c>
      <c r="N41" s="143">
        <v>0.64088100993822172</v>
      </c>
      <c r="O41"/>
      <c r="P41"/>
    </row>
    <row r="42" spans="1:16" s="39" customFormat="1" x14ac:dyDescent="0.3">
      <c r="A42" s="19">
        <v>3710</v>
      </c>
      <c r="B42" s="141">
        <v>19.920000000000002</v>
      </c>
      <c r="C42" s="142">
        <v>2.74</v>
      </c>
      <c r="D42" s="141">
        <v>0.48</v>
      </c>
      <c r="E42" s="141">
        <v>0</v>
      </c>
      <c r="F42" s="141">
        <v>0.77</v>
      </c>
      <c r="G42" s="143">
        <v>6.2751004016064246E-2</v>
      </c>
      <c r="H42" s="141">
        <v>0</v>
      </c>
      <c r="I42" s="141">
        <v>0</v>
      </c>
      <c r="J42" s="141">
        <v>0</v>
      </c>
      <c r="K42" s="141">
        <v>5.18</v>
      </c>
      <c r="L42" s="141">
        <v>0.2</v>
      </c>
      <c r="M42" s="141">
        <v>13.290000000000003</v>
      </c>
      <c r="N42" s="143">
        <v>0.66716867469879526</v>
      </c>
      <c r="O42"/>
      <c r="P42"/>
    </row>
    <row r="43" spans="1:16" s="39" customFormat="1" x14ac:dyDescent="0.3">
      <c r="A43" s="19">
        <v>3711</v>
      </c>
      <c r="B43" s="141">
        <v>24.21</v>
      </c>
      <c r="C43" s="142">
        <v>3.95</v>
      </c>
      <c r="D43" s="141">
        <v>0.7</v>
      </c>
      <c r="E43" s="141">
        <v>0</v>
      </c>
      <c r="F43" s="141">
        <v>0.93</v>
      </c>
      <c r="G43" s="143">
        <v>6.7327550598926061E-2</v>
      </c>
      <c r="H43" s="141">
        <v>0</v>
      </c>
      <c r="I43" s="141">
        <v>0</v>
      </c>
      <c r="J43" s="141">
        <v>0</v>
      </c>
      <c r="K43" s="141">
        <v>6.29</v>
      </c>
      <c r="L43" s="141">
        <v>0.24</v>
      </c>
      <c r="M43" s="141">
        <v>16.050000000000004</v>
      </c>
      <c r="N43" s="143">
        <v>0.66294919454770773</v>
      </c>
      <c r="O43"/>
      <c r="P43"/>
    </row>
    <row r="44" spans="1:16" s="39" customFormat="1" x14ac:dyDescent="0.3">
      <c r="A44" s="19">
        <v>3712</v>
      </c>
      <c r="B44" s="141">
        <v>239.86</v>
      </c>
      <c r="C44" s="142">
        <v>19.100000000000001</v>
      </c>
      <c r="D44" s="141">
        <v>3.38</v>
      </c>
      <c r="E44" s="141">
        <v>0</v>
      </c>
      <c r="F44" s="141">
        <v>9.2200000000000006</v>
      </c>
      <c r="G44" s="143">
        <v>5.2530642875010428E-2</v>
      </c>
      <c r="H44" s="141">
        <v>0</v>
      </c>
      <c r="I44" s="141">
        <v>0</v>
      </c>
      <c r="J44" s="141">
        <v>0</v>
      </c>
      <c r="K44" s="141">
        <v>62.36</v>
      </c>
      <c r="L44" s="141">
        <v>2.4</v>
      </c>
      <c r="M44" s="141">
        <v>162.50000000000003</v>
      </c>
      <c r="N44" s="143">
        <v>0.67747852914199957</v>
      </c>
      <c r="O44"/>
      <c r="P44"/>
    </row>
    <row r="45" spans="1:16" s="39" customFormat="1" x14ac:dyDescent="0.3">
      <c r="A45" s="19">
        <v>3713</v>
      </c>
      <c r="B45" s="141">
        <v>19.920000000000002</v>
      </c>
      <c r="C45" s="142">
        <v>2.71</v>
      </c>
      <c r="D45" s="141">
        <v>0.48</v>
      </c>
      <c r="E45" s="141">
        <v>0</v>
      </c>
      <c r="F45" s="141">
        <v>0.77</v>
      </c>
      <c r="G45" s="143">
        <v>6.2751004016064246E-2</v>
      </c>
      <c r="H45" s="141">
        <v>0</v>
      </c>
      <c r="I45" s="141">
        <v>0</v>
      </c>
      <c r="J45" s="141">
        <v>0</v>
      </c>
      <c r="K45" s="141">
        <v>5.18</v>
      </c>
      <c r="L45" s="141">
        <v>0.2</v>
      </c>
      <c r="M45" s="141">
        <v>13.290000000000003</v>
      </c>
      <c r="N45" s="143">
        <v>0.66716867469879526</v>
      </c>
      <c r="O45"/>
      <c r="P45"/>
    </row>
    <row r="46" spans="1:16" s="39" customFormat="1" x14ac:dyDescent="0.3">
      <c r="A46" s="19">
        <v>3714</v>
      </c>
      <c r="B46" s="141">
        <v>37.729999999999997</v>
      </c>
      <c r="C46" s="142">
        <v>4.13</v>
      </c>
      <c r="D46" s="141">
        <v>0.73</v>
      </c>
      <c r="E46" s="141">
        <v>0</v>
      </c>
      <c r="F46" s="141">
        <v>1.45</v>
      </c>
      <c r="G46" s="143">
        <v>5.7778955738139411E-2</v>
      </c>
      <c r="H46" s="141">
        <v>0</v>
      </c>
      <c r="I46" s="141">
        <v>0</v>
      </c>
      <c r="J46" s="141">
        <v>0</v>
      </c>
      <c r="K46" s="141">
        <v>9.81</v>
      </c>
      <c r="L46" s="141">
        <v>0.38</v>
      </c>
      <c r="M46" s="141">
        <v>25.359999999999996</v>
      </c>
      <c r="N46" s="143">
        <v>0.6721441823482639</v>
      </c>
      <c r="O46"/>
      <c r="P46"/>
    </row>
    <row r="47" spans="1:16" s="39" customFormat="1" x14ac:dyDescent="0.3">
      <c r="A47" s="19">
        <v>3715</v>
      </c>
      <c r="B47" s="141">
        <v>128.59</v>
      </c>
      <c r="C47" s="142">
        <v>31.3</v>
      </c>
      <c r="D47" s="141">
        <v>5.54</v>
      </c>
      <c r="E47" s="141">
        <v>0</v>
      </c>
      <c r="F47" s="141">
        <v>4.9400000000000004</v>
      </c>
      <c r="G47" s="143">
        <v>8.1499338984368924E-2</v>
      </c>
      <c r="H47" s="141">
        <v>0</v>
      </c>
      <c r="I47" s="141">
        <v>0</v>
      </c>
      <c r="J47" s="141">
        <v>0</v>
      </c>
      <c r="K47" s="141">
        <v>33.43</v>
      </c>
      <c r="L47" s="141">
        <v>1.29</v>
      </c>
      <c r="M47" s="141">
        <v>83.39</v>
      </c>
      <c r="N47" s="143">
        <v>0.64849521735749283</v>
      </c>
      <c r="O47"/>
      <c r="P47"/>
    </row>
    <row r="48" spans="1:16" s="39" customFormat="1" x14ac:dyDescent="0.3">
      <c r="A48" s="19">
        <v>3716</v>
      </c>
      <c r="B48" s="141">
        <v>31.97</v>
      </c>
      <c r="C48" s="142">
        <v>2.8</v>
      </c>
      <c r="D48" s="141">
        <v>0.5</v>
      </c>
      <c r="E48" s="141">
        <v>0</v>
      </c>
      <c r="F48" s="141">
        <v>1.23</v>
      </c>
      <c r="G48" s="143">
        <v>5.4113231154207068E-2</v>
      </c>
      <c r="H48" s="141">
        <v>0</v>
      </c>
      <c r="I48" s="141">
        <v>0</v>
      </c>
      <c r="J48" s="141">
        <v>0</v>
      </c>
      <c r="K48" s="141">
        <v>8.31</v>
      </c>
      <c r="L48" s="141">
        <v>0.32</v>
      </c>
      <c r="M48" s="141">
        <v>21.61</v>
      </c>
      <c r="N48" s="143">
        <v>0.67594619956208946</v>
      </c>
      <c r="O48"/>
      <c r="P48"/>
    </row>
    <row r="49" spans="1:16" s="39" customFormat="1" x14ac:dyDescent="0.3">
      <c r="A49" s="19">
        <v>3717</v>
      </c>
      <c r="B49" s="141">
        <v>9.94</v>
      </c>
      <c r="C49" s="142">
        <v>1.6</v>
      </c>
      <c r="D49" s="141">
        <v>0.28000000000000003</v>
      </c>
      <c r="E49" s="141">
        <v>0</v>
      </c>
      <c r="F49" s="141">
        <v>0.38</v>
      </c>
      <c r="G49" s="143">
        <v>6.6398390342052319E-2</v>
      </c>
      <c r="H49" s="141">
        <v>0</v>
      </c>
      <c r="I49" s="141">
        <v>0</v>
      </c>
      <c r="J49" s="141">
        <v>0</v>
      </c>
      <c r="K49" s="141">
        <v>2.58</v>
      </c>
      <c r="L49" s="141">
        <v>0.1</v>
      </c>
      <c r="M49" s="141">
        <v>6.6</v>
      </c>
      <c r="N49" s="143">
        <v>0.66398390342052316</v>
      </c>
      <c r="O49"/>
      <c r="P49"/>
    </row>
    <row r="50" spans="1:16" s="39" customFormat="1" x14ac:dyDescent="0.3">
      <c r="A50" s="19">
        <v>3718</v>
      </c>
      <c r="B50" s="141">
        <v>20.69</v>
      </c>
      <c r="C50" s="142">
        <v>6.25</v>
      </c>
      <c r="D50" s="141">
        <v>1.1100000000000001</v>
      </c>
      <c r="E50" s="141">
        <v>0</v>
      </c>
      <c r="F50" s="141">
        <v>0.8</v>
      </c>
      <c r="G50" s="143">
        <v>9.2315128081198641E-2</v>
      </c>
      <c r="H50" s="141">
        <v>0</v>
      </c>
      <c r="I50" s="141">
        <v>0</v>
      </c>
      <c r="J50" s="141">
        <v>0</v>
      </c>
      <c r="K50" s="141">
        <v>5.38</v>
      </c>
      <c r="L50" s="141">
        <v>0.21</v>
      </c>
      <c r="M50" s="141">
        <v>13.190000000000001</v>
      </c>
      <c r="N50" s="143">
        <v>0.6375060415659739</v>
      </c>
      <c r="O50"/>
      <c r="P50"/>
    </row>
    <row r="51" spans="1:16" s="39" customFormat="1" x14ac:dyDescent="0.3">
      <c r="A51" s="19">
        <v>3719</v>
      </c>
      <c r="B51" s="141">
        <v>259.41000000000003</v>
      </c>
      <c r="C51" s="142">
        <v>67.25</v>
      </c>
      <c r="D51" s="141">
        <v>11.9</v>
      </c>
      <c r="E51" s="141">
        <v>0</v>
      </c>
      <c r="F51" s="141">
        <v>9.9700000000000006</v>
      </c>
      <c r="G51" s="143">
        <v>8.4306695963918113E-2</v>
      </c>
      <c r="H51" s="141">
        <v>0</v>
      </c>
      <c r="I51" s="141">
        <v>0</v>
      </c>
      <c r="J51" s="141">
        <v>0</v>
      </c>
      <c r="K51" s="141">
        <v>67.45</v>
      </c>
      <c r="L51" s="141">
        <v>2.59</v>
      </c>
      <c r="M51" s="141">
        <v>167.50000000000003</v>
      </c>
      <c r="N51" s="143">
        <v>0.64569600246713699</v>
      </c>
      <c r="O51"/>
      <c r="P51"/>
    </row>
    <row r="52" spans="1:16" s="39" customFormat="1" x14ac:dyDescent="0.3">
      <c r="A52" s="19">
        <v>3720</v>
      </c>
      <c r="B52" s="141">
        <v>52.74</v>
      </c>
      <c r="C52" s="142">
        <v>7.45</v>
      </c>
      <c r="D52" s="141">
        <v>1.32</v>
      </c>
      <c r="E52" s="141">
        <v>0</v>
      </c>
      <c r="F52" s="141">
        <v>2.0299999999999998</v>
      </c>
      <c r="G52" s="143">
        <v>6.3519150549867259E-2</v>
      </c>
      <c r="H52" s="141">
        <v>0</v>
      </c>
      <c r="I52" s="141">
        <v>0</v>
      </c>
      <c r="J52" s="141">
        <v>0</v>
      </c>
      <c r="K52" s="141">
        <v>13.71</v>
      </c>
      <c r="L52" s="141">
        <v>0.53</v>
      </c>
      <c r="M52" s="141">
        <v>35.15</v>
      </c>
      <c r="N52" s="143">
        <v>0.6664770572620401</v>
      </c>
      <c r="O52"/>
      <c r="P52"/>
    </row>
    <row r="53" spans="1:16" s="39" customFormat="1" x14ac:dyDescent="0.3">
      <c r="A53" s="19">
        <v>3721</v>
      </c>
      <c r="B53" s="141">
        <v>7.03</v>
      </c>
      <c r="C53" s="142">
        <v>2.1</v>
      </c>
      <c r="D53" s="141">
        <v>0.37</v>
      </c>
      <c r="E53" s="141">
        <v>0</v>
      </c>
      <c r="F53" s="141">
        <v>0.27</v>
      </c>
      <c r="G53" s="143">
        <v>9.1038406827880516E-2</v>
      </c>
      <c r="H53" s="141">
        <v>0</v>
      </c>
      <c r="I53" s="141">
        <v>0</v>
      </c>
      <c r="J53" s="141">
        <v>0</v>
      </c>
      <c r="K53" s="141">
        <v>1.83</v>
      </c>
      <c r="L53" s="141">
        <v>7.0000000000000007E-2</v>
      </c>
      <c r="M53" s="141">
        <v>4.49</v>
      </c>
      <c r="N53" s="143">
        <v>0.63869132290184927</v>
      </c>
      <c r="O53"/>
      <c r="P53"/>
    </row>
    <row r="54" spans="1:16" s="39" customFormat="1" x14ac:dyDescent="0.3">
      <c r="A54" s="12" t="s">
        <v>586</v>
      </c>
      <c r="B54" s="141"/>
      <c r="C54" s="142"/>
      <c r="D54" s="141"/>
      <c r="E54" s="141"/>
      <c r="F54" s="141"/>
      <c r="G54" s="143"/>
      <c r="H54" s="141"/>
      <c r="I54" s="141"/>
      <c r="J54" s="141"/>
      <c r="K54" s="141"/>
      <c r="L54" s="141"/>
      <c r="M54" s="141"/>
      <c r="N54" s="143"/>
      <c r="O54"/>
      <c r="P54"/>
    </row>
    <row r="55" spans="1:16" s="39" customFormat="1" x14ac:dyDescent="0.3">
      <c r="A55" s="19">
        <v>301486</v>
      </c>
      <c r="B55" s="141">
        <v>348.06</v>
      </c>
      <c r="C55" s="142">
        <v>195.77</v>
      </c>
      <c r="D55" s="141">
        <v>6.55</v>
      </c>
      <c r="E55" s="141">
        <v>91.89</v>
      </c>
      <c r="F55" s="141">
        <v>42.46</v>
      </c>
      <c r="G55" s="143">
        <v>0.40481526173648225</v>
      </c>
      <c r="H55" s="141">
        <v>41.77</v>
      </c>
      <c r="I55" s="141">
        <v>3.85</v>
      </c>
      <c r="J55" s="141">
        <v>0</v>
      </c>
      <c r="K55" s="141">
        <v>90.5</v>
      </c>
      <c r="L55" s="141">
        <v>9.19</v>
      </c>
      <c r="M55" s="141">
        <v>61.849999999999994</v>
      </c>
      <c r="N55" s="143">
        <v>0.17769924725622016</v>
      </c>
      <c r="O55"/>
      <c r="P55"/>
    </row>
    <row r="56" spans="1:16" s="39" customFormat="1" x14ac:dyDescent="0.3">
      <c r="A56" s="19">
        <v>301487</v>
      </c>
      <c r="B56" s="141">
        <v>114.48</v>
      </c>
      <c r="C56" s="142">
        <v>25.23</v>
      </c>
      <c r="D56" s="141">
        <v>0.84</v>
      </c>
      <c r="E56" s="141">
        <v>50</v>
      </c>
      <c r="F56" s="141">
        <v>5.47</v>
      </c>
      <c r="G56" s="143">
        <v>0.4918763102725367</v>
      </c>
      <c r="H56" s="141">
        <v>13.74</v>
      </c>
      <c r="I56" s="141">
        <v>0.64</v>
      </c>
      <c r="J56" s="141">
        <v>0</v>
      </c>
      <c r="K56" s="141">
        <v>29.76</v>
      </c>
      <c r="L56" s="141">
        <v>3.02</v>
      </c>
      <c r="M56" s="141">
        <v>11.009999999999998</v>
      </c>
      <c r="N56" s="143">
        <v>9.6174004192872101E-2</v>
      </c>
      <c r="O56"/>
      <c r="P56"/>
    </row>
    <row r="57" spans="1:16" s="39" customFormat="1" x14ac:dyDescent="0.3">
      <c r="A57" s="76" t="s">
        <v>611</v>
      </c>
      <c r="B57" s="141"/>
      <c r="C57" s="142"/>
      <c r="D57" s="141"/>
      <c r="E57" s="141"/>
      <c r="F57" s="141"/>
      <c r="G57" s="143"/>
      <c r="H57" s="141"/>
      <c r="I57" s="141"/>
      <c r="J57" s="141"/>
      <c r="K57" s="141"/>
      <c r="L57" s="141"/>
      <c r="M57" s="141"/>
      <c r="N57" s="143"/>
      <c r="O57"/>
      <c r="P57"/>
    </row>
    <row r="58" spans="1:16" s="39" customFormat="1" x14ac:dyDescent="0.3">
      <c r="A58" s="19">
        <v>301763</v>
      </c>
      <c r="B58" s="141">
        <v>1785</v>
      </c>
      <c r="C58" s="142">
        <v>306</v>
      </c>
      <c r="D58" s="141">
        <v>0</v>
      </c>
      <c r="E58" s="141">
        <v>0</v>
      </c>
      <c r="F58" s="141">
        <v>66.37</v>
      </c>
      <c r="G58" s="143">
        <v>3.7182072829131656E-2</v>
      </c>
      <c r="H58" s="141">
        <v>214.2</v>
      </c>
      <c r="I58" s="141">
        <v>25.5</v>
      </c>
      <c r="J58" s="141">
        <v>0</v>
      </c>
      <c r="K58" s="141">
        <v>464.1</v>
      </c>
      <c r="L58" s="141">
        <v>0</v>
      </c>
      <c r="M58" s="141">
        <v>1014.83</v>
      </c>
      <c r="N58" s="143">
        <v>0.5685322128851541</v>
      </c>
      <c r="O58"/>
      <c r="P58"/>
    </row>
    <row r="59" spans="1:16" s="39" customFormat="1" x14ac:dyDescent="0.3">
      <c r="A59" s="76" t="s">
        <v>580</v>
      </c>
      <c r="B59" s="141"/>
      <c r="C59" s="142"/>
      <c r="D59" s="141"/>
      <c r="E59" s="141"/>
      <c r="F59" s="141"/>
      <c r="G59" s="143"/>
      <c r="H59" s="141"/>
      <c r="I59" s="141"/>
      <c r="J59" s="141"/>
      <c r="K59" s="141"/>
      <c r="L59" s="141"/>
      <c r="M59" s="141"/>
      <c r="N59" s="143"/>
      <c r="O59"/>
      <c r="P59"/>
    </row>
    <row r="60" spans="1:16" s="39" customFormat="1" x14ac:dyDescent="0.3">
      <c r="A60" s="19">
        <v>299948</v>
      </c>
      <c r="B60" s="141">
        <v>9543.68</v>
      </c>
      <c r="C60" s="142">
        <v>8435.6</v>
      </c>
      <c r="D60" s="141">
        <v>0</v>
      </c>
      <c r="E60" s="141">
        <v>0</v>
      </c>
      <c r="F60" s="141">
        <v>1829.53</v>
      </c>
      <c r="G60" s="143">
        <v>0.19170068568937768</v>
      </c>
      <c r="H60" s="141">
        <v>1145.24</v>
      </c>
      <c r="I60" s="141">
        <v>169.52</v>
      </c>
      <c r="J60" s="141">
        <v>383.98</v>
      </c>
      <c r="K60" s="141">
        <v>2481.36</v>
      </c>
      <c r="L60" s="141">
        <v>0</v>
      </c>
      <c r="M60" s="141">
        <v>3534.0499999999997</v>
      </c>
      <c r="N60" s="143">
        <v>0.37030265054989264</v>
      </c>
      <c r="O60"/>
      <c r="P60"/>
    </row>
    <row r="61" spans="1:16" s="39" customFormat="1" x14ac:dyDescent="0.3">
      <c r="A61" s="76" t="s">
        <v>616</v>
      </c>
      <c r="B61" s="141"/>
      <c r="C61" s="142"/>
      <c r="D61" s="141"/>
      <c r="E61" s="141"/>
      <c r="F61" s="141"/>
      <c r="G61" s="143"/>
      <c r="H61" s="141"/>
      <c r="I61" s="141"/>
      <c r="J61" s="141"/>
      <c r="K61" s="141"/>
      <c r="L61" s="141"/>
      <c r="M61" s="141"/>
      <c r="N61" s="143"/>
      <c r="O61"/>
      <c r="P61"/>
    </row>
    <row r="62" spans="1:16" s="39" customFormat="1" x14ac:dyDescent="0.3">
      <c r="A62" s="19">
        <v>301769</v>
      </c>
      <c r="B62" s="141">
        <v>161.03</v>
      </c>
      <c r="C62" s="142">
        <v>7.2</v>
      </c>
      <c r="D62" s="141">
        <v>0</v>
      </c>
      <c r="E62" s="141">
        <v>56.68</v>
      </c>
      <c r="F62" s="141">
        <v>1.56</v>
      </c>
      <c r="G62" s="143">
        <v>0.3616717381854313</v>
      </c>
      <c r="H62" s="141">
        <v>19.32</v>
      </c>
      <c r="I62" s="141">
        <v>5.8</v>
      </c>
      <c r="J62" s="141">
        <v>0</v>
      </c>
      <c r="K62" s="141">
        <v>41.87</v>
      </c>
      <c r="L62" s="141">
        <v>0</v>
      </c>
      <c r="M62" s="141">
        <v>35.800000000000004</v>
      </c>
      <c r="N62" s="143">
        <v>0.22231882257964358</v>
      </c>
      <c r="O62"/>
      <c r="P62"/>
    </row>
    <row r="63" spans="1:16" s="39" customFormat="1" x14ac:dyDescent="0.3">
      <c r="A63" s="19">
        <v>301770</v>
      </c>
      <c r="B63" s="141">
        <v>169.24</v>
      </c>
      <c r="C63" s="142">
        <v>4.46</v>
      </c>
      <c r="D63" s="141">
        <v>0</v>
      </c>
      <c r="E63" s="141">
        <v>44.68</v>
      </c>
      <c r="F63" s="141">
        <v>0.97</v>
      </c>
      <c r="G63" s="143">
        <v>0.26973528716615452</v>
      </c>
      <c r="H63" s="141">
        <v>20.309999999999999</v>
      </c>
      <c r="I63" s="141">
        <v>8.02</v>
      </c>
      <c r="J63" s="141">
        <v>0</v>
      </c>
      <c r="K63" s="141">
        <v>44</v>
      </c>
      <c r="L63" s="141">
        <v>0</v>
      </c>
      <c r="M63" s="141">
        <v>51.260000000000005</v>
      </c>
      <c r="N63" s="143">
        <v>0.30288347908295915</v>
      </c>
      <c r="O63"/>
      <c r="P63"/>
    </row>
    <row r="64" spans="1:16" s="39" customFormat="1" x14ac:dyDescent="0.3">
      <c r="A64" s="12" t="s">
        <v>595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301551</v>
      </c>
      <c r="B65" s="141">
        <v>857</v>
      </c>
      <c r="C65" s="142">
        <v>1714</v>
      </c>
      <c r="D65" s="141">
        <v>0</v>
      </c>
      <c r="E65" s="141">
        <v>42.85</v>
      </c>
      <c r="F65" s="141">
        <v>371.74</v>
      </c>
      <c r="G65" s="143">
        <v>0.48376896149358228</v>
      </c>
      <c r="H65" s="141">
        <v>0</v>
      </c>
      <c r="I65" s="141">
        <v>18.53</v>
      </c>
      <c r="J65" s="141">
        <v>0</v>
      </c>
      <c r="K65" s="141">
        <v>222.82</v>
      </c>
      <c r="L65" s="141">
        <v>8.57</v>
      </c>
      <c r="M65" s="141">
        <v>192.49</v>
      </c>
      <c r="N65" s="143">
        <v>0.22460910151691948</v>
      </c>
      <c r="O65"/>
      <c r="P65"/>
    </row>
    <row r="66" spans="1:16" s="39" customFormat="1" x14ac:dyDescent="0.3">
      <c r="A66" s="12" t="s">
        <v>606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301720</v>
      </c>
      <c r="B67" s="141">
        <v>10900</v>
      </c>
      <c r="C67" s="142">
        <v>4605</v>
      </c>
      <c r="D67" s="141">
        <v>0</v>
      </c>
      <c r="E67" s="141">
        <v>2877.6</v>
      </c>
      <c r="F67" s="141">
        <v>998.74</v>
      </c>
      <c r="G67" s="143">
        <v>0.35562752293577982</v>
      </c>
      <c r="H67" s="141">
        <v>1308</v>
      </c>
      <c r="I67" s="141">
        <v>73.33</v>
      </c>
      <c r="J67" s="141">
        <v>0</v>
      </c>
      <c r="K67" s="141">
        <v>2834</v>
      </c>
      <c r="L67" s="141">
        <v>0</v>
      </c>
      <c r="M67" s="141">
        <v>2808.33</v>
      </c>
      <c r="N67" s="143">
        <v>0.25764495412844035</v>
      </c>
    </row>
    <row r="68" spans="1:16" s="39" customFormat="1" x14ac:dyDescent="0.3">
      <c r="A68" s="19">
        <v>301721</v>
      </c>
      <c r="B68" s="141">
        <v>1016.11</v>
      </c>
      <c r="C68" s="142">
        <v>362</v>
      </c>
      <c r="D68" s="141">
        <v>0</v>
      </c>
      <c r="E68" s="141">
        <v>268.25</v>
      </c>
      <c r="F68" s="141">
        <v>78.510000000000005</v>
      </c>
      <c r="G68" s="143">
        <v>0.34126226491226341</v>
      </c>
      <c r="H68" s="141">
        <v>121.93</v>
      </c>
      <c r="I68" s="141">
        <v>6.95</v>
      </c>
      <c r="J68" s="141">
        <v>0</v>
      </c>
      <c r="K68" s="141">
        <v>264.19</v>
      </c>
      <c r="L68" s="141">
        <v>0</v>
      </c>
      <c r="M68" s="141">
        <v>276.28000000000003</v>
      </c>
      <c r="N68" s="143">
        <v>0.2718996958990661</v>
      </c>
    </row>
    <row r="69" spans="1:16" customFormat="1" x14ac:dyDescent="0.3">
      <c r="A69" s="12" t="s">
        <v>88</v>
      </c>
      <c r="B69" s="141"/>
      <c r="C69" s="142"/>
      <c r="D69" s="141"/>
      <c r="E69" s="141"/>
      <c r="F69" s="141"/>
      <c r="G69" s="143"/>
      <c r="H69" s="141"/>
      <c r="I69" s="141"/>
      <c r="J69" s="141"/>
      <c r="K69" s="141"/>
      <c r="L69" s="141"/>
      <c r="M69" s="141"/>
      <c r="N69" s="143"/>
    </row>
    <row r="70" spans="1:16" customFormat="1" x14ac:dyDescent="0.3">
      <c r="A70" s="19" t="s">
        <v>88</v>
      </c>
      <c r="B70" s="16"/>
      <c r="C70" s="17"/>
      <c r="D70" s="16"/>
      <c r="E70" s="16"/>
      <c r="F70" s="16"/>
      <c r="G70" s="18" t="e">
        <v>#DIV/0!</v>
      </c>
      <c r="H70" s="16"/>
      <c r="I70" s="16"/>
      <c r="J70" s="16"/>
      <c r="K70" s="16"/>
      <c r="L70" s="16"/>
      <c r="M70" s="16">
        <v>0</v>
      </c>
      <c r="N70" s="18" t="e">
        <v>#DIV/0!</v>
      </c>
    </row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0">
    <cfRule type="cellIs" dxfId="45" priority="17" operator="lessThan">
      <formula>0.45</formula>
    </cfRule>
  </conditionalFormatting>
  <conditionalFormatting pivot="1" sqref="G5:G70">
    <cfRule type="cellIs" dxfId="44" priority="16" operator="greaterThan">
      <formula>0.45</formula>
    </cfRule>
  </conditionalFormatting>
  <conditionalFormatting pivot="1" sqref="N5:N70">
    <cfRule type="cellIs" dxfId="43" priority="15" operator="between">
      <formula>-1000%</formula>
      <formula>0.1</formula>
    </cfRule>
  </conditionalFormatting>
  <conditionalFormatting pivot="1" sqref="N5:N70">
    <cfRule type="cellIs" dxfId="42" priority="13" operator="between">
      <formula>0.1001</formula>
      <formula>0.2</formula>
    </cfRule>
  </conditionalFormatting>
  <conditionalFormatting pivot="1" sqref="N5:N7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37100.680000000008</v>
      </c>
      <c r="C2" s="37">
        <f>SUM(C6:C5000)</f>
        <v>11503.840000000002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653</v>
      </c>
      <c r="B5" s="13">
        <v>2379.56</v>
      </c>
      <c r="C5" s="13">
        <v>391.94999999999987</v>
      </c>
    </row>
    <row r="6" spans="1:4" x14ac:dyDescent="0.3">
      <c r="A6" s="12" t="s">
        <v>634</v>
      </c>
      <c r="B6" s="141">
        <v>88.1</v>
      </c>
      <c r="C6" s="141">
        <v>8.0000000000000071E-2</v>
      </c>
    </row>
    <row r="7" spans="1:4" s="39" customFormat="1" x14ac:dyDescent="0.3">
      <c r="A7" s="76" t="s">
        <v>598</v>
      </c>
      <c r="B7" s="141">
        <v>855.35</v>
      </c>
      <c r="C7" s="141">
        <v>167.79000000000013</v>
      </c>
    </row>
    <row r="8" spans="1:4" s="39" customFormat="1" x14ac:dyDescent="0.3">
      <c r="A8" s="12" t="s">
        <v>638</v>
      </c>
      <c r="B8" s="141">
        <v>139</v>
      </c>
      <c r="C8" s="141">
        <v>-683.6099999999999</v>
      </c>
    </row>
    <row r="9" spans="1:4" s="39" customFormat="1" x14ac:dyDescent="0.3">
      <c r="A9" s="12" t="s">
        <v>641</v>
      </c>
      <c r="B9" s="141">
        <v>1846.2200000000005</v>
      </c>
      <c r="C9" s="141">
        <v>406.21000000000038</v>
      </c>
    </row>
    <row r="10" spans="1:4" s="39" customFormat="1" x14ac:dyDescent="0.3">
      <c r="A10" s="12" t="s">
        <v>620</v>
      </c>
      <c r="B10" s="141">
        <v>7196.18</v>
      </c>
      <c r="C10" s="141">
        <v>2238.170000000001</v>
      </c>
    </row>
    <row r="11" spans="1:4" s="39" customFormat="1" x14ac:dyDescent="0.3">
      <c r="A11" s="12" t="s">
        <v>658</v>
      </c>
      <c r="B11" s="141">
        <v>2081.2300000000005</v>
      </c>
      <c r="C11" s="141">
        <v>1389.3000000000004</v>
      </c>
    </row>
    <row r="12" spans="1:4" s="39" customFormat="1" x14ac:dyDescent="0.3">
      <c r="A12" s="12" t="s">
        <v>586</v>
      </c>
      <c r="B12" s="141">
        <v>462.54</v>
      </c>
      <c r="C12" s="141">
        <v>72.860000000000042</v>
      </c>
    </row>
    <row r="13" spans="1:4" s="39" customFormat="1" x14ac:dyDescent="0.3">
      <c r="A13" s="89" t="s">
        <v>611</v>
      </c>
      <c r="B13" s="141">
        <v>1785</v>
      </c>
      <c r="C13" s="141">
        <v>1014.83</v>
      </c>
    </row>
    <row r="14" spans="1:4" s="39" customFormat="1" x14ac:dyDescent="0.3">
      <c r="A14" s="144" t="s">
        <v>580</v>
      </c>
      <c r="B14" s="141">
        <v>9543.68</v>
      </c>
      <c r="C14" s="141">
        <v>3534.0499999999997</v>
      </c>
    </row>
    <row r="15" spans="1:4" s="39" customFormat="1" x14ac:dyDescent="0.3">
      <c r="A15" s="90" t="s">
        <v>616</v>
      </c>
      <c r="B15" s="141">
        <v>330.27</v>
      </c>
      <c r="C15" s="141">
        <v>87.059999999999974</v>
      </c>
    </row>
    <row r="16" spans="1:4" s="39" customFormat="1" x14ac:dyDescent="0.3">
      <c r="A16" s="12" t="s">
        <v>595</v>
      </c>
      <c r="B16" s="141">
        <v>857</v>
      </c>
      <c r="C16" s="141">
        <v>192.49</v>
      </c>
    </row>
    <row r="17" spans="1:3" s="39" customFormat="1" x14ac:dyDescent="0.3">
      <c r="A17" s="12" t="s">
        <v>606</v>
      </c>
      <c r="B17" s="141">
        <v>11916.11</v>
      </c>
      <c r="C17" s="141">
        <v>3084.61</v>
      </c>
    </row>
    <row r="18" spans="1:3" s="39" customFormat="1" x14ac:dyDescent="0.3">
      <c r="A18" s="12" t="s">
        <v>88</v>
      </c>
      <c r="B18" s="16"/>
      <c r="C18" s="16">
        <v>0</v>
      </c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  <row r="364" spans="3:4" x14ac:dyDescent="0.3">
      <c r="C364" s="85" t="s">
        <v>577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2026-09-23T13:03:28Z</dcterms:modified>
  <cp:category/>
  <cp:contentStatus/>
</cp:coreProperties>
</file>