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Temp\"/>
    </mc:Choice>
  </mc:AlternateContent>
  <xr:revisionPtr revIDLastSave="0" documentId="8_{AE686972-D4FE-48F4-BE4F-E2B87D679405}" xr6:coauthVersionLast="47" xr6:coauthVersionMax="47" xr10:uidLastSave="{00000000-0000-0000-0000-000000000000}"/>
  <bookViews>
    <workbookView xWindow="-108" yWindow="-108" windowWidth="23256" windowHeight="12456" activeTab="4" xr2:uid="{00000000-000D-0000-FFFF-FFFF00000000}"/>
  </bookViews>
  <sheets>
    <sheet name="Base" sheetId="1" r:id="rId1"/>
    <sheet name="Análise" sheetId="11" r:id="rId2"/>
    <sheet name="Resumo Detalhado" sheetId="2" r:id="rId3"/>
    <sheet name="Resumo Detalhado Grafico" sheetId="12" r:id="rId4"/>
    <sheet name="Target" sheetId="13" r:id="rId5"/>
  </sheets>
  <definedNames>
    <definedName name="SegmentaçãodeDados_CLIENTE_TOMADOR">#N/A</definedName>
    <definedName name="SegmentaçãodeDados_SERVICO">#N/A</definedName>
  </definedNames>
  <calcPr calcId="191028"/>
  <pivotCaches>
    <pivotCache cacheId="34" r:id="rId6"/>
  </pivotCaches>
  <extLst>
    <ext xmlns:x14="http://schemas.microsoft.com/office/spreadsheetml/2009/9/main" uri="{BBE1A952-AA13-448e-AADC-164F8A28A991}">
      <x14:slicerCaches>
        <x14:slicerCache r:id="rId7"/>
        <x14:slicerCache r:id="rId8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S3" i="11" l="1"/>
  <c r="C2" i="12" l="1"/>
  <c r="B2" i="12"/>
  <c r="M2" i="2" l="1"/>
  <c r="L2" i="2"/>
  <c r="K19" i="11" s="1"/>
  <c r="K2" i="2"/>
  <c r="K15" i="11" s="1"/>
  <c r="J2" i="2"/>
  <c r="H19" i="11" s="1"/>
  <c r="I2" i="2"/>
  <c r="E19" i="11" s="1"/>
  <c r="H2" i="2"/>
  <c r="E15" i="11" s="1"/>
  <c r="F2" i="2"/>
  <c r="E2" i="2"/>
  <c r="K11" i="11" s="1"/>
  <c r="D2" i="2"/>
  <c r="Q11" i="11" s="1"/>
  <c r="C2" i="2"/>
  <c r="H3" i="11" s="1"/>
  <c r="B2" i="2"/>
  <c r="E3" i="11" s="1"/>
  <c r="W19" i="11" l="1"/>
  <c r="P7" i="11"/>
  <c r="N11" i="11"/>
  <c r="H11" i="11"/>
  <c r="T11" i="11"/>
  <c r="J3" i="11"/>
  <c r="E23" i="11"/>
  <c r="N23" i="11" s="1"/>
  <c r="E7" i="11"/>
  <c r="J7" i="11" s="1"/>
  <c r="M7" i="11" l="1"/>
  <c r="S7" i="11" l="1"/>
</calcChain>
</file>

<file path=xl/sharedStrings.xml><?xml version="1.0" encoding="utf-8"?>
<sst xmlns="http://schemas.openxmlformats.org/spreadsheetml/2006/main" count="1138" uniqueCount="624">
  <si>
    <t>MINUTA</t>
  </si>
  <si>
    <t>BASE</t>
  </si>
  <si>
    <t>DATA COLETA</t>
  </si>
  <si>
    <t>DATA</t>
  </si>
  <si>
    <t>FAT</t>
  </si>
  <si>
    <t>CT-E</t>
  </si>
  <si>
    <t>CLIENTE TOMADOR</t>
  </si>
  <si>
    <t>VENDEDOR</t>
  </si>
  <si>
    <t>VALOR NF</t>
  </si>
  <si>
    <t>SERVICO</t>
  </si>
  <si>
    <t>TIPO CTE</t>
  </si>
  <si>
    <t>DESTINO</t>
  </si>
  <si>
    <t>FRETE</t>
  </si>
  <si>
    <t>VOLUMES</t>
  </si>
  <si>
    <t>PESO</t>
  </si>
  <si>
    <t>RESP. COLETA</t>
  </si>
  <si>
    <t>CUSTO COLETA</t>
  </si>
  <si>
    <t>RESP. ENTREGA</t>
  </si>
  <si>
    <t>CUSTO ENTREGA</t>
  </si>
  <si>
    <t>RESP. TRANSF</t>
  </si>
  <si>
    <t>CUSTO TRANSF</t>
  </si>
  <si>
    <t>ICMS/ISS</t>
  </si>
  <si>
    <t>DIFAL</t>
  </si>
  <si>
    <t>C.DESPACHO</t>
  </si>
  <si>
    <t>SEGURO</t>
  </si>
  <si>
    <t>OUTROS</t>
  </si>
  <si>
    <t>C.TOTAL</t>
  </si>
  <si>
    <t>RECEITA</t>
  </si>
  <si>
    <t>IMPOSTO</t>
  </si>
  <si>
    <t>RESULTADO</t>
  </si>
  <si>
    <t>COMIS</t>
  </si>
  <si>
    <t>LUCRO LIQ</t>
  </si>
  <si>
    <t>MARGEM</t>
  </si>
  <si>
    <t>Coluna1</t>
  </si>
  <si>
    <t>FATURAMENTO</t>
  </si>
  <si>
    <t>Faturamento</t>
  </si>
  <si>
    <t>Peso</t>
  </si>
  <si>
    <t>Venda KG</t>
  </si>
  <si>
    <t>Veículo</t>
  </si>
  <si>
    <t>Peso Veículo</t>
  </si>
  <si>
    <t>Taxa Ocupação Veículo</t>
  </si>
  <si>
    <t>Carreta</t>
  </si>
  <si>
    <t>CUSTO VARIÁVEL SINTÉTICO</t>
  </si>
  <si>
    <t>C.Variável Total</t>
  </si>
  <si>
    <t>Custo KG Total CV</t>
  </si>
  <si>
    <t>% Fat x C.V Total</t>
  </si>
  <si>
    <t>Custo Total</t>
  </si>
  <si>
    <t>Custo KG Total</t>
  </si>
  <si>
    <t>CUSTO VARIÁVEL ANÁLITICO</t>
  </si>
  <si>
    <t>C.Transf.</t>
  </si>
  <si>
    <t>Custo KG Transf.</t>
  </si>
  <si>
    <t>C.Entrega</t>
  </si>
  <si>
    <t>Custo KG Entrega</t>
  </si>
  <si>
    <t>C.Coleta</t>
  </si>
  <si>
    <t>Custo KG Coleta</t>
  </si>
  <si>
    <t>TIPO DE VEÍCULO</t>
  </si>
  <si>
    <t>CAP.PESO</t>
  </si>
  <si>
    <t>IMPOSTOS</t>
  </si>
  <si>
    <t>Truck</t>
  </si>
  <si>
    <t>C.Icms</t>
  </si>
  <si>
    <t>I.Federais + c.Fixo</t>
  </si>
  <si>
    <t>Toco</t>
  </si>
  <si>
    <t xml:space="preserve"> 3/4</t>
  </si>
  <si>
    <t>Van</t>
  </si>
  <si>
    <t>OUTROS CUSTOS</t>
  </si>
  <si>
    <t>TARGET</t>
  </si>
  <si>
    <t>C.Seguro</t>
  </si>
  <si>
    <t>C.M.O(Outros)</t>
  </si>
  <si>
    <t>C.Comissão</t>
  </si>
  <si>
    <t>TRECHO</t>
  </si>
  <si>
    <t>VALOR</t>
  </si>
  <si>
    <t>STATUS DA CONTRATAÇÃO</t>
  </si>
  <si>
    <t>Resultado Operacional</t>
  </si>
  <si>
    <t>Margem Bruta</t>
  </si>
  <si>
    <t>Valores</t>
  </si>
  <si>
    <t>CLIENTE</t>
  </si>
  <si>
    <t>PESO FAT.</t>
  </si>
  <si>
    <t>C.COLETA</t>
  </si>
  <si>
    <t>C.ENTREGA</t>
  </si>
  <si>
    <t>C.TRANSF</t>
  </si>
  <si>
    <t>META C.VARIÁVEL</t>
  </si>
  <si>
    <t>C.ICMS</t>
  </si>
  <si>
    <t>C.SEGURO</t>
  </si>
  <si>
    <t>C.OUTROS</t>
  </si>
  <si>
    <t>IMPOSTO.</t>
  </si>
  <si>
    <t>C.COMIS</t>
  </si>
  <si>
    <t>Resultado Oper.</t>
  </si>
  <si>
    <t>MARGEM BRUTA.</t>
  </si>
  <si>
    <t>(vazio)</t>
  </si>
  <si>
    <t>Faturamento.</t>
  </si>
  <si>
    <t>CONCATENADO</t>
  </si>
  <si>
    <t>van</t>
  </si>
  <si>
    <t>fiorino</t>
  </si>
  <si>
    <t>truck</t>
  </si>
  <si>
    <t>bitruck</t>
  </si>
  <si>
    <t>Curitiba-Pr X Guarulhos-Sp</t>
  </si>
  <si>
    <t>Florianopolis-Sc X Itajai-Sc</t>
  </si>
  <si>
    <t>Guarulhos-Sp X Itajai-Sc</t>
  </si>
  <si>
    <t>Guarulhos-Sp X Navegantes-Sc</t>
  </si>
  <si>
    <t>Itajai-Sc X Cajamar-Sp</t>
  </si>
  <si>
    <t>Itajai-Sc X Campo Grande-Ms</t>
  </si>
  <si>
    <t>Itajai-Sc X Embu Das Artes-Sp</t>
  </si>
  <si>
    <t>Itajai-Sc X Guarulhos-Sp</t>
  </si>
  <si>
    <t>Itajai-Sc X Itajai-Sc</t>
  </si>
  <si>
    <t>Itajai-Sc X Joinville-Sc</t>
  </si>
  <si>
    <t>Itajai-Sc X Osasco-Sp</t>
  </si>
  <si>
    <t>Itajai-Sc X São Paulo-Sp</t>
  </si>
  <si>
    <t>Itajai-Sc X Varzea Paulista-Sp</t>
  </si>
  <si>
    <t>Itapoa-Sc X Itajai-Sc</t>
  </si>
  <si>
    <t>Joinville-Sc X Itajai-Sc</t>
  </si>
  <si>
    <t>Londrina-Pr X Cascavel-Pr</t>
  </si>
  <si>
    <t>Itajai-Sc X Igrejinha-Rs</t>
  </si>
  <si>
    <t>Ascurra-Sc X Itajai-Sc</t>
  </si>
  <si>
    <t>Curitiba-Pr X Maringá-Pr</t>
  </si>
  <si>
    <t>Itajai-Sc X Capivari-Sp</t>
  </si>
  <si>
    <t>carreta</t>
  </si>
  <si>
    <t>Itajai-Sc X São Paulo-Spbitruck</t>
  </si>
  <si>
    <t>Curitiba-Pr X Maringá-Prvan</t>
  </si>
  <si>
    <t>Curitiba-Pr X Guarulhos-Spvan</t>
  </si>
  <si>
    <t>Itajai-Sc X Capivari-Spcarreta</t>
  </si>
  <si>
    <t>Itajai-Sc X Americana-Sp</t>
  </si>
  <si>
    <t>Itajai-Sc X Belo Horizonte-Mg</t>
  </si>
  <si>
    <t>Itajai-Sc X Betim-Mg</t>
  </si>
  <si>
    <t>Itajai-Sc X Extrema-Mg</t>
  </si>
  <si>
    <t>Itajai-Sc X Nova Santa Rita-Rs</t>
  </si>
  <si>
    <t>Itajai-Sc X Pedreira-Sp</t>
  </si>
  <si>
    <t>Itajai-Sc X Porto Alegre-Rs</t>
  </si>
  <si>
    <t>Navegantes-Sc X Cajamar-Sp</t>
  </si>
  <si>
    <t>Itajai-Sc X Chapecó-Sc</t>
  </si>
  <si>
    <t>Itajai-Sc X Curitiba-Pr</t>
  </si>
  <si>
    <t>Barueri-Sp X São Paulo-Sp</t>
  </si>
  <si>
    <t>Itapoa-Sc X Curitiba-Pr</t>
  </si>
  <si>
    <t>Itajai-Sc X Maringá-Pr</t>
  </si>
  <si>
    <t>Itajai-Sc X Curitibanos-Sc</t>
  </si>
  <si>
    <t>Itajai-Sc X Contagem-Mg</t>
  </si>
  <si>
    <t>Joinville-Sc X Joinville-Sc</t>
  </si>
  <si>
    <t>Campinas-Sp X Itapoa-Sc</t>
  </si>
  <si>
    <t>Fortaleza-CE X Barreira-Ce</t>
  </si>
  <si>
    <t>Itajai-Sc X Jundiai-Spvan</t>
  </si>
  <si>
    <t>Itajai-Sc X Cachoeira Do Sul-Rs</t>
  </si>
  <si>
    <t>Joinville-Sc X Valinhos-Sp</t>
  </si>
  <si>
    <t>Itajai-Sc X Vera Cruz-Sp</t>
  </si>
  <si>
    <t>Campinas-Sp X Valinhos-Sp</t>
  </si>
  <si>
    <t>Itajai-Sc X Blumenau-Sc</t>
  </si>
  <si>
    <t>Itajai-Sc X Cascavel-Pr</t>
  </si>
  <si>
    <t>Itajai-Sc X Itapeva-Mg</t>
  </si>
  <si>
    <t>Curitiba-Pr X Cascavel-Pr</t>
  </si>
  <si>
    <t>Florianopolis-Sc X Joinville-Sc</t>
  </si>
  <si>
    <t>Itajai-Sc X Guaramirim-Sc</t>
  </si>
  <si>
    <t>Guarulhos-Sp X Cascavel-Pr</t>
  </si>
  <si>
    <t>TIPO VEÍCULO</t>
  </si>
  <si>
    <t>Itapoa-Sc X Itajai-ScCTNR</t>
  </si>
  <si>
    <t>Itajai-Sc X Itajai-Scfiorino</t>
  </si>
  <si>
    <t>Itajai-Sc X Itajai-ScCTNR</t>
  </si>
  <si>
    <t>Itajai-Sc X Curitiba-Prfiorino</t>
  </si>
  <si>
    <t>Itajai-Sc X Varzea Paulista-Sptruck</t>
  </si>
  <si>
    <t>Itajai-Sc X Contagem-Mgtruck</t>
  </si>
  <si>
    <t>Joinville-Sc X Joinville-Scvan</t>
  </si>
  <si>
    <t>Itajai-Sc X Curitibanos-Sctruck</t>
  </si>
  <si>
    <t>Fortaleza-CE X Barreira-Cevan</t>
  </si>
  <si>
    <t>Itajai-Sc X Jundiai-Spvanvan</t>
  </si>
  <si>
    <t>Joinville-Sc X Valinhos-Spvan</t>
  </si>
  <si>
    <t>Itajai-Sc X Vera Cruz-Spvan</t>
  </si>
  <si>
    <t>Itajai-Sc X Blumenau-Scvan</t>
  </si>
  <si>
    <t>Itajai-Sc X Guarulhos-Spbitruck</t>
  </si>
  <si>
    <t>Florianopolis-Sc X Joinville-Scvan</t>
  </si>
  <si>
    <t>Guarulhos-Sp X Cascavel-Prtruck</t>
  </si>
  <si>
    <t>(Tudo)</t>
  </si>
  <si>
    <t>3/4</t>
  </si>
  <si>
    <t>Barueri-Sp X São Paulo-Sptruck</t>
  </si>
  <si>
    <t>Belo Horizonte-Mg X Garuva-Sc</t>
  </si>
  <si>
    <t>Belo Horizonte-Mg X Garuva-Scvan</t>
  </si>
  <si>
    <t>Belo Horizonte-Mg X Itajai-Sc</t>
  </si>
  <si>
    <t>Belo Horizonte-Mg X Itajai-Scfiorino</t>
  </si>
  <si>
    <t>Florianopolis-Sc X Itajai-Sc3/4</t>
  </si>
  <si>
    <t>Goiania-Go X Brasilia-Df</t>
  </si>
  <si>
    <t>Goiania-Go X Brasilia-Dfvan</t>
  </si>
  <si>
    <t>Guarulhos-Sp X Navegantes-Sccarreta</t>
  </si>
  <si>
    <t>Guarulhos-Sp X Navegantes-Sctruck</t>
  </si>
  <si>
    <t>Guarulhos-Sp X Naviraí-Ms</t>
  </si>
  <si>
    <t>Guarulhos-Sp X Naviraí-Msvan</t>
  </si>
  <si>
    <t>Itajai-Sc X Americana-Sptruck</t>
  </si>
  <si>
    <t>Itajai-Sc X Arapongas-Sc</t>
  </si>
  <si>
    <t>Itajai-Sc X Belo Horizonte-Mgcarreta</t>
  </si>
  <si>
    <t>Itajai-Sc X Belo Horizonte-Mgtruck</t>
  </si>
  <si>
    <t>Itajai-Sc X Belo Horizonte-Mgvan</t>
  </si>
  <si>
    <t>Itajai-Sc X Brasilia-DF</t>
  </si>
  <si>
    <t>Itajai-Sc X Brasilia-DFvan</t>
  </si>
  <si>
    <t>Itajai-Sc X Cabo de Santo Agostinho-Pe</t>
  </si>
  <si>
    <t>Itajai-Sc X Cabo de Santo Agostinho-Petruck</t>
  </si>
  <si>
    <t>Itajai-Sc X Cabreúva-Sp</t>
  </si>
  <si>
    <t>Itajai-Sc X Cabreúva-Spfiorino</t>
  </si>
  <si>
    <t>Itajai-Sc X Cajamar-Spcarreta</t>
  </si>
  <si>
    <t>Itajai-Sc X Cajamar-Sptruck</t>
  </si>
  <si>
    <t>Itajai-Sc X Cajamar-Spvan</t>
  </si>
  <si>
    <t>Itajai-Sc X Campo Grande-Mstruck</t>
  </si>
  <si>
    <t>Itajai-Sc X Canguçu-Rs</t>
  </si>
  <si>
    <t>Itajai-Sc X Canguçu-Rstruck</t>
  </si>
  <si>
    <t>Itajai-Sc X Caxias do sul-Rs</t>
  </si>
  <si>
    <t>Itajai-Sc X Caxias do sul-Rsvan</t>
  </si>
  <si>
    <t>Itajai-Sc X Concordia-sc</t>
  </si>
  <si>
    <t>Itajai-Sc X Concordia-scvan</t>
  </si>
  <si>
    <t>Itajai-Sc X Embu Das Artes-Spcarreta</t>
  </si>
  <si>
    <t>Itajai-Sc X Embu Das Artes-Sptruck</t>
  </si>
  <si>
    <t>Itajai-Sc X Extrema-Mgcarreta</t>
  </si>
  <si>
    <t>Itajai-Sc X Extrema-Mgtruck</t>
  </si>
  <si>
    <t>Itajai-Sc X Extrema-Mgvan</t>
  </si>
  <si>
    <t>Itajai-Sc X Guarulhos-Spcarreta</t>
  </si>
  <si>
    <t>Itajai-Sc X Guarulhos-Sptruck</t>
  </si>
  <si>
    <t>Itajai-Sc X Guarulhos-Spvan</t>
  </si>
  <si>
    <t>Itajai-Sc X Itajai-Sctruck</t>
  </si>
  <si>
    <t>Itajai-Sc X Joinville-Sccarreta</t>
  </si>
  <si>
    <t>Itajai-Sc X Maringá-Prvan</t>
  </si>
  <si>
    <t>Itajai-Sc X Morungaba-Sp</t>
  </si>
  <si>
    <t>Itajai-Sc X Morungaba-Sptruck</t>
  </si>
  <si>
    <t>Itajai-Sc X Nova Santa Rita-Rsfiorino</t>
  </si>
  <si>
    <t>Itajai-Sc X Nova Santa Rita-Rstruck</t>
  </si>
  <si>
    <t>Itajai-Sc X Osasco-Spcarreta</t>
  </si>
  <si>
    <t>Itajai-Sc X Osasco-Sptruck</t>
  </si>
  <si>
    <t>Itajai-Sc X Porto Alegre-Rstruck</t>
  </si>
  <si>
    <t>Itajai-Sc X Porto Alegre-Rsvan</t>
  </si>
  <si>
    <t>Itajai-Sc X são Bernardo do Campo-Sp</t>
  </si>
  <si>
    <t>Itajai-Sc X são Bernardo do Campo-Sptruck</t>
  </si>
  <si>
    <t>Itajai-Sc X São Bernardo do Campo-Sp</t>
  </si>
  <si>
    <t>Itajai-Sc X São Bernardo do Campo-Sp3/4</t>
  </si>
  <si>
    <t>Itajai-Sc X São Caetano do Sul-Sp</t>
  </si>
  <si>
    <t>Itajai-Sc X São Caetano do Sul-Spfiorino</t>
  </si>
  <si>
    <t>Itajai-Sc X São Manuel-Sp</t>
  </si>
  <si>
    <t>Itajai-Sc X São Manuel-Sptruck</t>
  </si>
  <si>
    <t>Itajai-Sc X São Paulo-Spcarreta</t>
  </si>
  <si>
    <t>Itajai-Sc X São Paulo-Spfiorino</t>
  </si>
  <si>
    <t>Itajai-Sc X São Paulo-Spvan</t>
  </si>
  <si>
    <t>Itajai-Sc X Saudades-Sc</t>
  </si>
  <si>
    <t>Itajai-Sc X Saudades-Sctruck</t>
  </si>
  <si>
    <t>Itapoa-Sc X Curitiba-Prtruck</t>
  </si>
  <si>
    <t>Itapoa-Sc X Itajai-Sccarreta</t>
  </si>
  <si>
    <t>Londrina-Pr X Cascavel-Prvan</t>
  </si>
  <si>
    <t>Navegantes-Sc X Cajamar-Sptruck</t>
  </si>
  <si>
    <t>Itajai-Sc X Campo Grande-Mscarreta</t>
  </si>
  <si>
    <t>Itajai-Sc X Serra-Es</t>
  </si>
  <si>
    <t>Itajai-Sc X Serra-Estruck</t>
  </si>
  <si>
    <t>Garuva-Sc - Itajai-Sc</t>
  </si>
  <si>
    <t>Garuva-Sc - Itajai-Sc3/4</t>
  </si>
  <si>
    <t>São Paulo-Sp X Itajai-Sc</t>
  </si>
  <si>
    <t>São Paulo-Sp X Itajai-Sccarreta</t>
  </si>
  <si>
    <t>Navegantes-Sc X Barueri-Sp</t>
  </si>
  <si>
    <t>Navegantes-Sc X Barueri-Sptruck</t>
  </si>
  <si>
    <t>Navegantes-Sc X São Paulo-Sp</t>
  </si>
  <si>
    <t>Navegantes-Sc X São Paulo-Spcarreta</t>
  </si>
  <si>
    <t>Itajai-Sc X Navegantes-Sc</t>
  </si>
  <si>
    <t>Itajai-Sc X Navegantes-Scvan</t>
  </si>
  <si>
    <t>Camboriu-Sc X Cajamar-Sp</t>
  </si>
  <si>
    <t>toco</t>
  </si>
  <si>
    <t>Camboriu-Sc X Cajamar-Sptoco</t>
  </si>
  <si>
    <t>Navegantes-Sc X Guarulhos-Sp</t>
  </si>
  <si>
    <t>Navegantes-Sc X Guarulhos-Spcarreta</t>
  </si>
  <si>
    <t>Navegantes-Sc X Cajamar-Sptoco</t>
  </si>
  <si>
    <t>Itajai-Sc X Contagem-Mgvan</t>
  </si>
  <si>
    <t>Itajai-Sc X Caxias do sul-Rscarreta</t>
  </si>
  <si>
    <t>Itajai-Sc X Caxias do sul-Rstruck</t>
  </si>
  <si>
    <t>Itajai-Sc X Contagem-Mg3/4</t>
  </si>
  <si>
    <t>itajai-SC X Extrema-Mg</t>
  </si>
  <si>
    <t>itajai-SC X Extrema-Mg3/4</t>
  </si>
  <si>
    <t>Itajai-Sc X São Paulo-Sptruck</t>
  </si>
  <si>
    <t>Itapoa-Sc X São Jose-Sc</t>
  </si>
  <si>
    <t>Itapoa-Sc X São Jose-Sccarreta</t>
  </si>
  <si>
    <t>CTNR</t>
  </si>
  <si>
    <t>Itajai-Sc X Rio de Janeiro-Rj</t>
  </si>
  <si>
    <t>Itajai-Sc X Rio de Janeiro-Rj3/4</t>
  </si>
  <si>
    <t>Navegantes-Sc X Jaragua do Sul-Sc</t>
  </si>
  <si>
    <t>Navegantes-Sc X Jaragua do Sul-Sccarreta</t>
  </si>
  <si>
    <t>Pouso Alegre-Mg X Extrema-Mg</t>
  </si>
  <si>
    <t>Pouso Alegre-Mg X Extrema-Mgvan</t>
  </si>
  <si>
    <t>Santo Andre-Sp X Cascavel-Pr</t>
  </si>
  <si>
    <t>Santo Andre-Sp X Cascavel-Prtruck</t>
  </si>
  <si>
    <t>Santo Andre-Sp X São Paulo-Sp</t>
  </si>
  <si>
    <t>Santo Andre-Sp X São Paulo-Sptruck</t>
  </si>
  <si>
    <t>São Paulo-Sp X Itajai-Scfiorino</t>
  </si>
  <si>
    <t>São Paulo-Sp X Morungaba-Sp</t>
  </si>
  <si>
    <t>São Paulo-Sp X Morungaba-Sptruck</t>
  </si>
  <si>
    <t>Ascurra-Sc X Itajai-Sc3/4</t>
  </si>
  <si>
    <t>Biguaçu-Sc X São Paulo-Sp</t>
  </si>
  <si>
    <t>Biguaçu-Sc X São Paulo-Spvan</t>
  </si>
  <si>
    <t>Blumenau-Sc X Guarulhos-Sp</t>
  </si>
  <si>
    <t>Blumenau-Sc X Guarulhos-Spcarreta</t>
  </si>
  <si>
    <t>Blumenau-Sc X Guarulhos-Sptruck</t>
  </si>
  <si>
    <t>Blumenau-Sc X Suzano-Sp</t>
  </si>
  <si>
    <t>Blumenau-Sc X Suzano-Sptruck</t>
  </si>
  <si>
    <t>Camboriu-Sc X Cabo de Santo Agostinho-Pe</t>
  </si>
  <si>
    <t>Camboriu-Sc X Cabo de Santo Agostinho-Pe3/4</t>
  </si>
  <si>
    <t>Camboriu-Sc X Cabo de Santo Agostinho-Petruck</t>
  </si>
  <si>
    <t>Camboriu-Sc X Cabo de Santo Agostinho-Pecarreta</t>
  </si>
  <si>
    <t>Camboriu-Sc X Cajamar-Sp3/4</t>
  </si>
  <si>
    <t>Camboriu-Sc X Cajamar-Sptruck</t>
  </si>
  <si>
    <t>fiorino DTA</t>
  </si>
  <si>
    <t>Campinas-Sp X Itapoa-Scfiorino DTA</t>
  </si>
  <si>
    <t>Campinas-Sp X Suzano-Sp</t>
  </si>
  <si>
    <t>Campinas-Sp X Suzano-Sp3/4</t>
  </si>
  <si>
    <t>Campinas-Sp X Valinhos-Sptoco</t>
  </si>
  <si>
    <t>Curitiba-Pr X Cascavel-Pr3/4</t>
  </si>
  <si>
    <t>Curitiba-Pr X Guarulhos-Sp3/4</t>
  </si>
  <si>
    <t>Florianopolis-Sc X Itajai-Scfiorino</t>
  </si>
  <si>
    <t>Florianopolis-Sc X Joinville-Sc3/4</t>
  </si>
  <si>
    <t>van DTA</t>
  </si>
  <si>
    <t>Guarulhos-Sp X Itajai-Scvan DTA</t>
  </si>
  <si>
    <t>Guarulhos-Sp X Itajai-Sctruck</t>
  </si>
  <si>
    <t>Guarulhos-Sp X Itapoa-Sc</t>
  </si>
  <si>
    <t>Guarulhos-Sp X Itapoa-Scfiorino DTA</t>
  </si>
  <si>
    <t>Guarulhos-Sp X Navegantes-Scfiorino DTA</t>
  </si>
  <si>
    <t>Itajai-Sc X Arapongas-Sc3/4</t>
  </si>
  <si>
    <t>Itajai-Sc X Belo Horizonte-Mg3/4</t>
  </si>
  <si>
    <t>Itajai-Sc X Betim-Mg3/4</t>
  </si>
  <si>
    <t>Itajai-Sc X Cabo de Santo Agostinho-Pe3/4</t>
  </si>
  <si>
    <t>Itajai-Sc X Cabo de Santo Agostinho-Petoco</t>
  </si>
  <si>
    <t>Itajai-Sc X Cachoeira Do Sul-Rs3/4</t>
  </si>
  <si>
    <t>Itajai-Sc X Cajamar-Sp3/4</t>
  </si>
  <si>
    <t>Itajai-Sc X Campo Grande-Ms3/4</t>
  </si>
  <si>
    <t>Itajai-Sc X Cascavel-Pr3/4</t>
  </si>
  <si>
    <t>Itajai-Sc X Chapecó-Sc3/4</t>
  </si>
  <si>
    <t>Itajai-Sc X Cuiaba-Mt</t>
  </si>
  <si>
    <t>Itajai-Sc X Cuiaba-Mtvan</t>
  </si>
  <si>
    <t>Itajai-Sc X Curitiba-Pr3/4</t>
  </si>
  <si>
    <t>Itajai-Sc X Embu Das Artes-Sp3/4</t>
  </si>
  <si>
    <t>Itajai-Sc X Fernandopolis-Sp</t>
  </si>
  <si>
    <t>Itajai-Sc X Fernandopolis-Spcarreta</t>
  </si>
  <si>
    <t>Itajai-Sc X Fortaleza-Ce</t>
  </si>
  <si>
    <t>Itajai-Sc X Fortaleza-Ce3/4</t>
  </si>
  <si>
    <t>Itajai-Sc X Fortaleza-Cetruck</t>
  </si>
  <si>
    <t>Itajai-Sc X Guaramirim-Sctoco</t>
  </si>
  <si>
    <t>Itajai-Sc X Guarulhos-Sp3/4</t>
  </si>
  <si>
    <t>Itajai-Sc X Ibitinga-Sp</t>
  </si>
  <si>
    <t>Itajai-Sc X Ibitinga-Sptruck</t>
  </si>
  <si>
    <t>Itajai-Sc X Igrejinha-Rs3/4</t>
  </si>
  <si>
    <t>Itajai-Sc X Itajai-Sc3/4</t>
  </si>
  <si>
    <t>Itajai-Sc X Itapeva-Mg3/4</t>
  </si>
  <si>
    <t>Itajai-Sc X Itatiba-Sp</t>
  </si>
  <si>
    <t>Itajai-Sc X Itatiba-Spcarreta</t>
  </si>
  <si>
    <t>Itajai-Sc X Itu-Sc</t>
  </si>
  <si>
    <t>Itajai-Sc X Itu-Scfiorino</t>
  </si>
  <si>
    <t>Itajai-Sc X Jaragua do Sul-Sc</t>
  </si>
  <si>
    <t>Itajai-Sc X Jaragua do Sul-Sccarreta</t>
  </si>
  <si>
    <t>Itajai-Sc X Maringá-Pr3/4</t>
  </si>
  <si>
    <t>Itajai-Sc X Mauá-Sp</t>
  </si>
  <si>
    <t>Itajai-Sc X Mauá-Sptruck</t>
  </si>
  <si>
    <t>Itajai-Sc X Mogi Guaçu-Sp</t>
  </si>
  <si>
    <t>Itajai-Sc X Mogi Guaçu-Sp3/4</t>
  </si>
  <si>
    <t>Itajai-Sc X Mogi Guaçu-Spvan</t>
  </si>
  <si>
    <t>Itajai-Sc X Nova Santa Rita-Rs3/4</t>
  </si>
  <si>
    <t>Itajai-Sc X Osasco-Sp3/4</t>
  </si>
  <si>
    <t>Itajai-Sc X Pedreira-Sp3/4</t>
  </si>
  <si>
    <t>Itajai-Sc X Porto Alegre-Rs3/4</t>
  </si>
  <si>
    <t>Itajai-Sc X Ribeirão das Neves-Mg</t>
  </si>
  <si>
    <t>Itajai-Sc X Ribeirão das Neves-Mg3/4</t>
  </si>
  <si>
    <t>Itajai-Sc X Ribeirão das Neves-Mgtruck</t>
  </si>
  <si>
    <t>Itajai-Sc X Rio Claro-Sp</t>
  </si>
  <si>
    <t>Itajai-Sc X Rio Claro-Sptruck</t>
  </si>
  <si>
    <t>Itajai-Sc X Rio de Janeiro-Rjtruck</t>
  </si>
  <si>
    <t>Itajai-Sc X Rio de Janeiro-Rjvan</t>
  </si>
  <si>
    <t>Itajai-Sc X Santa Barbara D'oeste-Sp</t>
  </si>
  <si>
    <t>Itajai-Sc X Santa Barbara D'oeste-Sptruck</t>
  </si>
  <si>
    <t>Itajai-Sc X São Paulo-Sp3/4</t>
  </si>
  <si>
    <t>Itajai-Sc X São Paulo-Sptoco</t>
  </si>
  <si>
    <t>Itajai-Sc X Sorocaba-Sp</t>
  </si>
  <si>
    <t>Itajai-Sc X Sorocaba-Sptoco</t>
  </si>
  <si>
    <t>Itajai-Sc X Sorocaba-Spcarreta</t>
  </si>
  <si>
    <t>Itajai-Sc X Sorocaba-Sptruck</t>
  </si>
  <si>
    <t>Itajai-Sc X Sorocaba-Spvan</t>
  </si>
  <si>
    <t>Itajai-Sc X Suzano-Sp</t>
  </si>
  <si>
    <t>Itajai-Sc X Suzano-Sp3/4</t>
  </si>
  <si>
    <t>Joinville-Sc X Itajai-Sc3/4</t>
  </si>
  <si>
    <t>Joinville-Sc X Joinville-Scfiorino</t>
  </si>
  <si>
    <t>Londrina-Pr X Cascavel-Pr3/4</t>
  </si>
  <si>
    <t>Navegantes-Sc - Embu das Artes-Sp</t>
  </si>
  <si>
    <t>Navegantes-Sc - Embu das Artes-Sp3/4</t>
  </si>
  <si>
    <t>São Paulo-Sp X Belo Horizonte-Mg</t>
  </si>
  <si>
    <t>São Paulo-Sp X Belo Horizonte-Mg3/4</t>
  </si>
  <si>
    <t>São Paulo-Sp X Brasilia-Df</t>
  </si>
  <si>
    <t>São Paulo-Sp X Brasilia-Dfvan</t>
  </si>
  <si>
    <t>São Paulo-Sp X Rio de Janeiro-Rj</t>
  </si>
  <si>
    <t>São Paulo-Sp X Rio de Janeiro-Rj3/4</t>
  </si>
  <si>
    <t>São Paulo-Sp X São Paulo-Sp</t>
  </si>
  <si>
    <t>São Paulo-Sp X São Paulo-Spcarreta</t>
  </si>
  <si>
    <t>Navegantes-Sc X Cajamar-Sp3/4</t>
  </si>
  <si>
    <t>Navegantes-Sc X Guarulhos-Sptruck</t>
  </si>
  <si>
    <t>Itajai-Sc X Guarulhos-Sptoco</t>
  </si>
  <si>
    <t>Sao Paulo-Sp X Goiania-Go</t>
  </si>
  <si>
    <t>Sao Paulo-Sp X Goiania-Gotruck</t>
  </si>
  <si>
    <t>Itajai-Sc X Sao Paulo-Sp</t>
  </si>
  <si>
    <t>Itajai-Sc X Sao Paulo-Sptruck</t>
  </si>
  <si>
    <t>São Paulo-Sp X Goiania-Go3/4</t>
  </si>
  <si>
    <t>FILIAL SP</t>
  </si>
  <si>
    <t>ANSELL BRAZIL L</t>
  </si>
  <si>
    <t>MARLON MARQUES</t>
  </si>
  <si>
    <t>EXPRESSO_250</t>
  </si>
  <si>
    <t>CTE NORMAL</t>
  </si>
  <si>
    <t>N/D</t>
  </si>
  <si>
    <t>HERCULES EQUIPA</t>
  </si>
  <si>
    <t>São Paulo-Sp X Cascavel-Pr</t>
  </si>
  <si>
    <t>São Paulo-Sp X Cascavel-Prtruck</t>
  </si>
  <si>
    <t>São Paulo-Sp X Itajai-Sctruck</t>
  </si>
  <si>
    <t>Araraquara-Sp X Santos-Sp3/4</t>
  </si>
  <si>
    <t>Campinas-Sp X Suzano-Spcarreta</t>
  </si>
  <si>
    <t>Garuva-Sc X Itajai-Sc3/4</t>
  </si>
  <si>
    <t>Guarulhos-Sp X São Paulo-Sptruck</t>
  </si>
  <si>
    <t>Itajai-Sc X Arapongas-Pr3/4</t>
  </si>
  <si>
    <t>Itajai-Sc X Balneario Camboriu-Scvan</t>
  </si>
  <si>
    <t>Itajai-Sc X Blumenau-Scfiorino</t>
  </si>
  <si>
    <t>Itajai-Sc X Blumenau-Sctoco</t>
  </si>
  <si>
    <t>Itajai-Sc X Blumenau-Sctruck</t>
  </si>
  <si>
    <t>Itajai-Sc X Blumenau-Sccarreta</t>
  </si>
  <si>
    <t>Itajai-Sc X Curitiba-Prtruck</t>
  </si>
  <si>
    <t>Itajai-Sc X Itu-Spfiorino</t>
  </si>
  <si>
    <t>Itajai-Sc X Serra-Es3/4</t>
  </si>
  <si>
    <t>Itapoa-Sc X Curitiba-Prvan</t>
  </si>
  <si>
    <t>Joinville-Sc X Anapolis-GOtruck</t>
  </si>
  <si>
    <t>Joinville-Sc X Itajai-Sctruck</t>
  </si>
  <si>
    <t>Joinville-Sc X Joinville-Sc3/4</t>
  </si>
  <si>
    <t>Navegantes-Sc X Embu das Artes-Sp3/4</t>
  </si>
  <si>
    <t>Pomerode-Sc X Guarulhos-Sptoco</t>
  </si>
  <si>
    <t>Pomerode-Sc X Guarulhos-Sptruck</t>
  </si>
  <si>
    <t>Santo Andre-Sp X caxias do sul-RS3/4</t>
  </si>
  <si>
    <t>Santo Andre-Sp X Joinville-Scfiorino</t>
  </si>
  <si>
    <t>Santo Andre-Sp X São Jose dos Pinhais-Prvan</t>
  </si>
  <si>
    <t>São Paulo-Sp X Belo Horizonte-Mgvan</t>
  </si>
  <si>
    <t>São Paulo-Sp X Belo Horizonte-Mgtruck</t>
  </si>
  <si>
    <t>São Paulo-Sp X Belo Horizonte-Mgcarreta</t>
  </si>
  <si>
    <t>São Paulo-Sp X Itajai-Sc3/4</t>
  </si>
  <si>
    <t>São Paulo-Sp X Maripa-Prtruck</t>
  </si>
  <si>
    <t>São Paulo-Sp X São Paulo-Sptruck</t>
  </si>
  <si>
    <t>Vinhedo-Sp X Guarulhos-Spcarreta</t>
  </si>
  <si>
    <t>Santo Andre-Sp X Itajai-Sctruck</t>
  </si>
  <si>
    <t>Santo Andre-Sp X Serra-ES3/4</t>
  </si>
  <si>
    <t>São Paulo-Sp X Uberlandia-Mgtruck</t>
  </si>
  <si>
    <t>São Paulo-Sp X Brasilia-Df3/4</t>
  </si>
  <si>
    <t>Santo Andre-Sp X Santa Vitoria-Mgtruck</t>
  </si>
  <si>
    <t>São Paulo-Sp X Uberlandia-Mgcarreta</t>
  </si>
  <si>
    <t>São Paulo-Sp X Contagem-Mgcarreta</t>
  </si>
  <si>
    <t>São Paulo-Sp X Goiania-Gotruck</t>
  </si>
  <si>
    <t>Itajai-Sc Xcascavel-Prtruck</t>
  </si>
  <si>
    <t>Potim-Sp X Camboriu-Sc3/4</t>
  </si>
  <si>
    <t>Capinzal-Sc X Itajai-Scvan</t>
  </si>
  <si>
    <t>Itajai-Sc X Fazenda Rio Grande-Prtruck</t>
  </si>
  <si>
    <t>Paranaguá-Pr X Ponta Grossa-Prtruck</t>
  </si>
  <si>
    <t>Porto Alegre-Rs X Extrema-Mg3/4</t>
  </si>
  <si>
    <t>Itajai-Sc X Campinas-Sp3/4</t>
  </si>
  <si>
    <t>Itajai-Sc X Juiz de Fora-Mgtruck</t>
  </si>
  <si>
    <t>São Paulo-Sp X Contagem-Mgtruck</t>
  </si>
  <si>
    <t>Itajai-Sc X Caxias do sul-Rs3/4</t>
  </si>
  <si>
    <t>Itajai-Sc X Joinville-Sctruck</t>
  </si>
  <si>
    <t>Itajai-Sc X Uruguaiana-Rscarreta</t>
  </si>
  <si>
    <t>Pouso Alegre-Mg X Extrema-Mg3/4</t>
  </si>
  <si>
    <t>Itajai-Sc X Suzano-Spcarreta</t>
  </si>
  <si>
    <t>Itajai-Sc X Itaperuna-Rjtoco</t>
  </si>
  <si>
    <t>Itapoa-Sc X Palhoça-Sctruck</t>
  </si>
  <si>
    <t>itajai-Sc x Jose de freitas-Pi3/4</t>
  </si>
  <si>
    <t>Itajai-Sc X Rio de Janeiro-Rjfiorino</t>
  </si>
  <si>
    <t>Itajaí-Sc X Santa Barbara d`Oeste-Sp3/4</t>
  </si>
  <si>
    <t>São Paulo-Sp X Santos-Sptruck</t>
  </si>
  <si>
    <t>Itapoa-Sc X Itajai-Scvan</t>
  </si>
  <si>
    <t>São Bernardo do Campo-Sp X Currais Novos-Rn3/4</t>
  </si>
  <si>
    <t>Navegantes-Sc X Embu das Artes-Sptruck</t>
  </si>
  <si>
    <t>Navegantes-Sc X Cajamar-Spcarreta</t>
  </si>
  <si>
    <t>Camboriu-Sc X Contagem-Mg3/4</t>
  </si>
  <si>
    <t>Navegantes-Sc X Jaragua do Sul-ScCTNR</t>
  </si>
  <si>
    <t>São Paulo-Sp X Guarulhos-Spcarreta</t>
  </si>
  <si>
    <t>Santo Andre-Sp X Joinville-Scvan</t>
  </si>
  <si>
    <t>Itajai-Sc X Navegantes-Scfiorino</t>
  </si>
  <si>
    <t>Santos-Sp X Vargem Grande Paulista-SpCTNR</t>
  </si>
  <si>
    <t>Itajai-Sc X Florianopolis-Scfiorino</t>
  </si>
  <si>
    <t>Itajai-Sc X Iuna-Estruck</t>
  </si>
  <si>
    <t>Itajai-Sc X Itajai-Scvan</t>
  </si>
  <si>
    <t>Itapoa-Sc X Curitiba-Pr3/4</t>
  </si>
  <si>
    <t>São Paulo-Sp X Montes Claros-Mgtruck</t>
  </si>
  <si>
    <t>Itajai-Sc X Varzea Paulista-Spcarreta</t>
  </si>
  <si>
    <t>Penha-Sc X São Paulo-Spcarreta</t>
  </si>
  <si>
    <t>Santo Andre-Sp X Itajai-Sccarreta</t>
  </si>
  <si>
    <t>São Paulo-Sp X Navegantes-Sc3/4</t>
  </si>
  <si>
    <t>Penha-Sc X São Paulo-Sptruck</t>
  </si>
  <si>
    <t>Pomerode-Sc X Guarulhos-Spcarreta</t>
  </si>
  <si>
    <t>Navegantes-Sc X Cajamar-Spvan</t>
  </si>
  <si>
    <t>São Paulo-Sp X Araraquara-Spcarreta</t>
  </si>
  <si>
    <t>Itajai-Sc X Suzano-Sptoco</t>
  </si>
  <si>
    <t>Vargem Grande Paulista-Sp X Santos-Sptruck</t>
  </si>
  <si>
    <t>São Paulo-Sp X São Paulo-Spvan</t>
  </si>
  <si>
    <t>Itajai-Sc X Brasilia-Dftruck</t>
  </si>
  <si>
    <t>Itajai-Sc X Brasilia-Dfcarreta</t>
  </si>
  <si>
    <t>São Paulo-Sp X Extrema-Mgtruck</t>
  </si>
  <si>
    <t>São Paulo-Sp X São Paulo-Spfiorino</t>
  </si>
  <si>
    <t>Itajai-Sc X Porto Alegre-Rsfiorino</t>
  </si>
  <si>
    <t>Novo Hamburgo-Rs X Itajai-Scfiorino</t>
  </si>
  <si>
    <t>Itajai-Sc X Ribeirão preto-Spcarreta</t>
  </si>
  <si>
    <t>Itajai-Sc X Ribeirão preto-Sptruck</t>
  </si>
  <si>
    <t>Itajai-Sc X Ribeirão preto-Sp3/4</t>
  </si>
  <si>
    <t>Itajai-Sc X Ribeirão preto-Spvan</t>
  </si>
  <si>
    <t>Itajai-Sc X Ribeirão preto-Spfiorino</t>
  </si>
  <si>
    <t>Guarulhos-Sp X Joinville-Scvan</t>
  </si>
  <si>
    <t>Guarulhos-Sp X Colombo-Prvan</t>
  </si>
  <si>
    <t>Itajai-Sc X Florianopolis-Scvan</t>
  </si>
  <si>
    <t>Itajai-Sc X Campinas-Spvan</t>
  </si>
  <si>
    <t>São Paulo-Sp X Rio de Janeiro-Rjvan</t>
  </si>
  <si>
    <t>Belo Horizonte-Mg X Belo Horizonte-Mgcarreta</t>
  </si>
  <si>
    <t>Santo Andre-Sp X Caxias do Sul-Rsvan</t>
  </si>
  <si>
    <t>Florianopolis-Sc X Serafina Correa-RSvan</t>
  </si>
  <si>
    <t>Guarulhos-So X Dourado-Mt3/4</t>
  </si>
  <si>
    <t>Belo Horizonte-Mg X Ribeirão das neves-Mgcarreta</t>
  </si>
  <si>
    <t>itajai-Sc x Fraiburgo-Sctruck</t>
  </si>
  <si>
    <t>Itajai-Sc X Curitiba-Prvan</t>
  </si>
  <si>
    <t>Itajai-Sc X Mantena-Mg3/4</t>
  </si>
  <si>
    <t>Itajai-Sc X Mantena-Mgtruck</t>
  </si>
  <si>
    <t>Itajai-Sc X Mantena-Mgtoco</t>
  </si>
  <si>
    <t>Itapoa-Sc X Sorocaba-Sptruck</t>
  </si>
  <si>
    <t>Itajaí-Sc x Extrema-Mgtoco</t>
  </si>
  <si>
    <t>Itajaí-Sc X Contagem-Mgtoco</t>
  </si>
  <si>
    <t>Itajaí-Sc X Betim-Mgtoco</t>
  </si>
  <si>
    <t>Itajaí-Sc X Itapeva-Mgtoco</t>
  </si>
  <si>
    <t>Itajaí-Sc X Araucaria-Prtoco</t>
  </si>
  <si>
    <t>Itajaí-Sc X Cajamar-Sptoco</t>
  </si>
  <si>
    <t>Itajaí-Sc X Jundiai-Sptoco</t>
  </si>
  <si>
    <t>Itajaí-Sc X Louveira-Sptoco</t>
  </si>
  <si>
    <t>Itajaí-Sc X Guarulhos-SPtoco</t>
  </si>
  <si>
    <t>Itajaí-Sc X Nova Santa Ritatoco</t>
  </si>
  <si>
    <t>Itajaí-Sc X Duque de Caxias-Rjtoco</t>
  </si>
  <si>
    <t>Itajaí-Sc X São João do Miriti-Rjtoco</t>
  </si>
  <si>
    <t>Itajaí-Sc X Rio de Janeiro-Rjtoco</t>
  </si>
  <si>
    <t>Itajaí-Sc X Brasília-Dftoco</t>
  </si>
  <si>
    <t>Itajaí-Sc X Viana-Estoco</t>
  </si>
  <si>
    <t>Itupeva-Sp X Guarulhos-Spcarreta</t>
  </si>
  <si>
    <t>Itupeva-Sp X Campinas-Spcarreta</t>
  </si>
  <si>
    <t>Itapoa-Sc x caxias do sul-Rsvan</t>
  </si>
  <si>
    <t>Itajai-Sc X Farroupilha-Rsvan</t>
  </si>
  <si>
    <t>Guarulhos-Sp X São Paulo-Spvan</t>
  </si>
  <si>
    <t>Itajai-Sc X Cuiaba-Mttruck</t>
  </si>
  <si>
    <t>Rio do Sul-Sc X Itajaí-Sctruck</t>
  </si>
  <si>
    <t>Itajai-Sc X Colombo-Prvan</t>
  </si>
  <si>
    <t>Paranaguá-Pr X Ibiporã-PrCTNR</t>
  </si>
  <si>
    <t>Itajaí-Sc X Ibiporã-PrCarreta</t>
  </si>
  <si>
    <t>Itajai-Sc X Presidente Prudente-Sp3/4</t>
  </si>
  <si>
    <t>São Paulo-Sp X Cariacica-Es3/4</t>
  </si>
  <si>
    <t>Serra-Es X Garuva-Sctoco</t>
  </si>
  <si>
    <t>Itajai-Sc X Cuiaba-MtCarreta</t>
  </si>
  <si>
    <t>São Paulo-Sp X Pirapetinga-Mg3/4</t>
  </si>
  <si>
    <t>Curitiba-Pr X Curitiba-Prtruck</t>
  </si>
  <si>
    <t>Itajai-Sc X Londrina-Prtruck</t>
  </si>
  <si>
    <t>Navegantes-Sc X São Caetano do Sul-Sptruck</t>
  </si>
  <si>
    <t>Extrema-Mg X São Paulo-Spfiorino</t>
  </si>
  <si>
    <t>Antonina-Pr X São Paulo-Spvan</t>
  </si>
  <si>
    <t>Guarulhos-Sp X Itupeva-Sptruck</t>
  </si>
  <si>
    <t>Itajai-Sc X São Gonçalo do Rio de Baixo-Mg3/4</t>
  </si>
  <si>
    <t>Guarulhos-Sp X Caieiras-Spfiorino</t>
  </si>
  <si>
    <t>São Paulo-Sp X Franca-Sp3/4</t>
  </si>
  <si>
    <t>São Paulo-Sp X Navegantes-Sctruck</t>
  </si>
  <si>
    <t>Itajai-Sc X São Caetano do Sul-Sptruck</t>
  </si>
  <si>
    <t>Itajai-Sc X Cuiaba-MtCTNR</t>
  </si>
  <si>
    <t>Itajaí-Sc X Americana-Sp3/4</t>
  </si>
  <si>
    <t>Itajai-Sc X Santos-Spvan</t>
  </si>
  <si>
    <t>Itajai-Sc X Navegantes-Sccarreta</t>
  </si>
  <si>
    <t>Santo Andre-Sp X Contagem-Mg3/4</t>
  </si>
  <si>
    <t>Itajai-Sc X Santa Maria-Rsfiorino</t>
  </si>
  <si>
    <t>São Paulo-Sp X Ribeirão Preto-Sp 3/4</t>
  </si>
  <si>
    <t>São Paulo-Sp X Itapeva-Mgvan</t>
  </si>
  <si>
    <t>Itajai-Sc X Chapeco-Scvan</t>
  </si>
  <si>
    <t>Itajai-Sc X Joinville-Sc3/4</t>
  </si>
  <si>
    <t>Itajai-Sc X Goiânia-Govan</t>
  </si>
  <si>
    <t>Itajai-Sc X Goiânia-Gocarreta</t>
  </si>
  <si>
    <t>Itajai-Sc X Palhoça-Sc3/4</t>
  </si>
  <si>
    <t>São Paulo-Sp X Pradopolis-Sp3/4</t>
  </si>
  <si>
    <t>São Paulo-Sp X Cascavel-Pr3/4</t>
  </si>
  <si>
    <t>Itajaí-Sc X Governador Valadares-Mg3/4</t>
  </si>
  <si>
    <t>Itajaí-Sc X Governador Valadares-Mgtruck</t>
  </si>
  <si>
    <t>Navegantes-Sc X São Paulo-Sptruck</t>
  </si>
  <si>
    <t>Cotia-Sp X Itajai-Sctruck</t>
  </si>
  <si>
    <t>Joaçaba-Sc X Guarulhos-Sp3/4</t>
  </si>
  <si>
    <t>Joaçaba-Sc X Guarulhos-Sptruck</t>
  </si>
  <si>
    <t>Limeira-Sp X Guarulhos-Sp3/4</t>
  </si>
  <si>
    <t>Limeira-Sp X Guarulhos-Sptoco</t>
  </si>
  <si>
    <t>Limeira-Sp X Guarulhos-Sptruck</t>
  </si>
  <si>
    <t>Limeira-Sp X Guarulhos-Spcarreta</t>
  </si>
  <si>
    <t>Itajai-Sc X Porto Alegre-Rscarreta</t>
  </si>
  <si>
    <t>Itajai-Sc X Serra-EsCarreta</t>
  </si>
  <si>
    <t>37912-1</t>
  </si>
  <si>
    <t>CRICIUMA - SC</t>
  </si>
  <si>
    <t>MF EXPRESS TRANSPORTE ROD</t>
  </si>
  <si>
    <t>G.S CITRUS COMERCIO ATACA</t>
  </si>
  <si>
    <t>37903-1</t>
  </si>
  <si>
    <t>37902-1</t>
  </si>
  <si>
    <t>37966-1</t>
  </si>
  <si>
    <t>GARUVA - SC</t>
  </si>
  <si>
    <t>HELTON JOHN DA SILVA</t>
  </si>
  <si>
    <t>37965-1</t>
  </si>
  <si>
    <t>37964-1</t>
  </si>
  <si>
    <t>37963-1</t>
  </si>
  <si>
    <t>37962-1</t>
  </si>
  <si>
    <t>SAO JOSE - SC</t>
  </si>
  <si>
    <t>37960-1</t>
  </si>
  <si>
    <t>INDAIAL - SC</t>
  </si>
  <si>
    <t>JOSENIR DE SOUZA CUNHA</t>
  </si>
  <si>
    <t>37959-1</t>
  </si>
  <si>
    <t>37958-1</t>
  </si>
  <si>
    <t>SAO BENTO DO SUL - SC</t>
  </si>
  <si>
    <t>37957-1</t>
  </si>
  <si>
    <t>37956-1</t>
  </si>
  <si>
    <t>37955-1</t>
  </si>
  <si>
    <t>37954-1</t>
  </si>
  <si>
    <t>37953-1</t>
  </si>
  <si>
    <t>37952-1</t>
  </si>
  <si>
    <t>37951-1</t>
  </si>
  <si>
    <t>37950-1</t>
  </si>
  <si>
    <t>37949-1</t>
  </si>
  <si>
    <t>37948-1</t>
  </si>
  <si>
    <t>37947-1</t>
  </si>
  <si>
    <t>37945-1</t>
  </si>
  <si>
    <t>37934-1</t>
  </si>
  <si>
    <t>37929-1</t>
  </si>
  <si>
    <t>MATRIZ</t>
  </si>
  <si>
    <t>4064-1</t>
  </si>
  <si>
    <t>IND.E COM.LEAL</t>
  </si>
  <si>
    <t>URIEL CORREA</t>
  </si>
  <si>
    <t>LEAL SP X SC</t>
  </si>
  <si>
    <t>NAVEGANTES - SC</t>
  </si>
  <si>
    <t>4063-1</t>
  </si>
  <si>
    <t>4062-1</t>
  </si>
  <si>
    <t>4061-1</t>
  </si>
  <si>
    <t>4060-1</t>
  </si>
  <si>
    <t>Sao Paulo-Sp X Itajai-Sccarreta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</si>
</sst>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7" formatCode="&quot;R$&quot;\ #,##0.00;\-&quot;R$&quot;\ #,##0.00"/>
    <numFmt numFmtId="8" formatCode="&quot;R$&quot;\ #,##0.00;[Red]\-&quot;R$&quot;\ #,##0.00"/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_-* #,##0_-;\-* #,##0_-;_-* &quot;-&quot;??_-;_-@_-"/>
    <numFmt numFmtId="165" formatCode="&quot;R$&quot;\ #,##0.00"/>
    <numFmt numFmtId="166" formatCode="&quot;R$&quot;\ #.##000"/>
  </numFmts>
  <fonts count="27" x14ac:knownFonts="1">
    <font>
      <sz val="11"/>
      <color theme="1"/>
      <name val="Calibri"/>
      <family val="2"/>
      <scheme val="minor"/>
    </font>
    <font>
      <sz val="8"/>
      <name val="Calibri"/>
      <family val="2"/>
    </font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A7D00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rgb="FF000000"/>
      <name val="Calibri"/>
      <family val="2"/>
      <scheme val="minor"/>
    </font>
    <font>
      <b/>
      <sz val="7"/>
      <color rgb="FF000000"/>
      <name val="Calibri"/>
      <family val="2"/>
      <scheme val="minor"/>
    </font>
    <font>
      <sz val="7"/>
      <color rgb="FF000000"/>
      <name val="Calibri"/>
      <family val="2"/>
      <scheme val="minor"/>
    </font>
    <font>
      <sz val="7"/>
      <color rgb="FFFF0000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38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6EF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solid">
        <fgColor rgb="FFFFC7CE"/>
      </patternFill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</fills>
  <borders count="43">
    <border>
      <left/>
      <right/>
      <top/>
      <bottom/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/>
      <diagonal/>
    </border>
    <border>
      <left/>
      <right/>
      <top/>
      <bottom style="hair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tted">
        <color rgb="FF999999"/>
      </left>
      <right/>
      <top/>
      <bottom style="dotted">
        <color rgb="FF999999"/>
      </bottom>
      <diagonal/>
    </border>
    <border>
      <left/>
      <right/>
      <top/>
      <bottom style="dotted">
        <color rgb="FF999999"/>
      </bottom>
      <diagonal/>
    </border>
    <border>
      <left style="dotted">
        <color rgb="FF999999"/>
      </left>
      <right style="dotted">
        <color rgb="FF999999"/>
      </right>
      <top/>
      <bottom style="dotted">
        <color rgb="FF999999"/>
      </bottom>
      <diagonal/>
    </border>
    <border>
      <left style="dotted">
        <color rgb="FF999999"/>
      </left>
      <right/>
      <top style="dotted">
        <color rgb="FF999999"/>
      </top>
      <bottom style="dotted">
        <color rgb="FF999999"/>
      </bottom>
      <diagonal/>
    </border>
    <border>
      <left/>
      <right/>
      <top style="dotted">
        <color rgb="FF999999"/>
      </top>
      <bottom style="dotted">
        <color rgb="FF999999"/>
      </bottom>
      <diagonal/>
    </border>
    <border>
      <left/>
      <right style="dotted">
        <color rgb="FF999999"/>
      </right>
      <top style="dotted">
        <color rgb="FF999999"/>
      </top>
      <bottom style="dotted">
        <color rgb="FF999999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ck">
        <color indexed="64"/>
      </right>
      <top/>
      <bottom style="medium">
        <color indexed="64"/>
      </bottom>
      <diagonal/>
    </border>
    <border>
      <left style="thick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dotted">
        <color rgb="FF999999"/>
      </left>
      <right/>
      <top style="dotted">
        <color rgb="FF999999"/>
      </top>
      <bottom/>
      <diagonal/>
    </border>
    <border>
      <left/>
      <right/>
      <top style="dotted">
        <color rgb="FF999999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50">
    <xf numFmtId="0" fontId="0" fillId="0" borderId="0"/>
    <xf numFmtId="0" fontId="2" fillId="2" borderId="0" applyNumberFormat="0" applyBorder="0" applyAlignment="0" applyProtection="0"/>
    <xf numFmtId="0" fontId="2" fillId="3" borderId="0" applyNumberFormat="0" applyBorder="0" applyAlignment="0" applyProtection="0"/>
    <xf numFmtId="0" fontId="2" fillId="4" borderId="0" applyNumberFormat="0" applyBorder="0" applyAlignment="0" applyProtection="0"/>
    <xf numFmtId="0" fontId="2" fillId="5" borderId="0" applyNumberFormat="0" applyBorder="0" applyAlignment="0" applyProtection="0"/>
    <xf numFmtId="0" fontId="2" fillId="6" borderId="0" applyNumberFormat="0" applyBorder="0" applyAlignment="0" applyProtection="0"/>
    <xf numFmtId="0" fontId="2" fillId="7" borderId="0" applyNumberFormat="0" applyBorder="0" applyAlignment="0" applyProtection="0"/>
    <xf numFmtId="0" fontId="2" fillId="8" borderId="0" applyNumberFormat="0" applyBorder="0" applyAlignment="0" applyProtection="0"/>
    <xf numFmtId="0" fontId="2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2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3" fillId="20" borderId="0" applyNumberFormat="0" applyBorder="0" applyAlignment="0" applyProtection="0"/>
    <xf numFmtId="0" fontId="4" fillId="21" borderId="4" applyNumberFormat="0" applyAlignment="0" applyProtection="0"/>
    <xf numFmtId="0" fontId="5" fillId="22" borderId="5" applyNumberFormat="0" applyAlignment="0" applyProtection="0"/>
    <xf numFmtId="0" fontId="6" fillId="0" borderId="6" applyNumberFormat="0" applyFill="0" applyAlignment="0" applyProtection="0"/>
    <xf numFmtId="0" fontId="7" fillId="23" borderId="0" applyNumberFormat="0" applyBorder="0" applyAlignment="0" applyProtection="0"/>
    <xf numFmtId="0" fontId="7" fillId="24" borderId="0" applyNumberFormat="0" applyBorder="0" applyAlignment="0" applyProtection="0"/>
    <xf numFmtId="0" fontId="7" fillId="25" borderId="0" applyNumberFormat="0" applyBorder="0" applyAlignment="0" applyProtection="0"/>
    <xf numFmtId="0" fontId="7" fillId="26" borderId="0" applyNumberFormat="0" applyBorder="0" applyAlignment="0" applyProtection="0"/>
    <xf numFmtId="0" fontId="7" fillId="27" borderId="0" applyNumberFormat="0" applyBorder="0" applyAlignment="0" applyProtection="0"/>
    <xf numFmtId="0" fontId="7" fillId="28" borderId="0" applyNumberFormat="0" applyBorder="0" applyAlignment="0" applyProtection="0"/>
    <xf numFmtId="0" fontId="8" fillId="29" borderId="4" applyNumberFormat="0" applyAlignment="0" applyProtection="0"/>
    <xf numFmtId="0" fontId="9" fillId="30" borderId="0" applyNumberFormat="0" applyBorder="0" applyAlignment="0" applyProtection="0"/>
    <xf numFmtId="0" fontId="2" fillId="31" borderId="7" applyNumberFormat="0" applyFont="0" applyAlignment="0" applyProtection="0"/>
    <xf numFmtId="9" fontId="2" fillId="0" borderId="0" applyFont="0" applyFill="0" applyBorder="0" applyAlignment="0" applyProtection="0"/>
    <xf numFmtId="0" fontId="10" fillId="32" borderId="0" applyNumberFormat="0" applyBorder="0" applyAlignment="0" applyProtection="0"/>
    <xf numFmtId="0" fontId="11" fillId="21" borderId="8" applyNumberFormat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0" borderId="10" applyNumberFormat="0" applyFill="0" applyAlignment="0" applyProtection="0"/>
    <xf numFmtId="0" fontId="17" fillId="0" borderId="11" applyNumberFormat="0" applyFill="0" applyAlignment="0" applyProtection="0"/>
    <xf numFmtId="0" fontId="17" fillId="0" borderId="0" applyNumberFormat="0" applyFill="0" applyBorder="0" applyAlignment="0" applyProtection="0"/>
    <xf numFmtId="0" fontId="18" fillId="0" borderId="12" applyNumberFormat="0" applyFill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</cellStyleXfs>
  <cellXfs count="144">
    <xf numFmtId="0" fontId="0" fillId="0" borderId="0" xfId="0"/>
    <xf numFmtId="0" fontId="0" fillId="33" borderId="0" xfId="0" applyFill="1"/>
    <xf numFmtId="0" fontId="19" fillId="33" borderId="13" xfId="0" applyFont="1" applyFill="1" applyBorder="1" applyAlignment="1">
      <alignment horizontal="center" wrapText="1"/>
    </xf>
    <xf numFmtId="0" fontId="19" fillId="33" borderId="14" xfId="0" applyFont="1" applyFill="1" applyBorder="1" applyAlignment="1">
      <alignment horizontal="center" wrapText="1"/>
    </xf>
    <xf numFmtId="10" fontId="2" fillId="0" borderId="0" xfId="32" applyNumberFormat="1" applyFont="1"/>
    <xf numFmtId="164" fontId="2" fillId="0" borderId="0" xfId="43" applyNumberFormat="1" applyFont="1"/>
    <xf numFmtId="0" fontId="19" fillId="34" borderId="13" xfId="0" applyFont="1" applyFill="1" applyBorder="1" applyAlignment="1">
      <alignment horizontal="center" wrapText="1"/>
    </xf>
    <xf numFmtId="0" fontId="19" fillId="33" borderId="15" xfId="0" applyFont="1" applyFill="1" applyBorder="1" applyAlignment="1">
      <alignment horizontal="center" wrapText="1"/>
    </xf>
    <xf numFmtId="0" fontId="0" fillId="0" borderId="0" xfId="0" pivotButton="1"/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10" fontId="0" fillId="0" borderId="0" xfId="0" applyNumberFormat="1" applyAlignment="1">
      <alignment horizontal="center"/>
    </xf>
    <xf numFmtId="0" fontId="0" fillId="0" borderId="0" xfId="0" applyAlignment="1">
      <alignment horizontal="left"/>
    </xf>
    <xf numFmtId="44" fontId="0" fillId="0" borderId="2" xfId="0" applyNumberFormat="1" applyBorder="1" applyAlignment="1">
      <alignment horizontal="center"/>
    </xf>
    <xf numFmtId="164" fontId="0" fillId="0" borderId="2" xfId="0" applyNumberFormat="1" applyBorder="1" applyAlignment="1">
      <alignment horizontal="center"/>
    </xf>
    <xf numFmtId="10" fontId="0" fillId="0" borderId="2" xfId="0" applyNumberFormat="1" applyBorder="1" applyAlignment="1">
      <alignment horizontal="center"/>
    </xf>
    <xf numFmtId="44" fontId="0" fillId="0" borderId="3" xfId="0" applyNumberFormat="1" applyBorder="1" applyAlignment="1">
      <alignment horizontal="center"/>
    </xf>
    <xf numFmtId="164" fontId="0" fillId="0" borderId="3" xfId="0" applyNumberFormat="1" applyBorder="1" applyAlignment="1">
      <alignment horizontal="center"/>
    </xf>
    <xf numFmtId="10" fontId="0" fillId="0" borderId="3" xfId="0" applyNumberFormat="1" applyBorder="1" applyAlignment="1">
      <alignment horizontal="center"/>
    </xf>
    <xf numFmtId="0" fontId="0" fillId="0" borderId="0" xfId="0" applyAlignment="1">
      <alignment horizontal="left" indent="1"/>
    </xf>
    <xf numFmtId="0" fontId="21" fillId="33" borderId="13" xfId="0" applyFont="1" applyFill="1" applyBorder="1" applyAlignment="1">
      <alignment horizontal="center" wrapText="1"/>
    </xf>
    <xf numFmtId="0" fontId="20" fillId="33" borderId="13" xfId="0" applyFont="1" applyFill="1" applyBorder="1" applyAlignment="1">
      <alignment horizontal="center" wrapText="1"/>
    </xf>
    <xf numFmtId="14" fontId="21" fillId="33" borderId="13" xfId="0" applyNumberFormat="1" applyFont="1" applyFill="1" applyBorder="1" applyAlignment="1">
      <alignment horizontal="center" wrapText="1"/>
    </xf>
    <xf numFmtId="0" fontId="21" fillId="33" borderId="13" xfId="0" applyFont="1" applyFill="1" applyBorder="1" applyAlignment="1">
      <alignment horizontal="left" wrapText="1"/>
    </xf>
    <xf numFmtId="4" fontId="21" fillId="33" borderId="13" xfId="0" applyNumberFormat="1" applyFont="1" applyFill="1" applyBorder="1" applyAlignment="1">
      <alignment horizontal="left" wrapText="1"/>
    </xf>
    <xf numFmtId="10" fontId="21" fillId="33" borderId="13" xfId="0" applyNumberFormat="1" applyFont="1" applyFill="1" applyBorder="1" applyAlignment="1">
      <alignment horizontal="left" wrapText="1"/>
    </xf>
    <xf numFmtId="0" fontId="20" fillId="33" borderId="16" xfId="0" applyFont="1" applyFill="1" applyBorder="1" applyAlignment="1">
      <alignment horizontal="center" wrapText="1"/>
    </xf>
    <xf numFmtId="0" fontId="21" fillId="33" borderId="17" xfId="0" applyFont="1" applyFill="1" applyBorder="1" applyAlignment="1">
      <alignment horizontal="center" wrapText="1"/>
    </xf>
    <xf numFmtId="14" fontId="21" fillId="33" borderId="17" xfId="0" applyNumberFormat="1" applyFont="1" applyFill="1" applyBorder="1" applyAlignment="1">
      <alignment horizontal="center" wrapText="1"/>
    </xf>
    <xf numFmtId="0" fontId="21" fillId="33" borderId="17" xfId="0" applyFont="1" applyFill="1" applyBorder="1" applyAlignment="1">
      <alignment horizontal="left" wrapText="1"/>
    </xf>
    <xf numFmtId="4" fontId="21" fillId="33" borderId="17" xfId="0" applyNumberFormat="1" applyFont="1" applyFill="1" applyBorder="1" applyAlignment="1">
      <alignment horizontal="left" wrapText="1"/>
    </xf>
    <xf numFmtId="10" fontId="21" fillId="33" borderId="17" xfId="0" applyNumberFormat="1" applyFont="1" applyFill="1" applyBorder="1" applyAlignment="1">
      <alignment horizontal="left" wrapText="1"/>
    </xf>
    <xf numFmtId="0" fontId="21" fillId="33" borderId="16" xfId="0" applyFont="1" applyFill="1" applyBorder="1" applyAlignment="1">
      <alignment horizontal="center" wrapText="1"/>
    </xf>
    <xf numFmtId="0" fontId="21" fillId="33" borderId="18" xfId="0" applyFont="1" applyFill="1" applyBorder="1" applyAlignment="1">
      <alignment horizontal="left" wrapText="1"/>
    </xf>
    <xf numFmtId="0" fontId="21" fillId="33" borderId="16" xfId="0" applyFont="1" applyFill="1" applyBorder="1" applyAlignment="1">
      <alignment horizontal="left" wrapText="1"/>
    </xf>
    <xf numFmtId="0" fontId="22" fillId="33" borderId="13" xfId="0" applyFont="1" applyFill="1" applyBorder="1" applyAlignment="1">
      <alignment horizontal="left" wrapText="1"/>
    </xf>
    <xf numFmtId="0" fontId="22" fillId="33" borderId="17" xfId="0" applyFont="1" applyFill="1" applyBorder="1" applyAlignment="1">
      <alignment horizontal="left" wrapText="1"/>
    </xf>
    <xf numFmtId="44" fontId="0" fillId="0" borderId="0" xfId="0" applyNumberFormat="1"/>
    <xf numFmtId="44" fontId="2" fillId="0" borderId="0" xfId="32" applyNumberFormat="1" applyFont="1"/>
    <xf numFmtId="0" fontId="23" fillId="0" borderId="0" xfId="0" applyFont="1"/>
    <xf numFmtId="10" fontId="0" fillId="0" borderId="0" xfId="32" applyNumberFormat="1" applyFont="1"/>
    <xf numFmtId="0" fontId="0" fillId="0" borderId="19" xfId="0" applyBorder="1"/>
    <xf numFmtId="0" fontId="0" fillId="0" borderId="20" xfId="0" applyBorder="1"/>
    <xf numFmtId="0" fontId="0" fillId="0" borderId="23" xfId="0" applyBorder="1"/>
    <xf numFmtId="0" fontId="0" fillId="0" borderId="24" xfId="0" applyBorder="1"/>
    <xf numFmtId="0" fontId="0" fillId="0" borderId="21" xfId="0" applyBorder="1"/>
    <xf numFmtId="0" fontId="0" fillId="0" borderId="25" xfId="0" applyBorder="1" applyAlignment="1">
      <alignment horizontal="center"/>
    </xf>
    <xf numFmtId="0" fontId="0" fillId="0" borderId="22" xfId="0" applyBorder="1"/>
    <xf numFmtId="10" fontId="0" fillId="36" borderId="0" xfId="0" applyNumberFormat="1" applyFill="1" applyAlignment="1">
      <alignment horizontal="center"/>
    </xf>
    <xf numFmtId="10" fontId="18" fillId="0" borderId="0" xfId="0" applyNumberFormat="1" applyFont="1" applyAlignment="1">
      <alignment horizontal="center"/>
    </xf>
    <xf numFmtId="7" fontId="5" fillId="35" borderId="29" xfId="0" applyNumberFormat="1" applyFont="1" applyFill="1" applyBorder="1" applyAlignment="1">
      <alignment vertical="top"/>
    </xf>
    <xf numFmtId="0" fontId="0" fillId="0" borderId="30" xfId="0" applyBorder="1"/>
    <xf numFmtId="0" fontId="0" fillId="0" borderId="25" xfId="0" applyBorder="1"/>
    <xf numFmtId="164" fontId="0" fillId="0" borderId="20" xfId="43" applyNumberFormat="1" applyFont="1" applyBorder="1" applyAlignment="1">
      <alignment horizontal="center"/>
    </xf>
    <xf numFmtId="164" fontId="0" fillId="0" borderId="24" xfId="43" applyNumberFormat="1" applyFont="1" applyBorder="1" applyAlignment="1">
      <alignment horizontal="center"/>
    </xf>
    <xf numFmtId="164" fontId="0" fillId="0" borderId="22" xfId="43" applyNumberFormat="1" applyFont="1" applyBorder="1" applyAlignment="1">
      <alignment horizontal="center"/>
    </xf>
    <xf numFmtId="7" fontId="5" fillId="35" borderId="27" xfId="0" applyNumberFormat="1" applyFont="1" applyFill="1" applyBorder="1" applyAlignment="1">
      <alignment horizontal="left" vertical="top"/>
    </xf>
    <xf numFmtId="7" fontId="5" fillId="35" borderId="29" xfId="0" applyNumberFormat="1" applyFont="1" applyFill="1" applyBorder="1" applyAlignment="1">
      <alignment horizontal="left" vertical="top"/>
    </xf>
    <xf numFmtId="0" fontId="5" fillId="35" borderId="28" xfId="0" applyFont="1" applyFill="1" applyBorder="1" applyAlignment="1">
      <alignment vertical="top"/>
    </xf>
    <xf numFmtId="0" fontId="20" fillId="33" borderId="39" xfId="0" applyFont="1" applyFill="1" applyBorder="1" applyAlignment="1">
      <alignment horizontal="center" wrapText="1"/>
    </xf>
    <xf numFmtId="0" fontId="21" fillId="33" borderId="40" xfId="0" applyFont="1" applyFill="1" applyBorder="1" applyAlignment="1">
      <alignment horizontal="center" wrapText="1"/>
    </xf>
    <xf numFmtId="4" fontId="21" fillId="33" borderId="40" xfId="0" applyNumberFormat="1" applyFont="1" applyFill="1" applyBorder="1" applyAlignment="1">
      <alignment horizontal="left" wrapText="1"/>
    </xf>
    <xf numFmtId="0" fontId="21" fillId="33" borderId="40" xfId="0" applyFont="1" applyFill="1" applyBorder="1" applyAlignment="1">
      <alignment horizontal="left" wrapText="1"/>
    </xf>
    <xf numFmtId="10" fontId="21" fillId="33" borderId="40" xfId="0" applyNumberFormat="1" applyFont="1" applyFill="1" applyBorder="1" applyAlignment="1">
      <alignment horizontal="left" wrapText="1"/>
    </xf>
    <xf numFmtId="14" fontId="21" fillId="33" borderId="40" xfId="0" applyNumberFormat="1" applyFont="1" applyFill="1" applyBorder="1" applyAlignment="1">
      <alignment horizontal="center" wrapText="1"/>
    </xf>
    <xf numFmtId="0" fontId="26" fillId="0" borderId="37" xfId="0" applyFont="1" applyBorder="1" applyAlignment="1">
      <alignment horizontal="left" vertical="center"/>
    </xf>
    <xf numFmtId="0" fontId="0" fillId="0" borderId="35" xfId="0" applyBorder="1" applyAlignment="1">
      <alignment horizontal="left" vertical="center"/>
    </xf>
    <xf numFmtId="0" fontId="0" fillId="0" borderId="37" xfId="0" applyBorder="1" applyAlignment="1">
      <alignment horizontal="left" vertical="center"/>
    </xf>
    <xf numFmtId="0" fontId="0" fillId="0" borderId="35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36" xfId="0" applyBorder="1" applyAlignment="1">
      <alignment horizontal="center" vertical="center"/>
    </xf>
    <xf numFmtId="0" fontId="5" fillId="37" borderId="42" xfId="0" applyFont="1" applyFill="1" applyBorder="1" applyAlignment="1">
      <alignment horizontal="center" vertical="center"/>
    </xf>
    <xf numFmtId="0" fontId="5" fillId="37" borderId="34" xfId="0" applyFont="1" applyFill="1" applyBorder="1" applyAlignment="1">
      <alignment horizontal="center" vertical="center"/>
    </xf>
    <xf numFmtId="44" fontId="5" fillId="37" borderId="41" xfId="47" applyFont="1" applyFill="1" applyBorder="1" applyAlignment="1">
      <alignment horizontal="center" vertical="center"/>
    </xf>
    <xf numFmtId="49" fontId="0" fillId="0" borderId="35" xfId="0" applyNumberFormat="1" applyBorder="1" applyAlignment="1">
      <alignment horizontal="center" vertical="center"/>
    </xf>
    <xf numFmtId="8" fontId="26" fillId="0" borderId="38" xfId="0" applyNumberFormat="1" applyFont="1" applyBorder="1" applyAlignment="1">
      <alignment horizontal="center" vertical="center"/>
    </xf>
    <xf numFmtId="0" fontId="0" fillId="0" borderId="1" xfId="0" applyBorder="1" applyAlignment="1">
      <alignment horizontal="left"/>
    </xf>
    <xf numFmtId="8" fontId="0" fillId="0" borderId="38" xfId="47" applyNumberFormat="1" applyFont="1" applyFill="1" applyBorder="1" applyAlignment="1">
      <alignment horizontal="center" vertical="center"/>
    </xf>
    <xf numFmtId="8" fontId="0" fillId="0" borderId="35" xfId="45" applyNumberFormat="1" applyFont="1" applyFill="1" applyBorder="1" applyAlignment="1">
      <alignment horizontal="center" vertical="center"/>
    </xf>
    <xf numFmtId="8" fontId="0" fillId="0" borderId="35" xfId="47" applyNumberFormat="1" applyFont="1" applyBorder="1" applyAlignment="1">
      <alignment horizontal="center" vertical="center"/>
    </xf>
    <xf numFmtId="8" fontId="0" fillId="0" borderId="38" xfId="47" applyNumberFormat="1" applyFont="1" applyBorder="1" applyAlignment="1">
      <alignment horizontal="center" vertical="center"/>
    </xf>
    <xf numFmtId="8" fontId="0" fillId="0" borderId="38" xfId="45" applyNumberFormat="1" applyFont="1" applyFill="1" applyBorder="1" applyAlignment="1">
      <alignment horizontal="center" vertical="center"/>
    </xf>
    <xf numFmtId="44" fontId="0" fillId="0" borderId="35" xfId="45" applyFont="1" applyFill="1" applyBorder="1" applyAlignment="1">
      <alignment horizontal="center" vertical="center"/>
    </xf>
    <xf numFmtId="8" fontId="0" fillId="0" borderId="36" xfId="45" applyNumberFormat="1" applyFont="1" applyFill="1" applyBorder="1" applyAlignment="1">
      <alignment horizontal="center" vertical="center"/>
    </xf>
    <xf numFmtId="0" fontId="0" fillId="0" borderId="36" xfId="0" applyBorder="1" applyAlignment="1">
      <alignment horizontal="left" vertical="center"/>
    </xf>
    <xf numFmtId="0" fontId="0" fillId="0" borderId="0" xfId="0" applyAlignment="1">
      <alignment horizontal="left" vertical="center"/>
    </xf>
    <xf numFmtId="16" fontId="0" fillId="0" borderId="36" xfId="0" applyNumberFormat="1" applyBorder="1" applyAlignment="1">
      <alignment horizontal="center" vertical="center"/>
    </xf>
    <xf numFmtId="16" fontId="0" fillId="0" borderId="0" xfId="0" applyNumberForma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0" fontId="0" fillId="0" borderId="2" xfId="0" applyBorder="1" applyAlignment="1">
      <alignment horizontal="left"/>
    </xf>
    <xf numFmtId="0" fontId="0" fillId="0" borderId="3" xfId="0" applyBorder="1" applyAlignment="1">
      <alignment horizontal="left"/>
    </xf>
    <xf numFmtId="49" fontId="0" fillId="0" borderId="0" xfId="0" applyNumberFormat="1" applyAlignment="1">
      <alignment horizontal="center" vertical="center"/>
    </xf>
    <xf numFmtId="0" fontId="5" fillId="35" borderId="33" xfId="0" applyFont="1" applyFill="1" applyBorder="1" applyAlignment="1">
      <alignment horizontal="center" vertical="top"/>
    </xf>
    <xf numFmtId="0" fontId="5" fillId="35" borderId="27" xfId="0" applyFont="1" applyFill="1" applyBorder="1" applyAlignment="1">
      <alignment horizontal="center" vertical="top"/>
    </xf>
    <xf numFmtId="0" fontId="5" fillId="35" borderId="28" xfId="0" applyFont="1" applyFill="1" applyBorder="1" applyAlignment="1">
      <alignment horizontal="center" vertical="top"/>
    </xf>
    <xf numFmtId="0" fontId="5" fillId="35" borderId="29" xfId="0" applyFont="1" applyFill="1" applyBorder="1" applyAlignment="1">
      <alignment horizontal="center" vertical="top"/>
    </xf>
    <xf numFmtId="7" fontId="5" fillId="35" borderId="27" xfId="0" applyNumberFormat="1" applyFont="1" applyFill="1" applyBorder="1" applyAlignment="1">
      <alignment horizontal="center" vertical="top"/>
    </xf>
    <xf numFmtId="7" fontId="5" fillId="35" borderId="28" xfId="0" applyNumberFormat="1" applyFont="1" applyFill="1" applyBorder="1" applyAlignment="1">
      <alignment horizontal="center" vertical="top"/>
    </xf>
    <xf numFmtId="7" fontId="5" fillId="35" borderId="29" xfId="0" applyNumberFormat="1" applyFont="1" applyFill="1" applyBorder="1" applyAlignment="1">
      <alignment horizontal="center" vertical="top"/>
    </xf>
    <xf numFmtId="43" fontId="5" fillId="35" borderId="27" xfId="43" applyFont="1" applyFill="1" applyBorder="1" applyAlignment="1">
      <alignment horizontal="center" vertical="top"/>
    </xf>
    <xf numFmtId="43" fontId="5" fillId="35" borderId="28" xfId="43" applyFont="1" applyFill="1" applyBorder="1" applyAlignment="1">
      <alignment horizontal="center" vertical="top"/>
    </xf>
    <xf numFmtId="165" fontId="5" fillId="35" borderId="27" xfId="0" applyNumberFormat="1" applyFont="1" applyFill="1" applyBorder="1" applyAlignment="1">
      <alignment horizontal="center" vertical="top"/>
    </xf>
    <xf numFmtId="165" fontId="5" fillId="35" borderId="28" xfId="0" applyNumberFormat="1" applyFont="1" applyFill="1" applyBorder="1" applyAlignment="1">
      <alignment horizontal="center" vertical="top"/>
    </xf>
    <xf numFmtId="165" fontId="5" fillId="35" borderId="29" xfId="0" applyNumberFormat="1" applyFont="1" applyFill="1" applyBorder="1" applyAlignment="1">
      <alignment horizontal="center" vertical="top"/>
    </xf>
    <xf numFmtId="0" fontId="5" fillId="35" borderId="21" xfId="0" applyFont="1" applyFill="1" applyBorder="1" applyAlignment="1">
      <alignment horizontal="center" vertical="top"/>
    </xf>
    <xf numFmtId="0" fontId="5" fillId="35" borderId="25" xfId="0" applyFont="1" applyFill="1" applyBorder="1" applyAlignment="1">
      <alignment horizontal="center" vertical="top"/>
    </xf>
    <xf numFmtId="0" fontId="5" fillId="35" borderId="22" xfId="0" applyFont="1" applyFill="1" applyBorder="1" applyAlignment="1">
      <alignment horizontal="center" vertical="top"/>
    </xf>
    <xf numFmtId="10" fontId="5" fillId="35" borderId="27" xfId="32" applyNumberFormat="1" applyFont="1" applyFill="1" applyBorder="1" applyAlignment="1">
      <alignment horizontal="center" vertical="top"/>
    </xf>
    <xf numFmtId="10" fontId="5" fillId="35" borderId="28" xfId="32" applyNumberFormat="1" applyFont="1" applyFill="1" applyBorder="1" applyAlignment="1">
      <alignment horizontal="center" vertical="top"/>
    </xf>
    <xf numFmtId="10" fontId="5" fillId="35" borderId="29" xfId="32" applyNumberFormat="1" applyFont="1" applyFill="1" applyBorder="1" applyAlignment="1">
      <alignment horizontal="center" vertical="top"/>
    </xf>
    <xf numFmtId="165" fontId="5" fillId="35" borderId="21" xfId="0" applyNumberFormat="1" applyFont="1" applyFill="1" applyBorder="1" applyAlignment="1">
      <alignment horizontal="center" vertical="top"/>
    </xf>
    <xf numFmtId="165" fontId="5" fillId="35" borderId="25" xfId="0" applyNumberFormat="1" applyFont="1" applyFill="1" applyBorder="1" applyAlignment="1">
      <alignment horizontal="center" vertical="top"/>
    </xf>
    <xf numFmtId="165" fontId="5" fillId="35" borderId="22" xfId="0" applyNumberFormat="1" applyFont="1" applyFill="1" applyBorder="1" applyAlignment="1">
      <alignment horizontal="center" vertical="top"/>
    </xf>
    <xf numFmtId="165" fontId="5" fillId="35" borderId="26" xfId="0" applyNumberFormat="1" applyFont="1" applyFill="1" applyBorder="1" applyAlignment="1">
      <alignment horizontal="center" vertical="top"/>
    </xf>
    <xf numFmtId="10" fontId="5" fillId="35" borderId="26" xfId="32" applyNumberFormat="1" applyFont="1" applyFill="1" applyBorder="1" applyAlignment="1">
      <alignment horizontal="center" vertical="top"/>
    </xf>
    <xf numFmtId="0" fontId="5" fillId="35" borderId="31" xfId="0" applyFont="1" applyFill="1" applyBorder="1" applyAlignment="1">
      <alignment horizontal="center" vertical="top"/>
    </xf>
    <xf numFmtId="7" fontId="5" fillId="35" borderId="21" xfId="0" applyNumberFormat="1" applyFont="1" applyFill="1" applyBorder="1" applyAlignment="1">
      <alignment horizontal="center" vertical="top"/>
    </xf>
    <xf numFmtId="7" fontId="5" fillId="35" borderId="25" xfId="0" applyNumberFormat="1" applyFont="1" applyFill="1" applyBorder="1" applyAlignment="1">
      <alignment horizontal="center" vertical="top"/>
    </xf>
    <xf numFmtId="7" fontId="5" fillId="35" borderId="31" xfId="0" applyNumberFormat="1" applyFont="1" applyFill="1" applyBorder="1" applyAlignment="1">
      <alignment horizontal="center" vertical="top"/>
    </xf>
    <xf numFmtId="0" fontId="5" fillId="35" borderId="32" xfId="0" applyFont="1" applyFill="1" applyBorder="1" applyAlignment="1">
      <alignment horizontal="center" vertical="top"/>
    </xf>
    <xf numFmtId="7" fontId="5" fillId="35" borderId="32" xfId="0" applyNumberFormat="1" applyFont="1" applyFill="1" applyBorder="1" applyAlignment="1">
      <alignment horizontal="center" vertical="top"/>
    </xf>
    <xf numFmtId="7" fontId="5" fillId="35" borderId="22" xfId="0" applyNumberFormat="1" applyFont="1" applyFill="1" applyBorder="1" applyAlignment="1">
      <alignment horizontal="center" vertical="top"/>
    </xf>
    <xf numFmtId="0" fontId="5" fillId="35" borderId="23" xfId="0" applyFont="1" applyFill="1" applyBorder="1" applyAlignment="1">
      <alignment horizontal="center" vertical="top"/>
    </xf>
    <xf numFmtId="0" fontId="5" fillId="35" borderId="24" xfId="0" applyFont="1" applyFill="1" applyBorder="1" applyAlignment="1">
      <alignment horizontal="center" vertical="top"/>
    </xf>
    <xf numFmtId="0" fontId="5" fillId="35" borderId="19" xfId="0" applyFont="1" applyFill="1" applyBorder="1" applyAlignment="1">
      <alignment horizontal="center" vertical="top"/>
    </xf>
    <xf numFmtId="0" fontId="5" fillId="35" borderId="30" xfId="0" applyFont="1" applyFill="1" applyBorder="1" applyAlignment="1">
      <alignment horizontal="center" vertical="top"/>
    </xf>
    <xf numFmtId="0" fontId="5" fillId="35" borderId="20" xfId="0" applyFont="1" applyFill="1" applyBorder="1" applyAlignment="1">
      <alignment horizontal="center" vertical="top"/>
    </xf>
    <xf numFmtId="44" fontId="5" fillId="35" borderId="27" xfId="0" applyNumberFormat="1" applyFont="1" applyFill="1" applyBorder="1" applyAlignment="1">
      <alignment horizontal="center" vertical="top"/>
    </xf>
    <xf numFmtId="0" fontId="25" fillId="0" borderId="19" xfId="0" applyFont="1" applyBorder="1" applyAlignment="1">
      <alignment horizontal="center" vertical="center"/>
    </xf>
    <xf numFmtId="0" fontId="25" fillId="0" borderId="30" xfId="0" applyFont="1" applyBorder="1" applyAlignment="1">
      <alignment horizontal="center" vertical="center"/>
    </xf>
    <xf numFmtId="0" fontId="25" fillId="0" borderId="20" xfId="0" applyFont="1" applyBorder="1" applyAlignment="1">
      <alignment horizontal="center" vertical="center"/>
    </xf>
    <xf numFmtId="0" fontId="25" fillId="0" borderId="23" xfId="0" applyFont="1" applyBorder="1" applyAlignment="1">
      <alignment horizontal="center" vertical="center"/>
    </xf>
    <xf numFmtId="0" fontId="25" fillId="0" borderId="0" xfId="0" applyFont="1" applyAlignment="1">
      <alignment horizontal="center" vertical="center"/>
    </xf>
    <xf numFmtId="0" fontId="25" fillId="0" borderId="24" xfId="0" applyFont="1" applyBorder="1" applyAlignment="1">
      <alignment horizontal="center" vertical="center"/>
    </xf>
    <xf numFmtId="0" fontId="25" fillId="0" borderId="21" xfId="0" applyFont="1" applyBorder="1" applyAlignment="1">
      <alignment horizontal="center" vertical="center"/>
    </xf>
    <xf numFmtId="0" fontId="25" fillId="0" borderId="25" xfId="0" applyFont="1" applyBorder="1" applyAlignment="1">
      <alignment horizontal="center" vertical="center"/>
    </xf>
    <xf numFmtId="0" fontId="25" fillId="0" borderId="22" xfId="0" applyFont="1" applyBorder="1" applyAlignment="1">
      <alignment horizontal="center" vertical="center"/>
    </xf>
    <xf numFmtId="49" fontId="5" fillId="35" borderId="27" xfId="0" applyNumberFormat="1" applyFont="1" applyFill="1" applyBorder="1" applyAlignment="1">
      <alignment horizontal="center" vertical="top"/>
    </xf>
    <xf numFmtId="164" fontId="5" fillId="35" borderId="21" xfId="43" applyNumberFormat="1" applyFont="1" applyFill="1" applyBorder="1" applyAlignment="1">
      <alignment horizontal="center" vertical="top"/>
    </xf>
    <xf numFmtId="164" fontId="5" fillId="35" borderId="25" xfId="43" applyNumberFormat="1" applyFont="1" applyFill="1" applyBorder="1" applyAlignment="1">
      <alignment horizontal="center" vertical="top"/>
    </xf>
    <xf numFmtId="164" fontId="5" fillId="35" borderId="22" xfId="43" applyNumberFormat="1" applyFont="1" applyFill="1" applyBorder="1" applyAlignment="1">
      <alignment horizontal="center" vertical="top"/>
    </xf>
    <xf numFmtId="44" fontId="0" fillId="0" borderId="0" xfId="0" applyNumberFormat="1" applyBorder="1" applyAlignment="1">
      <alignment horizontal="center"/>
    </xf>
    <xf numFmtId="164" fontId="0" fillId="0" borderId="0" xfId="0" applyNumberFormat="1" applyBorder="1" applyAlignment="1">
      <alignment horizontal="center"/>
    </xf>
    <xf numFmtId="10" fontId="0" fillId="0" borderId="0" xfId="0" applyNumberFormat="1" applyBorder="1" applyAlignment="1">
      <alignment horizontal="center"/>
    </xf>
  </cellXfs>
  <cellStyles count="50">
    <cellStyle name="20% - Ênfase1" xfId="1" builtinId="30" customBuiltin="1"/>
    <cellStyle name="20% - Ênfase2" xfId="2" builtinId="34" customBuiltin="1"/>
    <cellStyle name="20% - Ênfase3" xfId="3" builtinId="38" customBuiltin="1"/>
    <cellStyle name="20% - Ênfase4" xfId="4" builtinId="42" customBuiltin="1"/>
    <cellStyle name="20% - Ênfase5" xfId="5" builtinId="46" customBuiltin="1"/>
    <cellStyle name="20% - Ênfase6" xfId="6" builtinId="50" customBuiltin="1"/>
    <cellStyle name="40% - Ênfase1" xfId="7" builtinId="31" customBuiltin="1"/>
    <cellStyle name="40% - Ênfase2" xfId="8" builtinId="35" customBuiltin="1"/>
    <cellStyle name="40% - Ênfase3" xfId="9" builtinId="39" customBuiltin="1"/>
    <cellStyle name="40% - Ênfase4" xfId="10" builtinId="43" customBuiltin="1"/>
    <cellStyle name="40% - Ênfase5" xfId="11" builtinId="47" customBuiltin="1"/>
    <cellStyle name="40% - Ênfase6" xfId="12" builtinId="51" customBuiltin="1"/>
    <cellStyle name="60% - Ênfase1" xfId="13" builtinId="32" customBuiltin="1"/>
    <cellStyle name="60% - Ênfase2" xfId="14" builtinId="36" customBuiltin="1"/>
    <cellStyle name="60% - Ênfase3" xfId="15" builtinId="40" customBuiltin="1"/>
    <cellStyle name="60% - Ênfase4" xfId="16" builtinId="44" customBuiltin="1"/>
    <cellStyle name="60% - Ênfase5" xfId="17" builtinId="48" customBuiltin="1"/>
    <cellStyle name="60% - Ênfase6" xfId="18" builtinId="52" customBuiltin="1"/>
    <cellStyle name="Bom" xfId="19" builtinId="26" customBuiltin="1"/>
    <cellStyle name="Cálculo" xfId="20" builtinId="22" customBuiltin="1"/>
    <cellStyle name="Célula de Verificação" xfId="21" builtinId="23" customBuiltin="1"/>
    <cellStyle name="Célula Vinculada" xfId="22" builtinId="24" customBuiltin="1"/>
    <cellStyle name="Ênfase1" xfId="23" builtinId="29" customBuiltin="1"/>
    <cellStyle name="Ênfase2" xfId="24" builtinId="33" customBuiltin="1"/>
    <cellStyle name="Ênfase3" xfId="25" builtinId="37" customBuiltin="1"/>
    <cellStyle name="Ênfase4" xfId="26" builtinId="41" customBuiltin="1"/>
    <cellStyle name="Ênfase5" xfId="27" builtinId="45" customBuiltin="1"/>
    <cellStyle name="Ênfase6" xfId="28" builtinId="49" customBuiltin="1"/>
    <cellStyle name="Entrada" xfId="29" builtinId="20" customBuiltin="1"/>
    <cellStyle name="Moeda" xfId="45" builtinId="4"/>
    <cellStyle name="Moeda 2" xfId="49" xr:uid="{0D7BE2C4-5E99-4E77-ABD9-D273063B1B07}"/>
    <cellStyle name="Moeda 3" xfId="47" xr:uid="{592D844A-2355-4C66-BA46-EEBF7B66DBE6}"/>
    <cellStyle name="Neutro" xfId="30" builtinId="28" customBuiltin="1"/>
    <cellStyle name="Normal" xfId="0" builtinId="0"/>
    <cellStyle name="Nota" xfId="31" builtinId="10" customBuiltin="1"/>
    <cellStyle name="Porcentagem" xfId="32" builtinId="5"/>
    <cellStyle name="Ruim" xfId="33" builtinId="27" customBuiltin="1"/>
    <cellStyle name="Saída" xfId="34" builtinId="21" customBuiltin="1"/>
    <cellStyle name="Texto de Aviso" xfId="35" builtinId="11" customBuiltin="1"/>
    <cellStyle name="Texto Explicativo" xfId="36" builtinId="53" customBuiltin="1"/>
    <cellStyle name="Título" xfId="37" builtinId="15" customBuiltin="1"/>
    <cellStyle name="Título 1" xfId="38" builtinId="16" customBuiltin="1"/>
    <cellStyle name="Título 2" xfId="39" builtinId="17" customBuiltin="1"/>
    <cellStyle name="Título 3" xfId="40" builtinId="18" customBuiltin="1"/>
    <cellStyle name="Título 4" xfId="41" builtinId="19" customBuiltin="1"/>
    <cellStyle name="Total" xfId="42" builtinId="25" customBuiltin="1"/>
    <cellStyle name="Vírgula" xfId="43" builtinId="3"/>
    <cellStyle name="Vírgula 2" xfId="44" xr:uid="{00000000-0005-0000-0000-00002C000000}"/>
    <cellStyle name="Vírgula 2 2" xfId="48" xr:uid="{43A2160E-8865-43FC-9FF1-8453D60C558E}"/>
    <cellStyle name="Vírgula 3" xfId="46" xr:uid="{B09B0688-6DC4-4A09-877E-4F3558CCFD77}"/>
  </cellStyles>
  <dxfs count="93">
    <dxf>
      <fill>
        <patternFill>
          <fgColor theme="0"/>
          <bgColor rgb="FF00B050"/>
        </patternFill>
      </fill>
    </dxf>
    <dxf>
      <fill>
        <patternFill>
          <fgColor theme="0"/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ont>
        <color theme="1"/>
        <name val="Calibri Light"/>
        <family val="2"/>
        <scheme val="none"/>
      </font>
      <fill>
        <patternFill>
          <bgColor rgb="FFFF0000"/>
        </patternFill>
      </fill>
    </dxf>
    <dxf>
      <font>
        <color theme="1"/>
        <name val="Calibri Light"/>
        <family val="2"/>
        <scheme val="none"/>
      </font>
      <fill>
        <patternFill>
          <bgColor rgb="FFFFC0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alignment horizontal="center"/>
    </dxf>
    <dxf>
      <alignment horizontal="center"/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numFmt numFmtId="34" formatCode="_-&quot;R$&quot;\ * #,##0.00_-;\-&quot;R$&quot;\ * #,##0.00_-;_-&quot;R$&quot;\ * &quot;-&quot;??_-;_-@_-"/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alignment horizontal="center"/>
    </dxf>
    <dxf>
      <alignment horizontal="center"/>
    </dxf>
    <dxf>
      <numFmt numFmtId="164" formatCode="_-* #,##0_-;\-* #,##0_-;_-* &quot;-&quot;??_-;_-@_-"/>
    </dxf>
    <dxf>
      <numFmt numFmtId="164" formatCode="_-* #,##0_-;\-* #,##0_-;_-* &quot;-&quot;??_-;_-@_-"/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34" formatCode="_-&quot;R$&quot;\ * #,##0.00_-;\-&quot;R$&quot;\ * #,##0.00_-;_-&quot;R$&quot;\ * &quot;-&quot;??_-;_-@_-"/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C000"/>
        </patternFill>
      </fill>
    </dxf>
    <dxf>
      <font>
        <color theme="0"/>
      </font>
      <fill>
        <patternFill>
          <bgColor rgb="FF00B05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color theme="1"/>
        <name val="Calibri Light"/>
        <family val="2"/>
        <scheme val="none"/>
      </font>
      <fill>
        <patternFill>
          <bgColor rgb="FFFFC000"/>
        </patternFill>
      </fill>
    </dxf>
    <dxf>
      <font>
        <color theme="1"/>
        <name val="Calibri Light"/>
        <family val="2"/>
        <scheme val="none"/>
      </font>
      <fill>
        <patternFill>
          <bgColor rgb="FFFF0000"/>
        </patternFill>
      </fill>
    </dxf>
    <dxf>
      <font>
        <color theme="1"/>
        <name val="Calibri Light"/>
        <family val="2"/>
        <scheme val="none"/>
      </font>
      <fill>
        <patternFill>
          <bgColor rgb="FFFF0000"/>
        </patternFill>
      </fill>
    </dxf>
    <dxf>
      <font>
        <color theme="0"/>
        <name val="Calibri Light"/>
        <family val="2"/>
        <scheme val="none"/>
      </font>
      <fill>
        <patternFill>
          <bgColor rgb="FF00B05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14" formatCode="0.00%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19" formatCode="dd/mm/yyyy"/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19" formatCode="dd/mm/yyyy"/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 style="dotted">
          <color rgb="FF999999"/>
        </left>
        <right/>
        <top style="dotted">
          <color rgb="FF999999"/>
        </top>
        <bottom style="dotted">
          <color rgb="FF999999"/>
        </bottom>
        <vertical/>
        <horizontal/>
      </border>
    </dxf>
    <dxf>
      <border outline="0">
        <left style="dotted">
          <color rgb="FF999999"/>
        </left>
        <bottom style="dotted">
          <color rgb="FF99999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</dxf>
    <dxf>
      <border outline="0">
        <bottom style="dotted">
          <color rgb="FF99999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 outline="0">
        <left style="dotted">
          <color rgb="FF999999"/>
        </left>
        <right style="dotted">
          <color rgb="FF999999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rgb="FF00B05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07/relationships/slicerCache" Target="slicerCaches/slicerCache2.xml"/><Relationship Id="rId3" Type="http://schemas.openxmlformats.org/officeDocument/2006/relationships/worksheet" Target="worksheets/sheet3.xml"/><Relationship Id="rId7" Type="http://schemas.microsoft.com/office/2007/relationships/slicerCache" Target="slicerCaches/slicerCache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[Analise_RENATO_29092026.xlsx]Resumo Detalhado Grafico!Tabela dinâmica1</c:name>
    <c:fmtId val="14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  <a:sp3d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2"/>
          </a:solidFill>
          <a:ln>
            <a:noFill/>
          </a:ln>
          <a:effectLst/>
          <a:sp3d/>
        </c:spP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2"/>
          </a:solidFill>
          <a:ln>
            <a:noFill/>
          </a:ln>
          <a:effectLst/>
          <a:sp3d/>
        </c:spP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b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</c:pivotFmt>
      <c:pivotFmt>
        <c:idx val="22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4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2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7"/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8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2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2"/>
      </c:pivotFmt>
      <c:pivotFmt>
        <c:idx val="33"/>
      </c:pivotFmt>
      <c:pivotFmt>
        <c:idx val="34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35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36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'Resumo Detalhado Grafico'!$B$3:$B$4</c:f>
              <c:strCache>
                <c:ptCount val="1"/>
                <c:pt idx="0">
                  <c:v>Faturamento.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'Resumo Detalhado Grafico'!$A$5:$A$8</c:f>
              <c:strCache>
                <c:ptCount val="4"/>
                <c:pt idx="0">
                  <c:v>ANSELL BRAZIL L</c:v>
                </c:pt>
                <c:pt idx="1">
                  <c:v>HERCULES EQUIPA</c:v>
                </c:pt>
                <c:pt idx="2">
                  <c:v>IND.E COM.LEAL</c:v>
                </c:pt>
                <c:pt idx="3">
                  <c:v>(vazio)</c:v>
                </c:pt>
              </c:strCache>
            </c:strRef>
          </c:cat>
          <c:val>
            <c:numRef>
              <c:f>'Resumo Detalhado Grafico'!$B$5:$B$8</c:f>
              <c:numCache>
                <c:formatCode>_("R$"* #,##0.00_);_("R$"* \(#,##0.00\);_("R$"* "-"??_);_(@_)</c:formatCode>
                <c:ptCount val="4"/>
                <c:pt idx="0">
                  <c:v>11648.45</c:v>
                </c:pt>
                <c:pt idx="1">
                  <c:v>512.91</c:v>
                </c:pt>
                <c:pt idx="2">
                  <c:v>1429.3400000000001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4A2-4BC4-BCF7-C68F6D75A0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34956959"/>
        <c:axId val="334958623"/>
      </c:lineChart>
      <c:lineChart>
        <c:grouping val="standard"/>
        <c:varyColors val="0"/>
        <c:ser>
          <c:idx val="1"/>
          <c:order val="1"/>
          <c:tx>
            <c:strRef>
              <c:f>'Resumo Detalhado Grafico'!$C$3:$C$4</c:f>
              <c:strCache>
                <c:ptCount val="1"/>
                <c:pt idx="0">
                  <c:v>Resultado Oper.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Pt>
            <c:idx val="0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chemeClr val="accent2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1-54D3-4A58-9A77-3DFB25073DBD}"/>
              </c:ext>
            </c:extLst>
          </c:dPt>
          <c:dPt>
            <c:idx val="1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1-64A2-4BC4-BCF7-C68F6D75A042}"/>
              </c:ext>
            </c:extLst>
          </c:dPt>
          <c:dPt>
            <c:idx val="3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3-BD34-43F1-8C22-5DD3E343C8D6}"/>
              </c:ext>
            </c:extLst>
          </c:dPt>
          <c:dPt>
            <c:idx val="5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2-01E0-4935-988F-C2DB3007C77D}"/>
              </c:ext>
            </c:extLst>
          </c:dPt>
          <c:dPt>
            <c:idx val="13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1-8D39-40A5-BDB4-5F0A10A68843}"/>
              </c:ext>
            </c:extLst>
          </c:dPt>
          <c:dLbls>
            <c:numFmt formatCode="&quot;R$&quot;#,##0.00_);[Red]\(&quot;R$&quot;#,##0.00\)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'Resumo Detalhado Grafico'!$A$5:$A$8</c:f>
              <c:strCache>
                <c:ptCount val="4"/>
                <c:pt idx="0">
                  <c:v>ANSELL BRAZIL L</c:v>
                </c:pt>
                <c:pt idx="1">
                  <c:v>HERCULES EQUIPA</c:v>
                </c:pt>
                <c:pt idx="2">
                  <c:v>IND.E COM.LEAL</c:v>
                </c:pt>
                <c:pt idx="3">
                  <c:v>(vazio)</c:v>
                </c:pt>
              </c:strCache>
            </c:strRef>
          </c:cat>
          <c:val>
            <c:numRef>
              <c:f>'Resumo Detalhado Grafico'!$C$5:$C$8</c:f>
              <c:numCache>
                <c:formatCode>_("R$"* #,##0.00_);_("R$"* \(#,##0.00\);_("R$"* "-"??_);_(@_)</c:formatCode>
                <c:ptCount val="4"/>
                <c:pt idx="0">
                  <c:v>4191.7200000000012</c:v>
                </c:pt>
                <c:pt idx="1">
                  <c:v>244.50999999999996</c:v>
                </c:pt>
                <c:pt idx="2">
                  <c:v>493.43000000000006</c:v>
                </c:pt>
                <c:pt idx="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4A2-4BC4-BCF7-C68F6D75A0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51831472"/>
        <c:axId val="781539936"/>
      </c:lineChart>
      <c:catAx>
        <c:axId val="3349569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334958623"/>
        <c:crosses val="autoZero"/>
        <c:auto val="1"/>
        <c:lblAlgn val="ctr"/>
        <c:lblOffset val="100"/>
        <c:noMultiLvlLbl val="0"/>
      </c:catAx>
      <c:valAx>
        <c:axId val="334958623"/>
        <c:scaling>
          <c:orientation val="minMax"/>
        </c:scaling>
        <c:delete val="1"/>
        <c:axPos val="l"/>
        <c:numFmt formatCode="_(&quot;R$&quot;* #,##0.00_);_(&quot;R$&quot;* \(#,##0.00\);_(&quot;R$&quot;* &quot;-&quot;??_);_(@_)" sourceLinked="1"/>
        <c:majorTickMark val="none"/>
        <c:minorTickMark val="none"/>
        <c:tickLblPos val="nextTo"/>
        <c:crossAx val="334956959"/>
        <c:crosses val="autoZero"/>
        <c:crossBetween val="between"/>
      </c:valAx>
      <c:valAx>
        <c:axId val="781539936"/>
        <c:scaling>
          <c:orientation val="minMax"/>
        </c:scaling>
        <c:delete val="1"/>
        <c:axPos val="r"/>
        <c:numFmt formatCode="_(&quot;R$&quot;* #,##0.00_);_(&quot;R$&quot;* \(#,##0.00\);_(&quot;R$&quot;* &quot;-&quot;??_);_(@_)" sourceLinked="1"/>
        <c:majorTickMark val="out"/>
        <c:minorTickMark val="none"/>
        <c:tickLblPos val="nextTo"/>
        <c:crossAx val="551831472"/>
        <c:crosses val="max"/>
        <c:crossBetween val="between"/>
      </c:valAx>
      <c:catAx>
        <c:axId val="551831472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781539936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38100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[Analise_RENATO_29092026.xlsx]Resumo Detalhado Grafico!Tabela dinâmica1</c:name>
    <c:fmtId val="0"/>
  </c:pivotSource>
  <c:chart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'Resumo Detalhado Grafico'!$B$3:$B$4</c:f>
              <c:strCache>
                <c:ptCount val="1"/>
                <c:pt idx="0">
                  <c:v>Faturamento.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'Resumo Detalhado Grafico'!$A$5:$A$8</c:f>
              <c:strCache>
                <c:ptCount val="4"/>
                <c:pt idx="0">
                  <c:v>ANSELL BRAZIL L</c:v>
                </c:pt>
                <c:pt idx="1">
                  <c:v>HERCULES EQUIPA</c:v>
                </c:pt>
                <c:pt idx="2">
                  <c:v>IND.E COM.LEAL</c:v>
                </c:pt>
                <c:pt idx="3">
                  <c:v>(vazio)</c:v>
                </c:pt>
              </c:strCache>
            </c:strRef>
          </c:cat>
          <c:val>
            <c:numRef>
              <c:f>'Resumo Detalhado Grafico'!$B$5:$B$8</c:f>
              <c:numCache>
                <c:formatCode>_("R$"* #,##0.00_);_("R$"* \(#,##0.00\);_("R$"* "-"??_);_(@_)</c:formatCode>
                <c:ptCount val="4"/>
                <c:pt idx="0">
                  <c:v>11648.45</c:v>
                </c:pt>
                <c:pt idx="1">
                  <c:v>512.91</c:v>
                </c:pt>
                <c:pt idx="2">
                  <c:v>1429.3400000000001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092-49C1-902B-151E2CFCA2C6}"/>
            </c:ext>
          </c:extLst>
        </c:ser>
        <c:ser>
          <c:idx val="1"/>
          <c:order val="1"/>
          <c:tx>
            <c:strRef>
              <c:f>'Resumo Detalhado Grafico'!$C$3:$C$4</c:f>
              <c:strCache>
                <c:ptCount val="1"/>
                <c:pt idx="0">
                  <c:v>Resultado Oper.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'Resumo Detalhado Grafico'!$A$5:$A$8</c:f>
              <c:strCache>
                <c:ptCount val="4"/>
                <c:pt idx="0">
                  <c:v>ANSELL BRAZIL L</c:v>
                </c:pt>
                <c:pt idx="1">
                  <c:v>HERCULES EQUIPA</c:v>
                </c:pt>
                <c:pt idx="2">
                  <c:v>IND.E COM.LEAL</c:v>
                </c:pt>
                <c:pt idx="3">
                  <c:v>(vazio)</c:v>
                </c:pt>
              </c:strCache>
            </c:strRef>
          </c:cat>
          <c:val>
            <c:numRef>
              <c:f>'Resumo Detalhado Grafico'!$C$5:$C$8</c:f>
              <c:numCache>
                <c:formatCode>_("R$"* #,##0.00_);_("R$"* \(#,##0.00\);_("R$"* "-"??_);_(@_)</c:formatCode>
                <c:ptCount val="4"/>
                <c:pt idx="0">
                  <c:v>4191.7200000000012</c:v>
                </c:pt>
                <c:pt idx="1">
                  <c:v>244.50999999999996</c:v>
                </c:pt>
                <c:pt idx="2">
                  <c:v>493.43000000000006</c:v>
                </c:pt>
                <c:pt idx="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092-49C1-902B-151E2CFCA2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58957407"/>
        <c:axId val="858956159"/>
      </c:lineChart>
      <c:catAx>
        <c:axId val="8589574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858956159"/>
        <c:crosses val="autoZero"/>
        <c:auto val="1"/>
        <c:lblAlgn val="ctr"/>
        <c:lblOffset val="100"/>
        <c:noMultiLvlLbl val="0"/>
      </c:catAx>
      <c:valAx>
        <c:axId val="858956159"/>
        <c:scaling>
          <c:orientation val="minMax"/>
        </c:scaling>
        <c:delete val="1"/>
        <c:axPos val="l"/>
        <c:numFmt formatCode="_(&quot;R$&quot;* #,##0.00_);_(&quot;R$&quot;* \(#,##0.00\);_(&quot;R$&quot;* &quot;-&quot;??_);_(@_)" sourceLinked="1"/>
        <c:majorTickMark val="none"/>
        <c:minorTickMark val="none"/>
        <c:tickLblPos val="nextTo"/>
        <c:crossAx val="8589574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</xdr:colOff>
      <xdr:row>0</xdr:row>
      <xdr:rowOff>0</xdr:rowOff>
    </xdr:from>
    <xdr:to>
      <xdr:col>2</xdr:col>
      <xdr:colOff>607694</xdr:colOff>
      <xdr:row>28</xdr:row>
      <xdr:rowOff>169308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2" name="CLIENTE TOMADOR">
              <a:extLst>
                <a:ext uri="{FF2B5EF4-FFF2-40B4-BE49-F238E27FC236}">
                  <a16:creationId xmlns:a16="http://schemas.microsoft.com/office/drawing/2014/main" id="{A98B16C0-14FA-4A18-82D2-D60C4F679936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LIENTE TOMADOR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762" y="0"/>
              <a:ext cx="1928812" cy="5405438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oneCell">
    <xdr:from>
      <xdr:col>22</xdr:col>
      <xdr:colOff>9524</xdr:colOff>
      <xdr:row>0</xdr:row>
      <xdr:rowOff>0</xdr:rowOff>
    </xdr:from>
    <xdr:to>
      <xdr:col>24</xdr:col>
      <xdr:colOff>609599</xdr:colOff>
      <xdr:row>9</xdr:row>
      <xdr:rowOff>140969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3" name="SERVICO">
              <a:extLst>
                <a:ext uri="{FF2B5EF4-FFF2-40B4-BE49-F238E27FC236}">
                  <a16:creationId xmlns:a16="http://schemas.microsoft.com/office/drawing/2014/main" id="{6688C07E-DB08-4BF1-8166-5BDD1F953C2A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ERVICO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0639425" y="0"/>
              <a:ext cx="1933575" cy="54006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>
    <xdr:from>
      <xdr:col>0</xdr:col>
      <xdr:colOff>38100</xdr:colOff>
      <xdr:row>23</xdr:row>
      <xdr:rowOff>47625</xdr:rowOff>
    </xdr:from>
    <xdr:to>
      <xdr:col>24</xdr:col>
      <xdr:colOff>638175</xdr:colOff>
      <xdr:row>38</xdr:row>
      <xdr:rowOff>66675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A3EA2E0-FD85-4205-8B70-A4ED9628986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596567</xdr:colOff>
      <xdr:row>1048550</xdr:row>
      <xdr:rowOff>132348</xdr:rowOff>
    </xdr:from>
    <xdr:to>
      <xdr:col>7</xdr:col>
      <xdr:colOff>526382</xdr:colOff>
      <xdr:row>1048565</xdr:row>
      <xdr:rowOff>168443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127AB839-F654-4B5B-8083-D972517E030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oão Pedro" refreshedDate="46297.419122800929" createdVersion="4" refreshedVersion="8" minRefreshableVersion="3" recordCount="89" xr:uid="{00000000-000A-0000-FFFF-FFFF14000000}">
  <cacheSource type="worksheet">
    <worksheetSource name="Tabela2"/>
  </cacheSource>
  <cacheFields count="52">
    <cacheField name="MINUTA" numFmtId="0">
      <sharedItems containsString="0" containsBlank="1" containsNumber="1" containsInteger="1" minValue="224" maxValue="302894" count="8000">
        <n v="302534"/>
        <n v="302617"/>
        <n v="302621"/>
        <n v="302857"/>
        <n v="302858"/>
        <n v="302859"/>
        <n v="302860"/>
        <n v="302861"/>
        <n v="302863"/>
        <n v="302864"/>
        <n v="302865"/>
        <n v="302866"/>
        <n v="302867"/>
        <n v="302868"/>
        <n v="302869"/>
        <n v="302870"/>
        <n v="302871"/>
        <n v="302872"/>
        <n v="302873"/>
        <n v="302874"/>
        <n v="302875"/>
        <n v="302876"/>
        <n v="302878"/>
        <n v="302888"/>
        <n v="302894"/>
        <n v="4280"/>
        <n v="4281"/>
        <n v="4282"/>
        <n v="4283"/>
        <n v="4284"/>
        <m/>
        <n v="289593" u="1"/>
        <n v="289598" u="1"/>
        <n v="289603" u="1"/>
        <n v="289605" u="1"/>
        <n v="289607" u="1"/>
        <n v="289609" u="1"/>
        <n v="289612" u="1"/>
        <n v="289622" u="1"/>
        <n v="289666" u="1"/>
        <n v="289674" u="1"/>
        <n v="289678" u="1"/>
        <n v="289681" u="1"/>
        <n v="289684" u="1"/>
        <n v="289698" u="1"/>
        <n v="289699" u="1"/>
        <n v="289703" u="1"/>
        <n v="289707" u="1"/>
        <n v="289710" u="1"/>
        <n v="289713" u="1"/>
        <n v="290377" u="1"/>
        <n v="290401" u="1"/>
        <n v="15596" u="1"/>
        <n v="209380" u="1"/>
        <n v="242389" u="1"/>
        <n v="161242" u="1"/>
        <n v="205254" u="1"/>
        <n v="111085" u="1"/>
        <n v="146113" u="1"/>
        <n v="245140" u="1"/>
        <n v="131028" u="1"/>
        <n v="141987" u="1"/>
        <n v="128965" u="1"/>
        <n v="133735" u="1"/>
        <n v="124839" u="1"/>
        <n v="206630" u="1"/>
        <n v="136486" u="1"/>
        <n v="202504" u="1"/>
        <n v="209381" u="1"/>
        <n v="129653" u="1"/>
        <n v="127590" u="1"/>
        <n v="245141" u="1"/>
        <n v="141988" u="1"/>
        <n v="263898" u="1"/>
        <n v="130341" u="1"/>
        <n v="162619" u="1"/>
        <n v="136487" u="1"/>
        <n v="126215" u="1"/>
        <n v="176373" u="1"/>
        <n v="209382" u="1"/>
        <n v="161244" u="1"/>
        <n v="227262" u="1"/>
        <n v="111086" u="1"/>
        <n v="245142" u="1"/>
        <n v="131029" u="1"/>
        <n v="141989" u="1"/>
        <n v="163995" u="1"/>
        <n v="128966" u="1"/>
        <n v="159869" u="1"/>
        <n v="277654" u="1"/>
        <n v="124840" u="1"/>
        <n v="272153" u="1"/>
        <n v="136488" u="1"/>
        <n v="154368" u="1"/>
        <n v="209383" u="1"/>
        <n v="277655" u="1"/>
        <n v="139239" u="1"/>
        <n v="127591" u="1"/>
        <n v="223137" u="1"/>
        <n v="245143" u="1"/>
        <n v="141990" u="1"/>
        <n v="133738" u="1"/>
        <n v="130342" u="1"/>
        <n v="162621" u="1"/>
        <n v="206633" u="1"/>
        <n v="147492" u="1"/>
        <n v="126216" u="1"/>
        <n v="139240" u="1"/>
        <n v="161246" u="1"/>
        <n v="205258" u="1"/>
        <n v="111087" u="1"/>
        <n v="245144" u="1"/>
        <n v="131030" u="1"/>
        <n v="141991" u="1"/>
        <n v="128967" u="1"/>
        <n v="133739" u="1"/>
        <n v="124841" u="1"/>
        <n v="162622" u="1"/>
        <n v="206634" u="1"/>
        <n v="132364" u="1"/>
        <n v="154370" u="1"/>
        <n v="176376" u="1"/>
        <n v="209385" u="1"/>
        <n v="161247" u="1"/>
        <n v="127592" u="1"/>
        <n v="141992" u="1"/>
        <n v="175001" u="1"/>
        <n v="130343" u="1"/>
        <n v="206635" u="1"/>
        <n v="147494" u="1"/>
        <n v="202509" u="1"/>
        <n v="224515" u="1"/>
        <n v="14221" u="1"/>
        <n v="126217" u="1"/>
        <n v="132365" u="1"/>
        <n v="176377" u="1"/>
        <n v="139242" u="1"/>
        <n v="161248" u="1"/>
        <n v="205260" u="1"/>
        <n v="223140" u="1"/>
        <n v="141993" u="1"/>
        <n v="175002" u="1"/>
        <n v="128968" u="1"/>
        <n v="277662" u="1"/>
        <n v="14307" u="1"/>
        <n v="124842" u="1"/>
        <n v="206636" u="1"/>
        <n v="147495" u="1"/>
        <n v="202510" u="1"/>
        <n v="224516" u="1"/>
        <n v="154372" u="1"/>
        <n v="176378" u="1"/>
        <n v="209387" u="1"/>
        <n v="139243" u="1"/>
        <n v="161249" u="1"/>
        <n v="227267" u="1"/>
        <n v="127593" u="1"/>
        <n v="146120" u="1"/>
        <n v="245147" u="1"/>
        <n v="277664" u="1"/>
        <n v="144745" u="1"/>
        <n v="130344" u="1"/>
        <n v="206637" u="1"/>
        <n v="136493" u="1"/>
        <n v="147496" u="1"/>
        <n v="132367" u="1"/>
        <n v="209388" u="1"/>
        <n v="124155" u="1"/>
        <n v="139244" u="1"/>
        <n v="161250" u="1"/>
        <n v="205262" u="1"/>
        <n v="146121" u="1"/>
        <n v="190133" u="1"/>
        <n v="223142" u="1"/>
        <n v="272164" u="1"/>
        <n v="131032" u="1"/>
        <n v="175004" u="1"/>
        <n v="230019" u="1"/>
        <n v="263912" u="1"/>
        <n v="128969" u="1"/>
        <n v="144746" u="1"/>
        <n v="124843" u="1"/>
        <n v="206638" u="1"/>
        <n v="272165" u="1"/>
        <n v="132368" u="1"/>
        <n v="205263" u="1"/>
        <n v="227269" u="1"/>
        <n v="146122" u="1"/>
        <n v="245149" u="1"/>
        <n v="164002" u="1"/>
        <n v="208014" u="1"/>
        <n v="230020" u="1"/>
        <n v="144747" u="1"/>
        <n v="130345" u="1"/>
        <n v="206639" u="1"/>
        <n v="136495" u="1"/>
        <n v="126219" u="1"/>
        <n v="132369" u="1"/>
        <n v="154375" u="1"/>
        <n v="209390" u="1"/>
        <n v="139246" u="1"/>
        <n v="227270" u="1"/>
        <n v="146123" u="1"/>
        <n v="157126" u="1"/>
        <n v="245150" u="1"/>
        <n v="131033" u="1"/>
        <n v="128970" u="1"/>
        <n v="133745" u="1"/>
        <n v="144748" u="1"/>
        <n v="124844" u="1"/>
        <n v="206640" u="1"/>
        <n v="136496" u="1"/>
        <n v="132370" u="1"/>
        <n v="176382" u="1"/>
        <n v="277671" u="1"/>
        <n v="139247" u="1"/>
        <n v="146124" u="1"/>
        <n v="245151" u="1"/>
        <n v="277672" u="1"/>
        <n v="144749" u="1"/>
        <n v="130346" u="1"/>
        <n v="162629" u="1"/>
        <n v="206641" u="1"/>
        <n v="136497" u="1"/>
        <n v="132371" u="1"/>
        <n v="154377" u="1"/>
        <n v="124157" u="1"/>
        <n v="139248" u="1"/>
        <n v="161254" u="1"/>
        <n v="146125" u="1"/>
        <n v="223146" u="1"/>
        <n v="131034" u="1"/>
        <n v="133747" u="1"/>
        <n v="144750" u="1"/>
        <n v="124845" u="1"/>
        <n v="206642" u="1"/>
        <n v="136498" u="1"/>
        <n v="132372" u="1"/>
        <n v="139249" u="1"/>
        <n v="127596" u="1"/>
        <n v="146126" u="1"/>
        <n v="223147" u="1"/>
        <n v="245153" u="1"/>
        <n v="133748" u="1"/>
        <n v="130347" u="1"/>
        <n v="206643" u="1"/>
        <n v="136499" u="1"/>
        <n v="147502" u="1"/>
        <n v="126221" u="1"/>
        <n v="154379" u="1"/>
        <n v="176385" u="1"/>
        <n v="161256" u="1"/>
        <n v="227274" u="1"/>
        <n v="146127" u="1"/>
        <n v="131035" u="1"/>
        <n v="142001" u="1"/>
        <n v="128972" u="1"/>
        <n v="133749" u="1"/>
        <n v="144752" u="1"/>
        <n v="124846" u="1"/>
        <n v="136500" u="1"/>
        <n v="132374" u="1"/>
        <n v="176386" u="1"/>
        <n v="161257" u="1"/>
        <n v="127597" u="1"/>
        <n v="146128" u="1"/>
        <n v="245155" u="1"/>
        <n v="144753" u="1"/>
        <n v="130348" u="1"/>
        <n v="162633" u="1"/>
        <n v="136501" u="1"/>
        <n v="15597" u="1"/>
        <n v="132375" u="1"/>
        <n v="154381" u="1"/>
        <n v="124159" u="1"/>
        <n v="245156" u="1"/>
        <n v="131036" u="1"/>
        <n v="142003" u="1"/>
        <n v="128973" u="1"/>
        <n v="144754" u="1"/>
        <n v="124847" u="1"/>
        <n v="136502" u="1"/>
        <n v="224526" u="1"/>
        <n v="132376" u="1"/>
        <n v="139253" u="1"/>
        <n v="161259" u="1"/>
        <n v="227277" u="1"/>
        <n v="127598" u="1"/>
        <n v="146130" u="1"/>
        <n v="157133" u="1"/>
        <n v="190142" u="1"/>
        <n v="245157" u="1"/>
        <n v="272182" u="1"/>
        <n v="142004" u="1"/>
        <n v="225902" u="1"/>
        <n v="133752" u="1"/>
        <n v="144755" u="1"/>
        <n v="130349" u="1"/>
        <n v="136503" u="1"/>
        <n v="132377" u="1"/>
        <n v="139254" u="1"/>
        <n v="227278" u="1"/>
        <n v="146131" u="1"/>
        <n v="157134" u="1"/>
        <n v="190143" u="1"/>
        <n v="131037" u="1"/>
        <n v="142005" u="1"/>
        <n v="128974" u="1"/>
        <n v="225903" u="1"/>
        <n v="133753" u="1"/>
        <n v="124848" u="1"/>
        <n v="136504" u="1"/>
        <n v="132378" u="1"/>
        <n v="127599" u="1"/>
        <n v="146132" u="1"/>
        <n v="190144" u="1"/>
        <n v="245159" u="1"/>
        <n v="123473" u="1"/>
        <n v="225904" u="1"/>
        <n v="130350" u="1"/>
        <n v="136505" u="1"/>
        <n v="126224" u="1"/>
        <n v="132379" u="1"/>
        <n v="124161" u="1"/>
        <n v="230" u="1"/>
        <n v="146133" u="1"/>
        <n v="190145" u="1"/>
        <n v="245160" u="1"/>
        <n v="131038" u="1"/>
        <n v="142007" u="1"/>
        <n v="164013" u="1"/>
        <n v="128975" u="1"/>
        <n v="225905" u="1"/>
        <n v="93903" u="1"/>
        <n v="133755" u="1"/>
        <n v="144758" u="1"/>
        <n v="124849" u="1"/>
        <n v="136506" u="1"/>
        <n v="139257" u="1"/>
        <n v="205275" u="1"/>
        <n v="127600" u="1"/>
        <n v="146134" u="1"/>
        <n v="157137" u="1"/>
        <n v="190146" u="1"/>
        <n v="245161" u="1"/>
        <n v="142008" u="1"/>
        <n v="214903" u="1"/>
        <n v="225906" u="1"/>
        <n v="133756" u="1"/>
        <n v="144759" u="1"/>
        <n v="130351" u="1"/>
        <n v="20828" u="1"/>
        <n v="136507" u="1"/>
        <n v="14222" u="1"/>
        <n v="139258" u="1"/>
        <n v="227282" u="1"/>
        <n v="157138" u="1"/>
        <n v="245162" u="1"/>
        <n v="131039" u="1"/>
        <n v="142009" u="1"/>
        <n v="164015" u="1"/>
        <n v="175018" u="1"/>
        <n v="84964" u="1"/>
        <n v="128976" u="1"/>
        <n v="225907" u="1"/>
        <n v="14308" u="1"/>
        <n v="93904" u="1"/>
        <n v="133757" u="1"/>
        <n v="124850" u="1"/>
        <n v="136508" u="1"/>
        <n v="132382" u="1"/>
        <n v="154388" u="1"/>
        <n v="139259" u="1"/>
        <n v="205277" u="1"/>
        <n v="157139" u="1"/>
        <n v="142010" u="1"/>
        <n v="225908" u="1"/>
        <n v="133758" u="1"/>
        <n v="130352" u="1"/>
        <n v="136509" u="1"/>
        <n v="126226" u="1"/>
        <n v="154389" u="1"/>
        <n v="17046" u="1"/>
        <n v="124163" u="1"/>
        <n v="139260" u="1"/>
        <n v="142011" u="1"/>
        <n v="230035" u="1"/>
        <n v="84965" u="1"/>
        <n v="225909" u="1"/>
        <n v="133759" u="1"/>
        <n v="144762" u="1"/>
        <n v="124851" u="1"/>
        <n v="139261" u="1"/>
        <n v="127602" u="1"/>
        <n v="164018" u="1"/>
        <n v="133760" u="1"/>
        <n v="144763" u="1"/>
        <n v="130353" u="1"/>
        <n v="195652" u="1"/>
        <n v="136511" u="1"/>
        <n v="132385" u="1"/>
        <n v="154391" u="1"/>
        <n v="165394" u="1"/>
        <n v="124164" u="1"/>
        <n v="139262" u="1"/>
        <n v="205280" u="1"/>
        <n v="208031" u="1"/>
        <n v="230037" u="1"/>
        <n v="10440" u="1"/>
        <n v="84966" u="1"/>
        <n v="225911" u="1"/>
        <n v="133761" u="1"/>
        <n v="124852" u="1"/>
        <n v="136512" u="1"/>
        <n v="224536" u="1"/>
        <n v="154392" u="1"/>
        <n v="242416" u="1"/>
        <n v="139263" u="1"/>
        <n v="127603" u="1"/>
        <n v="135137" u="1"/>
        <n v="245167" u="1"/>
        <n v="142014" u="1"/>
        <n v="208032" u="1"/>
        <n v="230038" u="1"/>
        <n v="225912" u="1"/>
        <n v="133762" u="1"/>
        <n v="144765" u="1"/>
        <n v="210783" u="1"/>
        <n v="130354" u="1"/>
        <n v="162645" u="1"/>
        <n v="217660" u="1"/>
        <n v="136513" u="1"/>
        <n v="180525" u="1"/>
        <n v="126228" u="1"/>
        <n v="139264" u="1"/>
        <n v="227288" u="1"/>
        <n v="135138" u="1"/>
        <n v="245168" u="1"/>
        <n v="208033" u="1"/>
        <n v="84967" u="1"/>
        <n v="225913" u="1"/>
        <n v="133763" u="1"/>
        <n v="144766" u="1"/>
        <n v="210784" u="1"/>
        <n v="124853" u="1"/>
        <n v="162646" u="1"/>
        <n v="195655" u="1"/>
        <n v="217661" u="1"/>
        <n v="136514" u="1"/>
        <n v="180526" u="1"/>
        <n v="263953" u="1"/>
        <n v="132388" u="1"/>
        <n v="139265" u="1"/>
        <n v="227289" u="1"/>
        <n v="127604" u="1"/>
        <n v="135139" u="1"/>
        <n v="157145" u="1"/>
        <n v="245169" u="1"/>
        <n v="164022" u="1"/>
        <n v="208034" u="1"/>
        <n v="230040" u="1"/>
        <n v="225914" u="1"/>
        <n v="133764" u="1"/>
        <n v="144767" u="1"/>
        <n v="130355" u="1"/>
        <n v="217662" u="1"/>
        <n v="136515" u="1"/>
        <n v="235542" u="1"/>
        <n v="126229" u="1"/>
        <n v="124166" u="1"/>
        <n v="139266" u="1"/>
        <n v="205284" u="1"/>
        <n v="227290" u="1"/>
        <n v="135140" u="1"/>
        <n v="245170" u="1"/>
        <n v="164023" u="1"/>
        <n v="208035" u="1"/>
        <n v="263956" u="1"/>
        <n v="84968" u="1"/>
        <n v="225915" u="1"/>
        <n v="133765" u="1"/>
        <n v="144768" u="1"/>
        <n v="124854" u="1"/>
        <n v="217663" u="1"/>
        <n v="136516" u="1"/>
        <n v="147519" u="1"/>
        <n v="224540" u="1"/>
        <n v="242420" u="1"/>
        <n v="139267" u="1"/>
        <n v="205285" u="1"/>
        <n v="227291" u="1"/>
        <n v="127605" u="1"/>
        <n v="135141" u="1"/>
        <n v="245171" u="1"/>
        <n v="125542" u="1"/>
        <n v="208036" u="1"/>
        <n v="225916" u="1"/>
        <n v="133766" u="1"/>
        <n v="144769" u="1"/>
        <n v="130356" u="1"/>
        <n v="217664" u="1"/>
        <n v="136517" u="1"/>
        <n v="224541" u="1"/>
        <n v="15598" u="1"/>
        <n v="126230" u="1"/>
        <n v="132391" u="1"/>
        <n v="17047" u="1"/>
        <n v="139268" u="1"/>
        <n v="227292" u="1"/>
        <n v="245172" u="1"/>
        <n v="164025" u="1"/>
        <n v="208037" u="1"/>
        <n v="84969" u="1"/>
        <n v="128981" u="1"/>
        <n v="225917" u="1"/>
        <n v="247923" u="1"/>
        <n v="93909" u="1"/>
        <n v="144770" u="1"/>
        <n v="210788" u="1"/>
        <n v="124855" u="1"/>
        <n v="217665" u="1"/>
        <n v="136518" u="1"/>
        <n v="147521" u="1"/>
        <n v="224542" u="1"/>
        <n v="235545" u="1"/>
        <n v="154398" u="1"/>
        <n v="139269" u="1"/>
        <n v="127606" u="1"/>
        <n v="135143" u="1"/>
        <n v="245173" u="1"/>
        <n v="125543" u="1"/>
        <n v="164026" u="1"/>
        <n v="208038" u="1"/>
        <n v="110414" u="1"/>
        <n v="144771" u="1"/>
        <n v="130357" u="1"/>
        <n v="162651" u="1"/>
        <n v="217666" u="1"/>
        <n v="136519" u="1"/>
        <n v="147522" u="1"/>
        <n v="224543" u="1"/>
        <n v="235546" u="1"/>
        <n v="126231" u="1"/>
        <n v="154399" u="1"/>
        <n v="165402" u="1"/>
        <n v="139270" u="1"/>
        <n v="227294" u="1"/>
        <n v="135144" u="1"/>
        <n v="245174" u="1"/>
        <n v="164027" u="1"/>
        <n v="175030" u="1"/>
        <n v="208039" u="1"/>
        <n v="84970" u="1"/>
        <n v="93910" u="1"/>
        <n v="133769" u="1"/>
        <n v="144772" u="1"/>
        <n v="217667" u="1"/>
        <n v="235547" u="1"/>
        <n v="165403" u="1"/>
        <n v="139271" u="1"/>
        <n v="205289" u="1"/>
        <n v="127607" u="1"/>
        <n v="135145" u="1"/>
        <n v="125544" u="1"/>
        <n v="164028" u="1"/>
        <n v="208040" u="1"/>
        <n v="110415" u="1"/>
        <n v="144773" u="1"/>
        <n v="217668" u="1"/>
        <n v="147524" u="1"/>
        <n v="202539" u="1"/>
        <n v="126232" u="1"/>
        <n v="165404" u="1"/>
        <n v="124169" u="1"/>
        <n v="139272" u="1"/>
        <n v="227296" u="1"/>
        <n v="135146" u="1"/>
        <n v="245176" u="1"/>
        <n v="164029" u="1"/>
        <n v="208041" u="1"/>
        <n v="241050" u="1"/>
        <n v="84971" u="1"/>
        <n v="93911" u="1"/>
        <n v="133771" u="1"/>
        <n v="144774" u="1"/>
        <n v="124857" u="1"/>
        <n v="217669" u="1"/>
        <n v="136522" u="1"/>
        <n v="202540" u="1"/>
        <n v="235549" u="1"/>
        <n v="139273" u="1"/>
        <n v="227297" u="1"/>
        <n v="127608" u="1"/>
        <n v="135147" u="1"/>
        <n v="157153" u="1"/>
        <n v="245177" u="1"/>
        <n v="125545" u="1"/>
        <n v="241051" u="1"/>
        <n v="110416" u="1"/>
        <n v="133772" u="1"/>
        <n v="144775" u="1"/>
        <n v="217670" u="1"/>
        <n v="136523" u="1"/>
        <n v="14223" u="1"/>
        <n v="126233" u="1"/>
        <n v="132397" u="1"/>
        <n v="154403" u="1"/>
        <n v="165406" u="1"/>
        <n v="209418" u="1"/>
        <n v="242427" u="1"/>
        <n v="124170" u="1"/>
        <n v="139274" u="1"/>
        <n v="227298" u="1"/>
        <n v="135148" u="1"/>
        <n v="164031" u="1"/>
        <n v="175034" u="1"/>
        <n v="241052" u="1"/>
        <n v="84972" u="1"/>
        <n v="159905" u="1"/>
        <n v="247929" u="1"/>
        <n v="14309" u="1"/>
        <n v="93912" u="1"/>
        <n v="133773" u="1"/>
        <n v="144776" u="1"/>
        <n v="243803" u="1"/>
        <n v="217671" u="1"/>
        <n v="132398" u="1"/>
        <n v="154404" u="1"/>
        <n v="165407" u="1"/>
        <n v="277727" u="1"/>
        <n v="139275" u="1"/>
        <n v="227299" u="1"/>
        <n v="127609" u="1"/>
        <n v="135149" u="1"/>
        <n v="125546" u="1"/>
        <n v="142026" u="1"/>
        <n v="164032" u="1"/>
        <n v="241053" u="1"/>
        <n v="277728" u="1"/>
        <n v="110417" u="1"/>
        <n v="133774" u="1"/>
        <n v="144777" u="1"/>
        <n v="210795" u="1"/>
        <n v="130360" u="1"/>
        <n v="217672" u="1"/>
        <n v="136525" u="1"/>
        <n v="126234" u="1"/>
        <n v="132399" u="1"/>
        <n v="277729" u="1"/>
        <n v="17048" u="1"/>
        <n v="124171" u="1"/>
        <n v="139276" u="1"/>
        <n v="227300" u="1"/>
        <n v="135150" u="1"/>
        <n v="157156" u="1"/>
        <n v="142027" u="1"/>
        <n v="164033" u="1"/>
        <n v="241054" u="1"/>
        <n v="84973" u="1"/>
        <n v="128985" u="1"/>
        <n v="93913" u="1"/>
        <n v="144778" u="1"/>
        <n v="243805" u="1"/>
        <n v="124859" u="1"/>
        <n v="195667" u="1"/>
        <n v="217673" u="1"/>
        <n v="132400" u="1"/>
        <n v="154406" u="1"/>
        <n v="242430" u="1"/>
        <n v="277731" u="1"/>
        <n v="139277" u="1"/>
        <n v="127610" u="1"/>
        <n v="135151" u="1"/>
        <n v="190166" u="1"/>
        <n v="125547" u="1"/>
        <n v="142028" u="1"/>
        <n v="164034" u="1"/>
        <n v="241055" u="1"/>
        <n v="225926" u="1"/>
        <n v="110418" u="1"/>
        <n v="144779" u="1"/>
        <n v="243806" u="1"/>
        <n v="130361" u="1"/>
        <n v="195668" u="1"/>
        <n v="217674" u="1"/>
        <n v="3934" u="1"/>
        <n v="136527" u="1"/>
        <n v="126235" u="1"/>
        <n v="132401" u="1"/>
        <n v="165410" u="1"/>
        <n v="124172" u="1"/>
        <n v="139278" u="1"/>
        <n v="135152" u="1"/>
        <n v="245182" u="1"/>
        <n v="142029" u="1"/>
        <n v="164035" u="1"/>
        <n v="241056" u="1"/>
        <n v="10441" u="1"/>
        <n v="84974" u="1"/>
        <n v="225927" u="1"/>
        <n v="133777" u="1"/>
        <n v="144780" u="1"/>
        <n v="217675" u="1"/>
        <n v="228678" u="1"/>
        <n v="136528" u="1"/>
        <n v="235555" u="1"/>
        <n v="132402" u="1"/>
        <n v="154408" u="1"/>
        <n v="139279" u="1"/>
        <n v="127611" u="1"/>
        <n v="135153" u="1"/>
        <n v="125548" u="1"/>
        <n v="142030" u="1"/>
        <n v="241057" u="1"/>
        <n v="225928" u="1"/>
        <n v="14997" u="1"/>
        <n v="110419" u="1"/>
        <n v="144781" u="1"/>
        <n v="130362" u="1"/>
        <n v="235556" u="1"/>
        <n v="126236" u="1"/>
        <n v="132403" u="1"/>
        <n v="154409" u="1"/>
        <n v="165412" u="1"/>
        <n v="198421" u="1"/>
        <n v="124173" u="1"/>
        <n v="139280" u="1"/>
        <n v="205298" u="1"/>
        <n v="135154" u="1"/>
        <n v="157160" u="1"/>
        <n v="142031" u="1"/>
        <n v="208049" u="1"/>
        <n v="241058" u="1"/>
        <n v="84975" u="1"/>
        <n v="128987" u="1"/>
        <n v="225929" u="1"/>
        <n v="93915" u="1"/>
        <n v="133779" u="1"/>
        <n v="144782" u="1"/>
        <n v="243809" u="1"/>
        <n v="136530" u="1"/>
        <n v="235557" u="1"/>
        <n v="132404" u="1"/>
        <n v="165413" u="1"/>
        <n v="198422" u="1"/>
        <n v="277739" u="1"/>
        <n v="139281" u="1"/>
        <n v="205299" u="1"/>
        <n v="127612" u="1"/>
        <n v="135155" u="1"/>
        <n v="142032" u="1"/>
        <n v="175041" u="1"/>
        <n v="241059" u="1"/>
        <n v="225930" u="1"/>
        <n v="277740" u="1"/>
        <n v="110420" u="1"/>
        <n v="133780" u="1"/>
        <n v="144783" u="1"/>
        <n v="130363" u="1"/>
        <n v="180543" u="1"/>
        <n v="126237" u="1"/>
        <n v="165414" u="1"/>
        <n v="198423" u="1"/>
        <n v="124174" u="1"/>
        <n v="139282" u="1"/>
        <n v="205300" u="1"/>
        <n v="135156" u="1"/>
        <n v="157162" u="1"/>
        <n v="245186" u="1"/>
        <n v="142033" u="1"/>
        <n v="175042" u="1"/>
        <n v="241060" u="1"/>
        <n v="84976" u="1"/>
        <n v="128988" u="1"/>
        <n v="225931" u="1"/>
        <n v="93916" u="1"/>
        <n v="144784" u="1"/>
        <n v="136532" u="1"/>
        <n v="180544" u="1"/>
        <n v="277743" u="1"/>
        <n v="53594" u="1"/>
        <n v="139283" u="1"/>
        <n v="205301" u="1"/>
        <n v="227307" u="1"/>
        <n v="127613" u="1"/>
        <n v="135157" u="1"/>
        <n v="157163" u="1"/>
        <n v="125550" u="1"/>
        <n v="142034" u="1"/>
        <n v="241061" u="1"/>
        <n v="225932" u="1"/>
        <n v="277744" u="1"/>
        <n v="110421" u="1"/>
        <n v="144785" u="1"/>
        <n v="199800" u="1"/>
        <n v="130364" u="1"/>
        <n v="126238" u="1"/>
        <n v="165416" u="1"/>
        <n v="277745" u="1"/>
        <n v="17049" u="1"/>
        <n v="124175" u="1"/>
        <n v="205302" u="1"/>
        <n v="135158" u="1"/>
        <n v="157164" u="1"/>
        <n v="245188" u="1"/>
        <n v="142035" u="1"/>
        <n v="175044" u="1"/>
        <n v="241062" u="1"/>
        <n v="84977" u="1"/>
        <n v="225933" u="1"/>
        <n v="277746" u="1"/>
        <n v="93917" u="1"/>
        <n v="144786" u="1"/>
        <n v="180546" u="1"/>
        <n v="132408" u="1"/>
        <n v="154414" u="1"/>
        <n v="165417" u="1"/>
        <n v="139285" u="1"/>
        <n v="205303" u="1"/>
        <n v="135159" u="1"/>
        <n v="245189" u="1"/>
        <n v="125551" u="1"/>
        <n v="142036" u="1"/>
        <n v="175045" u="1"/>
        <n v="241063" u="1"/>
        <n v="225934" u="1"/>
        <n v="110422" u="1"/>
        <n v="144787" u="1"/>
        <n v="243814" u="1"/>
        <n v="130365" u="1"/>
        <n v="217682" u="1"/>
        <n v="136535" u="1"/>
        <n v="126239" u="1"/>
        <n v="132409" u="1"/>
        <n v="154415" u="1"/>
        <n v="165418" u="1"/>
        <n v="124176" u="1"/>
        <n v="139286" u="1"/>
        <n v="205304" u="1"/>
        <n v="135160" u="1"/>
        <n v="223184" u="1"/>
        <n v="226" u="1"/>
        <n v="153040" u="1"/>
        <n v="175046" u="1"/>
        <n v="241064" u="1"/>
        <n v="84978" u="1"/>
        <n v="137911" u="1"/>
        <n v="225935" u="1"/>
        <n v="277750" u="1"/>
        <n v="195677" u="1"/>
        <n v="132410" u="1"/>
        <n v="154416" u="1"/>
        <n v="165419" u="1"/>
        <n v="139287" u="1"/>
        <n v="205305" u="1"/>
        <n v="135161" u="1"/>
        <n v="157167" u="1"/>
        <n v="125552" u="1"/>
        <n v="142038" u="1"/>
        <n v="175047" u="1"/>
        <n v="241065" u="1"/>
        <n v="137912" u="1"/>
        <n v="225936" u="1"/>
        <n v="277752" u="1"/>
        <n v="110423" u="1"/>
        <n v="144789" u="1"/>
        <n v="130366" u="1"/>
        <n v="180549" u="1"/>
        <n v="235564" u="1"/>
        <n v="126240" u="1"/>
        <n v="132411" u="1"/>
        <n v="154417" u="1"/>
        <n v="165420" u="1"/>
        <n v="277753" u="1"/>
        <n v="124177" u="1"/>
        <n v="139288" u="1"/>
        <n v="205306" u="1"/>
        <n v="135162" u="1"/>
        <n v="241066" u="1"/>
        <n v="84979" u="1"/>
        <n v="128991" u="1"/>
        <n v="137913" u="1"/>
        <n v="225937" u="1"/>
        <n v="277754" u="1"/>
        <n v="93919" u="1"/>
        <n v="144790" u="1"/>
        <n v="195679" u="1"/>
        <n v="132412" u="1"/>
        <n v="154418" u="1"/>
        <n v="165421" u="1"/>
        <n v="277755" u="1"/>
        <n v="139289" u="1"/>
        <n v="205307" u="1"/>
        <n v="135163" u="1"/>
        <n v="157169" u="1"/>
        <n v="125553" u="1"/>
        <n v="142040" u="1"/>
        <n v="175049" u="1"/>
        <n v="241067" u="1"/>
        <n v="137914" u="1"/>
        <n v="225938" u="1"/>
        <n v="277756" u="1"/>
        <n v="110424" u="1"/>
        <n v="130367" u="1"/>
        <n v="195680" u="1"/>
        <n v="14224" u="1"/>
        <n v="126241" u="1"/>
        <n v="132413" u="1"/>
        <n v="154419" u="1"/>
        <n v="165422" u="1"/>
        <n v="124178" u="1"/>
        <n v="139290" u="1"/>
        <n v="205308" u="1"/>
        <n v="135164" u="1"/>
        <n v="157170" u="1"/>
        <n v="245194" u="1"/>
        <n v="142041" u="1"/>
        <n v="153044" u="1"/>
        <n v="241068" u="1"/>
        <n v="84980" u="1"/>
        <n v="137915" u="1"/>
        <n v="93920" u="1"/>
        <n v="144792" u="1"/>
        <n v="195681" u="1"/>
        <n v="136540" u="1"/>
        <n v="165423" u="1"/>
        <n v="139291" u="1"/>
        <n v="205309" u="1"/>
        <n v="135165" u="1"/>
        <n v="157171" u="1"/>
        <n v="245195" u="1"/>
        <n v="125554" u="1"/>
        <n v="142042" u="1"/>
        <n v="137916" u="1"/>
        <n v="277760" u="1"/>
        <n v="110425" u="1"/>
        <n v="144793" u="1"/>
        <n v="130368" u="1"/>
        <n v="136541" u="1"/>
        <n v="213562" u="1"/>
        <n v="235568" u="1"/>
        <n v="10098" u="1"/>
        <n v="126242" u="1"/>
        <n v="132415" u="1"/>
        <n v="165424" u="1"/>
        <n v="277761" u="1"/>
        <n v="17050" u="1"/>
        <n v="124179" u="1"/>
        <n v="139292" u="1"/>
        <n v="205310" u="1"/>
        <n v="135166" u="1"/>
        <n v="157172" u="1"/>
        <n v="245196" u="1"/>
        <n v="153046" u="1"/>
        <n v="241070" u="1"/>
        <n v="14568" u="1"/>
        <n v="128993" u="1"/>
        <n v="137917" u="1"/>
        <n v="277762" u="1"/>
        <n v="93921" u="1"/>
        <n v="126930" u="1"/>
        <n v="144794" u="1"/>
        <n v="195683" u="1"/>
        <n v="136542" u="1"/>
        <n v="235569" u="1"/>
        <n v="132416" u="1"/>
        <n v="198434" u="1"/>
        <n v="277763" u="1"/>
        <n v="139293" u="1"/>
        <n v="205311" u="1"/>
        <n v="135167" u="1"/>
        <n v="245197" u="1"/>
        <n v="125555" u="1"/>
        <n v="142044" u="1"/>
        <n v="153047" u="1"/>
        <n v="175053" u="1"/>
        <n v="137918" u="1"/>
        <n v="277764" u="1"/>
        <n v="110426" u="1"/>
        <n v="144795" u="1"/>
        <n v="130369" u="1"/>
        <n v="136543" u="1"/>
        <n v="235570" u="1"/>
        <n v="126243" u="1"/>
        <n v="132417" u="1"/>
        <n v="165426" u="1"/>
        <n v="277765" u="1"/>
        <n v="124180" u="1"/>
        <n v="139294" u="1"/>
        <n v="205312" u="1"/>
        <n v="135168" u="1"/>
        <n v="157174" u="1"/>
        <n v="245198" u="1"/>
        <n v="142045" u="1"/>
        <n v="153048" u="1"/>
        <n v="10442" u="1"/>
        <n v="128994" u="1"/>
        <n v="137919" u="1"/>
        <n v="225943" u="1"/>
        <n v="93922" u="1"/>
        <n v="126931" u="1"/>
        <n v="144796" u="1"/>
        <n v="136544" u="1"/>
        <n v="147547" u="1"/>
        <n v="180556" u="1"/>
        <n v="235571" u="1"/>
        <n v="132418" u="1"/>
        <n v="165427" u="1"/>
        <n v="139295" u="1"/>
        <n v="205313" u="1"/>
        <n v="135169" u="1"/>
        <n v="157175" u="1"/>
        <n v="168178" u="1"/>
        <n v="245199" u="1"/>
        <n v="125556" u="1"/>
        <n v="153049" u="1"/>
        <n v="230070" u="1"/>
        <n v="137920" u="1"/>
        <n v="14998" u="1"/>
        <n v="110427" u="1"/>
        <n v="144797" u="1"/>
        <n v="130370" u="1"/>
        <n v="228695" u="1"/>
        <n v="136545" u="1"/>
        <n v="126244" u="1"/>
        <n v="132419" u="1"/>
        <n v="165428" u="1"/>
        <n v="124181" u="1"/>
        <n v="139296" u="1"/>
        <n v="135170" u="1"/>
        <n v="157176" u="1"/>
        <n v="142047" u="1"/>
        <n v="153050" u="1"/>
        <n v="128995" u="1"/>
        <n v="137921" u="1"/>
        <n v="126932" u="1"/>
        <n v="144798" u="1"/>
        <n v="228696" u="1"/>
        <n v="136546" u="1"/>
        <n v="180558" u="1"/>
        <n v="132420" u="1"/>
        <n v="165429" u="1"/>
        <n v="139297" u="1"/>
        <n v="135171" u="1"/>
        <n v="157177" u="1"/>
        <n v="125557" u="1"/>
        <n v="142048" u="1"/>
        <n v="153051" u="1"/>
        <n v="175057" u="1"/>
        <n v="137922" u="1"/>
        <n v="225946" u="1"/>
        <n v="110428" u="1"/>
        <n v="144799" u="1"/>
        <n v="130371" u="1"/>
        <n v="228697" u="1"/>
        <n v="136547" u="1"/>
        <n v="126245" u="1"/>
        <n v="132421" u="1"/>
        <n v="165430" u="1"/>
        <n v="80170" u="1"/>
        <n v="124182" u="1"/>
        <n v="139298" u="1"/>
        <n v="135172" u="1"/>
        <n v="157178" u="1"/>
        <n v="168181" u="1"/>
        <n v="142049" u="1"/>
        <n v="153052" u="1"/>
        <n v="128996" u="1"/>
        <n v="137923" u="1"/>
        <n v="126933" u="1"/>
        <n v="144800" u="1"/>
        <n v="136548" u="1"/>
        <n v="132422" u="1"/>
        <n v="165431" u="1"/>
        <n v="139299" u="1"/>
        <n v="135173" u="1"/>
        <n v="190188" u="1"/>
        <n v="125558" u="1"/>
        <n v="142050" u="1"/>
        <n v="153053" u="1"/>
        <n v="175059" u="1"/>
        <n v="144801" u="1"/>
        <n v="136549" u="1"/>
        <n v="246579" u="1"/>
        <n v="126246" u="1"/>
        <n v="132423" u="1"/>
        <n v="165432" u="1"/>
        <n v="17051" u="1"/>
        <n v="80171" u="1"/>
        <n v="124183" u="1"/>
        <n v="172309" u="1"/>
        <n v="135174" u="1"/>
        <n v="190189" u="1"/>
        <n v="142051" u="1"/>
        <n v="137925" u="1"/>
        <n v="126934" u="1"/>
        <n v="162682" u="1"/>
        <n v="136550" u="1"/>
        <n v="202568" u="1"/>
        <n v="132424" u="1"/>
        <n v="165433" u="1"/>
        <n v="139301" u="1"/>
        <n v="127622" u="1"/>
        <n v="135175" u="1"/>
        <n v="190190" u="1"/>
        <n v="125559" u="1"/>
        <n v="142052" u="1"/>
        <n v="247956" u="1"/>
        <n v="144803" u="1"/>
        <n v="130373" u="1"/>
        <n v="162683" u="1"/>
        <n v="228701" u="1"/>
        <n v="136551" u="1"/>
        <n v="126247" u="1"/>
        <n v="165434" u="1"/>
        <n v="80172" u="1"/>
        <n v="124184" u="1"/>
        <n v="139302" u="1"/>
        <n v="172311" u="1"/>
        <n v="135176" u="1"/>
        <n v="190191" u="1"/>
        <n v="142053" u="1"/>
        <n v="128998" u="1"/>
        <n v="137927" u="1"/>
        <n v="126935" u="1"/>
        <n v="144804" u="1"/>
        <n v="228702" u="1"/>
        <n v="136552" u="1"/>
        <n v="213573" u="1"/>
        <n v="154432" u="1"/>
        <n v="165435" u="1"/>
        <n v="231453" u="1"/>
        <n v="139303" u="1"/>
        <n v="127623" u="1"/>
        <n v="135177" u="1"/>
        <n v="125560" u="1"/>
        <n v="137928" u="1"/>
        <n v="144805" u="1"/>
        <n v="130374" u="1"/>
        <n v="136553" u="1"/>
        <n v="126248" u="1"/>
        <n v="165436" u="1"/>
        <n v="80173" u="1"/>
        <n v="124185" u="1"/>
        <n v="139304" u="1"/>
        <n v="135178" u="1"/>
        <n v="168187" u="1"/>
        <n v="245208" u="1"/>
        <n v="153058" u="1"/>
        <n v="128999" u="1"/>
        <n v="137929" u="1"/>
        <n v="93927" u="1"/>
        <n v="126936" u="1"/>
        <n v="162686" u="1"/>
        <n v="136554" u="1"/>
        <n v="132428" u="1"/>
        <n v="165437" u="1"/>
        <n v="139305" u="1"/>
        <n v="127624" u="1"/>
        <n v="135179" u="1"/>
        <n v="190194" u="1"/>
        <n v="245209" u="1"/>
        <n v="125561" u="1"/>
        <n v="142056" u="1"/>
        <n v="241083" u="1"/>
        <n v="137930" u="1"/>
        <n v="130375" u="1"/>
        <n v="162687" u="1"/>
        <n v="14225" u="1"/>
        <n v="126249" u="1"/>
        <n v="132429" u="1"/>
        <n v="165438" u="1"/>
        <n v="198447" u="1"/>
        <n v="80174" u="1"/>
        <n v="124186" u="1"/>
        <n v="139306" u="1"/>
        <n v="135180" u="1"/>
        <n v="190195" u="1"/>
        <n v="245210" u="1"/>
        <n v="153060" u="1"/>
        <n v="230081" u="1"/>
        <n v="129000" u="1"/>
        <n v="137931" u="1"/>
        <n v="126937" u="1"/>
        <n v="144808" u="1"/>
        <n v="180568" u="1"/>
        <n v="132430" u="1"/>
        <n v="165439" u="1"/>
        <n v="198448" u="1"/>
        <n v="139307" u="1"/>
        <n v="205325" u="1"/>
        <n v="135181" u="1"/>
        <n v="190196" u="1"/>
        <n v="245211" u="1"/>
        <n v="125562" u="1"/>
        <n v="153061" u="1"/>
        <n v="175067" u="1"/>
        <n v="230082" u="1"/>
        <n v="137932" u="1"/>
        <n v="144809" u="1"/>
        <n v="130376" u="1"/>
        <n v="162689" u="1"/>
        <n v="180569" u="1"/>
        <n v="10099" u="1"/>
        <n v="132431" u="1"/>
        <n v="165440" u="1"/>
        <n v="198449" u="1"/>
        <n v="80175" u="1"/>
        <n v="124187" u="1"/>
        <n v="139308" u="1"/>
        <n v="135182" u="1"/>
        <n v="190197" u="1"/>
        <n v="245212" u="1"/>
        <n v="175068" u="1"/>
        <n v="129001" u="1"/>
        <n v="137933" u="1"/>
        <n v="247963" u="1"/>
        <n v="93929" u="1"/>
        <n v="126938" u="1"/>
        <n v="144810" u="1"/>
        <n v="199825" u="1"/>
        <n v="140684" u="1"/>
        <n v="132432" u="1"/>
        <n v="165441" u="1"/>
        <n v="198450" u="1"/>
        <n v="216330" u="1"/>
        <n v="127626" u="1"/>
        <n v="135183" u="1"/>
        <n v="190198" u="1"/>
        <n v="201201" u="1"/>
        <n v="245213" u="1"/>
        <n v="125563" u="1"/>
        <n v="137934" u="1"/>
        <n v="144811" u="1"/>
        <n v="130377" u="1"/>
        <n v="140685" u="1"/>
        <n v="213580" u="1"/>
        <n v="132433" u="1"/>
        <n v="198451" u="1"/>
        <n v="80176" u="1"/>
        <n v="124188" u="1"/>
        <n v="139310" u="1"/>
        <n v="135184" u="1"/>
        <n v="201202" u="1"/>
        <n v="245214" u="1"/>
        <n v="10443" u="1"/>
        <n v="137935" u="1"/>
        <n v="93930" u="1"/>
        <n v="126939" u="1"/>
        <n v="144812" u="1"/>
        <n v="180572" u="1"/>
        <n v="132434" u="1"/>
        <n v="165443" u="1"/>
        <n v="198452" u="1"/>
        <n v="139311" u="1"/>
        <n v="127627" u="1"/>
        <n v="135185" u="1"/>
        <n v="125564" u="1"/>
        <n v="142062" u="1"/>
        <n v="241089" u="1"/>
        <n v="137936" u="1"/>
        <n v="144813" u="1"/>
        <n v="130378" u="1"/>
        <n v="140687" u="1"/>
        <n v="162693" u="1"/>
        <n v="128315" u="1"/>
        <n v="180573" u="1"/>
        <n v="213582" u="1"/>
        <n v="235588" u="1"/>
        <n v="132435" u="1"/>
        <n v="165444" u="1"/>
        <n v="198453" u="1"/>
        <n v="80177" u="1"/>
        <n v="139312" u="1"/>
        <n v="205330" u="1"/>
        <n v="135186" u="1"/>
        <n v="201204" u="1"/>
        <n v="142063" u="1"/>
        <n v="153066" u="1"/>
        <n v="241090" u="1"/>
        <n v="129003" u="1"/>
        <n v="137937" u="1"/>
        <n v="93931" u="1"/>
        <n v="126940" u="1"/>
        <n v="144814" u="1"/>
        <n v="140688" u="1"/>
        <n v="162694" u="1"/>
        <n v="180574" u="1"/>
        <n v="213583" u="1"/>
        <n v="235589" u="1"/>
        <n v="132436" u="1"/>
        <n v="165445" u="1"/>
        <n v="139313" u="1"/>
        <n v="135187" u="1"/>
        <n v="125565" u="1"/>
        <n v="142064" u="1"/>
        <n v="137938" u="1"/>
        <n v="247968" u="1"/>
        <n v="144815" u="1"/>
        <n v="130379" u="1"/>
        <n v="140689" u="1"/>
        <n v="128316" u="1"/>
        <n v="180575" u="1"/>
        <n v="213584" u="1"/>
        <n v="235590" u="1"/>
        <n v="132437" u="1"/>
        <n v="80178" u="1"/>
        <n v="205332" u="1"/>
        <n v="135188" u="1"/>
        <n v="157194" u="1"/>
        <n v="168197" u="1"/>
        <n v="142065" u="1"/>
        <n v="129004" u="1"/>
        <n v="137939" u="1"/>
        <n v="93932" u="1"/>
        <n v="126941" u="1"/>
        <n v="144816" u="1"/>
        <n v="199831" u="1"/>
        <n v="140690" u="1"/>
        <n v="11045" u="1"/>
        <n v="180576" u="1"/>
        <n v="202582" u="1"/>
        <n v="132438" u="1"/>
        <n v="198456" u="1"/>
        <n v="139315" u="1"/>
        <n v="172324" u="1"/>
        <n v="205333" u="1"/>
        <n v="8896" u="1"/>
        <n v="127629" u="1"/>
        <n v="135189" u="1"/>
        <n v="157195" u="1"/>
        <n v="168198" u="1"/>
        <n v="245219" u="1"/>
        <n v="125566" u="1"/>
        <n v="142066" u="1"/>
        <n v="175075" u="1"/>
        <n v="137940" u="1"/>
        <n v="247970" u="1"/>
        <n v="130380" u="1"/>
        <n v="140691" u="1"/>
        <n v="217712" u="1"/>
        <n v="128317" u="1"/>
        <n v="235592" u="1"/>
        <n v="132439" u="1"/>
        <n v="17053" u="1"/>
        <n v="80179" u="1"/>
        <n v="124191" u="1"/>
        <n v="139316" u="1"/>
        <n v="205334" u="1"/>
        <n v="135190" u="1"/>
        <n v="245220" u="1"/>
        <n v="142067" u="1"/>
        <n v="153070" u="1"/>
        <n v="175076" u="1"/>
        <n v="129005" u="1"/>
        <n v="137941" u="1"/>
        <n v="247971" u="1"/>
        <n v="93933" u="1"/>
        <n v="126942" u="1"/>
        <n v="144818" u="1"/>
        <n v="140692" u="1"/>
        <n v="180578" u="1"/>
        <n v="132440" u="1"/>
        <n v="165449" u="1"/>
        <n v="198458" u="1"/>
        <n v="205335" u="1"/>
        <n v="135191" u="1"/>
        <n v="125567" u="1"/>
        <n v="142068" u="1"/>
        <n v="247972" u="1"/>
        <n v="144819" u="1"/>
        <n v="130381" u="1"/>
        <n v="140693" u="1"/>
        <n v="128318" u="1"/>
        <n v="180579" u="1"/>
        <n v="132441" u="1"/>
        <n v="80180" u="1"/>
        <n v="124192" u="1"/>
        <n v="205336" u="1"/>
        <n v="135192" u="1"/>
        <n v="157198" u="1"/>
        <n v="142069" u="1"/>
        <n v="129006" u="1"/>
        <n v="137943" u="1"/>
        <n v="93934" u="1"/>
        <n v="126943" u="1"/>
        <n v="144820" u="1"/>
        <n v="140694" u="1"/>
        <n v="228718" u="1"/>
        <n v="180580" u="1"/>
        <n v="213589" u="1"/>
        <n v="132442" u="1"/>
        <n v="198460" u="1"/>
        <n v="127631" u="1"/>
        <n v="135193" u="1"/>
        <n v="157199" u="1"/>
        <n v="201211" u="1"/>
        <n v="125568" u="1"/>
        <n v="142070" u="1"/>
        <n v="137944" u="1"/>
        <n v="144821" u="1"/>
        <n v="130382" u="1"/>
        <n v="140695" u="1"/>
        <n v="228719" u="1"/>
        <n v="128319" u="1"/>
        <n v="180581" u="1"/>
        <n v="213590" u="1"/>
        <n v="132443" u="1"/>
        <n v="165452" u="1"/>
        <n v="231470" u="1"/>
        <n v="80181" u="1"/>
        <n v="124193" u="1"/>
        <n v="205338" u="1"/>
        <n v="135194" u="1"/>
        <n v="157200" u="1"/>
        <n v="168203" u="1"/>
        <n v="142071" u="1"/>
        <n v="129007" u="1"/>
        <n v="137945" u="1"/>
        <n v="93935" u="1"/>
        <n v="126944" u="1"/>
        <n v="144822" u="1"/>
        <n v="199837" u="1"/>
        <n v="140696" u="1"/>
        <n v="217717" u="1"/>
        <n v="180582" u="1"/>
        <n v="132444" u="1"/>
        <n v="165453" u="1"/>
        <n v="205339" u="1"/>
        <n v="216342" u="1"/>
        <n v="127632" u="1"/>
        <n v="135195" u="1"/>
        <n v="157201" u="1"/>
        <n v="125569" u="1"/>
        <n v="142072" u="1"/>
        <n v="175081" u="1"/>
        <n v="137946" u="1"/>
        <n v="266817" u="1"/>
        <n v="144823" u="1"/>
        <n v="130383" u="1"/>
        <n v="140697" u="1"/>
        <n v="217718" u="1"/>
        <n v="128320" u="1"/>
        <n v="180583" u="1"/>
        <n v="14226" u="1"/>
        <n v="132445" u="1"/>
        <n v="266818" u="1"/>
        <n v="80182" u="1"/>
        <n v="139322" u="1"/>
        <n v="205340" u="1"/>
        <n v="135196" u="1"/>
        <n v="157202" u="1"/>
        <n v="142073" u="1"/>
        <n v="129008" u="1"/>
        <n v="93936" u="1"/>
        <n v="126945" u="1"/>
        <n v="144824" u="1"/>
        <n v="140698" u="1"/>
        <n v="180584" u="1"/>
        <n v="213593" u="1"/>
        <n v="132446" u="1"/>
        <n v="198464" u="1"/>
        <n v="266820" u="1"/>
        <n v="139323" u="1"/>
        <n v="205341" u="1"/>
        <n v="135197" u="1"/>
        <n v="10014" u="1"/>
        <n v="125570" u="1"/>
        <n v="175083" u="1"/>
        <n v="130384" u="1"/>
        <n v="140699" u="1"/>
        <n v="128321" u="1"/>
        <n v="132447" u="1"/>
        <n v="198465" u="1"/>
        <n v="17054" u="1"/>
        <n v="80183" u="1"/>
        <n v="139324" u="1"/>
        <n v="205342" u="1"/>
        <n v="216345" u="1"/>
        <n v="135198" u="1"/>
        <n v="14570" u="1"/>
        <n v="129009" u="1"/>
        <n v="93937" u="1"/>
        <n v="144826" u="1"/>
        <n v="155829" u="1"/>
        <n v="140700" u="1"/>
        <n v="180586" u="1"/>
        <n v="213595" u="1"/>
        <n v="132448" u="1"/>
        <n v="165457" u="1"/>
        <n v="139325" u="1"/>
        <n v="205343" u="1"/>
        <n v="135199" u="1"/>
        <n v="201217" u="1"/>
        <n v="125571" u="1"/>
        <n v="144827" u="1"/>
        <n v="155830" u="1"/>
        <n v="130385" u="1"/>
        <n v="140701" u="1"/>
        <n v="228725" u="1"/>
        <n v="128322" u="1"/>
        <n v="180587" u="1"/>
        <n v="198467" u="1"/>
        <n v="266826" u="1"/>
        <n v="80184" u="1"/>
        <n v="124196" u="1"/>
        <n v="139326" u="1"/>
        <n v="205344" u="1"/>
        <n v="216347" u="1"/>
        <n v="67118" u="1"/>
        <n v="135200" u="1"/>
        <n v="201218" u="1"/>
        <n v="142077" u="1"/>
        <n v="175086" u="1"/>
        <n v="10444" u="1"/>
        <n v="129010" u="1"/>
        <n v="93938" u="1"/>
        <n v="126947" u="1"/>
        <n v="144828" u="1"/>
        <n v="140702" u="1"/>
        <n v="217723" u="1"/>
        <n v="228726" u="1"/>
        <n v="180588" u="1"/>
        <n v="213597" u="1"/>
        <n v="132450" u="1"/>
        <n v="198468" u="1"/>
        <n v="139327" u="1"/>
        <n v="205345" u="1"/>
        <n v="216348" u="1"/>
        <n v="72620" u="1"/>
        <n v="127635" u="1"/>
        <n v="135201" u="1"/>
        <n v="201219" u="1"/>
        <n v="125572" u="1"/>
        <n v="142078" u="1"/>
        <n v="266829" u="1"/>
        <n v="130386" u="1"/>
        <n v="140703" u="1"/>
        <n v="147580" u="1"/>
        <n v="180589" u="1"/>
        <n v="132451" u="1"/>
        <n v="165460" u="1"/>
        <n v="198469" u="1"/>
        <n v="80185" u="1"/>
        <n v="124197" u="1"/>
        <n v="216349" u="1"/>
        <n v="67119" u="1"/>
        <n v="135202" u="1"/>
        <n v="157208" u="1"/>
        <n v="142079" u="1"/>
        <n v="93939" u="1"/>
        <n v="126948" u="1"/>
        <n v="144830" u="1"/>
        <n v="140704" u="1"/>
        <n v="173713" u="1"/>
        <n v="180590" u="1"/>
        <n v="202596" u="1"/>
        <n v="213599" u="1"/>
        <n v="132452" u="1"/>
        <n v="198470" u="1"/>
        <n v="231479" u="1"/>
        <n v="216350" u="1"/>
        <n v="127636" u="1"/>
        <n v="135203" u="1"/>
        <n v="157209" u="1"/>
        <n v="125573" u="1"/>
        <n v="142080" u="1"/>
        <n v="175089" u="1"/>
        <n v="266833" u="1"/>
        <n v="144831" u="1"/>
        <n v="155834" u="1"/>
        <n v="130387" u="1"/>
        <n v="140705" u="1"/>
        <n v="173714" u="1"/>
        <n v="180591" u="1"/>
        <n v="165462" u="1"/>
        <n v="198471" u="1"/>
        <n v="80186" u="1"/>
        <n v="124198" u="1"/>
        <n v="216351" u="1"/>
        <n v="67120" u="1"/>
        <n v="201222" u="1"/>
        <n v="175090" u="1"/>
        <n v="129012" u="1"/>
        <n v="93940" u="1"/>
        <n v="126949" u="1"/>
        <n v="144832" u="1"/>
        <n v="140706" u="1"/>
        <n v="173715" u="1"/>
        <n v="228730" u="1"/>
        <n v="11046" u="1"/>
        <n v="147583" u="1"/>
        <n v="180592" u="1"/>
        <n v="202598" u="1"/>
        <n v="213601" u="1"/>
        <n v="132454" u="1"/>
        <n v="8897" u="1"/>
        <n v="135205" u="1"/>
        <n v="157211" u="1"/>
        <n v="125574" u="1"/>
        <n v="175091" u="1"/>
        <n v="144833" u="1"/>
        <n v="130388" u="1"/>
        <n v="140707" u="1"/>
        <n v="228731" u="1"/>
        <n v="180593" u="1"/>
        <n v="202599" u="1"/>
        <n v="213602" u="1"/>
        <n v="132455" u="1"/>
        <n v="143458" u="1"/>
        <n v="198473" u="1"/>
        <n v="17055" u="1"/>
        <n v="80187" u="1"/>
        <n v="124199" u="1"/>
        <n v="269589" u="1"/>
        <n v="135206" u="1"/>
        <n v="142083" u="1"/>
        <n v="129013" u="1"/>
        <n v="15688" u="1"/>
        <n v="93941" u="1"/>
        <n v="126950" u="1"/>
        <n v="140708" u="1"/>
        <n v="228732" u="1"/>
        <n v="180594" u="1"/>
        <n v="132456" u="1"/>
        <n v="198474" u="1"/>
        <n v="266840" u="1"/>
        <n v="129701" u="1"/>
        <n v="135207" u="1"/>
        <n v="125575" u="1"/>
        <n v="142084" u="1"/>
        <n v="175093" u="1"/>
        <n v="137958" u="1"/>
        <n v="243862" u="1"/>
        <n v="140709" u="1"/>
        <n v="162715" u="1"/>
        <n v="143460" u="1"/>
        <n v="198475" u="1"/>
        <n v="231484" u="1"/>
        <n v="80188" u="1"/>
        <n v="124200" u="1"/>
        <n v="135208" u="1"/>
        <n v="168217" u="1"/>
        <n v="142085" u="1"/>
        <n v="129014" u="1"/>
        <n v="137959" u="1"/>
        <n v="93942" u="1"/>
        <n v="126951" u="1"/>
        <n v="243863" u="1"/>
        <n v="140710" u="1"/>
        <n v="180596" u="1"/>
        <n v="129702" u="1"/>
        <n v="172344" u="1"/>
        <n v="205353" u="1"/>
        <n v="135209" u="1"/>
        <n v="142086" u="1"/>
        <n v="137960" u="1"/>
        <n v="243864" u="1"/>
        <n v="130390" u="1"/>
        <n v="140711" u="1"/>
        <n v="147588" u="1"/>
        <n v="180597" u="1"/>
        <n v="132459" u="1"/>
        <n v="143462" u="1"/>
        <n v="198477" u="1"/>
        <n v="80189" u="1"/>
        <n v="205354" u="1"/>
        <n v="216357" u="1"/>
        <n v="67123" u="1"/>
        <n v="135210" u="1"/>
        <n v="208105" u="1"/>
        <n v="129015" u="1"/>
        <n v="93943" u="1"/>
        <n v="126952" u="1"/>
        <n v="243865" u="1"/>
        <n v="140712" u="1"/>
        <n v="162718" u="1"/>
        <n v="180598" u="1"/>
        <n v="132460" u="1"/>
        <n v="143463" u="1"/>
        <n v="129703" u="1"/>
        <n v="205355" u="1"/>
        <n v="216358" u="1"/>
        <n v="135211" u="1"/>
        <n v="157217" u="1"/>
        <n v="142088" u="1"/>
        <n v="208106" u="1"/>
        <n v="247992" u="1"/>
        <n v="243866" u="1"/>
        <n v="130391" u="1"/>
        <n v="140713" u="1"/>
        <n v="162719" u="1"/>
        <n v="128328" u="1"/>
        <n v="180599" u="1"/>
        <n v="143464" u="1"/>
        <n v="80190" u="1"/>
        <n v="216359" u="1"/>
        <n v="135212" u="1"/>
        <n v="142089" u="1"/>
        <n v="208107" u="1"/>
        <n v="129016" u="1"/>
        <n v="247993" u="1"/>
        <n v="93944" u="1"/>
        <n v="126953" u="1"/>
        <n v="243867" u="1"/>
        <n v="140714" u="1"/>
        <n v="162720" u="1"/>
        <n v="180600" u="1"/>
        <n v="213609" u="1"/>
        <n v="129704" u="1"/>
        <n v="135213" u="1"/>
        <n v="10015" u="1"/>
        <n v="125578" u="1"/>
        <n v="142090" u="1"/>
        <n v="175099" u="1"/>
        <n v="137964" u="1"/>
        <n v="266853" u="1"/>
        <n v="140715" u="1"/>
        <n v="162721" u="1"/>
        <n v="180601" u="1"/>
        <n v="213610" u="1"/>
        <n v="132463" u="1"/>
        <n v="143466" u="1"/>
        <n v="198481" u="1"/>
        <n v="17056" u="1"/>
        <n v="80191" u="1"/>
        <n v="216361" u="1"/>
        <n v="135214" u="1"/>
        <n v="142091" u="1"/>
        <n v="175100" u="1"/>
        <n v="14571" u="1"/>
        <n v="129017" u="1"/>
        <n v="137965" u="1"/>
        <n v="159971" u="1"/>
        <n v="203983" u="1"/>
        <n v="93945" u="1"/>
        <n v="126954" u="1"/>
        <n v="140716" u="1"/>
        <n v="180602" u="1"/>
        <n v="143467" u="1"/>
        <n v="198482" u="1"/>
        <n v="129705" u="1"/>
        <n v="216362" u="1"/>
        <n v="157221" u="1"/>
        <n v="142092" u="1"/>
        <n v="175101" u="1"/>
        <n v="203984" u="1"/>
        <n v="144843" u="1"/>
        <n v="130393" u="1"/>
        <n v="140717" u="1"/>
        <n v="198483" u="1"/>
        <n v="80192" u="1"/>
        <n v="135216" u="1"/>
        <n v="157222" u="1"/>
        <n v="142093" u="1"/>
        <n v="175102" u="1"/>
        <n v="10445" u="1"/>
        <n v="129018" u="1"/>
        <n v="137967" u="1"/>
        <n v="203985" u="1"/>
        <n v="93946" u="1"/>
        <n v="126955" u="1"/>
        <n v="144844" u="1"/>
        <n v="269610" u="1"/>
        <n v="140718" u="1"/>
        <n v="173727" u="1"/>
        <n v="180604" u="1"/>
        <n v="235619" u="1"/>
        <n v="198484" u="1"/>
        <n v="129706" u="1"/>
        <n v="205361" u="1"/>
        <n v="216364" u="1"/>
        <n v="269611" u="1"/>
        <n v="135217" u="1"/>
        <n v="157223" u="1"/>
        <n v="125580" u="1"/>
        <n v="142094" u="1"/>
        <n v="137968" u="1"/>
        <n v="203986" u="1"/>
        <n v="144845" u="1"/>
        <n v="130394" u="1"/>
        <n v="140719" u="1"/>
        <n v="84319" u="1"/>
        <n v="180605" u="1"/>
        <n v="198485" u="1"/>
        <n v="80193" u="1"/>
        <n v="124205" u="1"/>
        <n v="216365" u="1"/>
        <n v="135218" u="1"/>
        <n v="157224" u="1"/>
        <n v="201236" u="1"/>
        <n v="175104" u="1"/>
        <n v="129019" u="1"/>
        <n v="137969" u="1"/>
        <n v="192984" u="1"/>
        <n v="203987" u="1"/>
        <n v="93947" u="1"/>
        <n v="126956" u="1"/>
        <n v="144846" u="1"/>
        <n v="140720" u="1"/>
        <n v="198486" u="1"/>
        <n v="129707" u="1"/>
        <n v="135219" u="1"/>
        <n v="157225" u="1"/>
        <n v="190234" u="1"/>
        <n v="92572" u="1"/>
        <n v="125581" u="1"/>
        <n v="137970" u="1"/>
        <n v="203988" u="1"/>
        <n v="144847" u="1"/>
        <n v="140721" u="1"/>
        <n v="162727" u="1"/>
        <n v="84320" u="1"/>
        <n v="128332" u="1"/>
        <n v="132469" u="1"/>
        <n v="198487" u="1"/>
        <n v="80194" u="1"/>
        <n v="124206" u="1"/>
        <n v="216367" u="1"/>
        <n v="135220" u="1"/>
        <n v="157226" u="1"/>
        <n v="190235" u="1"/>
        <n v="129020" u="1"/>
        <n v="137971" u="1"/>
        <n v="203989" u="1"/>
        <n v="93948" u="1"/>
        <n v="126957" u="1"/>
        <n v="144848" u="1"/>
        <n v="140722" u="1"/>
        <n v="11047" u="1"/>
        <n v="132470" u="1"/>
        <n v="198488" u="1"/>
        <n v="129708" u="1"/>
        <n v="216368" u="1"/>
        <n v="135221" u="1"/>
        <n v="157227" u="1"/>
        <n v="92573" u="1"/>
        <n v="125582" u="1"/>
        <n v="208116" u="1"/>
        <n v="137972" u="1"/>
        <n v="203990" u="1"/>
        <n v="144849" u="1"/>
        <n v="243876" u="1"/>
        <n v="130396" u="1"/>
        <n v="140723" u="1"/>
        <n v="173732" u="1"/>
        <n v="84321" u="1"/>
        <n v="128333" u="1"/>
        <n v="213618" u="1"/>
        <n v="132471" u="1"/>
        <n v="143474" u="1"/>
        <n v="198489" u="1"/>
        <n v="80195" u="1"/>
        <n v="124207" u="1"/>
        <n v="216369" u="1"/>
        <n v="135222" u="1"/>
        <n v="157228" u="1"/>
        <n v="208117" u="1"/>
        <n v="129021" u="1"/>
        <n v="137973" u="1"/>
        <n v="203991" u="1"/>
        <n v="93949" u="1"/>
        <n v="126958" u="1"/>
        <n v="144850" u="1"/>
        <n v="140724" u="1"/>
        <n v="162730" u="1"/>
        <n v="213619" u="1"/>
        <n v="132472" u="1"/>
        <n v="198490" u="1"/>
        <n v="129709" u="1"/>
        <n v="216370" u="1"/>
        <n v="135223" u="1"/>
        <n v="125583" u="1"/>
        <n v="153103" u="1"/>
        <n v="208118" u="1"/>
        <n v="137974" u="1"/>
        <n v="203992" u="1"/>
        <n v="144851" u="1"/>
        <n v="130397" u="1"/>
        <n v="140725" u="1"/>
        <n v="162731" u="1"/>
        <n v="84322" u="1"/>
        <n v="128334" u="1"/>
        <n v="132473" u="1"/>
        <n v="198491" u="1"/>
        <n v="80196" u="1"/>
        <n v="124208" u="1"/>
        <n v="216371" u="1"/>
        <n v="135224" u="1"/>
        <n v="208119" u="1"/>
        <n v="129022" u="1"/>
        <n v="203993" u="1"/>
        <n v="93950" u="1"/>
        <n v="126959" u="1"/>
        <n v="144852" u="1"/>
        <n v="140726" u="1"/>
        <n v="162732" u="1"/>
        <n v="235627" u="1"/>
        <n v="132474" u="1"/>
        <n v="143477" u="1"/>
        <n v="216372" u="1"/>
        <n v="135225" u="1"/>
        <n v="92575" u="1"/>
        <n v="125584" u="1"/>
        <n v="208120" u="1"/>
        <n v="137976" u="1"/>
        <n v="203994" u="1"/>
        <n v="144853" u="1"/>
        <n v="130398" u="1"/>
        <n v="140727" u="1"/>
        <n v="162733" u="1"/>
        <n v="84323" u="1"/>
        <n v="128335" u="1"/>
        <n v="235628" u="1"/>
        <n v="132475" u="1"/>
        <n v="143478" u="1"/>
        <n v="198493" u="1"/>
        <n v="231502" u="1"/>
        <n v="205370" u="1"/>
        <n v="135226" u="1"/>
        <n v="137977" u="1"/>
        <n v="203995" u="1"/>
        <n v="93951" u="1"/>
        <n v="126960" u="1"/>
        <n v="144854" u="1"/>
        <n v="140728" u="1"/>
        <n v="162734" u="1"/>
        <n v="132476" u="1"/>
        <n v="143479" u="1"/>
        <n v="129711" u="1"/>
        <n v="135227" u="1"/>
        <n v="92576" u="1"/>
        <n v="125585" u="1"/>
        <n v="175113" u="1"/>
        <n v="208122" u="1"/>
        <n v="203996" u="1"/>
        <n v="144855" u="1"/>
        <n v="130399" u="1"/>
        <n v="140729" u="1"/>
        <n v="162735" u="1"/>
        <n v="173738" u="1"/>
        <n v="84324" u="1"/>
        <n v="235630" u="1"/>
        <n v="14228" u="1"/>
        <n v="132477" u="1"/>
        <n v="198495" u="1"/>
        <n v="124210" u="1"/>
        <n v="135228" u="1"/>
        <n v="146231" u="1"/>
        <n v="137979" u="1"/>
        <n v="203997" u="1"/>
        <n v="93952" u="1"/>
        <n v="126961" u="1"/>
        <n v="144856" u="1"/>
        <n v="140730" u="1"/>
        <n v="132478" u="1"/>
        <n v="143481" u="1"/>
        <n v="198496" u="1"/>
        <n v="129712" u="1"/>
        <n v="135229" u="1"/>
        <n v="146232" u="1"/>
        <n v="92577" u="1"/>
        <n v="125586" u="1"/>
        <n v="131103" u="1"/>
        <n v="137980" u="1"/>
        <n v="203998" u="1"/>
        <n v="144857" u="1"/>
        <n v="84325" u="1"/>
        <n v="246635" u="1"/>
        <n v="132479" u="1"/>
        <n v="124211" u="1"/>
        <n v="216377" u="1"/>
        <n v="135230" u="1"/>
        <n v="146233" u="1"/>
        <n v="131104" u="1"/>
        <n v="241134" u="1"/>
        <n v="14572" u="1"/>
        <n v="137981" u="1"/>
        <n v="203999" u="1"/>
        <n v="93953" u="1"/>
        <n v="126962" u="1"/>
        <n v="144858" u="1"/>
        <n v="173741" u="1"/>
        <n v="246636" u="1"/>
        <n v="132480" u="1"/>
        <n v="143483" u="1"/>
        <n v="198498" u="1"/>
        <n v="161363" u="1"/>
        <n v="205375" u="1"/>
        <n v="135231" u="1"/>
        <n v="146234" u="1"/>
        <n v="92578" u="1"/>
        <n v="125587" u="1"/>
        <n v="131105" u="1"/>
        <n v="4849" u="1"/>
        <n v="137982" u="1"/>
        <n v="204000" u="1"/>
        <n v="226006" u="1"/>
        <n v="144859" u="1"/>
        <n v="206751" u="1"/>
        <n v="84326" u="1"/>
        <n v="128338" u="1"/>
        <n v="147610" u="1"/>
        <n v="132481" u="1"/>
        <n v="198499" u="1"/>
        <n v="205376" u="1"/>
        <n v="146235" u="1"/>
        <n v="131106" u="1"/>
        <n v="10446" u="1"/>
        <n v="137983" u="1"/>
        <n v="204001" u="1"/>
        <n v="93954" u="1"/>
        <n v="144860" u="1"/>
        <n v="140734" u="1"/>
        <n v="147611" u="1"/>
        <n v="132482" u="1"/>
        <n v="205377" u="1"/>
        <n v="135233" u="1"/>
        <n v="190248" u="1"/>
        <n v="92579" u="1"/>
        <n v="125588" u="1"/>
        <n v="131107" u="1"/>
        <n v="137984" u="1"/>
        <n v="237011" u="1"/>
        <n v="144861" u="1"/>
        <n v="140735" u="1"/>
        <n v="162741" u="1"/>
        <n v="206753" u="1"/>
        <n v="84327" u="1"/>
        <n v="128339" u="1"/>
        <n v="132483" u="1"/>
        <n v="143486" u="1"/>
        <n v="165492" u="1"/>
        <n v="205378" u="1"/>
        <n v="89141" u="1"/>
        <n v="135234" u="1"/>
        <n v="146237" u="1"/>
        <n v="190249" u="1"/>
        <n v="131108" u="1"/>
        <n v="237012" u="1"/>
        <n v="93955" u="1"/>
        <n v="144862" u="1"/>
        <n v="140736" u="1"/>
        <n v="206754" u="1"/>
        <n v="132484" u="1"/>
        <n v="205379" u="1"/>
        <n v="135235" u="1"/>
        <n v="168244" u="1"/>
        <n v="223259" u="1"/>
        <n v="92580" u="1"/>
        <n v="125589" u="1"/>
        <n v="131109" u="1"/>
        <n v="144863" u="1"/>
        <n v="140737" u="1"/>
        <n v="173746" u="1"/>
        <n v="206755" u="1"/>
        <n v="84328" u="1"/>
        <n v="132485" u="1"/>
        <n v="124214" u="1"/>
        <n v="135236" u="1"/>
        <n v="146239" u="1"/>
        <n v="131110" u="1"/>
        <n v="137987" u="1"/>
        <n v="93956" u="1"/>
        <n v="144864" u="1"/>
        <n v="140738" u="1"/>
        <n v="173747" u="1"/>
        <n v="147615" u="1"/>
        <n v="132486" u="1"/>
        <n v="143489" u="1"/>
        <n v="165495" u="1"/>
        <n v="176498" u="1"/>
        <n v="231513" u="1"/>
        <n v="205381" u="1"/>
        <n v="135237" u="1"/>
        <n v="146240" u="1"/>
        <n v="168246" u="1"/>
        <n v="92581" u="1"/>
        <n v="131111" u="1"/>
        <n v="137988" u="1"/>
        <n v="237015" u="1"/>
        <n v="144865" u="1"/>
        <n v="140739" u="1"/>
        <n v="162745" u="1"/>
        <n v="173748" u="1"/>
        <n v="228763" u="1"/>
        <n v="84329" u="1"/>
        <n v="128341" u="1"/>
        <n v="132487" u="1"/>
        <n v="143490" u="1"/>
        <n v="165496" u="1"/>
        <n v="176499" u="1"/>
        <n v="231514" u="1"/>
        <n v="161370" u="1"/>
        <n v="205382" u="1"/>
        <n v="89143" u="1"/>
        <n v="135238" u="1"/>
        <n v="146241" u="1"/>
        <n v="131112" u="1"/>
        <n v="137989" u="1"/>
        <n v="266903" u="1"/>
        <n v="93957" u="1"/>
        <n v="140740" u="1"/>
        <n v="173749" u="1"/>
        <n v="206758" u="1"/>
        <n v="228764" u="1"/>
        <n v="132488" u="1"/>
        <n v="143491" u="1"/>
        <n v="165497" u="1"/>
        <n v="266904" u="1"/>
        <n v="161371" u="1"/>
        <n v="135239" u="1"/>
        <n v="146242" u="1"/>
        <n v="168248" u="1"/>
        <n v="92582" u="1"/>
        <n v="125591" u="1"/>
        <n v="131113" u="1"/>
        <n v="137990" u="1"/>
        <n v="266905" u="1"/>
        <n v="130405" u="1"/>
        <n v="173750" u="1"/>
        <n v="228765" u="1"/>
        <n v="84330" u="1"/>
        <n v="128342" u="1"/>
        <n v="132489" u="1"/>
        <n v="266906" u="1"/>
        <n v="161372" u="1"/>
        <n v="205384" u="1"/>
        <n v="89144" u="1"/>
        <n v="135240" u="1"/>
        <n v="146243" u="1"/>
        <n v="131114" u="1"/>
        <n v="153120" u="1"/>
        <n v="175126" u="1"/>
        <n v="137991" u="1"/>
        <n v="266907" u="1"/>
        <n v="93958" u="1"/>
        <n v="144868" u="1"/>
        <n v="140742" u="1"/>
        <n v="173751" u="1"/>
        <n v="132490" u="1"/>
        <n v="143493" u="1"/>
        <n v="165499" u="1"/>
        <n v="231517" u="1"/>
        <n v="266908" u="1"/>
        <n v="135241" u="1"/>
        <n v="146244" u="1"/>
        <n v="168250" u="1"/>
        <n v="92583" u="1"/>
        <n v="125592" u="1"/>
        <n v="131115" u="1"/>
        <n v="137992" u="1"/>
        <n v="144869" u="1"/>
        <n v="130406" u="1"/>
        <n v="140743" u="1"/>
        <n v="162749" u="1"/>
        <n v="173752" u="1"/>
        <n v="84331" u="1"/>
        <n v="128343" u="1"/>
        <n v="213638" u="1"/>
        <n v="132491" u="1"/>
        <n v="176503" u="1"/>
        <n v="161374" u="1"/>
        <n v="89145" u="1"/>
        <n v="135242" u="1"/>
        <n v="146245" u="1"/>
        <n v="131116" u="1"/>
        <n v="175128" u="1"/>
        <n v="137993" u="1"/>
        <n v="93959" u="1"/>
        <n v="140744" u="1"/>
        <n v="228768" u="1"/>
        <n v="224642" u="1"/>
        <n v="132492" u="1"/>
        <n v="165501" u="1"/>
        <n v="176504" u="1"/>
        <n v="216390" u="1"/>
        <n v="135243" u="1"/>
        <n v="146246" u="1"/>
        <n v="168252" u="1"/>
        <n v="92584" u="1"/>
        <n v="125593" u="1"/>
        <n v="131117" u="1"/>
        <n v="175129" u="1"/>
        <n v="208138" u="1"/>
        <n v="137994" u="1"/>
        <n v="140745" u="1"/>
        <n v="162751" u="1"/>
        <n v="84332" u="1"/>
        <n v="128344" u="1"/>
        <n v="147622" u="1"/>
        <n v="180631" u="1"/>
        <n v="224643" u="1"/>
        <n v="14229" u="1"/>
        <n v="132493" u="1"/>
        <n v="143496" u="1"/>
        <n v="165502" u="1"/>
        <n v="176505" u="1"/>
        <n v="124218" u="1"/>
        <n v="216391" u="1"/>
        <n v="89146" u="1"/>
        <n v="135244" u="1"/>
        <n v="146247" u="1"/>
        <n v="131118" u="1"/>
        <n v="93960" u="1"/>
        <n v="140746" u="1"/>
        <n v="228770" u="1"/>
        <n v="147623" u="1"/>
        <n v="132494" u="1"/>
        <n v="143497" u="1"/>
        <n v="165503" u="1"/>
        <n v="161377" u="1"/>
        <n v="146248" u="1"/>
        <n v="92585" u="1"/>
        <n v="125594" u="1"/>
        <n v="131119" u="1"/>
        <n v="137996" u="1"/>
        <n v="84333" u="1"/>
        <n v="128345" u="1"/>
        <n v="132495" u="1"/>
        <n v="143498" u="1"/>
        <n v="124219" u="1"/>
        <n v="161378" u="1"/>
        <n v="89147" u="1"/>
        <n v="135246" u="1"/>
        <n v="146249" u="1"/>
        <n v="168255" u="1"/>
        <n v="131120" u="1"/>
        <n v="137997" u="1"/>
        <n v="93961" u="1"/>
        <n v="126970" u="1"/>
        <n v="228772" u="1"/>
        <n v="132496" u="1"/>
        <n v="161379" u="1"/>
        <n v="146250" u="1"/>
        <n v="168256" u="1"/>
        <n v="92586" u="1"/>
        <n v="125595" u="1"/>
        <n v="137998" u="1"/>
        <n v="228773" u="1"/>
        <n v="84334" u="1"/>
        <n v="128346" u="1"/>
        <n v="213644" u="1"/>
        <n v="224647" u="1"/>
        <n v="132497" u="1"/>
        <n v="143500" u="1"/>
        <n v="124220" u="1"/>
        <n v="89148" u="1"/>
        <n v="135248" u="1"/>
        <n v="146251" u="1"/>
        <n v="131122" u="1"/>
        <n v="10447" u="1"/>
        <n v="137999" u="1"/>
        <n v="237026" u="1"/>
        <n v="93962" u="1"/>
        <n v="126971" u="1"/>
        <n v="206768" u="1"/>
        <n v="228774" u="1"/>
        <n v="213645" u="1"/>
        <n v="132498" u="1"/>
        <n v="143501" u="1"/>
        <n v="165507" u="1"/>
        <n v="231525" u="1"/>
        <n v="161381" u="1"/>
        <n v="146252" u="1"/>
        <n v="201267" u="1"/>
        <n v="92587" u="1"/>
        <n v="125596" u="1"/>
        <n v="131123" u="1"/>
        <n v="164132" u="1"/>
        <n v="138000" u="1"/>
        <n v="140751" u="1"/>
        <n v="84335" u="1"/>
        <n v="128347" u="1"/>
        <n v="147628" u="1"/>
        <n v="180637" u="1"/>
        <n v="132499" u="1"/>
        <n v="143502" u="1"/>
        <n v="231526" u="1"/>
        <n v="89149" u="1"/>
        <n v="146253" u="1"/>
        <n v="131124" u="1"/>
        <n v="164133" u="1"/>
        <n v="138001" u="1"/>
        <n v="93963" u="1"/>
        <n v="126972" u="1"/>
        <n v="140752" u="1"/>
        <n v="239779" u="1"/>
        <n v="132500" u="1"/>
        <n v="143503" u="1"/>
        <n v="165509" u="1"/>
        <n v="146254" u="1"/>
        <n v="92588" u="1"/>
        <n v="125597" u="1"/>
        <n v="15261" u="1"/>
        <n v="138002" u="1"/>
        <n v="226026" u="1"/>
        <n v="48460" u="1"/>
        <n v="140753" u="1"/>
        <n v="228777" u="1"/>
        <n v="84336" u="1"/>
        <n v="128348" u="1"/>
        <n v="132501" u="1"/>
        <n v="143504" u="1"/>
        <n v="165510" u="1"/>
        <n v="266930" u="1"/>
        <n v="124222" u="1"/>
        <n v="89150" u="1"/>
        <n v="146255" u="1"/>
        <n v="131126" u="1"/>
        <n v="241156" u="1"/>
        <n v="13198" u="1"/>
        <n v="138003" u="1"/>
        <n v="226027" u="1"/>
        <n v="93964" u="1"/>
        <n v="126973" u="1"/>
        <n v="206772" u="1"/>
        <n v="228778" u="1"/>
        <n v="224652" u="1"/>
        <n v="132502" u="1"/>
        <n v="143505" u="1"/>
        <n v="161385" u="1"/>
        <n v="146256" u="1"/>
        <n v="223277" u="1"/>
        <n v="125598" u="1"/>
        <n v="208148" u="1"/>
        <n v="138004" u="1"/>
        <n v="226028" u="1"/>
        <n v="237031" u="1"/>
        <n v="140755" u="1"/>
        <n v="173764" u="1"/>
        <n v="84337" u="1"/>
        <n v="128349" u="1"/>
        <n v="213650" u="1"/>
        <n v="132503" u="1"/>
        <n v="143506" u="1"/>
        <n v="165512" u="1"/>
        <n v="176515" u="1"/>
        <n v="209524" u="1"/>
        <n v="124223" u="1"/>
        <n v="161386" u="1"/>
        <n v="89151" u="1"/>
        <n v="146257" u="1"/>
        <n v="223278" u="1"/>
        <n v="208149" u="1"/>
        <n v="138005" u="1"/>
        <n v="149008" u="1"/>
        <n v="93965" u="1"/>
        <n v="126974" u="1"/>
        <n v="124911" u="1"/>
        <n v="140756" u="1"/>
        <n v="206774" u="1"/>
        <n v="213651" u="1"/>
        <n v="132504" u="1"/>
        <n v="143507" u="1"/>
        <n v="209525" u="1"/>
        <n v="231531" u="1"/>
        <n v="129725" u="1"/>
        <n v="161387" u="1"/>
        <n v="146258" u="1"/>
        <n v="125599" u="1"/>
        <n v="138006" u="1"/>
        <n v="149009" u="1"/>
        <n v="133880" u="1"/>
        <n v="140757" u="1"/>
        <n v="173766" u="1"/>
        <n v="206775" u="1"/>
        <n v="84338" u="1"/>
        <n v="128350" u="1"/>
        <n v="213652" u="1"/>
        <n v="132505" u="1"/>
        <n v="143508" u="1"/>
        <n v="165514" u="1"/>
        <n v="209526" u="1"/>
        <n v="231532" u="1"/>
        <n v="89152" u="1"/>
        <n v="146259" u="1"/>
        <n v="138007" u="1"/>
        <n v="149010" u="1"/>
        <n v="93966" u="1"/>
        <n v="126975" u="1"/>
        <n v="124912" u="1"/>
        <n v="140758" u="1"/>
        <n v="173767" u="1"/>
        <n v="147635" u="1"/>
        <n v="132506" u="1"/>
        <n v="143509" u="1"/>
        <n v="165515" u="1"/>
        <n v="209527" u="1"/>
        <n v="231533" u="1"/>
        <n v="146260" u="1"/>
        <n v="168266" u="1"/>
        <n v="179269" u="1"/>
        <n v="201275" u="1"/>
        <n v="125600" u="1"/>
        <n v="164140" u="1"/>
        <n v="219155" u="1"/>
        <n v="241161" u="1"/>
        <n v="138008" u="1"/>
        <n v="149011" u="1"/>
        <n v="77462" u="1"/>
        <n v="133882" u="1"/>
        <n v="140759" u="1"/>
        <n v="206777" u="1"/>
        <n v="84339" u="1"/>
        <n v="128351" u="1"/>
        <n v="213654" u="1"/>
        <n v="132507" u="1"/>
        <n v="143510" u="1"/>
        <n v="165516" u="1"/>
        <n v="209528" u="1"/>
        <n v="89153" u="1"/>
        <n v="146261" u="1"/>
        <n v="168267" u="1"/>
        <n v="223282" u="1"/>
        <n v="164141" u="1"/>
        <n v="138009" u="1"/>
        <n v="149012" u="1"/>
        <n v="204027" u="1"/>
        <n v="93967" u="1"/>
        <n v="126976" u="1"/>
        <n v="210904" u="1"/>
        <n v="124913" u="1"/>
        <n v="140760" u="1"/>
        <n v="213655" u="1"/>
        <n v="132508" u="1"/>
        <n v="143511" u="1"/>
        <n v="165517" u="1"/>
        <n v="266944" u="1"/>
        <n v="129727" u="1"/>
        <n v="146262" u="1"/>
        <n v="208154" u="1"/>
        <n v="90529" u="1"/>
        <n v="138010" u="1"/>
        <n v="149013" u="1"/>
        <n v="237037" u="1"/>
        <n v="266945" u="1"/>
        <n v="77463" u="1"/>
        <n v="140761" u="1"/>
        <n v="261794" u="1"/>
        <n v="84340" u="1"/>
        <n v="128352" u="1"/>
        <n v="147638" u="1"/>
        <n v="213656" u="1"/>
        <n v="132509" u="1"/>
        <n v="143512" u="1"/>
        <n v="165518" u="1"/>
        <n v="209530" u="1"/>
        <n v="231536" u="1"/>
        <n v="80214" u="1"/>
        <n v="124226" u="1"/>
        <n v="161392" u="1"/>
        <n v="89154" u="1"/>
        <n v="135260" u="1"/>
        <n v="146263" u="1"/>
        <n v="223284" u="1"/>
        <n v="138011" u="1"/>
        <n v="149014" u="1"/>
        <n v="14316" u="1"/>
        <n v="93968" u="1"/>
        <n v="126977" u="1"/>
        <n v="243915" u="1"/>
        <n v="124914" u="1"/>
        <n v="140762" u="1"/>
        <n v="173771" u="1"/>
        <n v="132510" u="1"/>
        <n v="143513" u="1"/>
        <n v="165519" u="1"/>
        <n v="129728" u="1"/>
        <n v="161393" u="1"/>
        <n v="135261" u="1"/>
        <n v="146264" u="1"/>
        <n v="223285" u="1"/>
        <n v="131135" u="1"/>
        <n v="90530" u="1"/>
        <n v="138012" u="1"/>
        <n v="149015" u="1"/>
        <n v="266949" u="1"/>
        <n v="133886" u="1"/>
        <n v="243916" u="1"/>
        <n v="140763" u="1"/>
        <n v="173772" u="1"/>
        <n v="84341" u="1"/>
        <n v="128353" u="1"/>
        <n v="213658" u="1"/>
        <n v="93281" u="1"/>
        <n v="143514" u="1"/>
        <n v="165520" u="1"/>
        <n v="266950" u="1"/>
        <n v="124227" u="1"/>
        <n v="135262" u="1"/>
        <n v="146265" u="1"/>
        <n v="131136" u="1"/>
        <n v="164145" u="1"/>
        <n v="138013" u="1"/>
        <n v="266951" u="1"/>
        <n v="93969" u="1"/>
        <n v="126978" u="1"/>
        <n v="133887" u="1"/>
        <n v="155893" u="1"/>
        <n v="210908" u="1"/>
        <n v="243917" u="1"/>
        <n v="124915" u="1"/>
        <n v="140764" u="1"/>
        <n v="173773" u="1"/>
        <n v="213659" u="1"/>
        <n v="143515" u="1"/>
        <n v="209533" u="1"/>
        <n v="129729" u="1"/>
        <n v="135263" u="1"/>
        <n v="146266" u="1"/>
        <n v="125603" u="1"/>
        <n v="131137" u="1"/>
        <n v="164146" u="1"/>
        <n v="4850" u="1"/>
        <n v="90531" u="1"/>
        <n v="138014" u="1"/>
        <n v="149017" u="1"/>
        <n v="133888" u="1"/>
        <n v="243918" u="1"/>
        <n v="140765" u="1"/>
        <n v="173774" u="1"/>
        <n v="84342" u="1"/>
        <n v="128354" u="1"/>
        <n v="93282" u="1"/>
        <n v="132513" u="1"/>
        <n v="143516" u="1"/>
        <n v="209534" u="1"/>
        <n v="124228" u="1"/>
        <n v="161396" u="1"/>
        <n v="89156" u="1"/>
        <n v="135264" u="1"/>
        <n v="146267" u="1"/>
        <n v="131138" u="1"/>
        <n v="164147" u="1"/>
        <n v="10448" u="1"/>
        <n v="138015" u="1"/>
        <n v="93970" u="1"/>
        <n v="133889" u="1"/>
        <n v="210910" u="1"/>
        <n v="243919" u="1"/>
        <n v="4936" u="1"/>
        <n v="124916" u="1"/>
        <n v="140766" u="1"/>
        <n v="173775" u="1"/>
        <n v="147643" u="1"/>
        <n v="213661" u="1"/>
        <n v="132514" u="1"/>
        <n v="143517" u="1"/>
        <n v="129730" u="1"/>
        <n v="135265" u="1"/>
        <n v="146268" u="1"/>
        <n v="125604" u="1"/>
        <n v="131139" u="1"/>
        <n v="164148" u="1"/>
        <n v="90532" u="1"/>
        <n v="138016" u="1"/>
        <n v="133890" u="1"/>
        <n v="243920" u="1"/>
        <n v="140767" u="1"/>
        <n v="84343" u="1"/>
        <n v="128355" u="1"/>
        <n v="93283" u="1"/>
        <n v="132515" u="1"/>
        <n v="143518" u="1"/>
        <n v="165524" u="1"/>
        <n v="209536" u="1"/>
        <n v="124229" u="1"/>
        <n v="161398" u="1"/>
        <n v="227416" u="1"/>
        <n v="89157" u="1"/>
        <n v="135266" u="1"/>
        <n v="146269" u="1"/>
        <n v="131140" u="1"/>
        <n v="164149" u="1"/>
        <n v="93971" u="1"/>
        <n v="126980" u="1"/>
        <n v="133891" u="1"/>
        <n v="243921" u="1"/>
        <n v="124917" u="1"/>
        <n v="140768" u="1"/>
        <n v="173777" u="1"/>
        <n v="76779" u="1"/>
        <n v="132516" u="1"/>
        <n v="143519" u="1"/>
        <n v="176528" u="1"/>
        <n v="129731" u="1"/>
        <n v="227417" u="1"/>
        <n v="135267" u="1"/>
        <n v="146270" u="1"/>
        <n v="201285" u="1"/>
        <n v="125605" u="1"/>
        <n v="15262" u="1"/>
        <n v="90533" u="1"/>
        <n v="138018" u="1"/>
        <n v="133892" u="1"/>
        <n v="243922" u="1"/>
        <n v="173778" u="1"/>
        <n v="84344" u="1"/>
        <n v="128356" u="1"/>
        <n v="213664" u="1"/>
        <n v="93284" u="1"/>
        <n v="132517" u="1"/>
        <n v="143520" u="1"/>
        <n v="266962" u="1"/>
        <n v="124230" u="1"/>
        <n v="161400" u="1"/>
        <n v="227418" u="1"/>
        <n v="89158" u="1"/>
        <n v="135268" u="1"/>
        <n v="146271" u="1"/>
        <n v="201286" u="1"/>
        <n v="164151" u="1"/>
        <n v="13199" u="1"/>
        <n v="138019" u="1"/>
        <n v="266963" u="1"/>
        <n v="93972" u="1"/>
        <n v="126981" u="1"/>
        <n v="133893" u="1"/>
        <n v="243923" u="1"/>
        <n v="124918" u="1"/>
        <n v="140770" u="1"/>
        <n v="147647" u="1"/>
        <n v="132518" u="1"/>
        <n v="143521" u="1"/>
        <n v="165527" u="1"/>
        <n v="242548" u="1"/>
        <n v="266964" u="1"/>
        <n v="129732" u="1"/>
        <n v="161401" u="1"/>
        <n v="194410" u="1"/>
        <n v="135269" u="1"/>
        <n v="146272" u="1"/>
        <n v="125606" u="1"/>
        <n v="131143" u="1"/>
        <n v="153149" u="1"/>
        <n v="90534" u="1"/>
        <n v="138020" u="1"/>
        <n v="266965" u="1"/>
        <n v="133894" u="1"/>
        <n v="243924" u="1"/>
        <n v="140771" u="1"/>
        <n v="84345" u="1"/>
        <n v="128357" u="1"/>
        <n v="213666" u="1"/>
        <n v="93285" u="1"/>
        <n v="132519" u="1"/>
        <n v="165528" u="1"/>
        <n v="176531" u="1"/>
        <n v="209540" u="1"/>
        <n v="266966" u="1"/>
        <n v="124231" u="1"/>
        <n v="194411" u="1"/>
        <n v="227420" u="1"/>
        <n v="89159" u="1"/>
        <n v="135270" u="1"/>
        <n v="146273" u="1"/>
        <n v="164153" u="1"/>
        <n v="138021" u="1"/>
        <n v="149024" u="1"/>
        <n v="93973" u="1"/>
        <n v="126982" u="1"/>
        <n v="133895" u="1"/>
        <n v="243925" u="1"/>
        <n v="124919" u="1"/>
        <n v="132520" u="1"/>
        <n v="143523" u="1"/>
        <n v="165529" u="1"/>
        <n v="176532" u="1"/>
        <n v="209541" u="1"/>
        <n v="227421" u="1"/>
        <n v="135271" u="1"/>
        <n v="146274" u="1"/>
        <n v="201289" u="1"/>
        <n v="125607" u="1"/>
        <n v="90535" u="1"/>
        <n v="149025" u="1"/>
        <n v="266969" u="1"/>
        <n v="133896" u="1"/>
        <n v="243926" u="1"/>
        <n v="228797" u="1"/>
        <n v="128358" u="1"/>
        <n v="213668" u="1"/>
        <n v="93286" u="1"/>
        <n v="143524" u="1"/>
        <n v="165530" u="1"/>
        <n v="198539" u="1"/>
        <n v="266970" u="1"/>
        <n v="124232" u="1"/>
        <n v="227422" u="1"/>
        <n v="89160" u="1"/>
        <n v="135272" u="1"/>
        <n v="146275" u="1"/>
        <n v="131146" u="1"/>
        <n v="149026" u="1"/>
        <n v="266971" u="1"/>
        <n v="93974" u="1"/>
        <n v="126983" u="1"/>
        <n v="133897" u="1"/>
        <n v="243927" u="1"/>
        <n v="124920" u="1"/>
        <n v="173783" u="1"/>
        <n v="228798" u="1"/>
        <n v="213669" u="1"/>
        <n v="198540" u="1"/>
        <n v="266972" u="1"/>
        <n v="129734" u="1"/>
        <n v="135273" u="1"/>
        <n v="146276" u="1"/>
        <n v="125608" u="1"/>
        <n v="90536" u="1"/>
        <n v="204042" u="1"/>
        <n v="266973" u="1"/>
        <n v="133898" u="1"/>
        <n v="243928" u="1"/>
        <n v="228799" u="1"/>
        <n v="84347" u="1"/>
        <n v="128359" u="1"/>
        <n v="180661" u="1"/>
        <n v="93287" u="1"/>
        <n v="143526" u="1"/>
        <n v="165532" u="1"/>
        <n v="198541" u="1"/>
        <n v="266974" u="1"/>
        <n v="135274" u="1"/>
        <n v="146277" u="1"/>
        <n v="131148" u="1"/>
        <n v="138025" u="1"/>
        <n v="266975" u="1"/>
        <n v="93975" u="1"/>
        <n v="126984" u="1"/>
        <n v="133899" u="1"/>
        <n v="243929" u="1"/>
        <n v="124921" u="1"/>
        <n v="143527" u="1"/>
        <n v="165533" u="1"/>
        <n v="176536" u="1"/>
        <n v="198542" u="1"/>
        <n v="161407" u="1"/>
        <n v="227425" u="1"/>
        <n v="146278" u="1"/>
        <n v="125609" u="1"/>
        <n v="131149" u="1"/>
        <n v="90537" u="1"/>
        <n v="138026" u="1"/>
        <n v="149029" u="1"/>
        <n v="133900" u="1"/>
        <n v="243930" u="1"/>
        <n v="228801" u="1"/>
        <n v="84348" u="1"/>
        <n v="128360" u="1"/>
        <n v="224675" u="1"/>
        <n v="93288" u="1"/>
        <n v="143528" u="1"/>
        <n v="176537" u="1"/>
        <n v="198543" u="1"/>
        <n v="209546" u="1"/>
        <n v="89162" u="1"/>
        <n v="146279" u="1"/>
        <n v="131150" u="1"/>
        <n v="138027" u="1"/>
        <n v="204045" u="1"/>
        <n v="14317" u="1"/>
        <n v="93976" u="1"/>
        <n v="126985" u="1"/>
        <n v="133901" u="1"/>
        <n v="243931" u="1"/>
        <n v="124922" u="1"/>
        <n v="224676" u="1"/>
        <n v="143529" u="1"/>
        <n v="165535" u="1"/>
        <n v="176538" u="1"/>
        <n v="198544" u="1"/>
        <n v="209547" u="1"/>
        <n v="129736" u="1"/>
        <n v="161409" u="1"/>
        <n v="227427" u="1"/>
        <n v="135277" u="1"/>
        <n v="146280" u="1"/>
        <n v="131151" u="1"/>
        <n v="164160" u="1"/>
        <n v="90538" u="1"/>
        <n v="138028" u="1"/>
        <n v="66469" u="1"/>
        <n v="133902" u="1"/>
        <n v="243932" u="1"/>
        <n v="173788" u="1"/>
        <n v="84349" u="1"/>
        <n v="128361" u="1"/>
        <n v="93289" u="1"/>
        <n v="126298" u="1"/>
        <n v="143530" u="1"/>
        <n v="165536" u="1"/>
        <n v="176539" u="1"/>
        <n v="209548" u="1"/>
        <n v="161410" u="1"/>
        <n v="194419" u="1"/>
        <n v="227428" u="1"/>
        <n v="89163" u="1"/>
        <n v="135278" u="1"/>
        <n v="146281" u="1"/>
        <n v="93977" u="1"/>
        <n v="126986" u="1"/>
        <n v="133903" u="1"/>
        <n v="243933" u="1"/>
        <n v="124923" u="1"/>
        <n v="173789" u="1"/>
        <n v="224678" u="1"/>
        <n v="143531" u="1"/>
        <n v="165537" u="1"/>
        <n v="176540" u="1"/>
        <n v="198546" u="1"/>
        <n v="129737" u="1"/>
        <n v="161411" u="1"/>
        <n v="227429" u="1"/>
        <n v="135279" u="1"/>
        <n v="146282" u="1"/>
        <n v="125611" u="1"/>
        <n v="131153" u="1"/>
        <n v="90539" u="1"/>
        <n v="138030" u="1"/>
        <n v="204048" u="1"/>
        <n v="266985" u="1"/>
        <n v="133904" u="1"/>
        <n v="243934" u="1"/>
        <n v="151784" u="1"/>
        <n v="173790" u="1"/>
        <n v="84350" u="1"/>
        <n v="128362" u="1"/>
        <n v="93290" u="1"/>
        <n v="126299" u="1"/>
        <n v="143532" u="1"/>
        <n v="176541" u="1"/>
        <n v="198547" u="1"/>
        <n v="209550" u="1"/>
        <n v="161412" u="1"/>
        <n v="89164" u="1"/>
        <n v="146283" u="1"/>
        <n v="131154" u="1"/>
        <n v="138031" u="1"/>
        <n v="126987" u="1"/>
        <n v="133905" u="1"/>
        <n v="243935" u="1"/>
        <n v="124924" u="1"/>
        <n v="140782" u="1"/>
        <n v="173791" u="1"/>
        <n v="136656" u="1"/>
        <n v="143533" u="1"/>
        <n v="165539" u="1"/>
        <n v="176542" u="1"/>
        <n v="161413" u="1"/>
        <n v="146284" u="1"/>
        <n v="125612" u="1"/>
        <n v="131155" u="1"/>
        <n v="90540" u="1"/>
        <n v="138032" u="1"/>
        <n v="133906" u="1"/>
        <n v="243936" u="1"/>
        <n v="140783" u="1"/>
        <n v="84351" u="1"/>
        <n v="128363" u="1"/>
        <n v="136657" u="1"/>
        <n v="93291" u="1"/>
        <n v="165540" u="1"/>
        <n v="176543" u="1"/>
        <n v="161414" u="1"/>
        <n v="146285" u="1"/>
        <n v="168291" u="1"/>
        <n v="131156" u="1"/>
        <n v="153162" u="1"/>
        <n v="138033" u="1"/>
        <n v="126988" u="1"/>
        <n v="133907" u="1"/>
        <n v="124925" u="1"/>
        <n v="173793" u="1"/>
        <n v="136658" u="1"/>
        <n v="165541" u="1"/>
        <n v="176544" u="1"/>
        <n v="198550" u="1"/>
        <n v="209553" u="1"/>
        <n v="266992" u="1"/>
        <n v="129739" u="1"/>
        <n v="161415" u="1"/>
        <n v="146286" u="1"/>
        <n v="125613" u="1"/>
        <n v="131157" u="1"/>
        <n v="164166" u="1"/>
        <n v="90541" u="1"/>
        <n v="138034" u="1"/>
        <n v="133908" u="1"/>
        <n v="140785" u="1"/>
        <n v="173794" u="1"/>
        <n v="84352" u="1"/>
        <n v="128364" u="1"/>
        <n v="136659" u="1"/>
        <n v="93292" u="1"/>
        <n v="126301" u="1"/>
        <n v="165542" u="1"/>
        <n v="176545" u="1"/>
        <n v="198551" u="1"/>
        <n v="209554" u="1"/>
        <n v="161416" u="1"/>
        <n v="146287" u="1"/>
        <n v="168293" u="1"/>
        <n v="13200" u="1"/>
        <n v="138035" u="1"/>
        <n v="126989" u="1"/>
        <n v="133909" u="1"/>
        <n v="243939" u="1"/>
        <n v="124926" u="1"/>
        <n v="140786" u="1"/>
        <n v="173795" u="1"/>
        <n v="136660" u="1"/>
        <n v="176546" u="1"/>
        <n v="129740" u="1"/>
        <n v="161417" u="1"/>
        <n v="146288" u="1"/>
        <n v="168294" u="1"/>
        <n v="201303" u="1"/>
        <n v="125614" u="1"/>
        <n v="164168" u="1"/>
        <n v="16893" u="1"/>
        <n v="90542" u="1"/>
        <n v="133910" u="1"/>
        <n v="140787" u="1"/>
        <n v="173796" u="1"/>
        <n v="84353" u="1"/>
        <n v="128365" u="1"/>
        <n v="93293" u="1"/>
        <n v="126302" u="1"/>
        <n v="176547" u="1"/>
        <n v="198553" u="1"/>
        <n v="161418" u="1"/>
        <n v="89167" u="1"/>
        <n v="135286" u="1"/>
        <n v="146289" u="1"/>
        <n v="168295" u="1"/>
        <n v="245316" u="1"/>
        <n v="138037" u="1"/>
        <n v="133911" u="1"/>
        <n v="243941" u="1"/>
        <n v="17237" u="1"/>
        <n v="124927" u="1"/>
        <n v="140788" u="1"/>
        <n v="143539" u="1"/>
        <n v="176548" u="1"/>
        <n v="129741" u="1"/>
        <n v="161419" u="1"/>
        <n v="146290" u="1"/>
        <n v="125615" u="1"/>
        <n v="164170" u="1"/>
        <n v="90543" u="1"/>
        <n v="138038" u="1"/>
        <n v="140789" u="1"/>
        <n v="173798" u="1"/>
        <n v="84354" u="1"/>
        <n v="128366" u="1"/>
        <n v="136663" u="1"/>
        <n v="93294" u="1"/>
        <n v="126303" u="1"/>
        <n v="143540" u="1"/>
        <n v="176549" u="1"/>
        <n v="161420" u="1"/>
        <n v="227438" u="1"/>
        <n v="89168" u="1"/>
        <n v="146291" u="1"/>
        <n v="245318" u="1"/>
        <n v="138039" u="1"/>
        <n v="204057" u="1"/>
        <n v="126991" u="1"/>
        <n v="133913" u="1"/>
        <n v="243943" u="1"/>
        <n v="124928" u="1"/>
        <n v="173799" u="1"/>
        <n v="143541" u="1"/>
        <n v="165547" u="1"/>
        <n v="209559" u="1"/>
        <n v="129742" u="1"/>
        <n v="161421" u="1"/>
        <n v="135289" u="1"/>
        <n v="146292" u="1"/>
        <n v="125616" u="1"/>
        <n v="131163" u="1"/>
        <n v="164172" u="1"/>
        <n v="90544" u="1"/>
        <n v="49501" u="1"/>
        <n v="133914" u="1"/>
        <n v="243944" u="1"/>
        <n v="140791" u="1"/>
        <n v="173800" u="1"/>
        <n v="136665" u="1"/>
        <n v="93295" u="1"/>
        <n v="126304" u="1"/>
        <n v="143542" u="1"/>
        <n v="165548" u="1"/>
        <n v="209560" u="1"/>
        <n v="161422" u="1"/>
        <n v="227440" u="1"/>
        <n v="135290" u="1"/>
        <n v="146293" u="1"/>
        <n v="245320" u="1"/>
        <n v="138041" u="1"/>
        <n v="126992" u="1"/>
        <n v="133915" u="1"/>
        <n v="243945" u="1"/>
        <n v="124929" u="1"/>
        <n v="140792" u="1"/>
        <n v="136666" u="1"/>
        <n v="65788" u="1"/>
        <n v="209561" u="1"/>
        <n v="161423" u="1"/>
        <n v="216438" u="1"/>
        <n v="227441" u="1"/>
        <n v="135291" u="1"/>
        <n v="146294" u="1"/>
        <n v="125617" u="1"/>
        <n v="90545" u="1"/>
        <n v="133916" u="1"/>
        <n v="140793" u="1"/>
        <n v="173802" u="1"/>
        <n v="128368" u="1"/>
        <n v="136667" u="1"/>
        <n v="93296" u="1"/>
        <n v="143544" u="1"/>
        <n v="209562" u="1"/>
        <n v="161424" u="1"/>
        <n v="227442" u="1"/>
        <n v="89170" u="1"/>
        <n v="135292" u="1"/>
        <n v="146295" u="1"/>
        <n v="164175" u="1"/>
        <n v="138043" u="1"/>
        <n v="133917" u="1"/>
        <n v="243947" u="1"/>
        <n v="124930" u="1"/>
        <n v="140794" u="1"/>
        <n v="173803" u="1"/>
        <n v="228818" u="1"/>
        <n v="136668" u="1"/>
        <n v="65789" u="1"/>
        <n v="198560" u="1"/>
        <n v="161425" u="1"/>
        <n v="227443" u="1"/>
        <n v="135293" u="1"/>
        <n v="146296" u="1"/>
        <n v="245323" u="1"/>
        <n v="125618" u="1"/>
        <n v="27897" u="1"/>
        <n v="90546" u="1"/>
        <n v="133918" u="1"/>
        <n v="140795" u="1"/>
        <n v="173804" u="1"/>
        <n v="228819" u="1"/>
        <n v="128369" u="1"/>
        <n v="136669" u="1"/>
        <n v="93297" u="1"/>
        <n v="143546" u="1"/>
        <n v="209564" u="1"/>
        <n v="161426" u="1"/>
        <n v="146297" u="1"/>
        <n v="245324" u="1"/>
        <n v="164177" u="1"/>
        <n v="126994" u="1"/>
        <n v="133919" u="1"/>
        <n v="243949" u="1"/>
        <n v="17238" u="1"/>
        <n v="124931" u="1"/>
        <n v="228820" u="1"/>
        <n v="136670" u="1"/>
        <n v="65790" u="1"/>
        <n v="209565" u="1"/>
        <n v="161427" u="1"/>
        <n v="146298" u="1"/>
        <n v="201313" u="1"/>
        <n v="245325" u="1"/>
        <n v="125619" u="1"/>
        <n v="4851" u="1"/>
        <n v="90547" u="1"/>
        <n v="133920" u="1"/>
        <n v="280771" u="1"/>
        <n v="128370" u="1"/>
        <n v="136671" u="1"/>
        <n v="224695" u="1"/>
        <n v="246701" u="1"/>
        <n v="93298" u="1"/>
        <n v="143548" u="1"/>
        <n v="154551" u="1"/>
        <n v="161428" u="1"/>
        <n v="146299" u="1"/>
        <n v="168305" u="1"/>
        <n v="201314" u="1"/>
        <n v="245326" u="1"/>
        <n v="131170" u="1"/>
        <n v="138047" u="1"/>
        <n v="126995" u="1"/>
        <n v="133921" u="1"/>
        <n v="243951" u="1"/>
        <n v="124932" u="1"/>
        <n v="140798" u="1"/>
        <n v="136672" u="1"/>
        <n v="224696" u="1"/>
        <n v="65791" u="1"/>
        <n v="143549" u="1"/>
        <n v="161429" u="1"/>
        <n v="58099" u="1"/>
        <n v="168306" u="1"/>
        <n v="201315" u="1"/>
        <n v="131171" u="1"/>
        <n v="164180" u="1"/>
        <n v="90548" u="1"/>
        <n v="133922" u="1"/>
        <n v="243952" u="1"/>
        <n v="140799" u="1"/>
        <n v="128371" u="1"/>
        <n v="136673" u="1"/>
        <n v="143550" u="1"/>
        <n v="139424" u="1"/>
        <n v="161430" u="1"/>
        <n v="201316" u="1"/>
        <n v="131172" u="1"/>
        <n v="138049" u="1"/>
        <n v="126996" u="1"/>
        <n v="133923" u="1"/>
        <n v="140800" u="1"/>
        <n v="173809" u="1"/>
        <n v="136674" u="1"/>
        <n v="65792" u="1"/>
        <n v="143551" u="1"/>
        <n v="154554" u="1"/>
        <n v="139425" u="1"/>
        <n v="161431" u="1"/>
        <n v="127684" u="1"/>
        <n v="146302" u="1"/>
        <n v="201317" u="1"/>
        <n v="131173" u="1"/>
        <n v="90549" u="1"/>
        <n v="138050" u="1"/>
        <n v="215071" u="1"/>
        <n v="133924" u="1"/>
        <n v="140801" u="1"/>
        <n v="128372" u="1"/>
        <n v="136675" u="1"/>
        <n v="143552" u="1"/>
        <n v="198567" u="1"/>
        <n v="209570" u="1"/>
        <n v="139426" u="1"/>
        <n v="161432" u="1"/>
        <n v="201318" u="1"/>
        <n v="131174" u="1"/>
        <n v="164183" u="1"/>
        <n v="138051" u="1"/>
        <n v="204069" u="1"/>
        <n v="8817" u="1"/>
        <n v="126997" u="1"/>
        <n v="133925" u="1"/>
        <n v="199943" u="1"/>
        <n v="124934" u="1"/>
        <n v="228826" u="1"/>
        <n v="136676" u="1"/>
        <n v="65793" u="1"/>
        <n v="143553" u="1"/>
        <n v="176562" u="1"/>
        <n v="139427" u="1"/>
        <n v="161433" u="1"/>
        <n v="127685" u="1"/>
        <n v="201319" u="1"/>
        <n v="131175" u="1"/>
        <n v="164184" u="1"/>
        <n v="27898" u="1"/>
        <n v="90550" u="1"/>
        <n v="243956" u="1"/>
        <n v="140803" u="1"/>
        <n v="128373" u="1"/>
        <n v="136677" u="1"/>
        <n v="224701" u="1"/>
        <n v="176563" u="1"/>
        <n v="209572" u="1"/>
        <n v="139428" u="1"/>
        <n v="161434" u="1"/>
        <n v="201320" u="1"/>
        <n v="138053" u="1"/>
        <n v="126998" u="1"/>
        <n v="133927" u="1"/>
        <n v="124935" u="1"/>
        <n v="140804" u="1"/>
        <n v="206822" u="1"/>
        <n v="136678" u="1"/>
        <n v="65794" u="1"/>
        <n v="176564" u="1"/>
        <n v="139429" u="1"/>
        <n v="161435" u="1"/>
        <n v="127686" u="1"/>
        <n v="168312" u="1"/>
        <n v="201321" u="1"/>
        <n v="90551" u="1"/>
        <n v="138054" u="1"/>
        <n v="133928" u="1"/>
        <n v="243958" u="1"/>
        <n v="140805" u="1"/>
        <n v="173814" u="1"/>
        <n v="206823" u="1"/>
        <n v="136679" u="1"/>
        <n v="154559" u="1"/>
        <n v="176565" u="1"/>
        <n v="139430" u="1"/>
        <n v="161436" u="1"/>
        <n v="168313" u="1"/>
        <n v="201322" u="1"/>
        <n v="131178" u="1"/>
        <n v="126999" u="1"/>
        <n v="133929" u="1"/>
        <n v="124936" u="1"/>
        <n v="140806" u="1"/>
        <n v="173815" u="1"/>
        <n v="136680" u="1"/>
        <n v="65795" u="1"/>
        <n v="143557" u="1"/>
        <n v="176566" u="1"/>
        <n v="139431" u="1"/>
        <n v="161437" u="1"/>
        <n v="127687" u="1"/>
        <n v="168314" u="1"/>
        <n v="201323" u="1"/>
        <n v="90552" u="1"/>
        <n v="138056" u="1"/>
        <n v="140807" u="1"/>
        <n v="206825" u="1"/>
        <n v="128375" u="1"/>
        <n v="213702" u="1"/>
        <n v="246711" u="1"/>
        <n v="139432" u="1"/>
        <n v="161438" u="1"/>
        <n v="194447" u="1"/>
        <n v="216453" u="1"/>
        <n v="146309" u="1"/>
        <n v="168315" u="1"/>
        <n v="201324" u="1"/>
        <n v="131180" u="1"/>
        <n v="127000" u="1"/>
        <n v="133931" u="1"/>
        <n v="124937" u="1"/>
        <n v="140808" u="1"/>
        <n v="206826" u="1"/>
        <n v="213703" u="1"/>
        <n v="65796" u="1"/>
        <n v="154562" u="1"/>
        <n v="176568" u="1"/>
        <n v="139433" u="1"/>
        <n v="161439" u="1"/>
        <n v="194448" u="1"/>
        <n v="127688" u="1"/>
        <n v="168316" u="1"/>
        <n v="201325" u="1"/>
        <n v="131181" u="1"/>
        <n v="164190" u="1"/>
        <n v="90553" u="1"/>
        <n v="133932" u="1"/>
        <n v="140809" u="1"/>
        <n v="173818" u="1"/>
        <n v="154563" u="1"/>
        <n v="176569" u="1"/>
        <n v="139434" u="1"/>
        <n v="161440" u="1"/>
        <n v="194449" u="1"/>
        <n v="146311" u="1"/>
        <n v="201326" u="1"/>
        <n v="131182" u="1"/>
        <n v="127001" u="1"/>
        <n v="133933" u="1"/>
        <n v="124938" u="1"/>
        <n v="140810" u="1"/>
        <n v="173819" u="1"/>
        <n v="65797" u="1"/>
        <n v="176570" u="1"/>
        <n v="209579" u="1"/>
        <n v="129752" u="1"/>
        <n v="139435" u="1"/>
        <n v="161441" u="1"/>
        <n v="127689" u="1"/>
        <n v="146312" u="1"/>
        <n v="168318" u="1"/>
        <n v="245339" u="1"/>
        <n v="131183" u="1"/>
        <n v="90554" u="1"/>
        <n v="133934" u="1"/>
        <n v="140811" u="1"/>
        <n v="173820" u="1"/>
        <n v="143562" u="1"/>
        <n v="176571" u="1"/>
        <n v="139436" u="1"/>
        <n v="161442" u="1"/>
        <n v="146313" u="1"/>
        <n v="168319" u="1"/>
        <n v="201328" u="1"/>
        <n v="245340" u="1"/>
        <n v="131184" u="1"/>
        <n v="127002" u="1"/>
        <n v="133935" u="1"/>
        <n v="17240" u="1"/>
        <n v="124939" u="1"/>
        <n v="140812" u="1"/>
        <n v="173821" u="1"/>
        <n v="246716" u="1"/>
        <n v="264297" u="1"/>
        <n v="65798" u="1"/>
        <n v="154566" u="1"/>
        <n v="176572" u="1"/>
        <n v="129753" u="1"/>
        <n v="139437" u="1"/>
        <n v="161443" u="1"/>
        <n v="127690" u="1"/>
        <n v="168320" u="1"/>
        <n v="201329" u="1"/>
        <n v="245341" u="1"/>
        <n v="131185" u="1"/>
        <n v="164194" u="1"/>
        <n v="90555" u="1"/>
        <n v="138062" u="1"/>
        <n v="248092" u="1"/>
        <n v="133936" u="1"/>
        <n v="140813" u="1"/>
        <n v="151816" u="1"/>
        <n v="173822" u="1"/>
        <n v="246717" u="1"/>
        <n v="143564" u="1"/>
        <n v="154567" u="1"/>
        <n v="176573" u="1"/>
        <n v="139438" u="1"/>
        <n v="161444" u="1"/>
        <n v="146315" u="1"/>
        <n v="168321" u="1"/>
        <n v="201330" u="1"/>
        <n v="245342" u="1"/>
        <n v="131186" u="1"/>
        <n v="138063" u="1"/>
        <n v="248093" u="1"/>
        <n v="127003" u="1"/>
        <n v="133937" u="1"/>
        <n v="124940" u="1"/>
        <n v="140814" u="1"/>
        <n v="246718" u="1"/>
        <n v="143565" u="1"/>
        <n v="176574" u="1"/>
        <n v="129754" u="1"/>
        <n v="139439" u="1"/>
        <n v="161445" u="1"/>
        <n v="216460" u="1"/>
        <n v="127691" u="1"/>
        <n v="201331" u="1"/>
        <n v="131187" u="1"/>
        <n v="90556" u="1"/>
        <n v="138064" u="1"/>
        <n v="215085" u="1"/>
        <n v="248094" u="1"/>
        <n v="133938" u="1"/>
        <n v="155944" u="1"/>
        <n v="140815" u="1"/>
        <n v="128379" u="1"/>
        <n v="136689" u="1"/>
        <n v="126316" u="1"/>
        <n v="176575" u="1"/>
        <n v="161446" u="1"/>
        <n v="216461" u="1"/>
        <n v="146317" u="1"/>
        <n v="245344" u="1"/>
        <n v="164197" u="1"/>
        <n v="215086" u="1"/>
        <n v="248095" u="1"/>
        <n v="127004" u="1"/>
        <n v="133939" u="1"/>
        <n v="124941" u="1"/>
        <n v="151819" u="1"/>
        <n v="246720" u="1"/>
        <n v="143567" u="1"/>
        <n v="154570" u="1"/>
        <n v="176576" u="1"/>
        <n v="129755" u="1"/>
        <n v="161447" u="1"/>
        <n v="216462" u="1"/>
        <n v="245345" u="1"/>
        <n v="164198" u="1"/>
        <n v="90557" u="1"/>
        <n v="215087" u="1"/>
        <n v="248096" u="1"/>
        <n v="133940" u="1"/>
        <n v="140817" u="1"/>
        <n v="151820" u="1"/>
        <n v="217838" u="1"/>
        <n v="136691" u="1"/>
        <n v="143568" u="1"/>
        <n v="154571" u="1"/>
        <n v="176577" u="1"/>
        <n v="139442" u="1"/>
        <n v="161448" u="1"/>
        <n v="78179" u="1"/>
        <n v="201334" u="1"/>
        <n v="245346" u="1"/>
        <n v="248097" u="1"/>
        <n v="278062" u="1"/>
        <n v="127005" u="1"/>
        <n v="124942" u="1"/>
        <n v="140818" u="1"/>
        <n v="151821" u="1"/>
        <n v="136692" u="1"/>
        <n v="143569" u="1"/>
        <n v="154572" u="1"/>
        <n v="176578" u="1"/>
        <n v="129756" u="1"/>
        <n v="139443" u="1"/>
        <n v="161449" u="1"/>
        <n v="194458" u="1"/>
        <n v="216464" u="1"/>
        <n v="94684" u="1"/>
        <n v="146320" u="1"/>
        <n v="201335" u="1"/>
        <n v="245347" u="1"/>
        <n v="90558" u="1"/>
        <n v="149071" u="1"/>
        <n v="248098" u="1"/>
        <n v="278064" u="1"/>
        <n v="173828" u="1"/>
        <n v="128381" u="1"/>
        <n v="224717" u="1"/>
        <n v="143570" u="1"/>
        <n v="176579" u="1"/>
        <n v="209588" u="1"/>
        <n v="139444" u="1"/>
        <n v="216465" u="1"/>
        <n v="78180" u="1"/>
        <n v="146321" u="1"/>
        <n v="131192" u="1"/>
        <n v="17241" u="1"/>
        <n v="124943" u="1"/>
        <n v="140820" u="1"/>
        <n v="217841" u="1"/>
        <n v="136694" u="1"/>
        <n v="158700" u="1"/>
        <n v="143571" u="1"/>
        <n v="154574" u="1"/>
        <n v="176580" u="1"/>
        <n v="209589" u="1"/>
        <n v="278067" u="1"/>
        <n v="129757" u="1"/>
        <n v="139445" u="1"/>
        <n v="161451" u="1"/>
        <n v="194460" u="1"/>
        <n v="127694" u="1"/>
        <n v="146322" u="1"/>
        <n v="131193" u="1"/>
        <n v="90559" u="1"/>
        <n v="204088" u="1"/>
        <n v="128382" u="1"/>
        <n v="136695" u="1"/>
        <n v="93310" u="1"/>
        <n v="143572" u="1"/>
        <n v="154575" u="1"/>
        <n v="176581" u="1"/>
        <n v="139446" u="1"/>
        <n v="161452" u="1"/>
        <n v="194461" u="1"/>
        <n v="78181" u="1"/>
        <n v="146323" u="1"/>
        <n v="131194" u="1"/>
        <n v="204089" u="1"/>
        <n v="248101" u="1"/>
        <n v="124944" u="1"/>
        <n v="140822" u="1"/>
        <n v="136696" u="1"/>
        <n v="143573" u="1"/>
        <n v="176582" u="1"/>
        <n v="278071" u="1"/>
        <n v="129758" u="1"/>
        <n v="139447" u="1"/>
        <n v="161453" u="1"/>
        <n v="194462" u="1"/>
        <n v="127695" u="1"/>
        <n v="146324" u="1"/>
        <n v="201339" u="1"/>
        <n v="245351" u="1"/>
        <n v="142198" u="1"/>
        <n v="90560" u="1"/>
        <n v="204090" u="1"/>
        <n v="248102" u="1"/>
        <n v="128383" u="1"/>
        <n v="136697" u="1"/>
        <n v="143574" u="1"/>
        <n v="176583" u="1"/>
        <n v="209592" u="1"/>
        <n v="194463" u="1"/>
        <n v="78182" u="1"/>
        <n v="146325" u="1"/>
        <n v="131196" u="1"/>
        <n v="142199" u="1"/>
        <n v="230223" u="1"/>
        <n v="124945" u="1"/>
        <n v="136698" u="1"/>
        <n v="143575" u="1"/>
        <n v="154578" u="1"/>
        <n v="176584" u="1"/>
        <n v="209593" u="1"/>
        <n v="139449" u="1"/>
        <n v="161455" u="1"/>
        <n v="194464" u="1"/>
        <n v="127696" u="1"/>
        <n v="146326" u="1"/>
        <n v="131197" u="1"/>
        <n v="90561" u="1"/>
        <n v="248104" u="1"/>
        <n v="278076" u="1"/>
        <n v="173834" u="1"/>
        <n v="128384" u="1"/>
        <n v="136699" u="1"/>
        <n v="246729" u="1"/>
        <n v="126321" u="1"/>
        <n v="176585" u="1"/>
        <n v="209594" u="1"/>
        <n v="231600" u="1"/>
        <n v="278077" u="1"/>
        <n v="139450" u="1"/>
        <n v="78183" u="1"/>
        <n v="146327" u="1"/>
        <n v="245354" u="1"/>
        <n v="131198" u="1"/>
        <n v="142201" u="1"/>
        <n v="230225" u="1"/>
        <n v="264324" u="1"/>
        <n v="129072" u="1"/>
        <n v="149078" u="1"/>
        <n v="248105" u="1"/>
        <n v="133949" u="1"/>
        <n v="124946" u="1"/>
        <n v="173835" u="1"/>
        <n v="136700" u="1"/>
        <n v="246730" u="1"/>
        <n v="143577" u="1"/>
        <n v="154580" u="1"/>
        <n v="176586" u="1"/>
        <n v="209595" u="1"/>
        <n v="278079" u="1"/>
        <n v="139451" u="1"/>
        <n v="161457" u="1"/>
        <n v="216472" u="1"/>
        <n v="127697" u="1"/>
        <n v="146328" u="1"/>
        <n v="234352" u="1"/>
        <n v="245355" u="1"/>
        <n v="131199" u="1"/>
        <n v="142202" u="1"/>
        <n v="264326" u="1"/>
        <n v="90562" u="1"/>
        <n v="278080" u="1"/>
        <n v="133950" u="1"/>
        <n v="140827" u="1"/>
        <n v="128385" u="1"/>
        <n v="136701" u="1"/>
        <n v="246731" u="1"/>
        <n v="126322" u="1"/>
        <n v="143578" u="1"/>
        <n v="176587" u="1"/>
        <n v="231602" u="1"/>
        <n v="139452" u="1"/>
        <n v="194467" u="1"/>
        <n v="216473" u="1"/>
        <n v="227476" u="1"/>
        <n v="146329" u="1"/>
        <n v="131200" u="1"/>
        <n v="142203" u="1"/>
        <n v="129073" u="1"/>
        <n v="199969" u="1"/>
        <n v="124947" u="1"/>
        <n v="140828" u="1"/>
        <n v="173837" u="1"/>
        <n v="217849" u="1"/>
        <n v="136702" u="1"/>
        <n v="246732" u="1"/>
        <n v="143579" u="1"/>
        <n v="231603" u="1"/>
        <n v="139453" u="1"/>
        <n v="161459" u="1"/>
        <n v="194468" u="1"/>
        <n v="216474" u="1"/>
        <n v="127698" u="1"/>
        <n v="179339" u="1"/>
        <n v="142204" u="1"/>
        <n v="230228" u="1"/>
        <n v="90563" u="1"/>
        <n v="140829" u="1"/>
        <n v="128386" u="1"/>
        <n v="136703" u="1"/>
        <n v="264331" u="1"/>
        <n v="126323" u="1"/>
        <n v="139454" u="1"/>
        <n v="161460" u="1"/>
        <n v="216475" u="1"/>
        <n v="227478" u="1"/>
        <n v="78185" u="1"/>
        <n v="146331" u="1"/>
        <n v="179340" u="1"/>
        <n v="142205" u="1"/>
        <n v="215100" u="1"/>
        <n v="248109" u="1"/>
        <n v="278086" u="1"/>
        <n v="199971" u="1"/>
        <n v="124948" u="1"/>
        <n v="217851" u="1"/>
        <n v="154584" u="1"/>
        <n v="209599" u="1"/>
        <n v="161461" u="1"/>
        <n v="194470" u="1"/>
        <n v="216476" u="1"/>
        <n v="127699" u="1"/>
        <n v="131203" u="1"/>
        <n v="264334" u="1"/>
        <n v="90564" u="1"/>
        <n v="215101" u="1"/>
        <n v="278088" u="1"/>
        <n v="133954" u="1"/>
        <n v="140831" u="1"/>
        <n v="217852" u="1"/>
        <n v="128387" u="1"/>
        <n v="136705" u="1"/>
        <n v="126324" u="1"/>
        <n v="143582" u="1"/>
        <n v="139456" u="1"/>
        <n v="161462" u="1"/>
        <n v="194471" u="1"/>
        <n v="216477" u="1"/>
        <n v="146333" u="1"/>
        <n v="157336" u="1"/>
        <n v="131204" u="1"/>
        <n v="129075" u="1"/>
        <n v="204099" u="1"/>
        <n v="248111" u="1"/>
        <n v="133955" u="1"/>
        <n v="199973" u="1"/>
        <n v="124949" u="1"/>
        <n v="140832" u="1"/>
        <n v="217853" u="1"/>
        <n v="136706" u="1"/>
        <n v="143583" u="1"/>
        <n v="209601" u="1"/>
        <n v="139457" u="1"/>
        <n v="161463" u="1"/>
        <n v="194472" u="1"/>
        <n v="146334" u="1"/>
        <n v="157337" u="1"/>
        <n v="179343" u="1"/>
        <n v="131205" u="1"/>
        <n v="15266" u="1"/>
        <n v="90565" u="1"/>
        <n v="204100" u="1"/>
        <n v="248112" u="1"/>
        <n v="133956" u="1"/>
        <n v="140833" u="1"/>
        <n v="128388" u="1"/>
        <n v="136707" u="1"/>
        <n v="126325" u="1"/>
        <n v="209602" u="1"/>
        <n v="139458" u="1"/>
        <n v="194473" u="1"/>
        <n v="146335" u="1"/>
        <n v="157338" u="1"/>
        <n v="131206" u="1"/>
        <n v="129076" u="1"/>
        <n v="248113" u="1"/>
        <n v="8819" u="1"/>
        <n v="133957" u="1"/>
        <n v="269842" u="1"/>
        <n v="124950" u="1"/>
        <n v="140834" u="1"/>
        <n v="11054" u="1"/>
        <n v="136708" u="1"/>
        <n v="143585" u="1"/>
        <n v="154588" u="1"/>
        <n v="139459" u="1"/>
        <n v="161465" u="1"/>
        <n v="194474" u="1"/>
        <n v="269843" u="1"/>
        <n v="146336" u="1"/>
        <n v="245363" u="1"/>
        <n v="131207" u="1"/>
        <n v="90566" u="1"/>
        <n v="248114" u="1"/>
        <n v="133958" u="1"/>
        <n v="269844" u="1"/>
        <n v="140835" u="1"/>
        <n v="128389" u="1"/>
        <n v="136709" u="1"/>
        <n v="126326" u="1"/>
        <n v="143586" u="1"/>
        <n v="209604" u="1"/>
        <n v="139460" u="1"/>
        <n v="161466" u="1"/>
        <n v="194475" u="1"/>
        <n v="157340" u="1"/>
        <n v="131208" u="1"/>
        <n v="142211" u="1"/>
        <n v="264344" u="1"/>
        <n v="129077" u="1"/>
        <n v="248115" u="1"/>
        <n v="133959" u="1"/>
        <n v="17243" u="1"/>
        <n v="124951" u="1"/>
        <n v="140836" u="1"/>
        <n v="136710" u="1"/>
        <n v="143587" u="1"/>
        <n v="242614" u="1"/>
        <n v="139461" u="1"/>
        <n v="194476" u="1"/>
        <n v="146338" u="1"/>
        <n v="157341" u="1"/>
        <n v="131209" u="1"/>
        <n v="142212" u="1"/>
        <n v="90567" u="1"/>
        <n v="133960" u="1"/>
        <n v="140837" u="1"/>
        <n v="136711" u="1"/>
        <n v="126327" u="1"/>
        <n v="143588" u="1"/>
        <n v="139462" u="1"/>
        <n v="161468" u="1"/>
        <n v="194477" u="1"/>
        <n v="78189" u="1"/>
        <n v="146339" u="1"/>
        <n v="157342" u="1"/>
        <n v="245366" u="1"/>
        <n v="131210" u="1"/>
        <n v="142213" u="1"/>
        <n v="129078" u="1"/>
        <n v="133961" u="1"/>
        <n v="269850" u="1"/>
        <n v="124952" u="1"/>
        <n v="140838" u="1"/>
        <n v="136712" u="1"/>
        <n v="143589" u="1"/>
        <n v="176598" u="1"/>
        <n v="209607" u="1"/>
        <n v="139463" u="1"/>
        <n v="194478" u="1"/>
        <n v="94694" u="1"/>
        <n v="127703" u="1"/>
        <n v="146340" u="1"/>
        <n v="142214" u="1"/>
        <n v="230238" u="1"/>
        <n v="90568" u="1"/>
        <n v="248118" u="1"/>
        <n v="133962" u="1"/>
        <n v="269852" u="1"/>
        <n v="140839" u="1"/>
        <n v="128391" u="1"/>
        <n v="136713" u="1"/>
        <n v="126328" u="1"/>
        <n v="143590" u="1"/>
        <n v="154593" u="1"/>
        <n v="139464" u="1"/>
        <n v="194479" u="1"/>
        <n v="269853" u="1"/>
        <n v="146341" u="1"/>
        <n v="157344" u="1"/>
        <n v="129079" u="1"/>
        <n v="149092" u="1"/>
        <n v="133963" u="1"/>
        <n v="280857" u="1"/>
        <n v="124953" u="1"/>
        <n v="140840" u="1"/>
        <n v="217861" u="1"/>
        <n v="136714" u="1"/>
        <n v="224738" u="1"/>
        <n v="235741" u="1"/>
        <n v="154594" u="1"/>
        <n v="176600" u="1"/>
        <n v="139465" u="1"/>
        <n v="194480" u="1"/>
        <n v="269855" u="1"/>
        <n v="94695" u="1"/>
        <n v="127704" u="1"/>
        <n v="146342" u="1"/>
        <n v="245369" u="1"/>
        <n v="131213" u="1"/>
        <n v="39542" u="1"/>
        <n v="90569" u="1"/>
        <n v="133964" u="1"/>
        <n v="269856" u="1"/>
        <n v="128392" u="1"/>
        <n v="136715" u="1"/>
        <n v="143592" u="1"/>
        <n v="154595" u="1"/>
        <n v="139466" u="1"/>
        <n v="146343" u="1"/>
        <n v="131214" u="1"/>
        <n v="175226" u="1"/>
        <n v="129080" u="1"/>
        <n v="133965" u="1"/>
        <n v="124954" u="1"/>
        <n v="109825" u="1"/>
        <n v="143593" u="1"/>
        <n v="139467" u="1"/>
        <n v="94696" u="1"/>
        <n v="127705" u="1"/>
        <n v="146344" u="1"/>
        <n v="131215" u="1"/>
        <n v="164224" u="1"/>
        <n v="175227" u="1"/>
        <n v="90570" u="1"/>
        <n v="215113" u="1"/>
        <n v="133966" u="1"/>
        <n v="136717" u="1"/>
        <n v="224741" u="1"/>
        <n v="126330" u="1"/>
        <n v="143594" u="1"/>
        <n v="154597" u="1"/>
        <n v="139468" u="1"/>
        <n v="161474" u="1"/>
        <n v="146345" u="1"/>
        <n v="131216" u="1"/>
        <n v="164225" u="1"/>
        <n v="175228" u="1"/>
        <n v="129081" u="1"/>
        <n v="237120" u="1"/>
        <n v="133967" u="1"/>
        <n v="144970" u="1"/>
        <n v="17244" u="1"/>
        <n v="217865" u="1"/>
        <n v="136718" u="1"/>
        <n v="143595" u="1"/>
        <n v="129769" u="1"/>
        <n v="139469" u="1"/>
        <n v="227493" u="1"/>
        <n v="94697" u="1"/>
        <n v="127706" u="1"/>
        <n v="190358" u="1"/>
        <n v="131217" u="1"/>
        <n v="264362" u="1"/>
        <n v="90571" u="1"/>
        <n v="133968" u="1"/>
        <n v="144971" u="1"/>
        <n v="3937" u="1"/>
        <n v="136719" u="1"/>
        <n v="126331" u="1"/>
        <n v="143596" u="1"/>
        <n v="139470" u="1"/>
        <n v="146347" u="1"/>
        <n v="131218" u="1"/>
        <n v="142221" u="1"/>
        <n v="164227" u="1"/>
        <n v="175230" u="1"/>
        <n v="129082" u="1"/>
        <n v="133969" u="1"/>
        <n v="144972" u="1"/>
        <n v="124956" u="1"/>
        <n v="224744" u="1"/>
        <n v="235747" u="1"/>
        <n v="143597" u="1"/>
        <n v="129770" u="1"/>
        <n v="139471" u="1"/>
        <n v="227495" u="1"/>
        <n v="269867" u="1"/>
        <n v="94698" u="1"/>
        <n v="127707" u="1"/>
        <n v="146348" u="1"/>
        <n v="131219" u="1"/>
        <n v="142222" u="1"/>
        <n v="90572" u="1"/>
        <n v="149099" u="1"/>
        <n v="133970" u="1"/>
        <n v="144973" u="1"/>
        <n v="136721" u="1"/>
        <n v="224745" u="1"/>
        <n v="126332" u="1"/>
        <n v="143598" u="1"/>
        <n v="176607" u="1"/>
        <n v="146349" u="1"/>
        <n v="131220" u="1"/>
        <n v="142223" u="1"/>
        <n v="129083" u="1"/>
        <n v="133971" u="1"/>
        <n v="144974" u="1"/>
        <n v="89885" u="1"/>
        <n v="202740" u="1"/>
        <n v="143599" u="1"/>
        <n v="176608" u="1"/>
        <n v="194488" u="1"/>
        <n v="227497" u="1"/>
        <n v="94699" u="1"/>
        <n v="127708" u="1"/>
        <n v="146350" u="1"/>
        <n v="131221" u="1"/>
        <n v="142224" u="1"/>
        <n v="90573" u="1"/>
        <n v="133972" u="1"/>
        <n v="144975" u="1"/>
        <n v="130459" u="1"/>
        <n v="202741" u="1"/>
        <n v="126333" u="1"/>
        <n v="143600" u="1"/>
        <n v="205492" u="1"/>
        <n v="227498" u="1"/>
        <n v="131222" u="1"/>
        <n v="142225" u="1"/>
        <n v="129084" u="1"/>
        <n v="133973" u="1"/>
        <n v="144976" u="1"/>
        <n v="124958" u="1"/>
        <n v="11055" u="1"/>
        <n v="89886" u="1"/>
        <n v="202742" u="1"/>
        <n v="143601" u="1"/>
        <n v="129772" u="1"/>
        <n v="139475" u="1"/>
        <n v="161481" u="1"/>
        <n v="205493" u="1"/>
        <n v="227499" u="1"/>
        <n v="94700" u="1"/>
        <n v="127709" u="1"/>
        <n v="157355" u="1"/>
        <n v="245379" u="1"/>
        <n v="131223" u="1"/>
        <n v="142226" u="1"/>
        <n v="133974" u="1"/>
        <n v="144977" u="1"/>
        <n v="130460" u="1"/>
        <n v="217872" u="1"/>
        <n v="126334" u="1"/>
        <n v="143602" u="1"/>
        <n v="176611" u="1"/>
        <n v="205494" u="1"/>
        <n v="227500" u="1"/>
        <n v="131224" u="1"/>
        <n v="142227" u="1"/>
        <n v="129085" u="1"/>
        <n v="144978" u="1"/>
        <n v="124959" u="1"/>
        <n v="217873" u="1"/>
        <n v="89887" u="1"/>
        <n v="202744" u="1"/>
        <n v="224750" u="1"/>
        <n v="209621" u="1"/>
        <n v="129773" u="1"/>
        <n v="139477" u="1"/>
        <n v="227501" u="1"/>
        <n v="94701" u="1"/>
        <n v="127710" u="1"/>
        <n v="131225" u="1"/>
        <n v="133976" u="1"/>
        <n v="144979" u="1"/>
        <n v="130461" u="1"/>
        <n v="217874" u="1"/>
        <n v="264379" u="1"/>
        <n v="126335" u="1"/>
        <n v="143604" u="1"/>
        <n v="209622" u="1"/>
        <n v="269881" u="1"/>
        <n v="245382" u="1"/>
        <n v="142229" u="1"/>
        <n v="164235" u="1"/>
        <n v="133977" u="1"/>
        <n v="144980" u="1"/>
        <n v="269882" u="1"/>
        <n v="124960" u="1"/>
        <n v="217875" u="1"/>
        <n v="89888" u="1"/>
        <n v="202746" u="1"/>
        <n v="143605" u="1"/>
        <n v="129774" u="1"/>
        <n v="161485" u="1"/>
        <n v="269883" u="1"/>
        <n v="94702" u="1"/>
        <n v="127711" u="1"/>
        <n v="245383" u="1"/>
        <n v="131227" u="1"/>
        <n v="142230" u="1"/>
        <n v="164236" u="1"/>
        <n v="123585" u="1"/>
        <n v="133978" u="1"/>
        <n v="144981" u="1"/>
        <n v="269884" u="1"/>
        <n v="130462" u="1"/>
        <n v="224753" u="1"/>
        <n v="126336" u="1"/>
        <n v="143606" u="1"/>
        <n v="161486" u="1"/>
        <n v="269885" u="1"/>
        <n v="146357" u="1"/>
        <n v="245384" u="1"/>
        <n v="131228" u="1"/>
        <n v="142231" u="1"/>
        <n v="164237" u="1"/>
        <n v="129087" u="1"/>
        <n v="133979" u="1"/>
        <n v="144982" u="1"/>
        <n v="269886" u="1"/>
        <n v="124961" u="1"/>
        <n v="89889" u="1"/>
        <n v="136730" u="1"/>
        <n v="143607" u="1"/>
        <n v="176616" u="1"/>
        <n v="209625" u="1"/>
        <n v="129775" u="1"/>
        <n v="269887" u="1"/>
        <n v="94703" u="1"/>
        <n v="127712" u="1"/>
        <n v="146358" u="1"/>
        <n v="131229" u="1"/>
        <n v="142232" u="1"/>
        <n v="123586" u="1"/>
        <n v="133980" u="1"/>
        <n v="130463" u="1"/>
        <n v="20856" u="1"/>
        <n v="136731" u="1"/>
        <n v="126337" u="1"/>
        <n v="143608" u="1"/>
        <n v="139482" u="1"/>
        <n v="161488" u="1"/>
        <n v="227506" u="1"/>
        <n v="260515" u="1"/>
        <n v="146359" u="1"/>
        <n v="131230" u="1"/>
        <n v="142233" u="1"/>
        <n v="164239" u="1"/>
        <n v="175242" u="1"/>
        <n v="129088" u="1"/>
        <n v="133981" u="1"/>
        <n v="144984" u="1"/>
        <n v="124962" u="1"/>
        <n v="136732" u="1"/>
        <n v="143609" u="1"/>
        <n v="209627" u="1"/>
        <n v="242636" u="1"/>
        <n v="129776" u="1"/>
        <n v="94704" u="1"/>
        <n v="127713" u="1"/>
        <n v="146360" u="1"/>
        <n v="245387" u="1"/>
        <n v="131231" u="1"/>
        <n v="142234" u="1"/>
        <n v="164240" u="1"/>
        <n v="175243" u="1"/>
        <n v="133982" u="1"/>
        <n v="136733" u="1"/>
        <n v="126338" u="1"/>
        <n v="154613" u="1"/>
        <n v="176619" u="1"/>
        <n v="209628" u="1"/>
        <n v="242637" u="1"/>
        <n v="146361" u="1"/>
        <n v="245388" u="1"/>
        <n v="142235" u="1"/>
        <n v="133983" u="1"/>
        <n v="144986" u="1"/>
        <n v="124963" u="1"/>
        <n v="136734" u="1"/>
        <n v="143611" u="1"/>
        <n v="154614" u="1"/>
        <n v="176620" u="1"/>
        <n v="94705" u="1"/>
        <n v="127714" u="1"/>
        <n v="146362" u="1"/>
        <n v="245389" u="1"/>
        <n v="131233" u="1"/>
        <n v="142236" u="1"/>
        <n v="175245" u="1"/>
        <n v="133984" u="1"/>
        <n v="144987" u="1"/>
        <n v="130465" u="1"/>
        <n v="202753" u="1"/>
        <n v="126339" u="1"/>
        <n v="143612" u="1"/>
        <n v="209630" u="1"/>
        <n v="146363" u="1"/>
        <n v="245390" u="1"/>
        <n v="131234" u="1"/>
        <n v="142237" u="1"/>
        <n v="164243" u="1"/>
        <n v="129090" u="1"/>
        <n v="133985" u="1"/>
        <n v="136736" u="1"/>
        <n v="143613" u="1"/>
        <n v="176622" u="1"/>
        <n v="245" u="1"/>
        <n v="129778" u="1"/>
        <n v="94706" u="1"/>
        <n v="127715" u="1"/>
        <n v="146364" u="1"/>
        <n v="131235" u="1"/>
        <n v="142238" u="1"/>
        <n v="164244" u="1"/>
        <n v="230262" u="1"/>
        <n v="133986" u="1"/>
        <n v="144989" u="1"/>
        <n v="130466" u="1"/>
        <n v="126340" u="1"/>
        <n v="176623" u="1"/>
        <n v="146365" u="1"/>
        <n v="131236" u="1"/>
        <n v="142239" u="1"/>
        <n v="164245" u="1"/>
        <n v="133987" u="1"/>
        <n v="144990" u="1"/>
        <n v="124965" u="1"/>
        <n v="136738" u="1"/>
        <n v="154618" u="1"/>
        <n v="139489" u="1"/>
        <n v="161495" u="1"/>
        <n v="94707" u="1"/>
        <n v="157369" u="1"/>
        <n v="245393" u="1"/>
        <n v="131237" u="1"/>
        <n v="175249" u="1"/>
        <n v="133988" u="1"/>
        <n v="144991" u="1"/>
        <n v="130467" u="1"/>
        <n v="162871" u="1"/>
        <n v="20857" u="1"/>
        <n v="136739" u="1"/>
        <n v="126341" u="1"/>
        <n v="154619" u="1"/>
        <n v="205508" u="1"/>
        <n v="245394" u="1"/>
        <n v="131238" u="1"/>
        <n v="142241" u="1"/>
        <n v="164247" u="1"/>
        <n v="129092" u="1"/>
        <n v="133989" u="1"/>
        <n v="144992" u="1"/>
        <n v="124966" u="1"/>
        <n v="162872" u="1"/>
        <n v="11056" u="1"/>
        <n v="136740" u="1"/>
        <n v="202758" u="1"/>
        <n v="154620" u="1"/>
        <n v="209635" u="1"/>
        <n v="139491" u="1"/>
        <n v="205509" u="1"/>
        <n v="94708" u="1"/>
        <n v="127717" u="1"/>
        <n v="146368" u="1"/>
        <n v="223389" u="1"/>
        <n v="245395" u="1"/>
        <n v="131239" u="1"/>
        <n v="142242" u="1"/>
        <n v="175251" u="1"/>
        <n v="133990" u="1"/>
        <n v="130468" u="1"/>
        <n v="136741" u="1"/>
        <n v="126342" u="1"/>
        <n v="154621" u="1"/>
        <n v="209636" u="1"/>
        <n v="161498" u="1"/>
        <n v="205510" u="1"/>
        <n v="227516" u="1"/>
        <n v="146369" u="1"/>
        <n v="223390" u="1"/>
        <n v="131240" u="1"/>
        <n v="142243" u="1"/>
        <n v="129093" u="1"/>
        <n v="133991" u="1"/>
        <n v="144994" u="1"/>
        <n v="222015" u="1"/>
        <n v="124967" u="1"/>
        <n v="136742" u="1"/>
        <n v="147745" u="1"/>
        <n v="224766" u="1"/>
        <n v="132616" u="1"/>
        <n v="154622" u="1"/>
        <n v="176628" u="1"/>
        <n v="209637" u="1"/>
        <n v="139493" u="1"/>
        <n v="161499" u="1"/>
        <n v="205511" u="1"/>
        <n v="94709" u="1"/>
        <n v="127718" u="1"/>
        <n v="146370" u="1"/>
        <n v="131241" u="1"/>
        <n v="142244" u="1"/>
        <n v="133992" u="1"/>
        <n v="130469" u="1"/>
        <n v="136743" u="1"/>
        <n v="202761" u="1"/>
        <n v="126343" u="1"/>
        <n v="154623" u="1"/>
        <n v="209638" u="1"/>
        <n v="139494" u="1"/>
        <n v="260527" u="1"/>
        <n v="146371" u="1"/>
        <n v="223392" u="1"/>
        <n v="131242" u="1"/>
        <n v="142245" u="1"/>
        <n v="133993" u="1"/>
        <n v="144996" u="1"/>
        <n v="162876" u="1"/>
        <n v="136744" u="1"/>
        <n v="202762" u="1"/>
        <n v="224768" u="1"/>
        <n v="132618" u="1"/>
        <n v="154624" u="1"/>
        <n v="209639" u="1"/>
        <n v="242648" u="1"/>
        <n v="139495" u="1"/>
        <n v="161501" u="1"/>
        <n v="94710" u="1"/>
        <n v="127719" u="1"/>
        <n v="146372" u="1"/>
        <n v="131243" u="1"/>
        <n v="142246" u="1"/>
        <n v="164252" u="1"/>
        <n v="133994" u="1"/>
        <n v="144997" u="1"/>
        <n v="130470" u="1"/>
        <n v="147748" u="1"/>
        <n v="132619" u="1"/>
        <n v="154625" u="1"/>
        <n v="242649" u="1"/>
        <n v="124281" u="1"/>
        <n v="139496" u="1"/>
        <n v="161502" u="1"/>
        <n v="194511" u="1"/>
        <n v="227520" u="1"/>
        <n v="146373" u="1"/>
        <n v="131244" u="1"/>
        <n v="142247" u="1"/>
        <n v="133995" u="1"/>
        <n v="124969" u="1"/>
        <n v="136746" u="1"/>
        <n v="139497" u="1"/>
        <n v="194512" u="1"/>
        <n v="94711" u="1"/>
        <n v="127720" u="1"/>
        <n v="190386" u="1"/>
        <n v="245401" u="1"/>
        <n v="131245" u="1"/>
        <n v="142248" u="1"/>
        <n v="164254" u="1"/>
        <n v="77519" u="1"/>
        <n v="133996" u="1"/>
        <n v="130471" u="1"/>
        <n v="162879" u="1"/>
        <n v="136747" u="1"/>
        <n v="202765" u="1"/>
        <n v="126345" u="1"/>
        <n v="132621" u="1"/>
        <n v="154627" u="1"/>
        <n v="124282" u="1"/>
        <n v="139498" u="1"/>
        <n v="194513" u="1"/>
        <n v="146375" u="1"/>
        <n v="245402" u="1"/>
        <n v="131246" u="1"/>
        <n v="142249" u="1"/>
        <n v="164255" u="1"/>
        <n v="133997" u="1"/>
        <n v="145000" u="1"/>
        <n v="124970" u="1"/>
        <n v="162880" u="1"/>
        <n v="16732" u="1"/>
        <n v="136748" u="1"/>
        <n v="224772" u="1"/>
        <n v="132622" u="1"/>
        <n v="209643" u="1"/>
        <n v="242652" u="1"/>
        <n v="139499" u="1"/>
        <n v="194514" u="1"/>
        <n v="94712" u="1"/>
        <n v="127721" u="1"/>
        <n v="245403" u="1"/>
        <n v="131247" u="1"/>
        <n v="142250" u="1"/>
        <n v="123595" u="1"/>
        <n v="77520" u="1"/>
        <n v="133998" u="1"/>
        <n v="130472" u="1"/>
        <n v="162881" u="1"/>
        <n v="136749" u="1"/>
        <n v="147752" u="1"/>
        <n v="126346" u="1"/>
        <n v="132623" u="1"/>
        <n v="209644" u="1"/>
        <n v="242653" u="1"/>
        <n v="124283" u="1"/>
        <n v="139500" u="1"/>
        <n v="205518" u="1"/>
        <n v="223398" u="1"/>
        <n v="245404" u="1"/>
        <n v="131248" u="1"/>
        <n v="142251" u="1"/>
        <n v="208269" u="1"/>
        <n v="133999" u="1"/>
        <n v="145002" u="1"/>
        <n v="124971" u="1"/>
        <n v="136750" u="1"/>
        <n v="132624" u="1"/>
        <n v="14667" u="1"/>
        <n v="139501" u="1"/>
        <n v="194516" u="1"/>
        <n v="94713" u="1"/>
        <n v="127722" u="1"/>
        <n v="190390" u="1"/>
        <n v="223399" u="1"/>
        <n v="142252" u="1"/>
        <n v="160132" u="1"/>
        <n v="77521" u="1"/>
        <n v="134000" u="1"/>
        <n v="145003" u="1"/>
        <n v="280931" u="1"/>
        <n v="130473" u="1"/>
        <n v="126347" u="1"/>
        <n v="132625" u="1"/>
        <n v="209646" u="1"/>
        <n v="242655" u="1"/>
        <n v="124284" u="1"/>
        <n v="139502" u="1"/>
        <n v="280932" u="1"/>
        <n v="146379" u="1"/>
        <n v="131250" u="1"/>
        <n v="142253" u="1"/>
        <n v="208271" u="1"/>
        <n v="129098" u="1"/>
        <n v="134001" u="1"/>
        <n v="145004" u="1"/>
        <n v="124972" u="1"/>
        <n v="162884" u="1"/>
        <n v="136752" u="1"/>
        <n v="202770" u="1"/>
        <n v="132626" u="1"/>
        <n v="154632" u="1"/>
        <n v="209647" u="1"/>
        <n v="242656" u="1"/>
        <n v="139503" u="1"/>
        <n v="194518" u="1"/>
        <n v="94714" u="1"/>
        <n v="127723" u="1"/>
        <n v="146380" u="1"/>
        <n v="131251" u="1"/>
        <n v="142254" u="1"/>
        <n v="164260" u="1"/>
        <n v="208272" u="1"/>
        <n v="123597" u="1"/>
        <n v="77522" u="1"/>
        <n v="134002" u="1"/>
        <n v="145005" u="1"/>
        <n v="162885" u="1"/>
        <n v="136753" u="1"/>
        <n v="147756" u="1"/>
        <n v="224777" u="1"/>
        <n v="126348" u="1"/>
        <n v="132627" u="1"/>
        <n v="209648" u="1"/>
        <n v="242657" u="1"/>
        <n v="124285" u="1"/>
        <n v="139504" u="1"/>
        <n v="227528" u="1"/>
        <n v="245408" u="1"/>
        <n v="131252" u="1"/>
        <n v="142255" u="1"/>
        <n v="208273" u="1"/>
        <n v="129099" u="1"/>
        <n v="134003" u="1"/>
        <n v="145006" u="1"/>
        <n v="124973" u="1"/>
        <n v="15183" u="1"/>
        <n v="136754" u="1"/>
        <n v="132628" u="1"/>
        <n v="209649" u="1"/>
        <n v="139505" u="1"/>
        <n v="194520" u="1"/>
        <n v="94715" u="1"/>
        <n v="127724" u="1"/>
        <n v="131253" u="1"/>
        <n v="142256" u="1"/>
        <n v="123598" u="1"/>
        <n v="77523" u="1"/>
        <n v="134004" u="1"/>
        <n v="145007" u="1"/>
        <n v="130475" u="1"/>
        <n v="162887" u="1"/>
        <n v="136755" u="1"/>
        <n v="224779" u="1"/>
        <n v="126349" u="1"/>
        <n v="132629" u="1"/>
        <n v="124286" u="1"/>
        <n v="139506" u="1"/>
        <n v="205524" u="1"/>
        <n v="227530" u="1"/>
        <n v="146383" u="1"/>
        <n v="223404" u="1"/>
        <n v="131254" u="1"/>
        <n v="142257" u="1"/>
        <n v="134005" u="1"/>
        <n v="145008" u="1"/>
        <n v="124974" u="1"/>
        <n v="11057" u="1"/>
        <n v="16733" u="1"/>
        <n v="136756" u="1"/>
        <n v="132630" u="1"/>
        <n v="242660" u="1"/>
        <n v="139507" u="1"/>
        <n v="205525" u="1"/>
        <n v="94716" u="1"/>
        <n v="127725" u="1"/>
        <n v="146384" u="1"/>
        <n v="157387" u="1"/>
        <n v="190396" u="1"/>
        <n v="241285" u="1"/>
        <n v="123599" u="1"/>
        <n v="160138" u="1"/>
        <n v="77524" u="1"/>
        <n v="134006" u="1"/>
        <n v="145009" u="1"/>
        <n v="130476" u="1"/>
        <n v="162889" u="1"/>
        <n v="136757" u="1"/>
        <n v="264439" u="1"/>
        <n v="126350" u="1"/>
        <n v="132631" u="1"/>
        <n v="124287" u="1"/>
        <n v="139508" u="1"/>
        <n v="205526" u="1"/>
        <n v="146385" u="1"/>
        <n v="157388" u="1"/>
        <n v="223406" u="1"/>
        <n v="245412" u="1"/>
        <n v="131256" u="1"/>
        <n v="129101" u="1"/>
        <n v="160139" u="1"/>
        <n v="134007" u="1"/>
        <n v="145010" u="1"/>
        <n v="162890" u="1"/>
        <n v="132632" u="1"/>
        <n v="139509" u="1"/>
        <n v="205527" u="1"/>
        <n v="127726" u="1"/>
        <n v="146386" u="1"/>
        <n v="157389" u="1"/>
        <n v="245413" u="1"/>
        <n v="131257" u="1"/>
        <n v="142260" u="1"/>
        <n v="241287" u="1"/>
        <n v="123600" u="1"/>
        <n v="77525" u="1"/>
        <n v="134008" u="1"/>
        <n v="145011" u="1"/>
        <n v="130477" u="1"/>
        <n v="136759" u="1"/>
        <n v="126351" u="1"/>
        <n v="132633" u="1"/>
        <n v="124288" u="1"/>
        <n v="139510" u="1"/>
        <n v="194525" u="1"/>
        <n v="205528" u="1"/>
        <n v="131258" u="1"/>
        <n v="142261" u="1"/>
        <n v="145012" u="1"/>
        <n v="124976" u="1"/>
        <n v="162892" u="1"/>
        <n v="136760" u="1"/>
        <n v="132634" u="1"/>
        <n v="139511" u="1"/>
        <n v="205529" u="1"/>
        <n v="127727" u="1"/>
        <n v="157391" u="1"/>
        <n v="142262" u="1"/>
        <n v="77526" u="1"/>
        <n v="134010" u="1"/>
        <n v="145013" u="1"/>
        <n v="130478" u="1"/>
        <n v="162893" u="1"/>
        <n v="126352" u="1"/>
        <n v="132635" u="1"/>
        <n v="124289" u="1"/>
        <n v="139512" u="1"/>
        <n v="205530" u="1"/>
        <n v="142263" u="1"/>
        <n v="129103" u="1"/>
        <n v="134011" u="1"/>
        <n v="124977" u="1"/>
        <n v="162894" u="1"/>
        <n v="132636" u="1"/>
        <n v="165645" u="1"/>
        <n v="139513" u="1"/>
        <n v="205531" u="1"/>
        <n v="127728" u="1"/>
        <n v="190402" u="1"/>
        <n v="142264" u="1"/>
        <n v="241291" u="1"/>
        <n v="264450" u="1"/>
        <n v="123602" u="1"/>
        <n v="77527" u="1"/>
        <n v="134012" u="1"/>
        <n v="145015" u="1"/>
        <n v="130479" u="1"/>
        <n v="136763" u="1"/>
        <n v="126353" u="1"/>
        <n v="132637" u="1"/>
        <n v="165646" u="1"/>
        <n v="124290" u="1"/>
        <n v="139514" u="1"/>
        <n v="205532" u="1"/>
        <n v="142265" u="1"/>
        <n v="175274" u="1"/>
        <n v="129104" u="1"/>
        <n v="226163" u="1"/>
        <n v="134013" u="1"/>
        <n v="145016" u="1"/>
        <n v="124978" u="1"/>
        <n v="16734" u="1"/>
        <n v="136764" u="1"/>
        <n v="132638" u="1"/>
        <n v="154644" u="1"/>
        <n v="242668" u="1"/>
        <n v="139515" u="1"/>
        <n v="194530" u="1"/>
        <n v="227539" u="1"/>
        <n v="127729" u="1"/>
        <n v="223413" u="1"/>
        <n v="142266" u="1"/>
        <n v="164272" u="1"/>
        <n v="175275" u="1"/>
        <n v="77528" u="1"/>
        <n v="134014" u="1"/>
        <n v="145017" u="1"/>
        <n v="130480" u="1"/>
        <n v="147768" u="1"/>
        <n v="126354" u="1"/>
        <n v="132639" u="1"/>
        <n v="124291" u="1"/>
        <n v="139516" u="1"/>
        <n v="135390" u="1"/>
        <n v="142267" u="1"/>
        <n v="164273" u="1"/>
        <n v="129105" u="1"/>
        <n v="134015" u="1"/>
        <n v="145018" u="1"/>
        <n v="136766" u="1"/>
        <n v="132640" u="1"/>
        <n v="209661" u="1"/>
        <n v="14668" u="1"/>
        <n v="139517" u="1"/>
        <n v="194532" u="1"/>
        <n v="205535" u="1"/>
        <n v="227541" u="1"/>
        <n v="241" u="1"/>
        <n v="127730" u="1"/>
        <n v="245421" u="1"/>
        <n v="125667" u="1"/>
        <n v="142268" u="1"/>
        <n v="175277" u="1"/>
        <n v="77529" u="1"/>
        <n v="134016" u="1"/>
        <n v="145019" u="1"/>
        <n v="200034" u="1"/>
        <n v="130481" u="1"/>
        <n v="250923" u="1"/>
        <n v="126355" u="1"/>
        <n v="132641" u="1"/>
        <n v="165650" u="1"/>
        <n v="124292" u="1"/>
        <n v="139518" u="1"/>
        <n v="135392" u="1"/>
        <n v="142269" u="1"/>
        <n v="175278" u="1"/>
        <n v="129106" u="1"/>
        <n v="145020" u="1"/>
        <n v="124980" u="1"/>
        <n v="250924" u="1"/>
        <n v="136768" u="1"/>
        <n v="132642" u="1"/>
        <n v="139519" u="1"/>
        <n v="194534" u="1"/>
        <n v="127731" u="1"/>
        <n v="135393" u="1"/>
        <n v="157399" u="1"/>
        <n v="125668" u="1"/>
        <n v="142270" u="1"/>
        <n v="164276" u="1"/>
        <n v="160150" u="1"/>
        <n v="77530" u="1"/>
        <n v="145021" u="1"/>
        <n v="130482" u="1"/>
        <n v="250925" u="1"/>
        <n v="126356" u="1"/>
        <n v="132643" u="1"/>
        <n v="154649" u="1"/>
        <n v="124293" u="1"/>
        <n v="139520" u="1"/>
        <n v="135394" u="1"/>
        <n v="223418" u="1"/>
        <n v="245424" u="1"/>
        <n v="142271" u="1"/>
        <n v="175280" u="1"/>
        <n v="129107" u="1"/>
        <n v="145022" u="1"/>
        <n v="124981" u="1"/>
        <n v="15184" u="1"/>
        <n v="132644" u="1"/>
        <n v="139521" u="1"/>
        <n v="127732" u="1"/>
        <n v="135395" u="1"/>
        <n v="245425" u="1"/>
        <n v="125669" u="1"/>
        <n v="142272" u="1"/>
        <n v="175281" u="1"/>
        <n v="77531" u="1"/>
        <n v="145023" u="1"/>
        <n v="162903" u="1"/>
        <n v="250927" u="1"/>
        <n v="136771" u="1"/>
        <n v="126357" u="1"/>
        <n v="132645" u="1"/>
        <n v="165654" u="1"/>
        <n v="209666" u="1"/>
        <n v="124294" u="1"/>
        <n v="139522" u="1"/>
        <n v="135396" u="1"/>
        <n v="190411" u="1"/>
        <n v="142273" u="1"/>
        <n v="175282" u="1"/>
        <n v="129108" u="1"/>
        <n v="8823" u="1"/>
        <n v="134021" u="1"/>
        <n v="145024" u="1"/>
        <n v="124982" u="1"/>
        <n v="250928" u="1"/>
        <n v="11058" u="1"/>
        <n v="16735" u="1"/>
        <n v="136772" u="1"/>
        <n v="147775" u="1"/>
        <n v="132646" u="1"/>
        <n v="154652" u="1"/>
        <n v="165655" u="1"/>
        <n v="209667" u="1"/>
        <n v="13293" u="1"/>
        <n v="139523" u="1"/>
        <n v="260556" u="1"/>
        <n v="127733" u="1"/>
        <n v="135397" u="1"/>
        <n v="125670" u="1"/>
        <n v="142274" u="1"/>
        <n v="164280" u="1"/>
        <n v="77532" u="1"/>
        <n v="134022" u="1"/>
        <n v="145025" u="1"/>
        <n v="130484" u="1"/>
        <n v="162905" u="1"/>
        <n v="250929" u="1"/>
        <n v="147776" u="1"/>
        <n v="202791" u="1"/>
        <n v="126358" u="1"/>
        <n v="132647" u="1"/>
        <n v="209668" u="1"/>
        <n v="124295" u="1"/>
        <n v="139524" u="1"/>
        <n v="135398" u="1"/>
        <n v="142275" u="1"/>
        <n v="129109" u="1"/>
        <n v="145026" u="1"/>
        <n v="124983" u="1"/>
        <n v="136774" u="1"/>
        <n v="147777" u="1"/>
        <n v="132648" u="1"/>
        <n v="165657" u="1"/>
        <n v="209669" u="1"/>
        <n v="139525" u="1"/>
        <n v="194540" u="1"/>
        <n v="127734" u="1"/>
        <n v="135399" u="1"/>
        <n v="245429" u="1"/>
        <n v="125671" u="1"/>
        <n v="142276" u="1"/>
        <n v="164282" u="1"/>
        <n v="230300" u="1"/>
        <n v="77533" u="1"/>
        <n v="145027" u="1"/>
        <n v="130485" u="1"/>
        <n v="151904" u="1"/>
        <n v="162907" u="1"/>
        <n v="136775" u="1"/>
        <n v="147778" u="1"/>
        <n v="126359" u="1"/>
        <n v="132649" u="1"/>
        <n v="124296" u="1"/>
        <n v="139526" u="1"/>
        <n v="260559" u="1"/>
        <n v="135400" u="1"/>
        <n v="245430" u="1"/>
        <n v="164283" u="1"/>
        <n v="230301" u="1"/>
        <n v="129110" u="1"/>
        <n v="145028" u="1"/>
        <n v="124984" u="1"/>
        <n v="162908" u="1"/>
        <n v="136776" u="1"/>
        <n v="147779" u="1"/>
        <n v="132650" u="1"/>
        <n v="165659" u="1"/>
        <n v="139527" u="1"/>
        <n v="205545" u="1"/>
        <n v="260560" u="1"/>
        <n v="127735" u="1"/>
        <n v="135401" u="1"/>
        <n v="245431" u="1"/>
        <n v="175287" u="1"/>
        <n v="241305" u="1"/>
        <n v="77534" u="1"/>
        <n v="145029" u="1"/>
        <n v="130486" u="1"/>
        <n v="162909" u="1"/>
        <n v="136777" u="1"/>
        <n v="147780" u="1"/>
        <n v="126360" u="1"/>
        <n v="165660" u="1"/>
        <n v="124297" u="1"/>
        <n v="139528" u="1"/>
        <n v="135402" u="1"/>
        <n v="245432" u="1"/>
        <n v="16216" u="1"/>
        <n v="164285" u="1"/>
        <n v="230303" u="1"/>
        <n v="241306" u="1"/>
        <n v="129111" u="1"/>
        <n v="134027" u="1"/>
        <n v="145030" u="1"/>
        <n v="124985" u="1"/>
        <n v="151907" u="1"/>
        <n v="228928" u="1"/>
        <n v="136778" u="1"/>
        <n v="147781" u="1"/>
        <n v="132652" u="1"/>
        <n v="165661" u="1"/>
        <n v="139529" u="1"/>
        <n v="205547" u="1"/>
        <n v="260562" u="1"/>
        <n v="127736" u="1"/>
        <n v="135403" u="1"/>
        <n v="223427" u="1"/>
        <n v="245433" u="1"/>
        <n v="125673" u="1"/>
        <n v="215175" u="1"/>
        <n v="77535" u="1"/>
        <n v="134028" u="1"/>
        <n v="145031" u="1"/>
        <n v="130487" u="1"/>
        <n v="136779" u="1"/>
        <n v="126361" u="1"/>
        <n v="132653" u="1"/>
        <n v="124298" u="1"/>
        <n v="139530" u="1"/>
        <n v="205548" u="1"/>
        <n v="260563" u="1"/>
        <n v="135404" u="1"/>
        <n v="223428" u="1"/>
        <n v="245434" u="1"/>
        <n v="129112" u="1"/>
        <n v="134029" u="1"/>
        <n v="145032" u="1"/>
        <n v="124986" u="1"/>
        <n v="151909" u="1"/>
        <n v="16736" u="1"/>
        <n v="136780" u="1"/>
        <n v="165663" u="1"/>
        <n v="139531" u="1"/>
        <n v="260564" u="1"/>
        <n v="127737" u="1"/>
        <n v="135405" u="1"/>
        <n v="125674" u="1"/>
        <n v="241309" u="1"/>
        <n v="27911" u="1"/>
        <n v="77536" u="1"/>
        <n v="134030" u="1"/>
        <n v="145033" u="1"/>
        <n v="136781" u="1"/>
        <n v="147784" u="1"/>
        <n v="126362" u="1"/>
        <n v="132655" u="1"/>
        <n v="165664" u="1"/>
        <n v="198673" u="1"/>
        <n v="124299" u="1"/>
        <n v="139532" u="1"/>
        <n v="135406" u="1"/>
        <n v="245436" u="1"/>
        <n v="129113" u="1"/>
        <n v="145034" u="1"/>
        <n v="124987" u="1"/>
        <n v="151911" u="1"/>
        <n v="162914" u="1"/>
        <n v="132656" u="1"/>
        <n v="165665" u="1"/>
        <n v="14669" u="1"/>
        <n v="139533" u="1"/>
        <n v="260566" u="1"/>
        <n v="127738" u="1"/>
        <n v="135407" u="1"/>
        <n v="245437" u="1"/>
        <n v="125675" u="1"/>
        <n v="77537" u="1"/>
        <n v="134032" u="1"/>
        <n v="130489" u="1"/>
        <n v="3938" u="1"/>
        <n v="136783" u="1"/>
        <n v="126363" u="1"/>
        <n v="124300" u="1"/>
        <n v="139534" u="1"/>
        <n v="260567" u="1"/>
        <n v="135408" u="1"/>
        <n v="129114" u="1"/>
        <n v="124988" u="1"/>
        <n v="136784" u="1"/>
        <n v="147787" u="1"/>
        <n v="132658" u="1"/>
        <n v="165667" u="1"/>
        <n v="139535" u="1"/>
        <n v="172544" u="1"/>
        <n v="127739" u="1"/>
        <n v="135409" u="1"/>
        <n v="125676" u="1"/>
        <n v="175295" u="1"/>
        <n v="230310" u="1"/>
        <n v="241313" u="1"/>
        <n v="77538" u="1"/>
        <n v="130490" u="1"/>
        <n v="228935" u="1"/>
        <n v="136785" u="1"/>
        <n v="147788" u="1"/>
        <n v="126364" u="1"/>
        <n v="132659" u="1"/>
        <n v="124301" u="1"/>
        <n v="139536" u="1"/>
        <n v="172545" u="1"/>
        <n v="260569" u="1"/>
        <n v="135410" u="1"/>
        <n v="190425" u="1"/>
        <n v="245440" u="1"/>
        <n v="175296" u="1"/>
        <n v="129115" u="1"/>
        <n v="145038" u="1"/>
        <n v="15185" u="1"/>
        <n v="136786" u="1"/>
        <n v="165669" u="1"/>
        <n v="198678" u="1"/>
        <n v="139537" u="1"/>
        <n v="172546" u="1"/>
        <n v="260570" u="1"/>
        <n v="127740" u="1"/>
        <n v="135411" u="1"/>
        <n v="157417" u="1"/>
        <n v="125677" u="1"/>
        <n v="175297" u="1"/>
        <n v="230312" u="1"/>
        <n v="77539" u="1"/>
        <n v="145039" u="1"/>
        <n v="130491" u="1"/>
        <n v="162919" u="1"/>
        <n v="136787" u="1"/>
        <n v="126365" u="1"/>
        <n v="132661" u="1"/>
        <n v="165670" u="1"/>
        <n v="124302" u="1"/>
        <n v="139538" u="1"/>
        <n v="260571" u="1"/>
        <n v="135412" u="1"/>
        <n v="223436" u="1"/>
        <n v="175298" u="1"/>
        <n v="230313" u="1"/>
        <n v="129116" u="1"/>
        <n v="138163" u="1"/>
        <n v="8824" u="1"/>
        <n v="11059" u="1"/>
        <n v="16737" u="1"/>
        <n v="136788" u="1"/>
        <n v="132662" u="1"/>
        <n v="154668" u="1"/>
        <n v="165671" u="1"/>
        <n v="198680" u="1"/>
        <n v="139539" u="1"/>
        <n v="260572" u="1"/>
        <n v="127741" u="1"/>
        <n v="135413" u="1"/>
        <n v="245443" u="1"/>
        <n v="125678" u="1"/>
        <n v="142290" u="1"/>
        <n v="153293" u="1"/>
        <n v="175299" u="1"/>
        <n v="230314" u="1"/>
        <n v="27912" u="1"/>
        <n v="138164" u="1"/>
        <n v="77540" u="1"/>
        <n v="136789" u="1"/>
        <n v="126366" u="1"/>
        <n v="132663" u="1"/>
        <n v="198681" u="1"/>
        <n v="124303" u="1"/>
        <n v="139540" u="1"/>
        <n v="260573" u="1"/>
        <n v="135414" u="1"/>
        <n v="157420" u="1"/>
        <n v="168423" u="1"/>
        <n v="223438" u="1"/>
        <n v="142291" u="1"/>
        <n v="175300" u="1"/>
        <n v="230315" u="1"/>
        <n v="129117" u="1"/>
        <n v="127054" u="1"/>
        <n v="145042" u="1"/>
        <n v="136790" u="1"/>
        <n v="65850" u="1"/>
        <n v="132664" u="1"/>
        <n v="198682" u="1"/>
        <n v="139541" u="1"/>
        <n v="260574" u="1"/>
        <n v="127742" u="1"/>
        <n v="135415" u="1"/>
        <n v="190430" u="1"/>
        <n v="223439" u="1"/>
        <n v="125679" u="1"/>
        <n v="142292" u="1"/>
        <n v="241319" u="1"/>
        <n v="138166" u="1"/>
        <n v="13638" u="1"/>
        <n v="77541" u="1"/>
        <n v="145043" u="1"/>
        <n v="130493" u="1"/>
        <n v="136791" u="1"/>
        <n v="126367" u="1"/>
        <n v="132665" u="1"/>
        <n v="154671" u="1"/>
        <n v="198683" u="1"/>
        <n v="124304" u="1"/>
        <n v="139542" u="1"/>
        <n v="135416" u="1"/>
        <n v="190431" u="1"/>
        <n v="142293" u="1"/>
        <n v="175302" u="1"/>
        <n v="129118" u="1"/>
        <n v="138167" u="1"/>
        <n v="127055" u="1"/>
        <n v="145044" u="1"/>
        <n v="136792" u="1"/>
        <n v="132666" u="1"/>
        <n v="198684" u="1"/>
        <n v="139543" u="1"/>
        <n v="205561" u="1"/>
        <n v="127743" u="1"/>
        <n v="135417" u="1"/>
        <n v="157423" u="1"/>
        <n v="223441" u="1"/>
        <n v="125680" u="1"/>
        <n v="142294" u="1"/>
        <n v="175303" u="1"/>
        <n v="138168" u="1"/>
        <n v="77542" u="1"/>
        <n v="145045" u="1"/>
        <n v="130494" u="1"/>
        <n v="136793" u="1"/>
        <n v="147796" u="1"/>
        <n v="126368" u="1"/>
        <n v="165676" u="1"/>
        <n v="198685" u="1"/>
        <n v="124305" u="1"/>
        <n v="135418" u="1"/>
        <n v="223442" u="1"/>
        <n v="175304" u="1"/>
        <n v="85107" u="1"/>
        <n v="129119" u="1"/>
        <n v="138169" u="1"/>
        <n v="127056" u="1"/>
        <n v="145046" u="1"/>
        <n v="198686" u="1"/>
        <n v="242698" u="1"/>
        <n v="139545" u="1"/>
        <n v="127744" u="1"/>
        <n v="135419" u="1"/>
        <n v="245449" u="1"/>
        <n v="125681" u="1"/>
        <n v="142296" u="1"/>
        <n v="230320" u="1"/>
        <n v="77543" u="1"/>
        <n v="145047" u="1"/>
        <n v="130495" u="1"/>
        <n v="136795" u="1"/>
        <n v="126369" u="1"/>
        <n v="154675" u="1"/>
        <n v="198687" u="1"/>
        <n v="124306" u="1"/>
        <n v="139546" u="1"/>
        <n v="135420" u="1"/>
        <n v="223444" u="1"/>
        <n v="245450" u="1"/>
        <n v="142297" u="1"/>
        <n v="153300" u="1"/>
        <n v="129120" u="1"/>
        <n v="127057" u="1"/>
        <n v="145048" u="1"/>
        <n v="16738" u="1"/>
        <n v="147799" u="1"/>
        <n v="198688" u="1"/>
        <n v="139547" u="1"/>
        <n v="172556" u="1"/>
        <n v="135421" u="1"/>
        <n v="223445" u="1"/>
        <n v="125682" u="1"/>
        <n v="142298" u="1"/>
        <n v="153301" u="1"/>
        <n v="175307" u="1"/>
        <n v="27913" u="1"/>
        <n v="77544" u="1"/>
        <n v="145049" u="1"/>
        <n v="130496" u="1"/>
        <n v="261956" u="1"/>
        <n v="95424" u="1"/>
        <n v="136797" u="1"/>
        <n v="147800" u="1"/>
        <n v="198689" u="1"/>
        <n v="124307" u="1"/>
        <n v="139548" u="1"/>
        <n v="135422" u="1"/>
        <n v="190437" u="1"/>
        <n v="142299" u="1"/>
        <n v="153302" u="1"/>
        <n v="175308" u="1"/>
        <n v="129121" u="1"/>
        <n v="127058" u="1"/>
        <n v="145050" u="1"/>
        <n v="228948" u="1"/>
        <n v="136798" u="1"/>
        <n v="132672" u="1"/>
        <n v="165681" u="1"/>
        <n v="198690" u="1"/>
        <n v="14670" u="1"/>
        <n v="127746" u="1"/>
        <n v="135423" u="1"/>
        <n v="157429" u="1"/>
        <n v="142300" u="1"/>
        <n v="153303" u="1"/>
        <n v="138174" u="1"/>
        <n v="77545" u="1"/>
        <n v="145051" u="1"/>
        <n v="244078" u="1"/>
        <n v="130497" u="1"/>
        <n v="136799" u="1"/>
        <n v="147802" u="1"/>
        <n v="246829" u="1"/>
        <n v="126371" u="1"/>
        <n v="198691" u="1"/>
        <n v="124308" u="1"/>
        <n v="139550" u="1"/>
        <n v="281028" u="1"/>
        <n v="135424" u="1"/>
        <n v="142301" u="1"/>
        <n v="153304" u="1"/>
        <n v="175310" u="1"/>
        <n v="138175" u="1"/>
        <n v="127059" u="1"/>
        <n v="145052" u="1"/>
        <n v="136800" u="1"/>
        <n v="147803" u="1"/>
        <n v="246830" u="1"/>
        <n v="132674" u="1"/>
        <n v="198692" u="1"/>
        <n v="139551" u="1"/>
        <n v="223449" u="1"/>
        <n v="125684" u="1"/>
        <n v="138176" u="1"/>
        <n v="226200" u="1"/>
        <n v="77546" u="1"/>
        <n v="145053" u="1"/>
        <n v="244080" u="1"/>
        <n v="130498" u="1"/>
        <n v="162933" u="1"/>
        <n v="217948" u="1"/>
        <n v="136801" u="1"/>
        <n v="147804" u="1"/>
        <n v="132675" u="1"/>
        <n v="198693" u="1"/>
        <n v="124309" u="1"/>
        <n v="139552" u="1"/>
        <n v="205570" u="1"/>
        <n v="135426" u="1"/>
        <n v="153306" u="1"/>
        <n v="230327" u="1"/>
        <n v="241330" u="1"/>
        <n v="138177" u="1"/>
        <n v="215198" u="1"/>
        <n v="226201" u="1"/>
        <n v="127060" u="1"/>
        <n v="145054" u="1"/>
        <n v="244081" u="1"/>
        <n v="162934" u="1"/>
        <n v="217949" u="1"/>
        <n v="15186" u="1"/>
        <n v="246832" u="1"/>
        <n v="139553" u="1"/>
        <n v="205571" u="1"/>
        <n v="216574" u="1"/>
        <n v="127748" u="1"/>
        <n v="138178" u="1"/>
        <n v="77547" u="1"/>
        <n v="130499" u="1"/>
        <n v="162935" u="1"/>
        <n v="217950" u="1"/>
        <n v="136803" u="1"/>
        <n v="132677" u="1"/>
        <n v="165686" u="1"/>
        <n v="198695" u="1"/>
        <n v="124310" u="1"/>
        <n v="216575" u="1"/>
        <n v="135428" u="1"/>
        <n v="245458" u="1"/>
        <n v="153308" u="1"/>
        <n v="175314" u="1"/>
        <n v="138179" u="1"/>
        <n v="8825" u="1"/>
        <n v="127061" u="1"/>
        <n v="162936" u="1"/>
        <n v="217951" u="1"/>
        <n v="11060" u="1"/>
        <n v="16739" u="1"/>
        <n v="213825" u="1"/>
        <n v="132678" u="1"/>
        <n v="154684" u="1"/>
        <n v="198696" u="1"/>
        <n v="13295" u="1"/>
        <n v="205573" u="1"/>
        <n v="216576" u="1"/>
        <n v="127749" u="1"/>
        <n v="135429" u="1"/>
        <n v="223453" u="1"/>
        <n v="142306" u="1"/>
        <n v="175315" u="1"/>
        <n v="27914" u="1"/>
        <n v="138180" u="1"/>
        <n v="77548" u="1"/>
        <n v="145057" u="1"/>
        <n v="130500" u="1"/>
        <n v="136805" u="1"/>
        <n v="147808" u="1"/>
        <n v="165688" u="1"/>
        <n v="198697" u="1"/>
        <n v="124311" u="1"/>
        <n v="216577" u="1"/>
        <n v="260589" u="1"/>
        <n v="135430" u="1"/>
        <n v="175316" u="1"/>
        <n v="129125" u="1"/>
        <n v="138181" u="1"/>
        <n v="127062" u="1"/>
        <n v="228956" u="1"/>
        <n v="136806" u="1"/>
        <n v="132680" u="1"/>
        <n v="165689" u="1"/>
        <n v="139557" u="1"/>
        <n v="216578" u="1"/>
        <n v="127750" u="1"/>
        <n v="135431" u="1"/>
        <n v="245461" u="1"/>
        <n v="138182" u="1"/>
        <n v="13639" u="1"/>
        <n v="77549" u="1"/>
        <n v="244086" u="1"/>
        <n v="217954" u="1"/>
        <n v="126375" u="1"/>
        <n v="132681" u="1"/>
        <n v="124312" u="1"/>
        <n v="216579" u="1"/>
        <n v="245462" u="1"/>
        <n v="175318" u="1"/>
        <n v="129126" u="1"/>
        <n v="138183" u="1"/>
        <n v="127063" u="1"/>
        <n v="244087" u="1"/>
        <n v="162940" u="1"/>
        <n v="217955" u="1"/>
        <n v="228958" u="1"/>
        <n v="132682" u="1"/>
        <n v="216580" u="1"/>
        <n v="135433" u="1"/>
        <n v="157439" u="1"/>
        <n v="223457" u="1"/>
        <n v="175319" u="1"/>
        <n v="138184" u="1"/>
        <n v="49537" u="1"/>
        <n v="77550" u="1"/>
        <n v="244088" u="1"/>
        <n v="130502" u="1"/>
        <n v="162941" u="1"/>
        <n v="132683" u="1"/>
        <n v="124313" u="1"/>
        <n v="205578" u="1"/>
        <n v="135434" u="1"/>
        <n v="223458" u="1"/>
        <n v="142311" u="1"/>
        <n v="175320" u="1"/>
        <n v="129127" u="1"/>
        <n v="138185" u="1"/>
        <n v="127064" u="1"/>
        <n v="244089" u="1"/>
        <n v="140936" u="1"/>
        <n v="217957" u="1"/>
        <n v="132684" u="1"/>
        <n v="198702" u="1"/>
        <n v="216582" u="1"/>
        <n v="127752" u="1"/>
        <n v="157441" u="1"/>
        <n v="223459" u="1"/>
        <n v="245465" u="1"/>
        <n v="142312" u="1"/>
        <n v="175321" u="1"/>
        <n v="138186" u="1"/>
        <n v="77551" u="1"/>
        <n v="244090" u="1"/>
        <n v="130503" u="1"/>
        <n v="140937" u="1"/>
        <n v="162943" u="1"/>
        <n v="132685" u="1"/>
        <n v="124314" u="1"/>
        <n v="216583" u="1"/>
        <n v="260595" u="1"/>
        <n v="223460" u="1"/>
        <n v="142313" u="1"/>
        <n v="175322" u="1"/>
        <n v="138187" u="1"/>
        <n v="215208" u="1"/>
        <n v="127065" u="1"/>
        <n v="200079" u="1"/>
        <n v="244091" u="1"/>
        <n v="140938" u="1"/>
        <n v="162944" u="1"/>
        <n v="217959" u="1"/>
        <n v="132686" u="1"/>
        <n v="154692" u="1"/>
        <n v="216584" u="1"/>
        <n v="127753" u="1"/>
        <n v="135437" u="1"/>
        <n v="223461" u="1"/>
        <n v="27915" u="1"/>
        <n v="138188" u="1"/>
        <n v="49538" u="1"/>
        <n v="77552" u="1"/>
        <n v="145065" u="1"/>
        <n v="244092" u="1"/>
        <n v="140939" u="1"/>
        <n v="162945" u="1"/>
        <n v="217960" u="1"/>
        <n v="154693" u="1"/>
        <n v="198705" u="1"/>
        <n v="124315" u="1"/>
        <n v="216585" u="1"/>
        <n v="135438" u="1"/>
        <n v="245468" u="1"/>
        <n v="142315" u="1"/>
        <n v="138189" u="1"/>
        <n v="127066" u="1"/>
        <n v="145066" u="1"/>
        <n v="200081" u="1"/>
        <n v="244093" u="1"/>
        <n v="140940" u="1"/>
        <n v="162946" u="1"/>
        <n v="217961" u="1"/>
        <n v="228964" u="1"/>
        <n v="132688" u="1"/>
        <n v="154694" u="1"/>
        <n v="14671" u="1"/>
        <n v="205583" u="1"/>
        <n v="216586" u="1"/>
        <n v="127754" u="1"/>
        <n v="201457" u="1"/>
        <n v="142316" u="1"/>
        <n v="138190" u="1"/>
        <n v="77553" u="1"/>
        <n v="145067" u="1"/>
        <n v="156070" u="1"/>
        <n v="244094" u="1"/>
        <n v="140941" u="1"/>
        <n v="162947" u="1"/>
        <n v="154695" u="1"/>
        <n v="216587" u="1"/>
        <n v="142317" u="1"/>
        <n v="138191" u="1"/>
        <n v="145068" u="1"/>
        <n v="244095" u="1"/>
        <n v="140942" u="1"/>
        <n v="162948" u="1"/>
        <n v="228966" u="1"/>
        <n v="132690" u="1"/>
        <n v="165699" u="1"/>
        <n v="205585" u="1"/>
        <n v="127755" u="1"/>
        <n v="201459" u="1"/>
        <n v="142318" u="1"/>
        <n v="138192" u="1"/>
        <n v="49539" u="1"/>
        <n v="77554" u="1"/>
        <n v="145069" u="1"/>
        <n v="200084" u="1"/>
        <n v="244096" u="1"/>
        <n v="162949" u="1"/>
        <n v="217964" u="1"/>
        <n v="95434" u="1"/>
        <n v="128443" u="1"/>
        <n v="231718" u="1"/>
        <n v="124317" u="1"/>
        <n v="205586" u="1"/>
        <n v="201460" u="1"/>
        <n v="142319" u="1"/>
        <n v="129131" u="1"/>
        <n v="138193" u="1"/>
        <n v="226217" u="1"/>
        <n v="127068" u="1"/>
        <n v="145070" u="1"/>
        <n v="140944" u="1"/>
        <n v="162950" u="1"/>
        <n v="228968" u="1"/>
        <n v="15187" u="1"/>
        <n v="132692" u="1"/>
        <n v="198710" u="1"/>
        <n v="142320" u="1"/>
        <n v="138194" u="1"/>
        <n v="226218" u="1"/>
        <n v="145071" u="1"/>
        <n v="156074" u="1"/>
        <n v="200086" u="1"/>
        <n v="244098" u="1"/>
        <n v="140945" u="1"/>
        <n v="95435" u="1"/>
        <n v="128444" u="1"/>
        <n v="147822" u="1"/>
        <n v="231720" u="1"/>
        <n v="124318" u="1"/>
        <n v="205588" u="1"/>
        <n v="216591" u="1"/>
        <n v="190459" u="1"/>
        <n v="142321" u="1"/>
        <n v="129132" u="1"/>
        <n v="138195" u="1"/>
        <n v="145072" u="1"/>
        <n v="200087" u="1"/>
        <n v="244099" u="1"/>
        <n v="11061" u="1"/>
        <n v="132694" u="1"/>
        <n v="231721" u="1"/>
        <n v="139571" u="1"/>
        <n v="205589" u="1"/>
        <n v="216592" u="1"/>
        <n v="135445" u="1"/>
        <n v="190460" u="1"/>
        <n v="201463" u="1"/>
        <n v="125694" u="1"/>
        <n v="142322" u="1"/>
        <n v="27916" u="1"/>
        <n v="138196" u="1"/>
        <n v="49540" u="1"/>
        <n v="156076" u="1"/>
        <n v="244100" u="1"/>
        <n v="130508" u="1"/>
        <n v="217968" u="1"/>
        <n v="95436" u="1"/>
        <n v="128445" u="1"/>
        <n v="132695" u="1"/>
        <n v="231722" u="1"/>
        <n v="124319" u="1"/>
        <n v="205590" u="1"/>
        <n v="216593" u="1"/>
        <n v="135446" u="1"/>
        <n v="190461" u="1"/>
        <n v="129133" u="1"/>
        <n v="138197" u="1"/>
        <n v="127070" u="1"/>
        <n v="145074" u="1"/>
        <n v="217969" u="1"/>
        <n v="228972" u="1"/>
        <n v="132696" u="1"/>
        <n v="205591" u="1"/>
        <n v="216594" u="1"/>
        <n v="135447" u="1"/>
        <n v="190462" u="1"/>
        <n v="201465" u="1"/>
        <n v="125695" u="1"/>
        <n v="142324" u="1"/>
        <n v="138198" u="1"/>
        <n v="13640" u="1"/>
        <n v="244102" u="1"/>
        <n v="130509" u="1"/>
        <n v="140949" u="1"/>
        <n v="217970" u="1"/>
        <n v="95437" u="1"/>
        <n v="128446" u="1"/>
        <n v="132697" u="1"/>
        <n v="154703" u="1"/>
        <n v="124320" u="1"/>
        <n v="216595" u="1"/>
        <n v="135448" u="1"/>
        <n v="201466" u="1"/>
        <n v="9342" u="1"/>
        <n v="142325" u="1"/>
        <n v="129134" u="1"/>
        <n v="138199" u="1"/>
        <n v="145076" u="1"/>
        <n v="140950" u="1"/>
        <n v="217971" u="1"/>
        <n v="132698" u="1"/>
        <n v="231725" u="1"/>
        <n v="216596" u="1"/>
        <n v="127759" u="1"/>
        <n v="135449" u="1"/>
        <n v="190464" u="1"/>
        <n v="201467" u="1"/>
        <n v="142326" u="1"/>
        <n v="138200" u="1"/>
        <n v="49541" u="1"/>
        <n v="145077" u="1"/>
        <n v="244104" u="1"/>
        <n v="130510" u="1"/>
        <n v="140951" u="1"/>
        <n v="217972" u="1"/>
        <n v="95438" u="1"/>
        <n v="128447" u="1"/>
        <n v="132699" u="1"/>
        <n v="231726" u="1"/>
        <n v="124321" u="1"/>
        <n v="139576" u="1"/>
        <n v="205594" u="1"/>
        <n v="216597" u="1"/>
        <n v="157456" u="1"/>
        <n v="201468" u="1"/>
        <n v="142327" u="1"/>
        <n v="129135" u="1"/>
        <n v="138201" u="1"/>
        <n v="127072" u="1"/>
        <n v="145078" u="1"/>
        <n v="244105" u="1"/>
        <n v="140952" u="1"/>
        <n v="217973" u="1"/>
        <n v="154706" u="1"/>
        <n v="205595" u="1"/>
        <n v="216598" u="1"/>
        <n v="190466" u="1"/>
        <n v="201469" u="1"/>
        <n v="142328" u="1"/>
        <n v="138202" u="1"/>
        <n v="248232" u="1"/>
        <n v="145079" u="1"/>
        <n v="244106" u="1"/>
        <n v="130511" u="1"/>
        <n v="140953" u="1"/>
        <n v="95439" u="1"/>
        <n v="128448" u="1"/>
        <n v="132701" u="1"/>
        <n v="124322" u="1"/>
        <n v="216599" u="1"/>
        <n v="135452" u="1"/>
        <n v="201470" u="1"/>
        <n v="142329" u="1"/>
        <n v="175338" u="1"/>
        <n v="129136" u="1"/>
        <n v="138203" u="1"/>
        <n v="127073" u="1"/>
        <n v="145080" u="1"/>
        <n v="244107" u="1"/>
        <n v="140954" u="1"/>
        <n v="217975" u="1"/>
        <n v="132702" u="1"/>
        <n v="216600" u="1"/>
        <n v="135453" u="1"/>
        <n v="157459" u="1"/>
        <n v="201471" u="1"/>
        <n v="125698" u="1"/>
        <n v="142330" u="1"/>
        <n v="27917" u="1"/>
        <n v="138204" u="1"/>
        <n v="49542" u="1"/>
        <n v="145081" u="1"/>
        <n v="244108" u="1"/>
        <n v="140955" u="1"/>
        <n v="217976" u="1"/>
        <n v="95440" u="1"/>
        <n v="264583" u="1"/>
        <n v="132703" u="1"/>
        <n v="165712" u="1"/>
        <n v="124323" u="1"/>
        <n v="205598" u="1"/>
        <n v="216601" u="1"/>
        <n v="135454" u="1"/>
        <n v="157460" u="1"/>
        <n v="190469" u="1"/>
        <n v="201472" u="1"/>
        <n v="142331" u="1"/>
        <n v="175340" u="1"/>
        <n v="129137" u="1"/>
        <n v="138205" u="1"/>
        <n v="145082" u="1"/>
        <n v="244109" u="1"/>
        <n v="140956" u="1"/>
        <n v="173965" u="1"/>
        <n v="228980" u="1"/>
        <n v="147833" u="1"/>
        <n v="132704" u="1"/>
        <n v="127762" u="1"/>
        <n v="135455" u="1"/>
        <n v="190470" u="1"/>
        <n v="201473" u="1"/>
        <n v="125699" u="1"/>
        <n v="142332" u="1"/>
        <n v="153335" u="1"/>
        <n v="175341" u="1"/>
        <n v="138206" u="1"/>
        <n v="145083" u="1"/>
        <n v="244110" u="1"/>
        <n v="140957" u="1"/>
        <n v="228981" u="1"/>
        <n v="95441" u="1"/>
        <n v="132705" u="1"/>
        <n v="165714" u="1"/>
        <n v="124324" u="1"/>
        <n v="135456" u="1"/>
        <n v="201474" u="1"/>
        <n v="142333" u="1"/>
        <n v="153336" u="1"/>
        <n v="129138" u="1"/>
        <n v="138207" u="1"/>
        <n v="226231" u="1"/>
        <n v="145084" u="1"/>
        <n v="140958" u="1"/>
        <n v="228982" u="1"/>
        <n v="132706" u="1"/>
        <n v="165715" u="1"/>
        <n v="135457" u="1"/>
        <n v="201475" u="1"/>
        <n v="125700" u="1"/>
        <n v="142334" u="1"/>
        <n v="138208" u="1"/>
        <n v="226232" u="1"/>
        <n v="49543" u="1"/>
        <n v="130514" u="1"/>
        <n v="140959" u="1"/>
        <n v="217980" u="1"/>
        <n v="95442" u="1"/>
        <n v="128451" u="1"/>
        <n v="132707" u="1"/>
        <n v="143710" u="1"/>
        <n v="165716" u="1"/>
        <n v="124325" u="1"/>
        <n v="216605" u="1"/>
        <n v="89253" u="1"/>
        <n v="135458" u="1"/>
        <n v="201476" u="1"/>
        <n v="142335" u="1"/>
        <n v="153338" u="1"/>
        <n v="129139" u="1"/>
        <n v="138209" u="1"/>
        <n v="248239" u="1"/>
        <n v="127076" u="1"/>
        <n v="217981" u="1"/>
        <n v="228984" u="1"/>
        <n v="15188" u="1"/>
        <n v="132708" u="1"/>
        <n v="143711" u="1"/>
        <n v="165717" u="1"/>
        <n v="129827" u="1"/>
        <n v="135459" u="1"/>
        <n v="201477" u="1"/>
        <n v="234486" u="1"/>
        <n v="142336" u="1"/>
        <n v="153339" u="1"/>
        <n v="138210" u="1"/>
        <n v="226234" u="1"/>
        <n v="145087" u="1"/>
        <n v="244114" u="1"/>
        <n v="217982" u="1"/>
        <n v="95443" u="1"/>
        <n v="132709" u="1"/>
        <n v="143712" u="1"/>
        <n v="165718" u="1"/>
        <n v="231736" u="1"/>
        <n v="124326" u="1"/>
        <n v="216607" u="1"/>
        <n v="234487" u="1"/>
        <n v="142337" u="1"/>
        <n v="153340" u="1"/>
        <n v="129140" u="1"/>
        <n v="138211" u="1"/>
        <n v="127077" u="1"/>
        <n v="145088" u="1"/>
        <n v="244115" u="1"/>
        <n v="140962" u="1"/>
        <n v="173971" u="1"/>
        <n v="217983" u="1"/>
        <n v="11062" u="1"/>
        <n v="132710" u="1"/>
        <n v="143713" u="1"/>
        <n v="129828" u="1"/>
        <n v="205605" u="1"/>
        <n v="234488" u="1"/>
        <n v="125702" u="1"/>
        <n v="142338" u="1"/>
        <n v="153341" u="1"/>
        <n v="27918" u="1"/>
        <n v="138212" u="1"/>
        <n v="49544" u="1"/>
        <n v="145089" u="1"/>
        <n v="244116" u="1"/>
        <n v="140963" u="1"/>
        <n v="217984" u="1"/>
        <n v="95444" u="1"/>
        <n v="128453" u="1"/>
        <n v="132711" u="1"/>
        <n v="143714" u="1"/>
        <n v="124327" u="1"/>
        <n v="216609" u="1"/>
        <n v="234489" u="1"/>
        <n v="142339" u="1"/>
        <n v="153342" u="1"/>
        <n v="129141" u="1"/>
        <n v="138213" u="1"/>
        <n v="226237" u="1"/>
        <n v="156093" u="1"/>
        <n v="244117" u="1"/>
        <n v="17259" u="1"/>
        <n v="140964" u="1"/>
        <n v="173973" u="1"/>
        <n v="217985" u="1"/>
        <n v="143715" u="1"/>
        <n v="165721" u="1"/>
        <n v="135463" u="1"/>
        <n v="190478" u="1"/>
        <n v="125703" u="1"/>
        <n v="142340" u="1"/>
        <n v="138214" u="1"/>
        <n v="211109" u="1"/>
        <n v="244118" u="1"/>
        <n v="130517" u="1"/>
        <n v="140965" u="1"/>
        <n v="173974" u="1"/>
        <n v="217986" u="1"/>
        <n v="95445" u="1"/>
        <n v="132713" u="1"/>
        <n v="143716" u="1"/>
        <n v="124328" u="1"/>
        <n v="205608" u="1"/>
        <n v="142341" u="1"/>
        <n v="129142" u="1"/>
        <n v="138215" u="1"/>
        <n v="160221" u="1"/>
        <n v="226239" u="1"/>
        <n v="211110" u="1"/>
        <n v="244119" u="1"/>
        <n v="140966" u="1"/>
        <n v="173975" u="1"/>
        <n v="217987" u="1"/>
        <n v="120890" u="1"/>
        <n v="132714" u="1"/>
        <n v="143717" u="1"/>
        <n v="129830" u="1"/>
        <n v="238618" u="1"/>
        <n v="135465" u="1"/>
        <n v="234492" u="1"/>
        <n v="125704" u="1"/>
        <n v="142342" u="1"/>
        <n v="175351" u="1"/>
        <n v="138216" u="1"/>
        <n v="160222" u="1"/>
        <n v="49545" u="1"/>
        <n v="99572" u="1"/>
        <n v="244120" u="1"/>
        <n v="130518" u="1"/>
        <n v="140967" u="1"/>
        <n v="217988" u="1"/>
        <n v="95446" u="1"/>
        <n v="128455" u="1"/>
        <n v="132715" u="1"/>
        <n v="143718" u="1"/>
        <n v="124329" u="1"/>
        <n v="205610" u="1"/>
        <n v="216613" u="1"/>
        <n v="89257" u="1"/>
        <n v="201484" u="1"/>
        <n v="142343" u="1"/>
        <n v="129143" u="1"/>
        <n v="138217" u="1"/>
        <n v="226241" u="1"/>
        <n v="127080" u="1"/>
        <n v="244121" u="1"/>
        <n v="140968" u="1"/>
        <n v="162974" u="1"/>
        <n v="173977" u="1"/>
        <n v="217989" u="1"/>
        <n v="213863" u="1"/>
        <n v="132716" u="1"/>
        <n v="143719" u="1"/>
        <n v="231743" u="1"/>
        <n v="129831" u="1"/>
        <n v="172602" u="1"/>
        <n v="135467" u="1"/>
        <n v="201485" u="1"/>
        <n v="223491" u="1"/>
        <n v="125705" u="1"/>
        <n v="142344" u="1"/>
        <n v="138218" u="1"/>
        <n v="226242" u="1"/>
        <n v="99573" u="1"/>
        <n v="145095" u="1"/>
        <n v="244122" u="1"/>
        <n v="140969" u="1"/>
        <n v="173978" u="1"/>
        <n v="128456" u="1"/>
        <n v="132717" u="1"/>
        <n v="231744" u="1"/>
        <n v="91321" u="1"/>
        <n v="124330" u="1"/>
        <n v="89258" u="1"/>
        <n v="135468" u="1"/>
        <n v="201486" u="1"/>
        <n v="234495" u="1"/>
        <n v="142345" u="1"/>
        <n v="129144" u="1"/>
        <n v="138219" u="1"/>
        <n v="127081" u="1"/>
        <n v="145096" u="1"/>
        <n v="211114" u="1"/>
        <n v="244123" u="1"/>
        <n v="140970" u="1"/>
        <n v="162976" u="1"/>
        <n v="132718" u="1"/>
        <n v="143721" u="1"/>
        <n v="165727" u="1"/>
        <n v="231745" u="1"/>
        <n v="129832" u="1"/>
        <n v="216616" u="1"/>
        <n v="135469" u="1"/>
        <n v="201487" u="1"/>
        <n v="234496" u="1"/>
        <n v="125706" u="1"/>
        <n v="142346" u="1"/>
        <n v="138220" u="1"/>
        <n v="226244" u="1"/>
        <n v="49546" u="1"/>
        <n v="99574" u="1"/>
        <n v="145097" u="1"/>
        <n v="156100" u="1"/>
        <n v="244124" u="1"/>
        <n v="140971" u="1"/>
        <n v="173980" u="1"/>
        <n v="262004" u="1"/>
        <n v="132719" u="1"/>
        <n v="143722" u="1"/>
        <n v="91322" u="1"/>
        <n v="124331" u="1"/>
        <n v="216617" u="1"/>
        <n v="89259" u="1"/>
        <n v="135470" u="1"/>
        <n v="201488" u="1"/>
        <n v="223494" u="1"/>
        <n v="234497" u="1"/>
        <n v="142347" u="1"/>
        <n v="129145" u="1"/>
        <n v="138221" u="1"/>
        <n v="127082" u="1"/>
        <n v="145098" u="1"/>
        <n v="140972" u="1"/>
        <n v="173981" u="1"/>
        <n v="132720" u="1"/>
        <n v="143723" u="1"/>
        <n v="231747" u="1"/>
        <n v="129833" u="1"/>
        <n v="216618" u="1"/>
        <n v="135471" u="1"/>
        <n v="234498" u="1"/>
        <n v="142348" u="1"/>
        <n v="138222" u="1"/>
        <n v="99575" u="1"/>
        <n v="145099" u="1"/>
        <n v="211117" u="1"/>
        <n v="244126" u="1"/>
        <n v="140973" u="1"/>
        <n v="128458" u="1"/>
        <n v="132721" u="1"/>
        <n v="165730" u="1"/>
        <n v="231748" u="1"/>
        <n v="91323" u="1"/>
        <n v="124332" u="1"/>
        <n v="216619" u="1"/>
        <n v="89260" u="1"/>
        <n v="135472" u="1"/>
        <n v="223496" u="1"/>
        <n v="234499" u="1"/>
        <n v="142349" u="1"/>
        <n v="129146" u="1"/>
        <n v="138223" u="1"/>
        <n v="127083" u="1"/>
        <n v="145100" u="1"/>
        <n v="140974" u="1"/>
        <n v="162980" u="1"/>
        <n v="213869" u="1"/>
        <n v="132722" u="1"/>
        <n v="143725" u="1"/>
        <n v="165731" u="1"/>
        <n v="129834" u="1"/>
        <n v="205617" u="1"/>
        <n v="216620" u="1"/>
        <n v="238626" u="1"/>
        <n v="135473" u="1"/>
        <n v="234500" u="1"/>
        <n v="142350" u="1"/>
        <n v="138224" u="1"/>
        <n v="49547" u="1"/>
        <n v="99576" u="1"/>
        <n v="145101" u="1"/>
        <n v="140975" u="1"/>
        <n v="128459" u="1"/>
        <n v="213870" u="1"/>
        <n v="246879" u="1"/>
        <n v="132723" u="1"/>
        <n v="143726" u="1"/>
        <n v="165732" u="1"/>
        <n v="91324" u="1"/>
        <n v="124333" u="1"/>
        <n v="216621" u="1"/>
        <n v="238627" u="1"/>
        <n v="89261" u="1"/>
        <n v="135474" u="1"/>
        <n v="157480" u="1"/>
        <n v="142351" u="1"/>
        <n v="129147" u="1"/>
        <n v="138225" u="1"/>
        <n v="127084" u="1"/>
        <n v="145102" u="1"/>
        <n v="211120" u="1"/>
        <n v="140976" u="1"/>
        <n v="162982" u="1"/>
        <n v="213871" u="1"/>
        <n v="132724" u="1"/>
        <n v="143727" u="1"/>
        <n v="165733" u="1"/>
        <n v="129835" u="1"/>
        <n v="216622" u="1"/>
        <n v="135475" u="1"/>
        <n v="234502" u="1"/>
        <n v="125709" u="1"/>
        <n v="142352" u="1"/>
        <n v="175361" u="1"/>
        <n v="138226" u="1"/>
        <n v="99577" u="1"/>
        <n v="145103" u="1"/>
        <n v="128460" u="1"/>
        <n v="213872" u="1"/>
        <n v="132725" u="1"/>
        <n v="165734" u="1"/>
        <n v="91325" u="1"/>
        <n v="124334" u="1"/>
        <n v="216623" u="1"/>
        <n v="89262" u="1"/>
        <n v="135476" u="1"/>
        <n v="234503" u="1"/>
        <n v="142353" u="1"/>
        <n v="129148" u="1"/>
        <n v="138227" u="1"/>
        <n v="127085" u="1"/>
        <n v="145104" u="1"/>
        <n v="156107" u="1"/>
        <n v="140978" u="1"/>
        <n v="213873" u="1"/>
        <n v="132726" u="1"/>
        <n v="143729" u="1"/>
        <n v="165735" u="1"/>
        <n v="205621" u="1"/>
        <n v="216624" u="1"/>
        <n v="135477" u="1"/>
        <n v="234504" u="1"/>
        <n v="125710" u="1"/>
        <n v="153357" u="1"/>
        <n v="11149" u="1"/>
        <n v="27920" u="1"/>
        <n v="138228" u="1"/>
        <n v="49548" u="1"/>
        <n v="99578" u="1"/>
        <n v="145105" u="1"/>
        <n v="140979" u="1"/>
        <n v="173988" u="1"/>
        <n v="128461" u="1"/>
        <n v="213874" u="1"/>
        <n v="132727" u="1"/>
        <n v="143730" u="1"/>
        <n v="165736" u="1"/>
        <n v="91326" u="1"/>
        <n v="124335" u="1"/>
        <n v="89263" u="1"/>
        <n v="135478" u="1"/>
        <n v="234505" u="1"/>
        <n v="175364" u="1"/>
        <n v="138229" u="1"/>
        <n v="127086" u="1"/>
        <n v="145106" u="1"/>
        <n v="156109" u="1"/>
        <n v="140980" u="1"/>
        <n v="162986" u="1"/>
        <n v="122960" u="1"/>
        <n v="213875" u="1"/>
        <n v="132728" u="1"/>
        <n v="165737" u="1"/>
        <n v="176740" u="1"/>
        <n v="129837" u="1"/>
        <n v="216626" u="1"/>
        <n v="135479" u="1"/>
        <n v="190494" u="1"/>
        <n v="234506" u="1"/>
        <n v="125711" u="1"/>
        <n v="138230" u="1"/>
        <n v="99579" u="1"/>
        <n v="145107" u="1"/>
        <n v="140981" u="1"/>
        <n v="128462" u="1"/>
        <n v="213876" u="1"/>
        <n v="132729" u="1"/>
        <n v="143732" u="1"/>
        <n v="165738" u="1"/>
        <n v="91327" u="1"/>
        <n v="124336" u="1"/>
        <n v="205624" u="1"/>
        <n v="216627" u="1"/>
        <n v="89264" u="1"/>
        <n v="146483" u="1"/>
        <n v="234507" u="1"/>
        <n v="138231" u="1"/>
        <n v="127087" u="1"/>
        <n v="145108" u="1"/>
        <n v="156111" u="1"/>
        <n v="140982" u="1"/>
        <n v="132730" u="1"/>
        <n v="143733" u="1"/>
        <n v="129838" u="1"/>
        <n v="205625" u="1"/>
        <n v="216628" u="1"/>
        <n v="146484" u="1"/>
        <n v="234508" u="1"/>
        <n v="125712" u="1"/>
        <n v="138232" u="1"/>
        <n v="229" u="1"/>
        <n v="49549" u="1"/>
        <n v="99580" u="1"/>
        <n v="145109" u="1"/>
        <n v="140983" u="1"/>
        <n v="229007" u="1"/>
        <n v="128463" u="1"/>
        <n v="132731" u="1"/>
        <n v="143734" u="1"/>
        <n v="165740" u="1"/>
        <n v="91328" u="1"/>
        <n v="124337" u="1"/>
        <n v="205626" u="1"/>
        <n v="216629" u="1"/>
        <n v="89265" u="1"/>
        <n v="135482" u="1"/>
        <n v="146485" u="1"/>
        <n v="190497" u="1"/>
        <n v="223506" u="1"/>
        <n v="234509" u="1"/>
        <n v="131356" u="1"/>
        <n v="138233" u="1"/>
        <n v="127088" u="1"/>
        <n v="145110" u="1"/>
        <n v="156113" u="1"/>
        <n v="140984" u="1"/>
        <n v="173993" u="1"/>
        <n v="132732" u="1"/>
        <n v="143735" u="1"/>
        <n v="165741" u="1"/>
        <n v="176744" u="1"/>
        <n v="129839" u="1"/>
        <n v="216630" u="1"/>
        <n v="135483" u="1"/>
        <n v="146486" u="1"/>
        <n v="234510" u="1"/>
        <n v="125713" u="1"/>
        <n v="131357" u="1"/>
        <n v="175369" u="1"/>
        <n v="138234" u="1"/>
        <n v="99581" u="1"/>
        <n v="145111" u="1"/>
        <n v="140985" u="1"/>
        <n v="128464" u="1"/>
        <n v="132733" u="1"/>
        <n v="143736" u="1"/>
        <n v="91329" u="1"/>
        <n v="124338" u="1"/>
        <n v="216631" u="1"/>
        <n v="89266" u="1"/>
        <n v="135484" u="1"/>
        <n v="146487" u="1"/>
        <n v="190499" u="1"/>
        <n v="234511" u="1"/>
        <n v="131358" u="1"/>
        <n v="138235" u="1"/>
        <n v="127089" u="1"/>
        <n v="145112" u="1"/>
        <n v="156115" u="1"/>
        <n v="211130" u="1"/>
        <n v="140986" u="1"/>
        <n v="132734" u="1"/>
        <n v="143737" u="1"/>
        <n v="129840" u="1"/>
        <n v="216632" u="1"/>
        <n v="135485" u="1"/>
        <n v="146488" u="1"/>
        <n v="234512" u="1"/>
        <n v="125714" u="1"/>
        <n v="131359" u="1"/>
        <n v="27921" u="1"/>
        <n v="123651" u="1"/>
        <n v="138236" u="1"/>
        <n v="49550" u="1"/>
        <n v="99582" u="1"/>
        <n v="145113" u="1"/>
        <n v="156116" u="1"/>
        <n v="244140" u="1"/>
        <n v="140987" u="1"/>
        <n v="132735" u="1"/>
        <n v="143738" u="1"/>
        <n v="124339" u="1"/>
        <n v="216633" u="1"/>
        <n v="89267" u="1"/>
        <n v="135486" u="1"/>
        <n v="146489" u="1"/>
        <n v="223510" u="1"/>
        <n v="234513" u="1"/>
        <n v="131360" u="1"/>
        <n v="175372" u="1"/>
        <n v="138237" u="1"/>
        <n v="127090" u="1"/>
        <n v="145114" u="1"/>
        <n v="140988" u="1"/>
        <n v="132736" u="1"/>
        <n v="143739" u="1"/>
        <n v="129841" u="1"/>
        <n v="216634" u="1"/>
        <n v="135487" u="1"/>
        <n v="146490" u="1"/>
        <n v="234514" u="1"/>
        <n v="125715" u="1"/>
        <n v="131361" u="1"/>
        <n v="4857" u="1"/>
        <n v="138238" u="1"/>
        <n v="21904" u="1"/>
        <n v="99583" u="1"/>
        <n v="145115" u="1"/>
        <n v="156118" u="1"/>
        <n v="130529" u="1"/>
        <n v="140989" u="1"/>
        <n v="162995" u="1"/>
        <n v="132737" u="1"/>
        <n v="143740" u="1"/>
        <n v="124340" u="1"/>
        <n v="89268" u="1"/>
        <n v="135488" u="1"/>
        <n v="146491" u="1"/>
        <n v="223512" u="1"/>
        <n v="131362" u="1"/>
        <n v="175374" u="1"/>
        <n v="138239" u="1"/>
        <n v="127091" u="1"/>
        <n v="156119" u="1"/>
        <n v="244143" u="1"/>
        <n v="140990" u="1"/>
        <n v="162996" u="1"/>
        <n v="173999" u="1"/>
        <n v="229014" u="1"/>
        <n v="147867" u="1"/>
        <n v="143741" u="1"/>
        <n v="129842" u="1"/>
        <n v="216636" u="1"/>
        <n v="135489" u="1"/>
        <n v="146492" u="1"/>
        <n v="223513" u="1"/>
        <n v="125716" u="1"/>
        <n v="131363" u="1"/>
        <n v="175375" u="1"/>
        <n v="123653" u="1"/>
        <n v="138240" u="1"/>
        <n v="49551" u="1"/>
        <n v="99584" u="1"/>
        <n v="145117" u="1"/>
        <n v="156120" u="1"/>
        <n v="244144" u="1"/>
        <n v="130530" u="1"/>
        <n v="140991" u="1"/>
        <n v="174000" u="1"/>
        <n v="246895" u="1"/>
        <n v="93395" u="1"/>
        <n v="132739" u="1"/>
        <n v="143742" u="1"/>
        <n v="165748" u="1"/>
        <n v="124341" u="1"/>
        <n v="205634" u="1"/>
        <n v="216637" u="1"/>
        <n v="89269" u="1"/>
        <n v="135490" u="1"/>
        <n v="146493" u="1"/>
        <n v="223514" u="1"/>
        <n v="131364" u="1"/>
        <n v="175376" u="1"/>
        <n v="138241" u="1"/>
        <n v="226265" u="1"/>
        <n v="237268" u="1"/>
        <n v="145118" u="1"/>
        <n v="156121" u="1"/>
        <n v="244145" u="1"/>
        <n v="140992" u="1"/>
        <n v="174001" u="1"/>
        <n v="15190" u="1"/>
        <n v="147869" u="1"/>
        <n v="132740" u="1"/>
        <n v="143743" u="1"/>
        <n v="129843" u="1"/>
        <n v="135491" u="1"/>
        <n v="146494" u="1"/>
        <n v="125717" u="1"/>
        <n v="131365" u="1"/>
        <n v="153371" u="1"/>
        <n v="175377" u="1"/>
        <n v="241395" u="1"/>
        <n v="138242" u="1"/>
        <n v="99585" u="1"/>
        <n v="145119" u="1"/>
        <n v="156122" u="1"/>
        <n v="244146" u="1"/>
        <n v="130531" u="1"/>
        <n v="140993" u="1"/>
        <n v="128468" u="1"/>
        <n v="93396" u="1"/>
        <n v="132741" u="1"/>
        <n v="143744" u="1"/>
        <n v="231768" u="1"/>
        <n v="124342" u="1"/>
        <n v="238645" u="1"/>
        <n v="89270" u="1"/>
        <n v="135492" u="1"/>
        <n v="146495" u="1"/>
        <n v="138243" u="1"/>
        <n v="127093" u="1"/>
        <n v="145120" u="1"/>
        <n v="156123" u="1"/>
        <n v="140994" u="1"/>
        <n v="132742" u="1"/>
        <n v="143745" u="1"/>
        <n v="129844" u="1"/>
        <n v="135493" u="1"/>
        <n v="146496" u="1"/>
        <n v="125718" u="1"/>
        <n v="131367" u="1"/>
        <n v="175379" u="1"/>
        <n v="241397" u="1"/>
        <n v="11150" u="1"/>
        <n v="27922" u="1"/>
        <n v="123655" u="1"/>
        <n v="138244" u="1"/>
        <n v="160250" u="1"/>
        <n v="49552" u="1"/>
        <n v="99586" u="1"/>
        <n v="145121" u="1"/>
        <n v="156124" u="1"/>
        <n v="244148" u="1"/>
        <n v="130532" u="1"/>
        <n v="140995" u="1"/>
        <n v="128469" u="1"/>
        <n v="93397" u="1"/>
        <n v="132743" u="1"/>
        <n v="143746" u="1"/>
        <n v="198761" u="1"/>
        <n v="124343" u="1"/>
        <n v="216641" u="1"/>
        <n v="135494" u="1"/>
        <n v="146497" u="1"/>
        <n v="131368" u="1"/>
        <n v="175380" u="1"/>
        <n v="138245" u="1"/>
        <n v="226269" u="1"/>
        <n v="145122" u="1"/>
        <n v="156125" u="1"/>
        <n v="244149" u="1"/>
        <n v="140996" u="1"/>
        <n v="132744" u="1"/>
        <n v="143747" u="1"/>
        <n v="198762" u="1"/>
        <n v="129845" u="1"/>
        <n v="135495" u="1"/>
        <n v="146498" u="1"/>
        <n v="223519" u="1"/>
        <n v="92710" u="1"/>
        <n v="125719" u="1"/>
        <n v="131369" u="1"/>
        <n v="175381" u="1"/>
        <n v="241399" u="1"/>
        <n v="138246" u="1"/>
        <n v="13643" u="1"/>
        <n v="21905" u="1"/>
        <n v="145123" u="1"/>
        <n v="244150" u="1"/>
        <n v="130533" u="1"/>
        <n v="140997" u="1"/>
        <n v="240024" u="1"/>
        <n v="147874" u="1"/>
        <n v="143748" u="1"/>
        <n v="124344" u="1"/>
        <n v="146499" u="1"/>
        <n v="131370" u="1"/>
        <n v="138247" u="1"/>
        <n v="127095" u="1"/>
        <n v="145124" u="1"/>
        <n v="156127" u="1"/>
        <n v="244151" u="1"/>
        <n v="140998" u="1"/>
        <n v="174007" u="1"/>
        <n v="229022" u="1"/>
        <n v="240025" u="1"/>
        <n v="262031" u="1"/>
        <n v="132746" u="1"/>
        <n v="143749" u="1"/>
        <n v="198764" u="1"/>
        <n v="129846" u="1"/>
        <n v="161629" u="1"/>
        <n v="146500" u="1"/>
        <n v="125720" u="1"/>
        <n v="131371" u="1"/>
        <n v="123657" u="1"/>
        <n v="138248" u="1"/>
        <n v="49553" u="1"/>
        <n v="244152" u="1"/>
        <n v="130534" u="1"/>
        <n v="140999" u="1"/>
        <n v="163005" u="1"/>
        <n v="128471" u="1"/>
        <n v="132747" u="1"/>
        <n v="143750" u="1"/>
        <n v="124345" u="1"/>
        <n v="194639" u="1"/>
        <n v="146501" u="1"/>
        <n v="131372" u="1"/>
        <n v="241402" u="1"/>
        <n v="138249" u="1"/>
        <n v="244153" u="1"/>
        <n v="141000" u="1"/>
        <n v="229024" u="1"/>
        <n v="240027" u="1"/>
        <n v="147877" u="1"/>
        <n v="132748" u="1"/>
        <n v="143751" u="1"/>
        <n v="129847" u="1"/>
        <n v="125721" u="1"/>
        <n v="131373" u="1"/>
        <n v="241403" u="1"/>
        <n v="123658" u="1"/>
        <n v="138250" u="1"/>
        <n v="244154" u="1"/>
        <n v="130535" u="1"/>
        <n v="141001" u="1"/>
        <n v="240028" u="1"/>
        <n v="128472" u="1"/>
        <n v="132749" u="1"/>
        <n v="143752" u="1"/>
        <n v="124346" u="1"/>
        <n v="216647" u="1"/>
        <n v="146503" u="1"/>
        <n v="223524" u="1"/>
        <n v="131374" u="1"/>
        <n v="241404" u="1"/>
        <n v="138251" u="1"/>
        <n v="226275" u="1"/>
        <n v="244155" u="1"/>
        <n v="141002" u="1"/>
        <n v="229026" u="1"/>
        <n v="262035" u="1"/>
        <n v="165759" u="1"/>
        <n v="176762" u="1"/>
        <n v="216648" u="1"/>
        <n v="125722" u="1"/>
        <n v="241405" u="1"/>
        <n v="27923" u="1"/>
        <n v="123659" u="1"/>
        <n v="138252" u="1"/>
        <n v="49554" u="1"/>
        <n v="244156" u="1"/>
        <n v="141003" u="1"/>
        <n v="196018" u="1"/>
        <n v="229027" u="1"/>
        <n v="240030" u="1"/>
        <n v="262036" u="1"/>
        <n v="132751" u="1"/>
        <n v="143754" u="1"/>
        <n v="165760" u="1"/>
        <n v="176763" u="1"/>
        <n v="198769" u="1"/>
        <n v="124347" u="1"/>
        <n v="161634" u="1"/>
        <n v="216649" u="1"/>
        <n v="138253" u="1"/>
        <n v="149256" u="1"/>
        <n v="127098" u="1"/>
        <n v="262037" u="1"/>
        <n v="132752" u="1"/>
        <n v="143755" u="1"/>
        <n v="165761" u="1"/>
        <n v="129849" u="1"/>
        <n v="216650" u="1"/>
        <n v="223527" u="1"/>
        <n v="125723" u="1"/>
        <n v="131377" u="1"/>
        <n v="123660" u="1"/>
        <n v="244158" u="1"/>
        <n v="141005" u="1"/>
        <n v="262038" u="1"/>
        <n v="132753" u="1"/>
        <n v="143756" u="1"/>
        <n v="124348" u="1"/>
        <n v="161636" u="1"/>
        <n v="216651" u="1"/>
        <n v="146507" u="1"/>
        <n v="223528" u="1"/>
        <n v="131378" u="1"/>
        <n v="127099" u="1"/>
        <n v="134129" u="1"/>
        <n v="244159" u="1"/>
        <n v="141006" u="1"/>
        <n v="174015" u="1"/>
        <n v="213901" u="1"/>
        <n v="143757" u="1"/>
        <n v="165763" u="1"/>
        <n v="198772" u="1"/>
        <n v="129850" u="1"/>
        <n v="161637" u="1"/>
        <n v="216652" u="1"/>
        <n v="146508" u="1"/>
        <n v="125724" u="1"/>
        <n v="131379" u="1"/>
        <n v="123661" u="1"/>
        <n v="138256" u="1"/>
        <n v="49555" u="1"/>
        <n v="134130" u="1"/>
        <n v="141007" u="1"/>
        <n v="207025" u="1"/>
        <n v="229031" u="1"/>
        <n v="213902" u="1"/>
        <n v="132755" u="1"/>
        <n v="165764" u="1"/>
        <n v="198773" u="1"/>
        <n v="124349" u="1"/>
        <n v="216653" u="1"/>
        <n v="135506" u="1"/>
        <n v="146509" u="1"/>
        <n v="223530" u="1"/>
        <n v="256539" u="1"/>
        <n v="131380" u="1"/>
        <n v="164389" u="1"/>
        <n v="149260" u="1"/>
        <n v="127100" u="1"/>
        <n v="134131" u="1"/>
        <n v="125037" u="1"/>
        <n v="141008" u="1"/>
        <n v="174017" u="1"/>
        <n v="15191" u="1"/>
        <n v="78962" u="1"/>
        <n v="213903" u="1"/>
        <n v="132756" u="1"/>
        <n v="143759" u="1"/>
        <n v="165765" u="1"/>
        <n v="129851" u="1"/>
        <n v="216654" u="1"/>
        <n v="135507" u="1"/>
        <n v="146510" u="1"/>
        <n v="201525" u="1"/>
        <n v="223531" u="1"/>
        <n v="125725" u="1"/>
        <n v="131381" u="1"/>
        <n v="15277" u="1"/>
        <n v="138258" u="1"/>
        <n v="134132" u="1"/>
        <n v="244162" u="1"/>
        <n v="141009" u="1"/>
        <n v="163015" u="1"/>
        <n v="174018" u="1"/>
        <n v="229033" u="1"/>
        <n v="213904" u="1"/>
        <n v="93404" u="1"/>
        <n v="132757" u="1"/>
        <n v="143760" u="1"/>
        <n v="165766" u="1"/>
        <n v="176769" u="1"/>
        <n v="198775" u="1"/>
        <n v="124350" u="1"/>
        <n v="194649" u="1"/>
        <n v="216655" u="1"/>
        <n v="135508" u="1"/>
        <n v="146511" u="1"/>
        <n v="223532" u="1"/>
        <n v="131382" u="1"/>
        <n v="153388" u="1"/>
        <n v="138259" u="1"/>
        <n v="127101" u="1"/>
        <n v="134133" u="1"/>
        <n v="125038" u="1"/>
        <n v="141010" u="1"/>
        <n v="174019" u="1"/>
        <n v="165767" u="1"/>
        <n v="176770" u="1"/>
        <n v="129852" u="1"/>
        <n v="194650" u="1"/>
        <n v="216656" u="1"/>
        <n v="135509" u="1"/>
        <n v="146512" u="1"/>
        <n v="223533" u="1"/>
        <n v="125726" u="1"/>
        <n v="131383" u="1"/>
        <n v="27924" u="1"/>
        <n v="138260" u="1"/>
        <n v="149263" u="1"/>
        <n v="49556" u="1"/>
        <n v="134134" u="1"/>
        <n v="141011" u="1"/>
        <n v="174020" u="1"/>
        <n v="262044" u="1"/>
        <n v="93405" u="1"/>
        <n v="132759" u="1"/>
        <n v="143762" u="1"/>
        <n v="165768" u="1"/>
        <n v="176771" u="1"/>
        <n v="198777" u="1"/>
        <n v="194651" u="1"/>
        <n v="135510" u="1"/>
        <n v="146513" u="1"/>
        <n v="131384" u="1"/>
        <n v="138261" u="1"/>
        <n v="149264" u="1"/>
        <n v="127102" u="1"/>
        <n v="134135" u="1"/>
        <n v="125039" u="1"/>
        <n v="141012" u="1"/>
        <n v="174021" u="1"/>
        <n v="132760" u="1"/>
        <n v="143763" u="1"/>
        <n v="165769" u="1"/>
        <n v="198778" u="1"/>
        <n v="129853" u="1"/>
        <n v="161643" u="1"/>
        <n v="194652" u="1"/>
        <n v="135511" u="1"/>
        <n v="146514" u="1"/>
        <n v="201529" u="1"/>
        <n v="125727" u="1"/>
        <n v="131385" u="1"/>
        <n v="241415" u="1"/>
        <n v="138262" u="1"/>
        <n v="149265" u="1"/>
        <n v="134136" u="1"/>
        <n v="225" u="1"/>
        <n v="163019" u="1"/>
        <n v="174022" u="1"/>
        <n v="262046" u="1"/>
        <n v="213908" u="1"/>
        <n v="93406" u="1"/>
        <n v="132761" u="1"/>
        <n v="143764" u="1"/>
        <n v="124352" u="1"/>
        <n v="194653" u="1"/>
        <n v="216659" u="1"/>
        <n v="135512" u="1"/>
        <n v="146515" u="1"/>
        <n v="131386" u="1"/>
        <n v="153392" u="1"/>
        <n v="138263" u="1"/>
        <n v="4385" u="1"/>
        <n v="127103" u="1"/>
        <n v="134137" u="1"/>
        <n v="125040" u="1"/>
        <n v="141014" u="1"/>
        <n v="229038" u="1"/>
        <n v="262047" u="1"/>
        <n v="213909" u="1"/>
        <n v="143765" u="1"/>
        <n v="165771" u="1"/>
        <n v="129854" u="1"/>
        <n v="216660" u="1"/>
        <n v="135513" u="1"/>
        <n v="146516" u="1"/>
        <n v="223537" u="1"/>
        <n v="131387" u="1"/>
        <n v="123665" u="1"/>
        <n v="138264" u="1"/>
        <n v="149267" u="1"/>
        <n v="49557" u="1"/>
        <n v="141015" u="1"/>
        <n v="213910" u="1"/>
        <n v="224913" u="1"/>
        <n v="93407" u="1"/>
        <n v="132763" u="1"/>
        <n v="143766" u="1"/>
        <n v="165772" u="1"/>
        <n v="124353" u="1"/>
        <n v="216661" u="1"/>
        <n v="146517" u="1"/>
        <n v="16223" u="1"/>
        <n v="131388" u="1"/>
        <n v="208409" u="1"/>
        <n v="138265" u="1"/>
        <n v="149268" u="1"/>
        <n v="127104" u="1"/>
        <n v="125041" u="1"/>
        <n v="141016" u="1"/>
        <n v="147893" u="1"/>
        <n v="213911" u="1"/>
        <n v="224914" u="1"/>
        <n v="132764" u="1"/>
        <n v="143767" u="1"/>
        <n v="129855" u="1"/>
        <n v="161647" u="1"/>
        <n v="216662" u="1"/>
        <n v="135515" u="1"/>
        <n v="146518" u="1"/>
        <n v="125729" u="1"/>
        <n v="123666" u="1"/>
        <n v="138266" u="1"/>
        <n v="149269" u="1"/>
        <n v="226290" u="1"/>
        <n v="141017" u="1"/>
        <n v="213912" u="1"/>
        <n v="93408" u="1"/>
        <n v="132765" u="1"/>
        <n v="124354" u="1"/>
        <n v="150645" u="1"/>
        <n v="161648" u="1"/>
        <n v="216663" u="1"/>
        <n v="135516" u="1"/>
        <n v="146519" u="1"/>
        <n v="131390" u="1"/>
        <n v="164399" u="1"/>
        <n v="138267" u="1"/>
        <n v="149270" u="1"/>
        <n v="127105" u="1"/>
        <n v="134141" u="1"/>
        <n v="125042" u="1"/>
        <n v="141018" u="1"/>
        <n v="229042" u="1"/>
        <n v="213913" u="1"/>
        <n v="143769" u="1"/>
        <n v="242796" u="1"/>
        <n v="129856" u="1"/>
        <n v="135517" u="1"/>
        <n v="146520" u="1"/>
        <n v="125730" u="1"/>
        <n v="131391" u="1"/>
        <n v="27925" u="1"/>
        <n v="123667" u="1"/>
        <n v="138268" u="1"/>
        <n v="149271" u="1"/>
        <n v="49558" u="1"/>
        <n v="134142" u="1"/>
        <n v="141019" u="1"/>
        <n v="213914" u="1"/>
        <n v="93409" u="1"/>
        <n v="124355" u="1"/>
        <n v="161650" u="1"/>
        <n v="135518" u="1"/>
        <n v="146521" u="1"/>
        <n v="131392" u="1"/>
        <n v="138269" u="1"/>
        <n v="149272" u="1"/>
        <n v="127106" u="1"/>
        <n v="134143" u="1"/>
        <n v="125043" u="1"/>
        <n v="141020" u="1"/>
        <n v="174029" u="1"/>
        <n v="224918" u="1"/>
        <n v="132768" u="1"/>
        <n v="165777" u="1"/>
        <n v="176780" u="1"/>
        <n v="129857" u="1"/>
        <n v="161651" u="1"/>
        <n v="216666" u="1"/>
        <n v="135519" u="1"/>
        <n v="125731" u="1"/>
        <n v="131393" u="1"/>
        <n v="153399" u="1"/>
        <n v="4858" u="1"/>
        <n v="123668" u="1"/>
        <n v="138270" u="1"/>
        <n v="21908" u="1"/>
        <n v="141021" u="1"/>
        <n v="174030" u="1"/>
        <n v="229045" u="1"/>
        <n v="213916" u="1"/>
        <n v="93410" u="1"/>
        <n v="143772" u="1"/>
        <n v="165778" u="1"/>
        <n v="176781" u="1"/>
        <n v="124356" u="1"/>
        <n v="161652" u="1"/>
        <n v="135520" u="1"/>
        <n v="234547" u="1"/>
        <n v="131394" u="1"/>
        <n v="138271" u="1"/>
        <n v="127107" u="1"/>
        <n v="134145" u="1"/>
        <n v="125044" u="1"/>
        <n v="174031" u="1"/>
        <n v="213917" u="1"/>
        <n v="132770" u="1"/>
        <n v="165779" u="1"/>
        <n v="176782" u="1"/>
        <n v="129858" u="1"/>
        <n v="161653" u="1"/>
        <n v="194662" u="1"/>
        <n v="216668" u="1"/>
        <n v="227671" u="1"/>
        <n v="135521" u="1"/>
        <n v="146524" u="1"/>
        <n v="234548" u="1"/>
        <n v="125732" u="1"/>
        <n v="123669" u="1"/>
        <n v="138272" u="1"/>
        <n v="49559" u="1"/>
        <n v="134146" u="1"/>
        <n v="141023" u="1"/>
        <n v="174032" u="1"/>
        <n v="213918" u="1"/>
        <n v="93411" u="1"/>
        <n v="143774" u="1"/>
        <n v="165780" u="1"/>
        <n v="124357" u="1"/>
        <n v="216669" u="1"/>
        <n v="135522" u="1"/>
        <n v="234549" u="1"/>
        <n v="131396" u="1"/>
        <n v="164405" u="1"/>
        <n v="138273" u="1"/>
        <n v="244177" u="1"/>
        <n v="125045" u="1"/>
        <n v="174033" u="1"/>
        <n v="213919" u="1"/>
        <n v="132772" u="1"/>
        <n v="165781" u="1"/>
        <n v="176784" u="1"/>
        <n v="129859" u="1"/>
        <n v="216670" u="1"/>
        <n v="135523" u="1"/>
        <n v="146526" u="1"/>
        <n v="234550" u="1"/>
        <n v="125733" u="1"/>
        <n v="131397" u="1"/>
        <n v="164406" u="1"/>
        <n v="15278" u="1"/>
        <n v="123670" u="1"/>
        <n v="138274" u="1"/>
        <n v="149277" u="1"/>
        <n v="244178" u="1"/>
        <n v="141025" u="1"/>
        <n v="174034" u="1"/>
        <n v="262058" u="1"/>
        <n v="213920" u="1"/>
        <n v="93412" u="1"/>
        <n v="165782" u="1"/>
        <n v="198791" u="1"/>
        <n v="124358" u="1"/>
        <n v="135524" u="1"/>
        <n v="146527" u="1"/>
        <n v="234551" u="1"/>
        <n v="164407" u="1"/>
        <n v="138275" u="1"/>
        <n v="226299" u="1"/>
        <n v="125046" u="1"/>
        <n v="141026" u="1"/>
        <n v="262059" u="1"/>
        <n v="165783" u="1"/>
        <n v="198792" u="1"/>
        <n v="242804" u="1"/>
        <n v="129860" u="1"/>
        <n v="194666" u="1"/>
        <n v="135525" u="1"/>
        <n v="146528" u="1"/>
        <n v="234552" u="1"/>
        <n v="125734" u="1"/>
        <n v="131399" u="1"/>
        <n v="164408" u="1"/>
        <n v="11152" u="1"/>
        <n v="27926" u="1"/>
        <n v="123671" u="1"/>
        <n v="138276" u="1"/>
        <n v="49560" u="1"/>
        <n v="134150" u="1"/>
        <n v="141027" u="1"/>
        <n v="262060" u="1"/>
        <n v="128485" u="1"/>
        <n v="213922" u="1"/>
        <n v="93413" u="1"/>
        <n v="242805" u="1"/>
        <n v="194667" u="1"/>
        <n v="78284" u="1"/>
        <n v="135526" u="1"/>
        <n v="201544" u="1"/>
        <n v="234553" u="1"/>
        <n v="138277" u="1"/>
        <n v="125047" u="1"/>
        <n v="207046" u="1"/>
        <n v="262061" u="1"/>
        <n v="136902" u="1"/>
        <n v="213923" u="1"/>
        <n v="143779" u="1"/>
        <n v="198794" u="1"/>
        <n v="242806" u="1"/>
        <n v="129861" u="1"/>
        <n v="135527" u="1"/>
        <n v="146530" u="1"/>
        <n v="125735" u="1"/>
        <n v="241431" u="1"/>
        <n v="123672" u="1"/>
        <n v="138278" u="1"/>
        <n v="21909" u="1"/>
        <n v="134152" u="1"/>
        <n v="244182" u="1"/>
        <n v="141029" u="1"/>
        <n v="207047" u="1"/>
        <n v="262062" u="1"/>
        <n v="128486" u="1"/>
        <n v="213924" u="1"/>
        <n v="93414" u="1"/>
        <n v="143780" u="1"/>
        <n v="165786" u="1"/>
        <n v="194669" u="1"/>
        <n v="135528" u="1"/>
        <n v="146531" u="1"/>
        <n v="234555" u="1"/>
        <n v="131402" u="1"/>
        <n v="138279" u="1"/>
        <n v="127111" u="1"/>
        <n v="134153" u="1"/>
        <n v="141030" u="1"/>
        <n v="174039" u="1"/>
        <n v="213925" u="1"/>
        <n v="246934" u="1"/>
        <n v="165787" u="1"/>
        <n v="161661" u="1"/>
        <n v="249685" u="1"/>
        <n v="135529" u="1"/>
        <n v="146532" u="1"/>
        <n v="201547" u="1"/>
        <n v="234556" u="1"/>
        <n v="131403" u="1"/>
        <n v="123673" u="1"/>
        <n v="138280" u="1"/>
        <n v="49561" u="1"/>
        <n v="167163" u="1"/>
        <n v="244184" u="1"/>
        <n v="141031" u="1"/>
        <n v="174040" u="1"/>
        <n v="128487" u="1"/>
        <n v="93415" u="1"/>
        <n v="126424" u="1"/>
        <n v="165788" u="1"/>
        <n v="13989" u="1"/>
        <n v="161662" u="1"/>
        <n v="135530" u="1"/>
        <n v="146533" u="1"/>
        <n v="201548" u="1"/>
        <n v="234557" u="1"/>
        <n v="16224" u="1"/>
        <n v="131404" u="1"/>
        <n v="138281" u="1"/>
        <n v="127112" u="1"/>
        <n v="134155" u="1"/>
        <n v="244185" u="1"/>
        <n v="141032" u="1"/>
        <n v="174041" u="1"/>
        <n v="143783" u="1"/>
        <n v="165789" u="1"/>
        <n v="242810" u="1"/>
        <n v="129863" u="1"/>
        <n v="135531" u="1"/>
        <n v="146534" u="1"/>
        <n v="234558" u="1"/>
        <n v="125737" u="1"/>
        <n v="131405" u="1"/>
        <n v="123674" u="1"/>
        <n v="138282" u="1"/>
        <n v="149285" u="1"/>
        <n v="134156" u="1"/>
        <n v="152036" u="1"/>
        <n v="174042" u="1"/>
        <n v="128488" u="1"/>
        <n v="126425" u="1"/>
        <n v="143784" u="1"/>
        <n v="242811" u="1"/>
        <n v="135532" u="1"/>
        <n v="146535" u="1"/>
        <n v="179544" u="1"/>
        <n v="234559" u="1"/>
        <n v="131406" u="1"/>
        <n v="164415" u="1"/>
        <n v="241436" u="1"/>
        <n v="138283" u="1"/>
        <n v="149286" u="1"/>
        <n v="127113" u="1"/>
        <n v="134157" u="1"/>
        <n v="141034" u="1"/>
        <n v="152037" u="1"/>
        <n v="174043" u="1"/>
        <n v="213929" u="1"/>
        <n v="143785" u="1"/>
        <n v="129864" u="1"/>
        <n v="227683" u="1"/>
        <n v="135533" u="1"/>
        <n v="146536" u="1"/>
        <n v="234560" u="1"/>
        <n v="125738" u="1"/>
        <n v="131407" u="1"/>
        <n v="16924" u="1"/>
        <n v="27927" u="1"/>
        <n v="123675" u="1"/>
        <n v="138284" u="1"/>
        <n v="49562" u="1"/>
        <n v="141035" u="1"/>
        <n v="152038" u="1"/>
        <n v="128489" u="1"/>
        <n v="93417" u="1"/>
        <n v="126426" u="1"/>
        <n v="143786" u="1"/>
        <n v="242813" u="1"/>
        <n v="194675" u="1"/>
        <n v="135534" u="1"/>
        <n v="146537" u="1"/>
        <n v="179546" u="1"/>
        <n v="234561" u="1"/>
        <n v="131408" u="1"/>
        <n v="138285" u="1"/>
        <n v="149288" u="1"/>
        <n v="127114" u="1"/>
        <n v="134159" u="1"/>
        <n v="125051" u="1"/>
        <n v="141036" u="1"/>
        <n v="143787" u="1"/>
        <n v="242814" u="1"/>
        <n v="129865" u="1"/>
        <n v="161667" u="1"/>
        <n v="135535" u="1"/>
        <n v="146538" u="1"/>
        <n v="234562" u="1"/>
        <n v="125739" u="1"/>
        <n v="131409" u="1"/>
        <n v="164418" u="1"/>
        <n v="123676" u="1"/>
        <n v="138286" u="1"/>
        <n v="149289" u="1"/>
        <n v="226310" u="1"/>
        <n v="141037" u="1"/>
        <n v="128490" u="1"/>
        <n v="93418" u="1"/>
        <n v="126427" u="1"/>
        <n v="242815" u="1"/>
        <n v="161668" u="1"/>
        <n v="135536" u="1"/>
        <n v="146539" u="1"/>
        <n v="234563" u="1"/>
        <n v="138287" u="1"/>
        <n v="149290" u="1"/>
        <n v="134161" u="1"/>
        <n v="156167" u="1"/>
        <n v="141038" u="1"/>
        <n v="174047" u="1"/>
        <n v="229062" u="1"/>
        <n v="180924" u="1"/>
        <n v="143789" u="1"/>
        <n v="242816" u="1"/>
        <n v="161669" u="1"/>
        <n v="135537" u="1"/>
        <n v="146540" u="1"/>
        <n v="179549" u="1"/>
        <n v="125740" u="1"/>
        <n v="164420" u="1"/>
        <n v="123677" u="1"/>
        <n v="138288" u="1"/>
        <n v="49563" u="1"/>
        <n v="134162" u="1"/>
        <n v="244192" u="1"/>
        <n v="141039" u="1"/>
        <n v="174048" u="1"/>
        <n v="128491" u="1"/>
        <n v="213934" u="1"/>
        <n v="93419" u="1"/>
        <n v="126428" u="1"/>
        <n v="143790" u="1"/>
        <n v="135538" u="1"/>
        <n v="153418" u="1"/>
        <n v="138289" u="1"/>
        <n v="127116" u="1"/>
        <n v="134163" u="1"/>
        <n v="156169" u="1"/>
        <n v="244193" u="1"/>
        <n v="125053" u="1"/>
        <n v="229064" u="1"/>
        <n v="213935" u="1"/>
        <n v="143791" u="1"/>
        <n v="194680" u="1"/>
        <n v="135539" u="1"/>
        <n v="146542" u="1"/>
        <n v="131413" u="1"/>
        <n v="15279" u="1"/>
        <n v="123678" u="1"/>
        <n v="138290" u="1"/>
        <n v="134164" u="1"/>
        <n v="152044" u="1"/>
        <n v="229065" u="1"/>
        <n v="128492" u="1"/>
        <n v="213936" u="1"/>
        <n v="93420" u="1"/>
        <n v="126429" u="1"/>
        <n v="143792" u="1"/>
        <n v="161672" u="1"/>
        <n v="194681" u="1"/>
        <n v="135540" u="1"/>
        <n v="146543" u="1"/>
        <n v="245570" u="1"/>
        <n v="131414" u="1"/>
        <n v="164423" u="1"/>
        <n v="138291" u="1"/>
        <n v="127117" u="1"/>
        <n v="244195" u="1"/>
        <n v="125054" u="1"/>
        <n v="141042" u="1"/>
        <n v="213937" u="1"/>
        <n v="143793" u="1"/>
        <n v="161673" u="1"/>
        <n v="135541" u="1"/>
        <n v="146544" u="1"/>
        <n v="125742" u="1"/>
        <n v="131415" u="1"/>
        <n v="164424" u="1"/>
        <n v="11153" u="1"/>
        <n v="16925" u="1"/>
        <n v="27928" u="1"/>
        <n v="123679" u="1"/>
        <n v="138292" u="1"/>
        <n v="215313" u="1"/>
        <n v="49564" u="1"/>
        <n v="134166" u="1"/>
        <n v="244196" u="1"/>
        <n v="141043" u="1"/>
        <n v="128493" u="1"/>
        <n v="213938" u="1"/>
        <n v="246947" u="1"/>
        <n v="93421" u="1"/>
        <n v="126430" u="1"/>
        <n v="143794" u="1"/>
        <n v="135542" u="1"/>
        <n v="146545" u="1"/>
        <n v="131416" u="1"/>
        <n v="138293" u="1"/>
        <n v="127118" u="1"/>
        <n v="134167" u="1"/>
        <n v="244197" u="1"/>
        <n v="141044" u="1"/>
        <n v="174053" u="1"/>
        <n v="262077" u="1"/>
        <n v="213939" u="1"/>
        <n v="143795" u="1"/>
        <n v="161675" u="1"/>
        <n v="213940" u="1"/>
        <n v="93422" u="1"/>
        <n v="244199" u="1"/>
        <n v="216692" u="1"/>
        <n v="244200" u="1"/>
        <n v="93423" u="1"/>
        <n v="230447" u="1"/>
        <n v="244201" u="1"/>
        <n v="262081" u="1"/>
        <n v="246952" u="1"/>
        <n v="216694" u="1"/>
        <n v="229073" u="1"/>
        <n v="246953" u="1"/>
        <n v="93424" u="1"/>
        <n v="216695" u="1"/>
        <n v="278526" u="1"/>
        <n v="229074" u="1"/>
        <n v="246954" u="1"/>
        <n v="229075" u="1"/>
        <n v="93425" u="1"/>
        <n v="216697" u="1"/>
        <n v="260709" u="1"/>
        <n v="230451" u="1"/>
        <n v="244205" u="1"/>
        <n v="229076" u="1"/>
        <n v="216698" u="1"/>
        <n v="227701" u="1"/>
        <n v="260710" u="1"/>
        <n v="230452" u="1"/>
        <n v="244206" u="1"/>
        <n v="246957" u="1"/>
        <n v="93426" u="1"/>
        <n v="216699" u="1"/>
        <n v="260711" u="1"/>
        <n v="244207" u="1"/>
        <n v="246958" u="1"/>
        <n v="216700" u="1"/>
        <n v="260712" u="1"/>
        <n v="244208" u="1"/>
        <n v="262088" u="1"/>
        <n v="246959" u="1"/>
        <n v="93427" u="1"/>
        <n v="216701" u="1"/>
        <n v="227704" u="1"/>
        <n v="260713" u="1"/>
        <n v="98241" u="1"/>
        <n v="244209" u="1"/>
        <n v="229080" u="1"/>
        <n v="246960" u="1"/>
        <n v="216702" u="1"/>
        <n v="227705" u="1"/>
        <n v="260714" u="1"/>
        <n v="244210" u="1"/>
        <n v="229081" u="1"/>
        <n v="246961" u="1"/>
        <n v="93428" u="1"/>
        <n v="216703" u="1"/>
        <n v="260715" u="1"/>
        <n v="244211" u="1"/>
        <n v="262091" u="1"/>
        <n v="246962" u="1"/>
        <n v="216704" u="1"/>
        <n v="260716" u="1"/>
        <n v="262092" u="1"/>
        <n v="93429" u="1"/>
        <n v="216705" u="1"/>
        <n v="227708" u="1"/>
        <n v="260717" u="1"/>
        <n v="262093" u="1"/>
        <n v="216706" u="1"/>
        <n v="260718" u="1"/>
        <n v="262094" u="1"/>
        <n v="93430" u="1"/>
        <n v="216707" u="1"/>
        <n v="260719" u="1"/>
        <n v="262095" u="1"/>
        <n v="216708" u="1"/>
        <n v="227711" u="1"/>
        <n v="260720" u="1"/>
        <n v="262096" u="1"/>
        <n v="93431" u="1"/>
        <n v="242841" u="1"/>
        <n v="216709" u="1"/>
        <n v="245592" u="1"/>
        <n v="242842" u="1"/>
        <n v="216710" u="1"/>
        <n v="245593" u="1"/>
        <n v="262098" u="1"/>
        <n v="93432" u="1"/>
        <n v="242843" u="1"/>
        <n v="216711" u="1"/>
        <n v="218087" u="1"/>
        <n v="262099" u="1"/>
        <n v="242844" u="1"/>
        <n v="216712" u="1"/>
        <n v="215337" u="1"/>
        <n v="246971" u="1"/>
        <n v="93433" u="1"/>
        <n v="242845" u="1"/>
        <n v="216713" u="1"/>
        <n v="260725" u="1"/>
        <n v="218089" u="1"/>
        <n v="262101" u="1"/>
        <n v="246972" u="1"/>
        <n v="242846" u="1"/>
        <n v="216714" u="1"/>
        <n v="260726" u="1"/>
        <n v="262102" u="1"/>
        <n v="224967" u="1"/>
        <n v="246973" u="1"/>
        <n v="93434" u="1"/>
        <n v="242847" u="1"/>
        <n v="216715" u="1"/>
        <n v="245598" u="1"/>
        <n v="242848" u="1"/>
        <n v="216716" u="1"/>
        <n v="227719" u="1"/>
        <n v="245599" u="1"/>
        <n v="262104" u="1"/>
        <n v="93435" u="1"/>
        <n v="242849" u="1"/>
        <n v="216717" u="1"/>
        <n v="260729" u="1"/>
        <n v="245600" u="1"/>
        <n v="230471" u="1"/>
        <n v="218093" u="1"/>
        <n v="246976" u="1"/>
        <n v="242850" u="1"/>
        <n v="216718" u="1"/>
        <n v="260730" u="1"/>
        <n v="245601" u="1"/>
        <n v="218094" u="1"/>
        <n v="224971" u="1"/>
        <n v="246977" u="1"/>
        <n v="93436" u="1"/>
        <n v="242851" u="1"/>
        <n v="216719" u="1"/>
        <n v="260731" u="1"/>
        <n v="245602" u="1"/>
        <n v="248353" u="1"/>
        <n v="240101" u="1"/>
        <n v="246978" u="1"/>
        <n v="242852" u="1"/>
        <n v="278575" u="1"/>
        <n v="245603" u="1"/>
        <n v="230474" u="1"/>
        <n v="240102" u="1"/>
        <n v="93437" u="1"/>
        <n v="242853" u="1"/>
        <n v="216721" u="1"/>
        <n v="227724" u="1"/>
        <n v="260733" u="1"/>
        <n v="245604" u="1"/>
        <n v="278578" u="1"/>
        <n v="240103" u="1"/>
        <n v="224974" u="1"/>
        <n v="278579" u="1"/>
        <n v="216722" u="1"/>
        <n v="227725" u="1"/>
        <n v="260734" u="1"/>
        <n v="230476" u="1"/>
        <n v="240104" u="1"/>
        <n v="93438" u="1"/>
        <n v="242855" u="1"/>
        <n v="216723" u="1"/>
        <n v="227726" u="1"/>
        <n v="260735" u="1"/>
        <n v="230477" u="1"/>
        <n v="278582" u="1"/>
        <n v="260736" u="1"/>
        <n v="245607" u="1"/>
        <n v="93439" u="1"/>
        <n v="278585" u="1"/>
        <n v="216725" u="1"/>
        <n v="218101" u="1"/>
        <n v="216726" u="1"/>
        <n v="240108" u="1"/>
        <n v="93440" u="1"/>
        <n v="218103" u="1"/>
        <n v="240109" u="1"/>
        <n v="260740" u="1"/>
        <n v="93441" u="1"/>
        <n v="216729" u="1"/>
        <n v="281344" u="1"/>
        <n v="245612" u="1"/>
        <n v="230483" u="1"/>
        <n v="240111" u="1"/>
        <n v="93442" u="1"/>
        <n v="83815" u="1"/>
        <n v="245615" u="1"/>
        <n v="240114" u="1"/>
        <n v="93443" u="1"/>
        <n v="278601" u="1"/>
        <n v="260745" u="1"/>
        <n v="278602" u="1"/>
        <n v="83816" u="1"/>
        <n v="245617" u="1"/>
        <n v="240116" u="1"/>
        <n v="264851" u="1"/>
        <n v="93444" u="1"/>
        <n v="264852" u="1"/>
        <n v="260748" u="1"/>
        <n v="83817" u="1"/>
        <n v="245619" u="1"/>
        <n v="93445" u="1"/>
        <n v="260749" u="1"/>
        <n v="245620" u="1"/>
        <n v="260750" u="1"/>
        <n v="83818" u="1"/>
        <n v="245621" u="1"/>
        <n v="93446" u="1"/>
        <n v="245622" u="1"/>
        <n v="240121" u="1"/>
        <n v="83819" u="1"/>
        <n v="245623" u="1"/>
        <n v="93447" u="1"/>
        <n v="240123" u="1"/>
        <n v="83820" u="1"/>
        <n v="93448" u="1"/>
        <n v="78319" u="1"/>
        <n v="245626" u="1"/>
        <n v="83821" u="1"/>
        <n v="93449" u="1"/>
        <n v="78320" u="1"/>
        <n v="264874" u="1"/>
        <n v="281379" u="1"/>
        <n v="264875" u="1"/>
        <n v="93450" u="1"/>
        <n v="78321" u="1"/>
        <n v="225000" u="1"/>
        <n v="93451" u="1"/>
        <n v="78322" u="1"/>
        <n v="245632" u="1"/>
        <n v="240132" u="1"/>
        <n v="93452" u="1"/>
        <n v="78323" u="1"/>
        <n v="92765" u="1"/>
        <n v="240134" u="1"/>
        <n v="93453" u="1"/>
        <n v="78324" u="1"/>
        <n v="260766" u="1"/>
        <n v="215379" u="1"/>
        <n v="237385" u="1"/>
        <n v="93454" u="1"/>
        <n v="78325" u="1"/>
        <n v="227759" u="1"/>
        <n v="260768" u="1"/>
        <n v="93455" u="1"/>
        <n v="227760" u="1"/>
        <n v="260769" u="1"/>
        <n v="78326" u="1"/>
        <n v="227761" u="1"/>
        <n v="260770" u="1"/>
        <n v="215383" u="1"/>
        <n v="278652" u="1"/>
        <n v="93456" u="1"/>
        <n v="278653" u="1"/>
        <n v="78327" u="1"/>
        <n v="215384" u="1"/>
        <n v="278654" u="1"/>
        <n v="278655" u="1"/>
        <n v="227763" u="1"/>
        <n v="278656" u="1"/>
        <n v="225013" u="1"/>
        <n v="93457" u="1"/>
        <n v="278657" u="1"/>
        <n v="78328" u="1"/>
        <n v="215386" u="1"/>
        <n v="278658" u="1"/>
        <n v="270406" u="1"/>
        <n v="236017" u="1"/>
        <n v="278659" u="1"/>
        <n v="215387" u="1"/>
        <n v="278660" u="1"/>
        <n v="93458" u="1"/>
        <n v="278661" u="1"/>
        <n v="78329" u="1"/>
        <n v="240145" u="1"/>
        <n v="237395" u="1"/>
        <n v="93459" u="1"/>
        <n v="227768" u="1"/>
        <n v="78330" u="1"/>
        <n v="240147" u="1"/>
        <n v="94835" u="1"/>
        <n v="240148" u="1"/>
        <n v="93460" u="1"/>
        <n v="78331" u="1"/>
        <n v="245650" u="1"/>
        <n v="218143" u="1"/>
        <n v="278671" u="1"/>
        <n v="227771" u="1"/>
        <n v="94836" u="1"/>
        <n v="93461" u="1"/>
        <n v="227772" u="1"/>
        <n v="260781" u="1"/>
        <n v="78332" u="1"/>
        <n v="245652" u="1"/>
        <n v="260782" u="1"/>
        <n v="94837" u="1"/>
        <n v="245653" u="1"/>
        <n v="264923" u="1"/>
        <n v="93462" u="1"/>
        <n v="78333" u="1"/>
        <n v="245654" u="1"/>
        <n v="264924" u="1"/>
        <n v="218147" u="1"/>
        <n v="240153" u="1"/>
        <n v="227775" u="1"/>
        <n v="94838" u="1"/>
        <n v="245655" u="1"/>
        <n v="278680" u="1"/>
        <n v="240154" u="1"/>
        <n v="93463" u="1"/>
        <n v="78334" u="1"/>
        <n v="245656" u="1"/>
        <n v="240155" u="1"/>
        <n v="227777" u="1"/>
        <n v="260786" u="1"/>
        <n v="94839" u="1"/>
        <n v="245657" u="1"/>
        <n v="240156" u="1"/>
        <n v="93464" u="1"/>
        <n v="260787" u="1"/>
        <n v="78335" u="1"/>
        <n v="94152" u="1"/>
        <n v="218151" u="1"/>
        <n v="240157" u="1"/>
        <n v="94840" u="1"/>
        <n v="218152" u="1"/>
        <n v="93465" u="1"/>
        <n v="78336" u="1"/>
        <n v="94153" u="1"/>
        <n v="218153" u="1"/>
        <n v="240159" u="1"/>
        <n v="227781" u="1"/>
        <n v="94841" u="1"/>
        <n v="218154" u="1"/>
        <n v="251163" u="1"/>
        <n v="93466" u="1"/>
        <n v="278693" u="1"/>
        <n v="78337" u="1"/>
        <n v="94154" u="1"/>
        <n v="251164" u="1"/>
        <n v="225032" u="1"/>
        <n v="94842" u="1"/>
        <n v="245663" u="1"/>
        <n v="251165" u="1"/>
        <n v="93467" u="1"/>
        <n v="78338" u="1"/>
        <n v="245664" u="1"/>
        <n v="94155" u="1"/>
        <n v="251166" u="1"/>
        <n v="260794" u="1"/>
        <n v="94843" u="1"/>
        <n v="245665" u="1"/>
        <n v="240164" u="1"/>
        <n v="251167" u="1"/>
        <n v="225035" u="1"/>
        <n v="260795" u="1"/>
        <n v="78339" u="1"/>
        <n v="94156" u="1"/>
        <n v="251168" u="1"/>
        <n v="260796" u="1"/>
        <n v="94844" u="1"/>
        <n v="223661" u="1"/>
        <n v="218160" u="1"/>
        <n v="251169" u="1"/>
        <n v="78340" u="1"/>
        <n v="223662" u="1"/>
        <n v="94157" u="1"/>
        <n v="218161" u="1"/>
        <n v="251170" u="1"/>
        <n v="94845" u="1"/>
        <n v="223663" u="1"/>
        <n v="218162" u="1"/>
        <n v="251171" u="1"/>
        <n v="78341" u="1"/>
        <n v="223664" u="1"/>
        <n v="245670" u="1"/>
        <n v="94158" u="1"/>
        <n v="251172" u="1"/>
        <n v="94846" u="1"/>
        <n v="223665" u="1"/>
        <n v="251173" u="1"/>
        <n v="78342" u="1"/>
        <n v="223666" u="1"/>
        <n v="94159" u="1"/>
        <n v="251174" u="1"/>
        <n v="94847" u="1"/>
        <n v="223667" u="1"/>
        <n v="245673" u="1"/>
        <n v="251175" u="1"/>
        <n v="78343" u="1"/>
        <n v="223668" u="1"/>
        <n v="94160" u="1"/>
        <n v="251176" u="1"/>
        <n v="94848" u="1"/>
        <n v="223669" u="1"/>
        <n v="251177" u="1"/>
        <n v="278721" u="1"/>
        <n v="260805" u="1"/>
        <n v="78344" u="1"/>
        <n v="223670" u="1"/>
        <n v="278722" u="1"/>
        <n v="94161" u="1"/>
        <n v="251178" u="1"/>
        <n v="278723" u="1"/>
        <n v="227797" u="1"/>
        <n v="94849" u="1"/>
        <n v="245677" u="1"/>
        <n v="278724" u="1"/>
        <n v="218170" u="1"/>
        <n v="251179" u="1"/>
        <n v="223672" u="1"/>
        <n v="94162" u="1"/>
        <n v="251180" u="1"/>
        <n v="94850" u="1"/>
        <n v="223673" u="1"/>
        <n v="245679" u="1"/>
        <n v="238803" u="1"/>
        <n v="223674" u="1"/>
        <n v="94163" u="1"/>
        <n v="218173" u="1"/>
        <n v="238804" u="1"/>
        <n v="94851" u="1"/>
        <n v="223675" u="1"/>
        <n v="218174" u="1"/>
        <n v="238805" u="1"/>
        <n v="223676" u="1"/>
        <n v="245682" u="1"/>
        <n v="94164" u="1"/>
        <n v="238806" u="1"/>
        <n v="260812" u="1"/>
        <n v="94852" u="1"/>
        <n v="245683" u="1"/>
        <n v="238807" u="1"/>
        <n v="241558" u="1"/>
        <n v="94165" u="1"/>
        <n v="218177" u="1"/>
        <n v="238808" u="1"/>
        <n v="94853" u="1"/>
        <n v="244310" u="1"/>
        <n v="218178" u="1"/>
        <n v="238809" u="1"/>
        <n v="260815" u="1"/>
        <n v="94166" u="1"/>
        <n v="238810" u="1"/>
        <n v="260816" u="1"/>
        <n v="94854" u="1"/>
        <n v="223681" u="1"/>
        <n v="92791" u="1"/>
        <n v="238811" u="1"/>
        <n v="223682" u="1"/>
        <n v="241562" u="1"/>
        <n v="94167" u="1"/>
        <n v="238812" u="1"/>
        <n v="94855" u="1"/>
        <n v="230560" u="1"/>
        <n v="238813" u="1"/>
        <n v="241564" u="1"/>
        <n v="94168" u="1"/>
        <n v="238814" u="1"/>
        <n v="94856" u="1"/>
        <n v="92793" u="1"/>
        <n v="241565" u="1"/>
        <n v="218184" u="1"/>
        <n v="238815" u="1"/>
        <n v="94169" u="1"/>
        <n v="218185" u="1"/>
        <n v="238816" u="1"/>
        <n v="94857" u="1"/>
        <n v="223687" u="1"/>
        <n v="218186" u="1"/>
        <n v="238817" u="1"/>
        <n v="223688" u="1"/>
        <n v="94170" u="1"/>
        <n v="281509" u="1"/>
        <n v="238818" u="1"/>
        <n v="94858" u="1"/>
        <n v="223689" u="1"/>
        <n v="244320" u="1"/>
        <n v="238819" u="1"/>
        <n v="67351" u="1"/>
        <n v="94171" u="1"/>
        <n v="238820" u="1"/>
        <n v="94859" u="1"/>
        <n v="244322" u="1"/>
        <n v="242947" u="1"/>
        <n v="238821" u="1"/>
        <n v="67352" u="1"/>
        <n v="223692" u="1"/>
        <n v="241572" u="1"/>
        <n v="85232" u="1"/>
        <n v="94172" u="1"/>
        <n v="244323" u="1"/>
        <n v="229194" u="1"/>
        <n v="238822" u="1"/>
        <n v="223693" u="1"/>
        <n v="245699" u="1"/>
        <n v="244324" u="1"/>
        <n v="229195" u="1"/>
        <n v="238823" u="1"/>
        <n v="67353" u="1"/>
        <n v="223694" u="1"/>
        <n v="241574" u="1"/>
        <n v="85233" u="1"/>
        <n v="94173" u="1"/>
        <n v="244325" u="1"/>
        <n v="229196" u="1"/>
        <n v="238824" u="1"/>
        <n v="260830" u="1"/>
        <n v="223695" u="1"/>
        <n v="244326" u="1"/>
        <n v="229197" u="1"/>
        <n v="67354" u="1"/>
        <n v="223696" u="1"/>
        <n v="85234" u="1"/>
        <n v="278774" u="1"/>
        <n v="94174" u="1"/>
        <n v="244327" u="1"/>
        <n v="218195" u="1"/>
        <n v="229198" u="1"/>
        <n v="278775" u="1"/>
        <n v="238826" u="1"/>
        <n v="260832" u="1"/>
        <n v="223697" u="1"/>
        <n v="278776" u="1"/>
        <n v="244328" u="1"/>
        <n v="238827" u="1"/>
        <n v="260833" u="1"/>
        <n v="67355" u="1"/>
        <n v="223698" u="1"/>
        <n v="245704" u="1"/>
        <n v="85235" u="1"/>
        <n v="94175" u="1"/>
        <n v="260834" u="1"/>
        <n v="245705" u="1"/>
        <n v="244330" u="1"/>
        <n v="218198" u="1"/>
        <n v="260835" u="1"/>
        <n v="67356" u="1"/>
        <n v="245706" u="1"/>
        <n v="262277" u="1"/>
        <n v="85236" u="1"/>
        <n v="94176" u="1"/>
        <n v="262278" u="1"/>
        <n v="245707" u="1"/>
        <n v="265031" u="1"/>
        <n v="67357" u="1"/>
        <n v="245708" u="1"/>
        <n v="265032" u="1"/>
        <n v="85237" u="1"/>
        <n v="94177" u="1"/>
        <n v="265033" u="1"/>
        <n v="265034" u="1"/>
        <n v="265035" u="1"/>
        <n v="67358" u="1"/>
        <n v="265036" u="1"/>
        <n v="85238" u="1"/>
        <n v="94178" u="1"/>
        <n v="241585" u="1"/>
        <n v="265038" u="1"/>
        <n v="265039" u="1"/>
        <n v="245712" u="1"/>
        <n v="248" u="1"/>
        <n v="85239" u="1"/>
        <n v="94179" u="1"/>
        <n v="229208" u="1"/>
        <n v="245713" u="1"/>
        <n v="229209" u="1"/>
        <n v="238837" u="1"/>
        <n v="245714" u="1"/>
        <n v="85240" u="1"/>
        <n v="94180" u="1"/>
        <n v="81114" u="1"/>
        <n v="229210" u="1"/>
        <n v="238838" u="1"/>
        <n v="223709" u="1"/>
        <n v="241589" u="1"/>
        <n v="229211" u="1"/>
        <n v="238839" u="1"/>
        <n v="223710" u="1"/>
        <n v="241590" u="1"/>
        <n v="85241" u="1"/>
        <n v="94181" u="1"/>
        <n v="281553" u="1"/>
        <n v="81115" u="1"/>
        <n v="281554" u="1"/>
        <n v="223711" u="1"/>
        <n v="265050" u="1"/>
        <n v="244342" u="1"/>
        <n v="281555" u="1"/>
        <n v="229213" u="1"/>
        <n v="238841" u="1"/>
        <n v="281556" u="1"/>
        <n v="223712" u="1"/>
        <n v="265052" u="1"/>
        <n v="85242" u="1"/>
        <n v="81116" u="1"/>
        <n v="247094" u="1"/>
        <n v="265053" u="1"/>
        <n v="223713" u="1"/>
        <n v="241593" u="1"/>
        <n v="265054" u="1"/>
        <n v="223714" u="1"/>
        <n v="85243" u="1"/>
        <n v="81117" u="1"/>
        <n v="265057" u="1"/>
        <n v="223715" u="1"/>
        <n v="244346" u="1"/>
        <n v="223716" u="1"/>
        <n v="245722" u="1"/>
        <n v="85244" u="1"/>
        <n v="244347" u="1"/>
        <n v="81118" u="1"/>
        <n v="251224" u="1"/>
        <n v="231969" u="1"/>
        <n v="223717" u="1"/>
        <n v="245723" u="1"/>
        <n v="244348" u="1"/>
        <n v="223718" u="1"/>
        <n v="245724" u="1"/>
        <n v="265064" u="1"/>
        <n v="85245" u="1"/>
        <n v="244349" u="1"/>
        <n v="223719" u="1"/>
        <n v="215467" u="1"/>
        <n v="244350" u="1"/>
        <n v="251227" u="1"/>
        <n v="85246" u="1"/>
        <n v="223721" u="1"/>
        <n v="244352" u="1"/>
        <n v="85247" u="1"/>
        <n v="244354" u="1"/>
        <n v="85248" u="1"/>
        <n v="244355" u="1"/>
        <n v="251232" u="1"/>
        <n v="247106" u="1"/>
        <n v="216848" u="1"/>
        <n v="244356" u="1"/>
        <n v="85249" u="1"/>
        <n v="244357" u="1"/>
        <n v="216850" u="1"/>
        <n v="244358" u="1"/>
        <n v="75622" u="1"/>
        <n v="262332" u="1"/>
        <n v="216851" u="1"/>
        <n v="262333" u="1"/>
        <n v="85250" u="1"/>
        <n v="244359" u="1"/>
        <n v="251236" u="1"/>
        <n v="244360" u="1"/>
        <n v="251237" u="1"/>
        <n v="85251" u="1"/>
        <n v="244361" u="1"/>
        <n v="251238" u="1"/>
        <n v="247112" u="1"/>
        <n v="244362" u="1"/>
        <n v="247113" u="1"/>
        <n v="223732" u="1"/>
        <n v="85252" u="1"/>
        <n v="244363" u="1"/>
        <n v="247114" u="1"/>
        <n v="216856" u="1"/>
        <n v="223733" u="1"/>
        <n v="244364" u="1"/>
        <n v="247115" u="1"/>
        <n v="231986" u="1"/>
        <n v="216857" u="1"/>
        <n v="223734" u="1"/>
        <n v="85253" u="1"/>
        <n v="244365" u="1"/>
        <n v="216858" u="1"/>
        <n v="223735" u="1"/>
        <n v="244366" u="1"/>
        <n v="216859" u="1"/>
        <n v="223736" u="1"/>
        <n v="244" u="1"/>
        <n v="85254" u="1"/>
        <n v="244367" u="1"/>
        <n v="223737" u="1"/>
        <n v="244368" u="1"/>
        <n v="223738" u="1"/>
        <n v="85255" u="1"/>
        <n v="244369" u="1"/>
        <n v="262354" u="1"/>
        <n v="223739" u="1"/>
        <n v="241619" u="1"/>
        <n v="244370" u="1"/>
        <n v="262356" u="1"/>
        <n v="262357" u="1"/>
        <n v="85256" u="1"/>
        <n v="244371" u="1"/>
        <n v="262358" u="1"/>
        <n v="244372" u="1"/>
        <n v="85257" u="1"/>
        <n v="244373" u="1"/>
        <n v="223743" u="1"/>
        <n v="244374" u="1"/>
        <n v="218242" u="1"/>
        <n v="85258" u="1"/>
        <n v="244375" u="1"/>
        <n v="262366" u="1"/>
        <n v="244376" u="1"/>
        <n v="251253" u="1"/>
        <n v="85259" u="1"/>
        <n v="244377" u="1"/>
        <n v="262370" u="1"/>
        <n v="77007" u="1"/>
        <n v="223747" u="1"/>
        <n v="244378" u="1"/>
        <n v="238877" u="1"/>
        <n v="85260" u="1"/>
        <n v="244379" u="1"/>
        <n v="262374" u="1"/>
        <n v="77008" u="1"/>
        <n v="238878" u="1"/>
        <n v="223749" u="1"/>
        <n v="262375" u="1"/>
        <n v="244380" u="1"/>
        <n v="251257" u="1"/>
        <n v="281632" u="1"/>
        <n v="262377" u="1"/>
        <n v="85261" u="1"/>
        <n v="244381" u="1"/>
        <n v="251258" u="1"/>
        <n v="262378" u="1"/>
        <n v="223751" u="1"/>
        <n v="241631" u="1"/>
        <n v="244382" u="1"/>
        <n v="251259" u="1"/>
        <n v="216875" u="1"/>
        <n v="223752" u="1"/>
        <n v="85262" u="1"/>
        <n v="244383" u="1"/>
        <n v="251260" u="1"/>
        <n v="262383" u="1"/>
        <n v="244384" u="1"/>
        <n v="229255" u="1"/>
        <n v="251261" u="1"/>
        <n v="262384" u="1"/>
        <n v="262385" u="1"/>
        <n v="85263" u="1"/>
        <n v="251262" u="1"/>
        <n v="262386" u="1"/>
        <n v="262387" u="1"/>
        <n v="244386" u="1"/>
        <n v="251263" u="1"/>
        <n v="262388" u="1"/>
        <n v="238885" u="1"/>
        <n v="262389" u="1"/>
        <n v="251264" u="1"/>
        <n v="262390" u="1"/>
        <n v="262391" u="1"/>
        <n v="251265" u="1"/>
        <n v="262393" u="1"/>
        <n v="251266" u="1"/>
        <n v="262394" u="1"/>
        <n v="238888" u="1"/>
        <n v="251267" u="1"/>
        <n v="251268" u="1"/>
        <n v="270654" u="1"/>
        <n v="238893" u="1"/>
        <n v="238894" u="1"/>
        <n v="262407" u="1"/>
        <n v="238895" u="1"/>
        <n v="240" u="1"/>
        <n v="238896" u="1"/>
        <n v="262414" u="1"/>
        <n v="262418" u="1"/>
        <n v="110716" u="1"/>
        <n v="270676" u="1"/>
        <n v="270677" u="1"/>
        <n v="270678" u="1"/>
        <n v="262426" u="1"/>
        <n v="270679" u="1"/>
        <n v="270680" u="1"/>
        <n v="262428" u="1"/>
        <n v="262429" u="1"/>
        <n v="270682" u="1"/>
        <n v="270683" u="1"/>
        <n v="270684" u="1"/>
        <n v="238907" u="1"/>
        <n v="270685" u="1"/>
        <n v="270686" u="1"/>
        <n v="247160" u="1"/>
        <n v="270687" u="1"/>
        <n v="270688" u="1"/>
        <n v="270689" u="1"/>
        <n v="270690" u="1"/>
        <n v="270691" u="1"/>
        <n v="270692" u="1"/>
        <n v="108658" u="1"/>
        <n v="270693" u="1"/>
        <n v="270694" u="1"/>
        <n v="270695" u="1"/>
        <n v="270696" u="1"/>
        <n v="108659" u="1"/>
        <n v="270697" u="1"/>
        <n v="270698" u="1"/>
        <n v="270699" u="1"/>
        <n v="270700" u="1"/>
        <n v="108660" u="1"/>
        <n v="108661" u="1"/>
        <n v="108662" u="1"/>
        <n v="125167" u="1"/>
        <n v="108663" u="1"/>
        <n v="108664" u="1"/>
        <n v="108665" u="1"/>
        <n v="262471" u="1"/>
        <n v="108666" u="1"/>
        <n v="108667" u="1"/>
        <n v="125172" u="1"/>
        <n v="108668" u="1"/>
        <n v="108669" u="1"/>
        <n v="110045" u="1"/>
        <n v="244436" u="1"/>
        <n v="110046" u="1"/>
        <n v="262492" u="1"/>
        <n v="110047" u="1"/>
        <n v="244440" u="1"/>
        <n v="262502" u="1"/>
        <n v="260948" u="1"/>
        <n v="262505" u="1"/>
        <n v="260953" u="1"/>
        <n v="244449" u="1"/>
        <n v="262515" u="1"/>
        <n v="262519" u="1"/>
        <n v="262521" u="1"/>
        <n v="262522" u="1"/>
        <n v="260958" u="1"/>
        <n v="262523" u="1"/>
        <n v="262524" u="1"/>
        <n v="260959" u="1"/>
        <n v="262525" u="1"/>
        <n v="262526" u="1"/>
        <n v="260960" u="1"/>
        <n v="262527" u="1"/>
        <n v="262528" u="1"/>
        <n v="262529" u="1"/>
        <n v="92176" u="1"/>
        <n v="232" u="1"/>
        <n v="262531" u="1"/>
        <n v="262532" u="1"/>
        <n v="262534" u="1"/>
        <n v="262536" u="1"/>
        <n v="244462" u="1"/>
        <n v="262544" u="1"/>
        <n v="262545" u="1"/>
        <n v="262546" u="1"/>
        <n v="262547" u="1"/>
        <n v="262548" u="1"/>
        <n v="262551" u="1"/>
        <n v="262552" u="1"/>
        <n v="265303" u="1"/>
        <n v="281808" u="1"/>
        <n v="281809" u="1"/>
        <n v="262554" u="1"/>
        <n v="262555" u="1"/>
        <n v="281811" u="1"/>
        <n v="281812" u="1"/>
        <n v="281813" u="1"/>
        <n v="262558" u="1"/>
        <n v="260978" u="1"/>
        <n v="262564" u="1"/>
        <n v="260979" u="1"/>
        <n v="262565" u="1"/>
        <n v="262566" u="1"/>
        <n v="260980" u="1"/>
        <n v="265318" u="1"/>
        <n v="281823" u="1"/>
        <n v="265319" u="1"/>
        <n v="260981" u="1"/>
        <n v="281824" u="1"/>
        <n v="262569" u="1"/>
        <n v="260982" u="1"/>
        <n v="265324" u="1"/>
        <n v="265329" u="1"/>
        <n v="260986" u="1"/>
        <n v="265330" u="1"/>
        <n v="265331" u="1"/>
        <n v="265332" u="1"/>
        <n v="265333" u="1"/>
        <n v="260988" u="1"/>
        <n v="265334" u="1"/>
        <n v="265335" u="1"/>
        <n v="265336" u="1"/>
        <n v="265337" u="1"/>
        <n v="265338" u="1"/>
        <n v="265339" u="1"/>
        <n v="245862" u="1"/>
        <n v="265341" u="1"/>
        <n v="228" u="1"/>
        <n v="260992" u="1"/>
        <n v="270845" u="1"/>
        <n v="270846" u="1"/>
        <n v="270847" u="1"/>
        <n v="265346" u="1"/>
        <n v="270848" u="1"/>
        <n v="260995" u="1"/>
        <n v="265348" u="1"/>
        <n v="265349" u="1"/>
        <n v="260996" u="1"/>
        <n v="265351" u="1"/>
        <n v="260997" u="1"/>
        <n v="251371" u="1"/>
        <n v="251372" u="1"/>
        <n v="261000" u="1"/>
        <n v="251373" u="1"/>
        <n v="261002" u="1"/>
        <n v="270867" u="1"/>
        <n v="270868" u="1"/>
        <n v="270874" u="1"/>
        <n v="261008" u="1"/>
        <n v="261009" u="1"/>
        <n v="261010" u="1"/>
        <n v="261011" u="1"/>
        <n v="261012" u="1"/>
        <n v="270886" u="1"/>
        <n v="110082" u="1"/>
        <n v="270896" u="1"/>
        <n v="239014" u="1"/>
        <n v="239015" u="1"/>
        <n v="224" u="1"/>
        <n v="270904" u="1"/>
        <n v="239018" u="1"/>
        <n v="270907" u="1"/>
        <n v="245895" u="1"/>
        <n v="245897" u="1"/>
        <n v="248649" u="1"/>
        <n v="248651" u="1"/>
        <n v="239024" u="1"/>
        <n v="248652" u="1"/>
        <n v="248653" u="1"/>
        <n v="248654" u="1"/>
        <n v="239028" u="1"/>
        <n v="248656" u="1"/>
        <n v="239029" u="1"/>
        <n v="248657" u="1"/>
        <n v="239030" u="1"/>
        <n v="261039" u="1"/>
        <n v="265444" u="1"/>
        <n v="117662" u="1"/>
        <n v="117663" u="1"/>
        <n v="261048" u="1"/>
        <n v="261058" u="1"/>
        <n v="117672" u="1"/>
        <n v="265487" u="1"/>
        <n v="265503" u="1"/>
        <n v="265513" u="1"/>
        <n v="265514" u="1"/>
        <n v="265515" u="1"/>
        <n v="111490" u="1"/>
        <n v="265516" u="1"/>
        <n v="265517" u="1"/>
        <n v="265518" u="1"/>
        <n v="265520" u="1"/>
        <n v="112179" u="1"/>
        <n v="265521" u="1"/>
        <n v="265522" u="1"/>
        <n v="265523" u="1"/>
        <n v="112180" u="1"/>
        <n v="265525" u="1"/>
        <n v="265527" u="1"/>
        <n v="262777" u="1"/>
        <n v="262778" u="1"/>
        <n v="112181" u="1"/>
        <n v="265529" u="1"/>
        <n v="265532" u="1"/>
        <n v="262782" u="1"/>
        <n v="265533" u="1"/>
        <n v="262783" u="1"/>
        <n v="265534" u="1"/>
        <n v="262784" u="1"/>
        <n v="265535" u="1"/>
        <n v="112183" u="1"/>
        <n v="265537" u="1"/>
        <n v="265538" u="1"/>
        <n v="112184" u="1"/>
        <n v="112185" u="1"/>
        <n v="262800" u="1"/>
        <n v="262804" u="1"/>
        <n v="262840" u="1"/>
        <n v="262842" u="1"/>
        <n v="262843" u="1"/>
        <n v="262844" u="1"/>
        <n v="262850" u="1"/>
        <n v="262851" u="1"/>
        <n v="265608" u="1"/>
        <n v="262866" u="1"/>
        <n v="262874" u="1"/>
        <n v="262877" u="1"/>
        <n v="262879" u="1"/>
        <n v="262881" u="1"/>
        <n v="262883" u="1"/>
        <n v="262885" u="1"/>
        <n v="262886" u="1"/>
        <n v="262887" u="1"/>
        <n v="262888" u="1"/>
        <n v="262889" u="1"/>
        <n v="262890" u="1"/>
        <n v="262891" u="1"/>
        <n v="262892" u="1"/>
        <n v="262904" u="1"/>
        <n v="262905" u="1"/>
        <n v="108775" u="1"/>
        <n v="262911" u="1"/>
        <n v="108776" u="1"/>
        <n v="262913" u="1"/>
        <n v="108777" u="1"/>
        <n v="108778" u="1"/>
        <n v="108779" u="1"/>
        <n v="262927" u="1"/>
        <n v="110843" u="1"/>
        <n v="108780" u="1"/>
        <n v="262930" u="1"/>
        <n v="262931" u="1"/>
        <n v="108781" u="1"/>
        <n v="262932" u="1"/>
        <n v="108782" u="1"/>
        <n v="110846" u="1"/>
        <n v="108783" u="1"/>
        <n v="262940" u="1"/>
        <n v="262941" u="1"/>
        <n v="108784" u="1"/>
        <n v="262945" u="1"/>
        <n v="108785" u="1"/>
        <n v="108786" u="1"/>
        <n v="110850" u="1"/>
        <n v="108787" u="1"/>
        <n v="110851" u="1"/>
        <n v="108788" u="1"/>
        <n v="110852" u="1"/>
        <n v="108789" u="1"/>
        <n v="110853" u="1"/>
        <n v="108790" u="1"/>
        <n v="110854" u="1"/>
        <n v="108791" u="1"/>
        <n v="110855" u="1"/>
        <n v="108792" u="1"/>
        <n v="110856" u="1"/>
        <n v="108793" u="1"/>
        <n v="262982" u="1"/>
        <n v="108794" u="1"/>
      </sharedItems>
    </cacheField>
    <cacheField name="BASE" numFmtId="0">
      <sharedItems containsBlank="1"/>
    </cacheField>
    <cacheField name="DATA COLETA" numFmtId="14">
      <sharedItems containsNonDate="0" containsDate="1" containsString="0" containsBlank="1" minDate="2026-09-24T00:00:00" maxDate="2026-09-30T00:00:00"/>
    </cacheField>
    <cacheField name="DATA" numFmtId="14">
      <sharedItems containsNonDate="0" containsDate="1" containsString="0" containsBlank="1" minDate="2026-09-28T00:00:00" maxDate="2026-09-30T00:00:00"/>
    </cacheField>
    <cacheField name="FAT" numFmtId="0">
      <sharedItems containsNonDate="0" containsString="0" containsBlank="1"/>
    </cacheField>
    <cacheField name="CT-E" numFmtId="0">
      <sharedItems containsBlank="1"/>
    </cacheField>
    <cacheField name="CLIENTE TOMADOR" numFmtId="0">
      <sharedItems containsBlank="1" count="860">
        <s v="ANSELL BRAZIL L"/>
        <s v="HERCULES EQUIPA"/>
        <s v="IND.E COM.LEAL"/>
        <m/>
        <s v="SUPORTE COMERCI" u="1"/>
        <s v="LEMCA LAMPADAS" u="1"/>
        <s v="AF CAPS DIGITAL" u="1"/>
        <s v="ZEFIR INDUSTRIA" u="1"/>
        <s v="BRASCARGAS TRAN" u="1"/>
        <s v="G2HL LOCACAO E" u="1"/>
        <s v="HDT ENERGY IMPO" u="1"/>
        <s v="USIPE- FUNDIDOS" u="1"/>
        <s v="GERALDO MAGELLA" u="1"/>
        <s v="ENERGIA" u="1"/>
        <s v="OM COMEX" u="1"/>
        <s v="4U WINE COMERCI" u="1"/>
        <s v="VERTEX O.S.S. S" u="1"/>
        <s v="SAMSONITE BRASI" u="1"/>
        <s v="BRAVA SUSHI DEL" u="1"/>
        <s v="FVM VISCARDI CO" u="1"/>
        <s v="ENJOY COMERCIO" u="1"/>
        <s v="H MOB" u="1"/>
        <s v="ECOSOLO ENERGIA" u="1"/>
        <s v="NOVOMEDICA COME" u="1"/>
        <s v="AC COMERCIAL IM" u="1"/>
        <s v="IMPRAV IMPORTAC" u="1"/>
        <s v="OPENGLOBE TECNO" u="1"/>
        <s v="GEO AGRI TECNOL" u="1"/>
        <s v="ABM BRAZIL COME" u="1"/>
        <s v="QUALY TRANSPORT" u="1"/>
        <s v="TRANSPOTECH PEC" u="1"/>
        <s v="TERRA NOVA TRAD" u="1"/>
        <s v="MUNDIAL LOGISTI" u="1"/>
        <s v="SMC TECHNOLOGIC" u="1"/>
        <s v="UNIBIND DO BRAS" u="1"/>
        <s v="MANACA DO BRASI" u="1"/>
        <s v="DRYPRINT COMERC" u="1"/>
        <s v="ISIBRAS" u="1"/>
        <s v="MAX ARTIGOS PAR" u="1"/>
        <s v="VALE TECNOLOGIA" u="1"/>
        <s v="GERAL PARTS COM" u="1"/>
        <s v="PLOT SERVICOS C" u="1"/>
        <s v="GT RADIADORES" u="1"/>
        <s v="ZUM ACESSORIOS" u="1"/>
        <s v="SOLUCAO TRANSPO" u="1"/>
        <s v="FORTLEV ENERGIA" u="1"/>
        <s v="LM DISTRIBUIDOR" u="1"/>
        <s v="ENGEROCHA SUL C" u="1"/>
        <s v="FEZER" u="1"/>
        <s v="ALLIANCE IMPORT" u="1"/>
        <s v="KAPOK IMPORTACA" u="1"/>
        <s v="PORCELANAS INDU" u="1"/>
        <s v="AIR SEA TRADING" u="1"/>
        <s v="TBM TEXTIL BEZE" u="1"/>
        <s v="ZERO VIDROS" u="1"/>
        <s v="MASTERSUL COMEX" u="1"/>
        <s v="SL COMM COMUNIC" u="1"/>
        <s v="CAPITAL CELULAR" u="1"/>
        <s v="CRONOS LOGISTIC" u="1"/>
        <s v="KSE IMPORTACAO" u="1"/>
        <s v="VOX SHIPPING DO" u="1"/>
        <s v="YOU COMEX INTER" u="1"/>
        <s v="GELJORS ACESSOR" u="1"/>
        <s v="AVG EXPRESSO" u="1"/>
        <s v="DFL TRANSPORTES" u="1"/>
        <s v="ITALIA MASSAS E" u="1"/>
        <s v="MM FERRAMENTARI" u="1"/>
        <s v="VANESSA MKT DIG" u="1"/>
        <s v="TRANSPORTADORA" u="1"/>
        <s v="FAST SHIPPING" u="1"/>
        <s v="BRITANIA ELETRO" u="1"/>
        <s v="TIMBAS LOG TRAN" u="1"/>
        <s v="ORIGINAL KIT CE" u="1"/>
        <s v="THEXXCOM LOGIST" u="1"/>
        <s v="LOJA DEKOR" u="1"/>
        <s v="DMM-IE IMPORTAC" u="1"/>
        <s v="NAMASTE SERVICO" u="1"/>
        <s v="PHG AUTOMACAO" u="1"/>
        <s v="WINEOCLOCK COME" u="1"/>
        <s v="METALURGICA FEY" u="1"/>
        <s v="LEONORA COMERCI" u="1"/>
        <s v="AHT SOLLING SYS" u="1"/>
        <s v="PHYTO PLANET CO" u="1"/>
        <s v="ECORI ENERGIA S" u="1"/>
        <s v="SKO COMERCIO, I" u="1"/>
        <s v="BIOCTAL" u="1"/>
        <s v="THOT CIENTIFICA" u="1"/>
        <s v="MNL DISTRIBUIDO" u="1"/>
        <s v="ECO MODULOS IND" u="1"/>
        <s v="MATTEL DO BRASI" u="1"/>
        <s v="TYRI COMERCIO D" u="1"/>
        <s v="LINHAS CIRCULO" u="1"/>
        <s v="RHOMAGAS INDUST" u="1"/>
        <s v="CIATEX IMPORTAC" u="1"/>
        <s v="TERMEDIC IND. C" u="1"/>
        <s v="ZETA CONTROLES" u="1"/>
        <s v="JVL INDUSTRIA E" u="1"/>
        <s v="VIA IMPORTER CO" u="1"/>
        <s v="MONTIMPORT COME" u="1"/>
        <s v="MEU RODAPE LTDA" u="1"/>
        <s v="NORDEN TECNOLOG" u="1"/>
        <s v="SATTRA" u="1"/>
        <s v="TUX COMERCIO DE" u="1"/>
        <s v="FILMACH" u="1"/>
        <s v="VS TRANSPORTES" u="1"/>
        <s v="KPM AGENCIAMENT" u="1"/>
        <s v="DM8 SOLUCOES EM" u="1"/>
        <s v="F. DO BRASIL IN" u="1"/>
        <s v="FISE-FECHOPLAST" u="1"/>
        <s v="RGS9 TECNOLOGIA" u="1"/>
        <s v="UNIDADE DE ELET" u="1"/>
        <s v="COBERCHAPAS COM" u="1"/>
        <s v="WHIRLPOOL ELETR" u="1"/>
        <s v="portoex" u="1"/>
        <s v="AMICCI IMPORTAC" u="1"/>
        <s v="EMBALE INDUSTRI" u="1"/>
        <s v="NEXT SHIPPING" u="1"/>
        <s v="ACCESS LOGISTIC" u="1"/>
        <s v="A M A TRANSPORT" u="1"/>
        <s v="COMERCIO ATACAD" u="1"/>
        <s v="DVT COMERCIO IM" u="1"/>
        <s v="IOIO TRES FIGUE" u="1"/>
        <s v="EASY SOLUTION L" u="1"/>
        <s v="LOJAS AVENIDA S" u="1"/>
        <s v="TECMEC TECNICA" u="1"/>
        <s v="CHIAVE DISTRIBU" u="1"/>
        <s v="VIPOSA S.A" u="1"/>
        <s v="TBM SA INDUSTRI" u="1"/>
        <s v="FIACAO FIDES LT" u="1"/>
        <s v="KLAYTON SILVA N" u="1"/>
        <s v="SGS DO BRASIL L" u="1"/>
        <s v="W. CAMPOS COMER" u="1"/>
        <s v="ISATEC INDUSTRI" u="1"/>
        <s v="PRONTO CARGO DO" u="1"/>
        <s v="ZATA TRADING" u="1"/>
        <s v="LEP IMPORTACAO" u="1"/>
        <s v="ALUMIBRAS LTDA" u="1"/>
        <s v="LINEA SERVICOS" u="1"/>
        <s v="MAYARA ELISEI G" u="1"/>
        <s v="STEEL SERV COME" u="1"/>
        <s v="LATIKA IMPORTAC" u="1"/>
        <s v="B&amp;AMP;AMP;M LOG" u="1"/>
        <s v="JETRA COMERCIAL" u="1"/>
        <s v="BENCAFIL COMERC" u="1"/>
        <s v="BARDAK COMERCIO" u="1"/>
        <s v="INPULSE" u="1"/>
        <s v="AMTRANS" u="1"/>
        <s v="OM.&amp;AMP;G COMER" u="1"/>
        <s v="GROWOVER SOLUCO" u="1"/>
        <s v="INK TECHNOLOGY" u="1"/>
        <s v="TBTEX ENERGIA E" u="1"/>
        <s v="PORTONAVE S/A -" u="1"/>
        <s v="MAGIMA FABRICAC" u="1"/>
        <s v="INTELBRAS S.A I" u="1"/>
        <s v="3D COMERCIAL IM" u="1"/>
        <s v="IMPERIAL PREMIU" u="1"/>
        <s v="PRIME FABRICACA" u="1"/>
        <s v="SHIPLOG TRANSPO" u="1"/>
        <s v="FUSION TRADE PA" u="1"/>
        <s v="BERTOLUCCI &amp;AMP" u="1"/>
        <s v="ROCKET LOGISTIC" u="1"/>
        <s v="VOLT ELETRONICO" u="1"/>
        <s v="K3R COM ATAC ME" u="1"/>
        <s v="AMAG IMPORTACAO" u="1"/>
        <s v="CONLINE SERVICO" u="1"/>
        <s v="ECU WORLDWIDE L" u="1"/>
        <s v="JACIARA RODRIGU" u="1"/>
        <s v="TOTALITY COMERC" u="1"/>
        <s v="TECADI ARMAZENS" u="1"/>
        <s v="ELO SOLUCOES LO" u="1"/>
        <s v="MAXXIMA DISTRIB" u="1"/>
        <s v="BORGH BRASIL LT" u="1"/>
        <s v="MOLDURARTE" u="1"/>
        <s v="MENDES" u="1"/>
        <s v="PRANA COMERCIO" u="1"/>
        <s v="MERAKI INDUSTRI" u="1"/>
        <s v="BR-X CARGO" u="1"/>
        <s v="DELU IMPORTACAO" u="1"/>
        <s v="DIXEM IMPORTACA" u="1"/>
        <s v="IDEAL WORK UNIF" u="1"/>
        <s v="VENTISOL S.A." u="1"/>
        <s v="BRUNA TEREZA VA" u="1"/>
        <s v="AVANTGARDE BABR" u="1"/>
        <s v="TRADE WAY TRANS" u="1"/>
        <s v="RDP BRASIL" u="1"/>
        <s v="WINE LOVERS COM" u="1"/>
        <s v="LUMILABOR PRODU" u="1"/>
        <s v="BDN LOGISTICS" u="1"/>
        <s v="NEWFIX INDUSTRI" u="1"/>
        <s v="SENATOR - INTER" u="1"/>
        <s v="BRL SOLAR EQUIP" u="1"/>
        <s v="3MI INDUSTRIA E" u="1"/>
        <s v="MAERSK LOGISTIC" u="1"/>
        <s v="SUL ACESSIBILID" u="1"/>
        <s v="WORLD FREIGHT A" u="1"/>
        <s v="TOULOUSE COMERC" u="1"/>
        <s v="SW ITAJAI ELETR" u="1"/>
        <s v="SANTIAGO E CINT" u="1"/>
        <s v="JAVA TRADING IM" u="1"/>
        <s v="UBL IND. E COM." u="1"/>
        <s v="F. SCHWANKE KRA" u="1"/>
        <s v="OBJETO BRASIL C" u="1"/>
        <s v="FF DO BRASIL CO" u="1"/>
        <s v="WHIRLPOOL S.A" u="1"/>
        <s v="TECNOLOG EXPRES" u="1"/>
        <s v="PRIME COMERCIO" u="1"/>
        <s v="VLPS COMERCIO D" u="1"/>
        <s v="ZMV IMPORTACAO" u="1"/>
        <s v="CONQUESTLOG TRA" u="1"/>
        <s v="SOFT IMPORTACAO" u="1"/>
        <s v="TEM VARIEDADES" u="1"/>
        <s v="B3M DATA INFORM" u="1"/>
        <s v="BELA FLOR COM." u="1"/>
        <s v="FITASCREEN COM" u="1"/>
        <s v="LINKMEX TRADE I" u="1"/>
        <s v="ETHIMA" u="1"/>
        <s v="PROPARTS COMERC" u="1"/>
        <s v="WINWIN TEXTILCO" u="1"/>
        <s v="FORMUS MAGISTRA" u="1"/>
        <s v="WIK S PERSONALI" u="1"/>
        <s v="ALUMASA INDUSTR" u="1"/>
        <s v="ALLOG SAO PAULO" u="1"/>
        <s v="LOGGO SOLUCOES" u="1"/>
        <s v="WAINNER COM. DE" u="1"/>
        <s v="SUNTRANS BRASIL" u="1"/>
        <s v="EASY SHIPPING G" u="1"/>
        <s v="SP MINAS COMERC" u="1"/>
        <s v="MAGAZINE DO SUP" u="1"/>
        <s v="ALUMI-RIOS ACES" u="1"/>
        <s v="FACTORY POWERSP" u="1"/>
        <s v="INTELBRAS SA IN" u="1"/>
        <s v="SAMSONITE DO BR" u="1"/>
        <s v="WSI SOLUCOES EM" u="1"/>
        <s v="MERIDIAN DISTRI" u="1"/>
        <s v="MONKYI" u="1"/>
        <s v="USINA VEDACOES" u="1"/>
        <s v="AMANTES DO VINH" u="1"/>
        <s v="LIGHT ENGINE IL" u="1"/>
        <s v="G QUATRO COMERC" u="1"/>
        <s v="RODAFLEX - INDU" u="1"/>
        <s v="FENIX" u="1"/>
        <s v="PORTOEX ARMAZEN" u="1"/>
        <s v="PRIME INTERNACI" u="1"/>
        <s v="LCSTECH COMERCI" u="1"/>
        <s v="ROD-CERTO PNEUS" u="1"/>
        <s v="ATC ESTRUTURAS" u="1"/>
        <s v="ASTM TRANSPORTE" u="1"/>
        <s v="G.R.A &amp;AMP; KAI" u="1"/>
        <s v="LUMU" u="1"/>
        <s v="YES FOCUS" u="1"/>
        <s v="ASIA MAQUINAS" u="1"/>
        <s v="HAPPY SOCKS DO" u="1"/>
        <s v="MARCELO DOUGLAS" u="1"/>
        <s v="OLSEN" u="1"/>
        <s v="BLUE BAY COMERC" u="1"/>
        <s v="CASA DO ELETRIC" u="1"/>
        <s v="SACRAMENTO LTDA" u="1"/>
        <s v="BFT COMERCIO DE" u="1"/>
        <s v="MAYCKON DOS SAN" u="1"/>
        <s v="MUNDO SOMMELIER" u="1"/>
        <s v="NIDEC GLOBAL AP" u="1"/>
        <s v="SUPERMEGA STORE" u="1"/>
        <s v="RF COMERCIO INT" u="1"/>
        <s v="CORAL PECAS E S" u="1"/>
        <s v="CKS INTERNATION" u="1"/>
        <s v="PROFILE LOGISTI" u="1"/>
        <s v="PORTOEX SP LOGI" u="1"/>
        <s v="HAWAII GRAFICA" u="1"/>
        <s v="UNI.CO COMERCIO" u="1"/>
        <s v="MAHALO IMPORTAC" u="1"/>
        <s v="SACRAMENTO - CO" u="1"/>
        <s v="DUKATI COMERCIO" u="1"/>
        <s v="AEROPORTOS BRAS" u="1"/>
        <s v="FIBERX" u="1"/>
        <s v="MANULATEX LEAL" u="1"/>
        <s v="GUINDASTE ARANH" u="1"/>
        <s v="ACS DISTRIBUIDO" u="1"/>
        <s v="A MOITA BARROZO" u="1"/>
        <s v="LEONI MULLER" u="1"/>
        <s v="4TRADINGBRASIL" u="1"/>
        <s v="HAYA DO BRASIL" u="1"/>
        <s v="LIVEX DISTRIBUI" u="1"/>
        <s v="BRIDES COLLECTI" u="1"/>
        <s v="CONNECTA" u="1"/>
        <s v="THAISSA GARCIA" u="1"/>
        <s v="WERNEK HIDRAULI" u="1"/>
        <s v="PLASTIAL POLIME" u="1"/>
        <s v="MONKYI IMPORTAD" u="1"/>
        <s v="PERFIL INDUSTRI" u="1"/>
        <s v="SUNNY INTERNATI" u="1"/>
        <s v="BLCBRAZIL TRADI" u="1"/>
        <s v="GLOBAL HAWK DIS" u="1"/>
        <s v="ATIVA BRASIL IN" u="1"/>
        <s v="DTA FERRAGENS L" u="1"/>
        <s v="RD INTERNATIONA" u="1"/>
        <s v="CONTAINER MARKE" u="1"/>
        <s v="TECNOFELTRO" u="1"/>
        <s v="MAIS MU" u="1"/>
        <s v="FIEL FERRAMENTA" u="1"/>
        <s v="TZ BIKES" u="1"/>
        <s v="B&amp;AMP;M LOGISTI" u="1"/>
        <s v="DISTRIBUIDORA L" u="1"/>
        <s v="A J POTTER" u="1"/>
        <s v="UNIVERSUL COMER" u="1"/>
        <s v="KTV IMPORTACAO" u="1"/>
        <s v="TOZZO ALIMENTOS" u="1"/>
        <s v="MEDABIL INDUSTR" u="1"/>
        <s v="M&amp;AMP;C" u="1"/>
        <s v="ISIBRAS COMERCI" u="1"/>
        <s v="SU IMPORT &amp;AMP;" u="1"/>
        <s v="DISTRIBUIDORA M" u="1"/>
        <s v="SBK COMERCIO E" u="1"/>
        <s v="SAPICO IMPORTS" u="1"/>
        <s v="BRL WORLDWIDE L" u="1"/>
        <s v="SILK NEGOCIOS I" u="1"/>
        <s v="MAC FER" u="1"/>
        <s v="METALIQUE ENGEN" u="1"/>
        <s v="VALLE COMEX IMP" u="1"/>
        <s v="AYVORA LIFECARE" u="1"/>
        <s v="PAX INFORMATICA" u="1"/>
        <s v="GOLD PLACA COME" u="1"/>
        <s v="HGS GAS E AGUA" u="1"/>
        <s v="GLOBAL IMP E EX" u="1"/>
        <s v="PAMPAS BRASILEI" u="1"/>
        <s v="BAURU COMERCIO" u="1"/>
        <s v="SUPERLAVA LAVAN" u="1"/>
        <s v="MRCEGLIA IMPORT" u="1"/>
        <s v="ANALITICA NEGOC" u="1"/>
        <s v="ANDRITZ HYDRO L" u="1"/>
        <s v="PERFOR INDUSTRI" u="1"/>
        <s v="ABBO IMPORTADOR" u="1"/>
        <s v="MODULATTO COM." u="1"/>
        <s v="MAVINIER MONTEI" u="1"/>
        <s v="JP ISOLAMENTOS" u="1"/>
        <s v="CENNATECH COMER" u="1"/>
        <s v="INDUSTRIA E COM" u="1"/>
        <s v="LC MAQUINAS SEL" u="1"/>
        <s v="FARMA VISION IM" u="1"/>
        <s v="HIDROLIGHT DO B" u="1"/>
        <s v="MOMENTUM" u="1"/>
        <s v="DZM COMERCIAL L" u="1"/>
        <s v="REAL TRADE LTDA" u="1"/>
        <s v="IDB DO BRASIL T" u="1"/>
        <s v="OH MY FLOW" u="1"/>
        <s v="CLECI BORGES DE" u="1"/>
        <s v="LV IMPORTACAO E" u="1"/>
        <s v="MARLES INDUSTRI" u="1"/>
        <s v="SATAKE AMERICA" u="1"/>
        <s v="FABULA CONFECCA" u="1"/>
        <s v="QUANTUM LOGISTI" u="1"/>
        <s v="AGC TELECOM" u="1"/>
        <s v="H3 COMERCIO DIS" u="1"/>
        <s v="ES BRASIL LOGIS" u="1"/>
        <s v="TECADI TRANSPOR" u="1"/>
        <s v="PEDRO PAIM DOS" u="1"/>
        <s v="IMPERA AUX COME" u="1"/>
        <s v="ECOMPLO7 IMPORT" u="1"/>
        <s v="HELENICE BRUNHA" u="1"/>
        <s v="MG QUIMICA LTDA" u="1"/>
        <s v="CERAMFIX INDUST" u="1"/>
        <s v="FIRST S/A" u="1"/>
        <s v="FIGWAL TRANSPOR" u="1"/>
        <s v="SC ELETROS" u="1"/>
        <s v="AVIAMENTOS BRUS" u="1"/>
        <s v="SAMHWA ELETROEL" u="1"/>
        <s v="PHARMA NUTRITIO" u="1"/>
        <s v="PORTOEX SP" u="1"/>
        <s v="TASK DE REPRESE" u="1"/>
        <s v="STROBEL DO BRAS" u="1"/>
        <s v="MAGMA FABRICACA" u="1"/>
        <s v="KORYEO TRADE IM" u="1"/>
        <s v="PORTOEX TRANSP." u="1"/>
        <s v="ODAIR SAULO KAT" u="1"/>
        <s v="VENTUNO PRODUTO" u="1"/>
        <s v="MAC FER INDUSTR" u="1"/>
        <s v="INDUSTRIAS ANHE" u="1"/>
        <s v="HSK COMERCIO IM" u="1"/>
        <s v="GAMMA COMERCIO" u="1"/>
        <s v="MARCELO DEGASPA" u="1"/>
        <s v="BERTOLUCCI &amp; CI" u="1"/>
        <s v="LILIAN RASCHE M" u="1"/>
        <s v="LUMILED COMERCI" u="1"/>
        <s v="DENTSCARE LTDA" u="1"/>
        <s v="IOTEC INFORMATI" u="1"/>
        <s v="CLASTIC WINES" u="1"/>
        <s v="BEBIDAS GRASSI" u="1"/>
        <s v="IMEX - COMISSAR" u="1"/>
        <s v="GO TRADE LOGIST" u="1"/>
        <s v="CONFECCOES ESTA" u="1"/>
        <s v="CICLO EVO" u="1"/>
        <s v="GUARARAPES PAIN" u="1"/>
        <s v="JET LOG EXPRESS" u="1"/>
        <s v="SWELL IMPORTACA" u="1"/>
        <s v="FOCALLE TECNOLO" u="1"/>
        <s v="PHD MASTER CONS" u="1"/>
        <s v="GA EQUESTRE COM" u="1"/>
        <s v="H&amp;R DO BRASIL L" u="1"/>
        <s v="CHRISTIANO SILV" u="1"/>
        <s v="MERKO INDUSTRIA" u="1"/>
        <s v="5M COMERCIO ATA" u="1"/>
        <s v="BRAZILCOA - IND" u="1"/>
        <s v="SCHRYVER DO BRA" u="1"/>
        <s v="SELETO INDUSTRI" u="1"/>
        <s v="CIDADE MARAVILH" u="1"/>
        <s v="UNIVIDROS COM E" u="1"/>
        <s v="MARCELO SERAFIM" u="1"/>
        <s v="FULL SAFE EQUIP" u="1"/>
        <s v="SCOOTERTECH COM" u="1"/>
        <s v="COLTEX INDUSTRI" u="1"/>
        <s v="SCHENKER DO BRA" u="1"/>
        <s v="SECUR-COMERCIAL" u="1"/>
        <s v="JAMO EQUIPAMENT" u="1"/>
        <s v="SK HIDRAULICA I" u="1"/>
        <s v="CORTEX INDUSTRI" u="1"/>
        <s v="MORRO GRANDE IN" u="1"/>
        <s v="BASQUERA MENZEL" u="1"/>
        <s v="SENIOR COMERCIA" u="1"/>
        <s v="STELLA IMPORTAC" u="1"/>
        <s v="LOURISVALDO DE" u="1"/>
        <s v="QUALITA TOLDOS" u="1"/>
        <s v="SMX-SILMAR" u="1"/>
        <s v="TRL INTERNACION" u="1"/>
        <s v="FORNOS JUNG LTD" u="1"/>
        <s v="TBM-TEXTIL BEZE" u="1"/>
        <s v="CXT DISTRIBUIDO" u="1"/>
        <s v="GF PNEUS COMERC" u="1"/>
        <s v="FORTE LOGISTICA" u="1"/>
        <s v="IGP - CLINI COM" u="1"/>
        <s v="BIKE CENTER SHO" u="1"/>
        <s v="EMPHASIS INDUST" u="1"/>
        <s v="M R GOMES DE SO" u="1"/>
        <s v="TRANSPORTES TOZ" u="1"/>
        <s v="BOENA" u="1"/>
        <s v="EMPILHADEIRAS C" u="1"/>
        <s v="KONNEN" u="1"/>
        <s v="DECORE ESTOFADO" u="1"/>
        <s v="JOHN EXPRESS" u="1"/>
        <s v="VENDOR TRADE IM" u="1"/>
        <s v="LSBRAS" u="1"/>
        <s v="ES FIL LOGISTIC" u="1"/>
        <s v="VINIK IMPORTADO" u="1"/>
        <s v="OPTIDATA" u="1"/>
        <s v="BORA BEBE BRASI" u="1"/>
        <s v="CENTOPE INDUSTR" u="1"/>
        <s v="VIDRAMAQ COMERC" u="1"/>
        <s v="EXPRESSO PV TRA" u="1"/>
        <s v="MG ELETRIC DO B" u="1"/>
        <s v="OP5 COMERCIAL P" u="1"/>
        <s v="STRATUS COMERCI" u="1"/>
        <s v="FROES IMPORTACA" u="1"/>
        <s v="SANTIAGO &amp;AMP;" u="1"/>
        <s v="AUNOMANI COMERC" u="1"/>
        <s v="ALM DISTRIBUIDO" u="1"/>
        <s v="MAXSUL DISTRIBU" u="1"/>
        <s v="CONFIANCA SOLUC" u="1"/>
        <s v="MAGENTA PARTS" u="1"/>
        <s v="ECOMMLOGUIMPEX" u="1"/>
        <s v="TATIANE CRISTIN" u="1"/>
        <s v="ITAPOA TERMINAI" u="1"/>
        <s v="BASAL INDUSTRIA" u="1"/>
        <s v="J M S INDUSTRIA" u="1"/>
        <s v="COMPUDECK" u="1"/>
        <s v="MM MADEIRAS" u="1"/>
        <s v="CPX DISTRIBUIDO" u="1"/>
        <s v="FEHRMANN COMERC" u="1"/>
        <s v="SRT - SUPER REM" u="1"/>
        <s v="FILMACH TRADE" u="1"/>
        <s v="ANP TRANSPORTES" u="1"/>
        <s v="ATEC COMERCIO" u="1"/>
        <s v="BELLA BEER COME" u="1"/>
        <s v="MZ PLUMASUL" u="1"/>
        <s v="KM 118 LTDA" u="1"/>
        <s v="RONALDO TRANSPO" u="1"/>
        <s v="INOVARE-IMPORTA" u="1"/>
        <s v="SOLIDA BRASIL M" u="1"/>
        <s v="ALIKA RELACOES" u="1"/>
        <s v="CARLOS WELBY MA" u="1"/>
        <s v="S. PROCHOWNIK C" u="1"/>
        <s v="LJ PECAS E ACES" u="1"/>
        <s v="UWL DO BRASIL" u="1"/>
        <s v="SENSE 360 COMER" u="1"/>
        <s v="MUSICAL DF" u="1"/>
        <s v="ALLOG TRANSPORT" u="1"/>
        <s v="APMT SERVICOS R" u="1"/>
        <s v="CRISTALPET SUL" u="1"/>
        <s v="ACTION TRADE IM" u="1"/>
        <s v="H.M. WAY COMERC" u="1"/>
        <s v="KRIEGER EQUIPAM" u="1"/>
        <s v="MARF COMERCIO D" u="1"/>
        <s v="CANNUBI VINHOS" u="1"/>
        <s v="PARANHOS DISTRI" u="1"/>
        <s v="IZE BRASIL COME" u="1"/>
        <s v="FLEXINTER COMER" u="1"/>
        <s v="FRAMAR" u="1"/>
        <s v="LUIS EDUARDO BO" u="1"/>
        <s v="TIME LOG AGENCI" u="1"/>
        <s v="R G S COMEX COM" u="1"/>
        <s v="MACTRANS 7" u="1"/>
        <s v="YANKE COMERCIO" u="1"/>
        <s v="JOTEC IMPORTACA" u="1"/>
        <s v="CONSTANTE IMPOR" u="1"/>
        <s v="SEGER COMERCIAL" u="1"/>
        <s v="MAXIMA INDUSTRI" u="1"/>
        <s v="UNFAIR ADVANTAG" u="1"/>
        <s v="INNI SPORTS BRA" u="1"/>
        <s v="MIKATOS INDUSTR" u="1"/>
        <s v="THERMOFLEXO IND" u="1"/>
        <s v="PORTOEXPRESS LO" u="1"/>
        <s v="ABLA COMERCIO I" u="1"/>
        <s v="PRISCILA PEREIR" u="1"/>
        <s v="MONDAX COMERCIO" u="1"/>
        <s v="DELFIN GROUP" u="1"/>
        <s v="MAXITRADE COMER" u="1"/>
        <s v="THERMO STAR EQU" u="1"/>
        <s v="FABIO GOMES DE" u="1"/>
        <s v="EASY SOLUTION" u="1"/>
        <s v="R.F.M. LOGISTIC" u="1"/>
        <s v="NKL PRODUTOS EL" u="1"/>
        <s v="SMX SILMAR COME" u="1"/>
        <s v="TBM - TEXTIL BE" u="1"/>
        <s v="P.B INTERNACION" u="1"/>
        <s v="BATIKI COM IMPO" u="1"/>
        <s v="FOCALLE - ENGEN" u="1"/>
        <s v="EFLA TRADE IMPO" u="1"/>
        <s v="AVA LINEAR SYST" u="1"/>
        <s v="RAINHA MARIA IM" u="1"/>
        <s v="J.L. LAGUNA TRA" u="1"/>
        <s v="BELA METAIS" u="1"/>
        <s v="NORRIS IMPORTS" u="1"/>
        <s v="OHHO COMERCIO I" u="1"/>
        <s v="PLATAFORMA28 LT" u="1"/>
        <s v="PLIBONA MONDO E" u="1"/>
        <s v="COPA" u="1"/>
        <s v="M MARCIA" u="1"/>
        <s v="PIETRO FIORENTI" u="1"/>
        <s v="AUSCORP ASSESSO" u="1"/>
        <s v="DICOMP DISTRIBU" u="1"/>
        <s v="FLUCTUS GROUP" u="1"/>
        <s v="POLY TERMINAIS" u="1"/>
        <s v="UNITATIS BRASIL" u="1"/>
        <s v="MS SOLUCOES EM" u="1"/>
        <s v="LCL COMERCIO DE" u="1"/>
        <s v="EBB AGENCIAMENT" u="1"/>
        <s v="NS QUIMICA" u="1"/>
        <s v="FITA UP LTDA" u="1"/>
        <s v="MAIS MU COMERCI" u="1"/>
        <s v="HORNBECK OFFSHO" u="1"/>
        <s v="BOUTIX COMERCIO" u="1"/>
        <s v="2P ACESSORIOS L" u="1"/>
        <s v="ACO FORTE DE ME" u="1"/>
        <s v="FOME FOOD LANCH" u="1"/>
        <s v="LEE TRADING IMP" u="1"/>
        <s v="VPX TECNOLOGIA" u="1"/>
        <s v="ITACORDA INDUST" u="1"/>
        <s v="ATLAS TRADING" u="1"/>
        <s v="RGF COMERCIO DE" u="1"/>
        <s v="SABRAFER COMERC" u="1"/>
        <s v="TRUCKLOG MARKET" u="1"/>
        <s v="APM TERMINALS S" u="1"/>
        <s v="PORTAL BRASIL C" u="1"/>
        <s v="INTERCROMA S/A" u="1"/>
        <s v="EQ TECH EQUIPAM" u="1"/>
        <s v="LEADPAK EMBALAG" u="1"/>
        <s v="DC LOGISTICS BR" u="1"/>
        <s v="SIDRASUL COMERC" u="1"/>
        <s v="KAMI COMERCIO I" u="1"/>
        <s v="DALLVIC COMERCI" u="1"/>
        <s v="VANDERLANDE IND" u="1"/>
        <s v="FLUIDRA BRASIL" u="1"/>
        <s v="MON CHERI BRASI" u="1"/>
        <s v="OVIDIO DE FREIT" u="1"/>
        <s v="PLAST-CENSI REC" u="1"/>
        <s v="CHAINS COMERCIO" u="1"/>
        <s v="VARIATTO REST E" u="1"/>
        <s v="LUCIANA DE ABRE" u="1"/>
        <s v="SMS IMPORTACAO" u="1"/>
        <s v="CF COMERCIO INT" u="1"/>
        <s v="K E RR UNIFORME" u="1"/>
        <s v="NEOFLEX BIOTECN" u="1"/>
        <s v="OBST TRADE COME" u="1"/>
        <s v="O3LAB COMERCIO" u="1"/>
        <s v="TAIANA ARAUJO D" u="1"/>
        <s v="HEMING REPRESEN" u="1"/>
        <s v="DNL COMERCIO E" u="1"/>
        <s v="EFATHA SOLUCOES" u="1"/>
        <s v="FILTREC LATAM C" u="1"/>
        <s v="ABRAHAN INDUSTR" u="1"/>
        <s v="ECORI SUL INDUS" u="1"/>
        <s v="PODS CONSTRUCOE" u="1"/>
        <s v="PREMIER HOME C." u="1"/>
        <s v="PS COMERCIAL DE" u="1"/>
        <s v="MERANO COMERCIA" u="1"/>
        <s v="REQUINTE COM DE" u="1"/>
        <s v="TR COMERCIAL AT" u="1"/>
        <s v="GUAVA SKINCARE" u="1"/>
        <s v="A R J COMPANY" u="1"/>
        <s v="BAUX COMERCIAL" u="1"/>
        <s v="PLUS CARGO INTE" u="1"/>
        <s v="SHPS TECNOLOGIA" u="1"/>
        <s v="OPERTIME LOGIST" u="1"/>
        <s v="BBCABELO LTDA" u="1"/>
        <s v="BRUNO FIBER TEC" u="1"/>
        <s v="FERROTELLI DESI" u="1"/>
        <s v="PAMPA TECHH SUP" u="1"/>
        <s v="WOLF MOTORS LTD" u="1"/>
        <s v="VERT TRADING" u="1"/>
        <s v="B. M. DO BRASIL" u="1"/>
        <s v="ECOFLEX FABRICA" u="1"/>
        <s v="MALKA TRANSPORT" u="1"/>
        <s v="ONE TRADING" u="1"/>
        <s v="MATHEUS ALEXAND" u="1"/>
        <s v="FLORANA COMERCI" u="1"/>
        <s v="KRON CARGO LTDA" u="1"/>
        <s v="FUNPRO COMERCIO" u="1"/>
        <s v="MULTICOLOR TEXT" u="1"/>
        <s v="RELAXMEDIC IMPO" u="1"/>
        <s v="SICREDI INTEGRA" u="1"/>
        <s v="MARLON MAQUINAS" u="1"/>
        <s v="SCHNEIDER ELETR" u="1"/>
        <s v="BSG BIJOU BRASI" u="1"/>
        <s v="GEBOR COMERCIO" u="1"/>
        <s v="AMTRANS LOGISTI" u="1"/>
        <s v="SCHIPPERS DO BR" u="1"/>
        <s v="VS IMPORTACAO E" u="1"/>
        <s v="ROYAL CARGO DO" u="1"/>
        <s v="BRANDSCHUTZ EQU" u="1"/>
        <s v="AMMER IMPORTACA" u="1"/>
        <s v="ENTRE TRILHAS" u="1"/>
        <s v="TRANSIX IMPORT," u="1"/>
        <s v="SPIRAFIX COMERC" u="1"/>
        <s v="HND IMPORTADORA" u="1"/>
        <s v="EQUIP DISTRIBUI" u="1"/>
        <s v="DENNIS KAC" u="1"/>
        <s v="BHX COMERCIO, I" u="1"/>
        <s v="DUAL COMP - COM" u="1"/>
        <s v="VITTACAR COMERC" u="1"/>
        <s v="DIAMANTE GERACA" u="1"/>
        <s v="SACRAMENTO PREM" u="1"/>
        <s v="ALLSPORTS STORE" u="1"/>
        <s v="TIAGO CARDOSO B" u="1"/>
        <s v="FE BRASIL INDUS" u="1"/>
        <s v="CORAX IND , COM" u="1"/>
        <s v="NUNO COSTA NUNE" u="1"/>
        <s v="H&amp;AMP;R DO BRAS" u="1"/>
        <s v="CRM - FUNDICAO" u="1"/>
        <s v="INDUSFACAS" u="1"/>
        <s v="FLEXPORT COMERC" u="1"/>
        <s v="LIANCOMEX TRADE" u="1"/>
        <s v="RAINMAKER SERVI" u="1"/>
        <s v="SOLAR OESTE MT" u="1"/>
        <s v="MULTIAGUA ENGEN" u="1"/>
        <s v="LOTTE COMERCIAL" u="1"/>
        <s v="TBM TEXTIL - IN" u="1"/>
        <s v="CLIENTE TOMADOR" u="1"/>
        <s v="NA GESTAO ESPOR" u="1"/>
        <s v="CAPITAL TRADE I" u="1"/>
        <s v="TIMBRO TRADING" u="1"/>
        <s v="ON LINE MANIA C" u="1"/>
        <s v="COMERCIO E REPR" u="1"/>
        <s v="SINGLEBOX SERVI" u="1"/>
        <s v="LETTEL DISTRIBU" u="1"/>
        <s v="ORIGINALE IN PI" u="1"/>
        <s v="COMEXPORT COMPA" u="1"/>
        <s v="MESTRE MARCENEI" u="1"/>
        <s v="JHULYANE BELISA" u="1"/>
        <s v="MAGAZINE DANTAS" u="1"/>
        <s v="ALIBEY ALIMENTO" u="1"/>
        <s v="BENDERPAR INCOR" u="1"/>
        <s v="MADEPAR INDUSTR" u="1"/>
        <s v="SOMA TRADE" u="1"/>
        <s v="JOSE ANTONIO MO" u="1"/>
        <s v="AUTEL BRASIL TE" u="1"/>
        <s v="GRUPO MULTI S.A" u="1"/>
        <s v="ALTOMAR IMPORTA" u="1"/>
        <s v="ALEXANDRE SEARA" u="1"/>
        <s v="METOS BRASIL IM" u="1"/>
        <s v="SELGRON INDUSTR" u="1"/>
        <s v="FITASCREEN COME" u="1"/>
        <s v="MASTER CUT" u="1"/>
        <s v="DSCOMEX NEGOCIO" u="1"/>
        <s v="BANDEIRA PARTS" u="1"/>
        <s v="ABL COMERCIO DE" u="1"/>
        <s v="AGEBRANDS COMER" u="1"/>
        <s v="OVERSEAS NEGOCI" u="1"/>
        <s v="TOZZO &amp;AMP; CIA" u="1"/>
        <s v="THIAGO GAVIOLII" u="1"/>
        <s v="SULMINAS CARGO" u="1"/>
        <s v="LIT VINUM" u="1"/>
        <s v="LAB EXPANCIENCE" u="1"/>
        <s v="GIG BALOES E PE" u="1"/>
        <s v="YAS FILIAL" u="1"/>
        <s v="JP CARGO TRANSP" u="1"/>
        <s v="AYSLAN FERNANDO" u="1"/>
        <s v="PLASTI CENSI RE" u="1"/>
        <s v="BARRA DO RIO TE" u="1"/>
        <s v="BARESCO COM. E" u="1"/>
        <s v="ALLOG GROUP" u="1"/>
        <s v="IMPORTS PECAS E" u="1"/>
        <s v="STAFF MOVEIS CO" u="1"/>
        <s v="STRA MEDICAL" u="1"/>
        <s v="SOLVER IMPORTAC" u="1"/>
        <s v="SB TRADE" u="1"/>
        <s v="COMISSAO TORCED" u="1"/>
        <s v="BLANIC" u="1"/>
        <s v="IMB TEXTIL" u="1"/>
        <s v="HIDRO FILTROS D" u="1"/>
        <s v="SACRAMENTO SANT" u="1"/>
        <s v="KONICA MINOLTA" u="1"/>
        <s v="IGP-CLINI COM I" u="1"/>
        <s v="SOCINTER SUL CO" u="1"/>
        <s v="FENCHEM BIOQUIM" u="1"/>
        <s v="SEBASTIAO DIAS" u="1"/>
        <s v="STULZ BRASIL AR" u="1"/>
        <s v="GENESES TYL CAR" u="1"/>
        <s v="MENDESPORTS" u="1"/>
        <s v="MRD IMPORTACAO" u="1"/>
        <s v="BEAUTY COMERCIO" u="1"/>
        <s v="A BRASILEIRA" u="1"/>
        <s v="NANOVETORES TEC" u="1"/>
        <s v="DEKORFARBEN LTD" u="1"/>
        <s v="FILHO DO CRIADO" u="1"/>
        <s v="KRON LOGTRANS" u="1"/>
        <s v="CULTURA FITNESS" u="1"/>
        <s v="NEXT SAFETY LTD" u="1"/>
        <s v="IRCE LTDA" u="1"/>
        <s v="RAFAEL NOVAES D" u="1"/>
        <s v="INTERCOM COMERC" u="1"/>
        <s v="LGC DISTRIBUIDO" u="1"/>
        <s v="POLIBELT CORREI" u="1"/>
        <s v="KETER IMP.E DIS" u="1"/>
        <s v="SANDPLAST COMER" u="1"/>
        <s v="SINO LINK COMER" u="1"/>
        <s v="QP AIR COURIER" u="1"/>
        <s v="IND COM DE MOVE" u="1"/>
        <s v="TEC - ARQ COMER" u="1"/>
        <s v="SWELL IMPO S.A." u="1"/>
        <s v="ALLINK TRANSPOR" u="1"/>
        <s v="RR UNIFORMES" u="1"/>
        <s v="BBULL BRASIL SE" u="1"/>
        <s v="CHAMPS MARINE I" u="1"/>
        <s v="DA VINCI CARGO" u="1"/>
        <s v="LINCOLN - HARRI" u="1"/>
        <s v="BID IMPORT" u="1"/>
        <s v="HANDEL IMPORT" u="1"/>
        <s v="FLUXO CONFECCAO" u="1"/>
        <s v="BRAZIL ELECTRIC" u="1"/>
        <s v="J DE SOUZA FILI" u="1"/>
        <s v="JAPOP SUSHI LTD" u="1"/>
        <s v="ASTERI DISTRIBU" u="1"/>
        <s v="KEZIAN IMPORTAC" u="1"/>
        <s v="SKINFEEL DISTRI" u="1"/>
        <s v="MZION COMERCIO" u="1"/>
        <s v="JEM TRANSPORTES" u="1"/>
        <s v="GUIMARAES BRASI" u="1"/>
        <s v="KEY TRADE IMPOR" u="1"/>
        <s v="POLIBELT" u="1"/>
        <s v="CRISTOFOLINI MA" u="1"/>
        <s v="MAPFIT IMPORTAD" u="1"/>
        <s v="PROFILE STORAGE" u="1"/>
        <s v="TOTAL CARE DO B" u="1"/>
        <s v="RM CARGAS" u="1"/>
        <s v="CHAVANTES COMER" u="1"/>
        <s v="INTEGRATION CON" u="1"/>
        <s v="AC INDUSTRIA, C" u="1"/>
        <s v="VEQUIS COMERCIO" u="1"/>
        <s v="IMPERIO COMERCI" u="1"/>
        <s v="RAFITEC SA" u="1"/>
        <s v="50.051.695 ALIN" u="1"/>
        <s v="14 GRAUS COM DE" u="1"/>
        <s v="BOCA A BOCA DIS" u="1"/>
        <s v="F10 TRANSPORTES" u="1"/>
        <s v="TRIMAF - TRIANG" u="1"/>
        <s v="VSS DISTRIBUIDO" u="1"/>
        <s v="CAMPER SOUL COM" u="1"/>
        <s v="JR-ADAMVER INDU" u="1"/>
        <s v="RADIONAVAL ELET" u="1"/>
        <s v="BRASIL MUNDI IM" u="1"/>
        <s v="GRIPMASTER INDU" u="1"/>
        <s v="AEROPORTO INT." u="1"/>
        <s v="EDILSON DE FREI" u="1"/>
        <s v="ITURRI COIMPAR" u="1"/>
        <s v="NACAR COMERCIAL" u="1"/>
        <s v="INK EXPERTS COM" u="1"/>
        <s v="SCHOTTEL DO BRA" u="1"/>
        <s v="SHPY COMERCIO D" u="1"/>
        <s v="SOLID INTERNACI" u="1"/>
        <s v="PAPER PLOTT INT" u="1"/>
        <s v="MUNDO DO COMBAT" u="1"/>
        <s v="SAN KAI COMIDA" u="1"/>
        <s v="MICHELS DO BRAS" u="1"/>
        <s v="BDM COMERCIAL I" u="1"/>
        <s v="PROCOURIER EXPR" u="1"/>
        <s v="MULTIVISAO INDU" u="1"/>
        <s v="M S L DO BRASIL" u="1"/>
        <s v="NOVO CENTRO COM" u="1"/>
        <s v="FELLINI COMERCI" u="1"/>
        <s v="PRESTO LOGISTIC" u="1"/>
        <s v="AVANTE TREINAME" u="1"/>
        <s v="CROWN IRON TECN" u="1"/>
        <s v="2AMI COMERCIO E" u="1"/>
        <s v="COMEXPORT TRADI" u="1"/>
        <s v="PS LOGISTICA" u="1"/>
        <s v="ELETRO AREA DIS" u="1"/>
        <s v="DMS CONFECCAO C" u="1"/>
        <s v="DP UNION INSTRU" u="1"/>
        <s v="LKW EXPRESS" u="1"/>
        <s v="AGROSTAHL SA IN" u="1"/>
        <s v="PNEUSTORE.COM.B" u="1"/>
        <s v="FORTE TRANSPORT" u="1"/>
        <s v="PREMIER HOME CO" u="1"/>
        <s v="JUMPERS COMERCI" u="1"/>
        <s v="FOTON MOTOR DO" u="1"/>
        <s v="BRAFT DO BRASIL" u="1"/>
        <s v="DESICON FERRAGE" u="1"/>
        <s v="SOMMA COMERCIO" u="1"/>
        <s v="ALMEIDA COMERCI" u="1"/>
        <s v="WBTEX COMERCIAL" u="1"/>
        <s v="MUTEKI COM IMPO" u="1"/>
        <s v="DAK COMERCIO IM" u="1"/>
        <s v="CICLO EVO IMPOR" u="1"/>
        <s v="INGA IMPORT LTD" u="1"/>
        <s v="SPEED WHEEL TRA" u="1"/>
        <s v="REDEAGRO" u="1"/>
        <s v="13D COMERCIO DE" u="1"/>
        <s v="MEDLASER, COMER" u="1"/>
        <s v="ANDRE HORT" u="1"/>
        <s v="FABIO ZAMBON DE" u="1"/>
        <s v="HBEX COMERCIAL" u="1"/>
        <s v="OFICINA CLUB DA" u="1"/>
        <s v="VAGNER BELOLLI" u="1"/>
        <s v="VALUE TRADE COM" u="1"/>
        <s v="ELTON CARLOS BA" u="1"/>
        <s v="LOGITRADE SERVI" u="1"/>
        <s v="ACRIFLEX INDUST" u="1"/>
        <s v="CM CARGAS EXPRE" u="1"/>
        <s v="SEGATI COMERCIO" u="1"/>
        <s v="F.L.T. FASTLINK" u="1"/>
        <s v="ASIA SHIPPING T" u="1"/>
        <s v="PROX TRADING" u="1"/>
        <s v="MULTILOG S/A" u="1"/>
        <s v="BEATRIZ MARIA D" u="1"/>
        <s v="YAGO ROBERTO RO" u="1"/>
        <s v="SETBRAS COMERCI" u="1"/>
        <s v="MASTERPIECE INT" u="1"/>
        <s v="GS3 COMERCIO DE" u="1"/>
        <s v="COYO TRADING S/" u="1"/>
        <s v="SANRISIL S/A IN" u="1"/>
        <s v="XERIFE LOBO AR" u="1"/>
        <s v="FIACAO FIDES" u="1"/>
        <s v="PEX LOGISTICA I" u="1"/>
        <s v="ATTOMATIC INDUS" u="1"/>
        <s v="BLOCK FILMS DIS" u="1"/>
        <s v="KGM COM. DE PEC" u="1"/>
        <s v="ASIA S. TERMINA" u="1"/>
        <s v="CLI CENTRAL DE" u="1"/>
        <s v="LEGEND BRASIL L" u="1"/>
        <s v="SM INDUSTRIA E" u="1"/>
        <s v="ABSOLUTA MANUTE" u="1"/>
        <s v="CLIF" u="1"/>
        <s v="LS MTRON BRASIL" u="1"/>
      </sharedItems>
    </cacheField>
    <cacheField name="VENDEDOR" numFmtId="0">
      <sharedItems containsBlank="1"/>
    </cacheField>
    <cacheField name="VALOR NF" numFmtId="0">
      <sharedItems containsString="0" containsBlank="1" containsNumber="1" minValue="1905.4" maxValue="152644.21"/>
    </cacheField>
    <cacheField name="SERVICO" numFmtId="0">
      <sharedItems containsBlank="1" count="27">
        <s v="EXPRESSO_250"/>
        <s v="LEAL SP X SC"/>
        <m/>
        <s v="REPASSE" u="1"/>
        <s v="DEDICADO VAN" u="1"/>
        <s v="DEDICADO" u="1"/>
        <s v="LEAL DISTRIBUIC" u="1"/>
        <s v="ECONOMICO_200" u="1"/>
        <s v="SUBCONTRATO_ECO" u="1"/>
        <s v="ECONOMICO_250" u="1"/>
        <s v="SUBCONTRATO" u="1"/>
        <s v="SERVICO LOGISTI" u="1"/>
        <s v="PERSONALIZADO" u="1"/>
        <s v="ECONOMICO_SUBCO" u="1"/>
        <s v="SUBCONTRATACAO" u="1"/>
        <s v="DEDICADO 3/4" u="1"/>
        <s v="DEDICADO FIORIN" u="1"/>
        <s v="SUBCONTRATO_PER" u="1"/>
        <s v="PERSONALIZADO S" u="1"/>
        <s v="EMERGENCIAL POR" u="1"/>
        <s v="EXPRESSO_200" u="1"/>
        <s v="PERSONALIZADO_L" u="1"/>
        <s v="LEAL SC X SP" u="1"/>
        <s v="EXPRESSO_SUBCON" u="1"/>
        <s v="DEDICADO TOCO" u="1"/>
        <s v="SERVICO" u="1"/>
        <s v="SUBCONTRATO_EXP" u="1"/>
      </sharedItems>
    </cacheField>
    <cacheField name="TIPO CTE" numFmtId="0">
      <sharedItems containsBlank="1"/>
    </cacheField>
    <cacheField name="DESTINO" numFmtId="0">
      <sharedItems containsBlank="1"/>
    </cacheField>
    <cacheField name="FRETE" numFmtId="0">
      <sharedItems containsString="0" containsBlank="1" containsNumber="1" minValue="87.07" maxValue="3347.76"/>
    </cacheField>
    <cacheField name="VOLUMES" numFmtId="0">
      <sharedItems containsString="0" containsBlank="1" containsNumber="1" containsInteger="1" minValue="1" maxValue="164"/>
    </cacheField>
    <cacheField name="PESO" numFmtId="0">
      <sharedItems containsString="0" containsBlank="1" containsNumber="1" minValue="2.1" maxValue="1294.78"/>
    </cacheField>
    <cacheField name="RESP. COLETA" numFmtId="0">
      <sharedItems containsBlank="1"/>
    </cacheField>
    <cacheField name="CUSTO COLETA" numFmtId="0">
      <sharedItems containsString="0" containsBlank="1" containsNumber="1" minValue="0" maxValue="522.58000000000004"/>
    </cacheField>
    <cacheField name="RESP. ENTREGA" numFmtId="0">
      <sharedItems containsBlank="1"/>
    </cacheField>
    <cacheField name="CUSTO ENTREGA" numFmtId="0">
      <sharedItems containsString="0" containsBlank="1" containsNumber="1" minValue="0" maxValue="104.71"/>
    </cacheField>
    <cacheField name="RESP. TRANSF" numFmtId="0">
      <sharedItems containsBlank="1"/>
    </cacheField>
    <cacheField name="CUSTO TRANSF" numFmtId="0">
      <sharedItems containsString="0" containsBlank="1" containsNumber="1" minValue="0.99" maxValue="611.99"/>
    </cacheField>
    <cacheField name="ICMS/ISS" numFmtId="0">
      <sharedItems containsString="0" containsBlank="1" containsNumber="1" minValue="0" maxValue="401.73"/>
    </cacheField>
    <cacheField name="DIFAL" numFmtId="0">
      <sharedItems containsString="0" containsBlank="1" containsNumber="1" containsInteger="1" minValue="0" maxValue="0"/>
    </cacheField>
    <cacheField name="C.DESPACHO" numFmtId="0">
      <sharedItems containsString="0" containsBlank="1" containsNumber="1" containsInteger="1" minValue="0" maxValue="0"/>
    </cacheField>
    <cacheField name="SEGURO" numFmtId="0">
      <sharedItems containsString="0" containsBlank="1" containsNumber="1" minValue="0" maxValue="76.319999999999993"/>
    </cacheField>
    <cacheField name="OUTROS" numFmtId="0">
      <sharedItems containsString="0" containsBlank="1" containsNumber="1" containsInteger="1" minValue="0" maxValue="0"/>
    </cacheField>
    <cacheField name="C.TOTAL" numFmtId="0">
      <sharedItems containsString="0" containsBlank="1" containsNumber="1" minValue="16.690000000000001" maxValue="1621.11"/>
    </cacheField>
    <cacheField name="RECEITA" numFmtId="0">
      <sharedItems containsString="0" containsBlank="1" containsNumber="1" minValue="-34.56" maxValue="1726.65"/>
    </cacheField>
    <cacheField name="IMPOSTO" numFmtId="0">
      <sharedItems containsString="0" containsBlank="1" containsNumber="1" minValue="22.64" maxValue="870.42"/>
    </cacheField>
    <cacheField name="RESULTADO" numFmtId="0">
      <sharedItems containsString="0" containsBlank="1" containsNumber="1" minValue="-64.56" maxValue="984.09"/>
    </cacheField>
    <cacheField name="COMIS" numFmtId="0">
      <sharedItems containsString="0" containsBlank="1" containsNumber="1" minValue="0" maxValue="9.15"/>
    </cacheField>
    <cacheField name="LUCRO LIQ" numFmtId="0">
      <sharedItems containsString="0" containsBlank="1" containsNumber="1" minValue="-64.56" maxValue="984.09"/>
    </cacheField>
    <cacheField name="MARGEM" numFmtId="10">
      <sharedItems containsString="0" containsBlank="1" containsNumber="1" minValue="-0.5595" maxValue="0.59540000000000004"/>
    </cacheField>
    <cacheField name="Coluna1" numFmtId="0">
      <sharedItems containsNonDate="0" containsString="0" containsBlank="1"/>
    </cacheField>
    <cacheField name="ResultadoOper." numFmtId="0" formula="FRETE-'CUSTO COLETA'-'CUSTO ENTREGA'-'CUSTO TRANSF'-'ICMS/ISS'-SEGURO-OUTROS-IMPOSTO-COMIS" databaseField="0"/>
    <cacheField name="Meta CV" numFmtId="0" formula=" ('CUSTO COLETA'+'CUSTO ENTREGA'+'CUSTO TRANSF')/FRETE" databaseField="0"/>
    <cacheField name="C.TRANSF.KG" numFmtId="0" formula="FRETE/PESO" databaseField="0"/>
    <cacheField name="% C.COLETA X FAT" numFmtId="0" formula="'CUSTO COLETA'/FRETE" databaseField="0"/>
    <cacheField name="% C.ENTREGA X FAT" numFmtId="0" formula="'CUSTO ENTREGA'/FRETE" databaseField="0"/>
    <cacheField name="% C.TRANSF. X FAT" numFmtId="0" formula="'CUSTO TRANSF'/FRETE" databaseField="0"/>
    <cacheField name="MARGEM BRUTA" numFmtId="0" formula="ResultadoOper./FRETE" databaseField="0"/>
    <cacheField name="%ICMS" numFmtId="0" formula="'ICMS/ISS'/FRETE" databaseField="0"/>
    <cacheField name="%SEGURO" numFmtId="0" formula="SEGURO/FRETE" databaseField="0"/>
    <cacheField name="%OUTROS" numFmtId="0" formula="OUTROS/FRETE" databaseField="0"/>
    <cacheField name="%IMPOSTO" numFmtId="0" formula="IMPOSTO/FRETE" databaseField="0"/>
    <cacheField name="%COMISSAO" numFmtId="0" formula="COMIS/FRETE" databaseField="0"/>
    <cacheField name="Faturamento2" numFmtId="0" formula="FRETE" databaseField="0"/>
    <cacheField name="C.KG" numFmtId="0" formula="'CUSTO TRANSF'/PESO" databaseField="0"/>
    <cacheField name="VENDA KG" numFmtId="0" formula="FRETE/PESO" databaseField="0"/>
    <cacheField name="C.KG.Entreg" numFmtId="0" formula="'CUSTO ENTREGA'/PESO" databaseField="0"/>
    <cacheField name="I.FEDERAIS" numFmtId="0" formula="FRETE*8%" databaseField="0"/>
    <cacheField name="C.FIXO" numFmtId="0" formula="FRETE*18%" databaseField="0"/>
  </cacheFields>
  <extLst>
    <ext xmlns:x14="http://schemas.microsoft.com/office/spreadsheetml/2009/9/main" uri="{725AE2AE-9491-48be-B2B4-4EB974FC3084}">
      <x14:pivotCacheDefinition pivotCacheId="92520950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9">
  <r>
    <x v="0"/>
    <s v="FILIAL SP"/>
    <d v="2026-09-24T00:00:00"/>
    <d v="2026-09-28T00:00:00"/>
    <m/>
    <s v="37912-1"/>
    <x v="0"/>
    <s v="MARLON MARQUES"/>
    <n v="12968.59"/>
    <x v="0"/>
    <s v="CTE NORMAL"/>
    <s v="CRICIUMA - SC"/>
    <n v="299.17"/>
    <n v="12"/>
    <n v="86.36"/>
    <s v="FILIAL SP"/>
    <n v="89.58"/>
    <s v="MF EXPRESS TRANSPORTE ROD"/>
    <n v="104.71"/>
    <s v="G.S CITRUS COMERCIO ATACA"/>
    <n v="40.82"/>
    <n v="35.9"/>
    <n v="0"/>
    <n v="0"/>
    <n v="6.48"/>
    <n v="0"/>
    <n v="277.49"/>
    <n v="21.68"/>
    <n v="77.78"/>
    <n v="-56.1"/>
    <n v="0"/>
    <n v="-56.1"/>
    <n v="-0.1875"/>
    <m/>
  </r>
  <r>
    <x v="1"/>
    <s v="FILIAL SP"/>
    <d v="2026-09-24T00:00:00"/>
    <d v="2026-09-28T00:00:00"/>
    <m/>
    <s v="37903-1"/>
    <x v="0"/>
    <s v="MARLON MARQUES"/>
    <n v="1905.4"/>
    <x v="0"/>
    <s v="CTE NORMAL"/>
    <s v="CRICIUMA - SC"/>
    <n v="145.78"/>
    <n v="1"/>
    <n v="6.62"/>
    <s v="FILIAL SP"/>
    <n v="6.87"/>
    <s v="MF EXPRESS TRANSPORTE ROD"/>
    <n v="51.02"/>
    <s v="G.S CITRUS COMERCIO ATACA"/>
    <n v="3.13"/>
    <n v="17.489999999999998"/>
    <n v="0"/>
    <n v="0"/>
    <n v="0.95"/>
    <n v="0"/>
    <n v="79.459999999999994"/>
    <n v="66.319999999999993"/>
    <n v="37.9"/>
    <n v="28.42"/>
    <n v="0"/>
    <n v="28.42"/>
    <n v="0.19500000000000001"/>
    <m/>
  </r>
  <r>
    <x v="2"/>
    <s v="FILIAL SP"/>
    <d v="2026-09-24T00:00:00"/>
    <d v="2026-09-28T00:00:00"/>
    <m/>
    <s v="37902-1"/>
    <x v="0"/>
    <s v="MARLON MARQUES"/>
    <n v="2258.5"/>
    <x v="0"/>
    <s v="CTE NORMAL"/>
    <s v="CRICIUMA - SC"/>
    <n v="145.78"/>
    <n v="2"/>
    <n v="10.82"/>
    <s v="FILIAL SP"/>
    <n v="11.22"/>
    <s v="MF EXPRESS TRANSPORTE ROD"/>
    <n v="51.02"/>
    <s v="G.S CITRUS COMERCIO ATACA"/>
    <n v="5.1100000000000003"/>
    <n v="17.489999999999998"/>
    <n v="0"/>
    <n v="0"/>
    <n v="1.1299999999999999"/>
    <n v="0"/>
    <n v="85.97"/>
    <n v="59.81"/>
    <n v="37.9"/>
    <n v="21.91"/>
    <n v="0"/>
    <n v="21.91"/>
    <n v="0.15029999999999999"/>
    <m/>
  </r>
  <r>
    <x v="3"/>
    <s v="FILIAL SP"/>
    <d v="2026-09-28T00:00:00"/>
    <d v="2026-09-28T00:00:00"/>
    <m/>
    <s v="37966-1"/>
    <x v="0"/>
    <s v="MARLON MARQUES"/>
    <n v="3726.37"/>
    <x v="0"/>
    <s v="CTE NORMAL"/>
    <s v="GARUVA - SC"/>
    <n v="115.39"/>
    <n v="2"/>
    <n v="13.25"/>
    <s v="FILIAL SP"/>
    <n v="5.35"/>
    <s v="HELTON JOHN DA SILVA"/>
    <n v="0.09"/>
    <s v="G.S CITRUS COMERCIO ATACA"/>
    <n v="6.26"/>
    <n v="13.85"/>
    <n v="0"/>
    <n v="0"/>
    <n v="1.86"/>
    <n v="0"/>
    <n v="27.41"/>
    <n v="87.98"/>
    <n v="30"/>
    <n v="57.98"/>
    <n v="0"/>
    <n v="57.98"/>
    <n v="0.50249999999999995"/>
    <m/>
  </r>
  <r>
    <x v="4"/>
    <s v="FILIAL SP"/>
    <d v="2026-09-28T00:00:00"/>
    <d v="2026-09-28T00:00:00"/>
    <m/>
    <s v="37965-1"/>
    <x v="1"/>
    <s v="MARLON MARQUES"/>
    <n v="7602.95"/>
    <x v="0"/>
    <s v="CTE NORMAL"/>
    <s v="GARUVA - SC"/>
    <n v="166.74"/>
    <n v="31"/>
    <n v="49.6"/>
    <s v="FILIAL SP"/>
    <n v="20.02"/>
    <s v="HELTON JOHN DA SILVA"/>
    <n v="0.33"/>
    <s v="G.S CITRUS COMERCIO ATACA"/>
    <n v="23.44"/>
    <n v="20.010000000000002"/>
    <n v="0"/>
    <n v="0"/>
    <n v="3.8"/>
    <n v="0"/>
    <n v="67.599999999999994"/>
    <n v="99.14"/>
    <n v="43.35"/>
    <n v="55.79"/>
    <n v="0"/>
    <n v="55.79"/>
    <n v="0.33460000000000001"/>
    <m/>
  </r>
  <r>
    <x v="5"/>
    <s v="FILIAL SP"/>
    <d v="2026-09-28T00:00:00"/>
    <d v="2026-09-28T00:00:00"/>
    <m/>
    <s v="37964-1"/>
    <x v="0"/>
    <s v="MARLON MARQUES"/>
    <n v="16768.66"/>
    <x v="0"/>
    <s v="CTE NORMAL"/>
    <s v="GARUVA - SC"/>
    <n v="367.76"/>
    <n v="9"/>
    <n v="59.62"/>
    <s v="FILIAL SP"/>
    <n v="24.06"/>
    <s v="HELTON JOHN DA SILVA"/>
    <n v="0.39"/>
    <s v="G.S CITRUS COMERCIO ATACA"/>
    <n v="28.18"/>
    <n v="44.13"/>
    <n v="0"/>
    <n v="0"/>
    <n v="8.3800000000000008"/>
    <n v="0"/>
    <n v="105.14"/>
    <n v="262.62"/>
    <n v="95.62"/>
    <n v="167"/>
    <n v="0"/>
    <n v="167"/>
    <n v="0.45409999999999995"/>
    <m/>
  </r>
  <r>
    <x v="6"/>
    <s v="FILIAL SP"/>
    <d v="2026-09-28T00:00:00"/>
    <d v="2026-09-28T00:00:00"/>
    <m/>
    <s v="37963-1"/>
    <x v="0"/>
    <s v="MARLON MARQUES"/>
    <n v="3726.37"/>
    <x v="0"/>
    <s v="CTE NORMAL"/>
    <s v="GARUVA - SC"/>
    <n v="115.39"/>
    <n v="2"/>
    <n v="13.25"/>
    <s v="FILIAL SP"/>
    <n v="5.35"/>
    <s v="HELTON JOHN DA SILVA"/>
    <n v="0.09"/>
    <s v="G.S CITRUS COMERCIO ATACA"/>
    <n v="6.26"/>
    <n v="13.85"/>
    <n v="0"/>
    <n v="0"/>
    <n v="1.86"/>
    <n v="0"/>
    <n v="27.41"/>
    <n v="87.98"/>
    <n v="30"/>
    <n v="57.98"/>
    <n v="0"/>
    <n v="57.98"/>
    <n v="0.50249999999999995"/>
    <m/>
  </r>
  <r>
    <x v="7"/>
    <s v="FILIAL SP"/>
    <d v="2026-09-28T00:00:00"/>
    <d v="2026-09-28T00:00:00"/>
    <m/>
    <s v="37962-1"/>
    <x v="0"/>
    <s v="MARLON MARQUES"/>
    <n v="11471.58"/>
    <x v="0"/>
    <s v="CTE NORMAL"/>
    <s v="SAO JOSE - SC"/>
    <n v="237.25"/>
    <n v="5"/>
    <n v="48.82"/>
    <s v="FILIAL SP"/>
    <n v="19.7"/>
    <s v="MF EXPRESS TRANSPORTE ROD"/>
    <n v="83.04"/>
    <s v="G.S CITRUS COMERCIO ATACA"/>
    <n v="23.08"/>
    <n v="28.47"/>
    <n v="0"/>
    <n v="0"/>
    <n v="5.74"/>
    <n v="0"/>
    <n v="160.03"/>
    <n v="77.22"/>
    <n v="61.68"/>
    <n v="15.54"/>
    <n v="0"/>
    <n v="15.54"/>
    <n v="6.5500000000000003E-2"/>
    <m/>
  </r>
  <r>
    <x v="8"/>
    <s v="FILIAL SP"/>
    <d v="2026-09-28T00:00:00"/>
    <d v="2026-09-28T00:00:00"/>
    <m/>
    <s v="37960-1"/>
    <x v="0"/>
    <s v="MARLON MARQUES"/>
    <n v="72120.399999999994"/>
    <x v="0"/>
    <s v="CTE NORMAL"/>
    <s v="INDAIAL - SC"/>
    <n v="1581.73"/>
    <n v="37"/>
    <n v="358.28"/>
    <s v="FILIAL SP"/>
    <n v="144.6"/>
    <s v="JOSENIR DE SOUZA CUNHA"/>
    <n v="0"/>
    <s v="G.S CITRUS COMERCIO ATACA"/>
    <n v="228.61"/>
    <n v="189.81"/>
    <n v="0"/>
    <n v="0"/>
    <n v="36.06"/>
    <n v="0"/>
    <n v="599.08000000000004"/>
    <n v="982.65"/>
    <n v="411.25"/>
    <n v="571.4"/>
    <n v="0"/>
    <n v="571.4"/>
    <n v="0.36130000000000001"/>
    <m/>
  </r>
  <r>
    <x v="9"/>
    <s v="FILIAL SP"/>
    <d v="2026-09-28T00:00:00"/>
    <d v="2026-09-28T00:00:00"/>
    <m/>
    <s v="37959-1"/>
    <x v="0"/>
    <s v="MARLON MARQUES"/>
    <n v="9315.92"/>
    <x v="0"/>
    <s v="CTE NORMAL"/>
    <s v="GARUVA - SC"/>
    <n v="204.32"/>
    <n v="5"/>
    <n v="33.119999999999997"/>
    <s v="FILIAL SP"/>
    <n v="13.37"/>
    <s v="HELTON JOHN DA SILVA"/>
    <n v="0.22"/>
    <s v="G.S CITRUS COMERCIO ATACA"/>
    <n v="15.65"/>
    <n v="24.52"/>
    <n v="0"/>
    <n v="0"/>
    <n v="4.66"/>
    <n v="0"/>
    <n v="58.42"/>
    <n v="145.9"/>
    <n v="53.12"/>
    <n v="92.78"/>
    <n v="0"/>
    <n v="92.78"/>
    <n v="0.45409999999999995"/>
    <m/>
  </r>
  <r>
    <x v="10"/>
    <s v="FILIAL SP"/>
    <d v="2026-09-28T00:00:00"/>
    <d v="2026-09-28T00:00:00"/>
    <m/>
    <s v="37958-1"/>
    <x v="0"/>
    <s v="MARLON MARQUES"/>
    <n v="2861.89"/>
    <x v="0"/>
    <s v="CTE NORMAL"/>
    <s v="SAO BENTO DO SUL - SC"/>
    <n v="145.78"/>
    <n v="4"/>
    <n v="32"/>
    <s v="FILIAL SP"/>
    <n v="12.92"/>
    <s v="HELTON JOHN DA SILVA"/>
    <n v="0.21"/>
    <s v="G.S CITRUS COMERCIO ATACA"/>
    <n v="15.13"/>
    <n v="17.489999999999998"/>
    <n v="0"/>
    <n v="0"/>
    <n v="1.43"/>
    <n v="0"/>
    <n v="47.18"/>
    <n v="98.6"/>
    <n v="37.9"/>
    <n v="60.7"/>
    <n v="0"/>
    <n v="60.7"/>
    <n v="0.41639999999999999"/>
    <m/>
  </r>
  <r>
    <x v="11"/>
    <s v="FILIAL SP"/>
    <d v="2026-09-28T00:00:00"/>
    <d v="2026-09-28T00:00:00"/>
    <m/>
    <s v="37957-1"/>
    <x v="1"/>
    <s v="MARLON MARQUES"/>
    <n v="4432.33"/>
    <x v="0"/>
    <s v="CTE NORMAL"/>
    <s v="GARUVA - SC"/>
    <n v="115.39"/>
    <n v="3"/>
    <n v="20.399999999999999"/>
    <s v="FILIAL SP"/>
    <n v="8.23"/>
    <s v="HELTON JOHN DA SILVA"/>
    <n v="0.13"/>
    <s v="G.S CITRUS COMERCIO ATACA"/>
    <n v="9.64"/>
    <n v="13.85"/>
    <n v="0"/>
    <n v="0"/>
    <n v="2.2200000000000002"/>
    <n v="0"/>
    <n v="34.07"/>
    <n v="81.319999999999993"/>
    <n v="30"/>
    <n v="51.32"/>
    <n v="0"/>
    <n v="51.32"/>
    <n v="0.44479999999999997"/>
    <m/>
  </r>
  <r>
    <x v="12"/>
    <s v="FILIAL SP"/>
    <d v="2026-09-28T00:00:00"/>
    <d v="2026-09-28T00:00:00"/>
    <m/>
    <s v="37956-1"/>
    <x v="0"/>
    <s v="MARLON MARQUES"/>
    <n v="7452.74"/>
    <x v="0"/>
    <s v="CTE NORMAL"/>
    <s v="GARUVA - SC"/>
    <n v="163.44"/>
    <n v="4"/>
    <n v="26.5"/>
    <s v="FILIAL SP"/>
    <n v="10.7"/>
    <s v="HELTON JOHN DA SILVA"/>
    <n v="0.17"/>
    <s v="G.S CITRUS COMERCIO ATACA"/>
    <n v="12.53"/>
    <n v="19.61"/>
    <n v="0"/>
    <n v="0"/>
    <n v="3.73"/>
    <n v="0"/>
    <n v="46.74"/>
    <n v="116.7"/>
    <n v="42.49"/>
    <n v="74.209999999999994"/>
    <n v="0"/>
    <n v="74.209999999999994"/>
    <n v="0.45409999999999995"/>
    <m/>
  </r>
  <r>
    <x v="13"/>
    <s v="FILIAL SP"/>
    <d v="2026-09-28T00:00:00"/>
    <d v="2026-09-28T00:00:00"/>
    <m/>
    <s v="37955-1"/>
    <x v="0"/>
    <s v="MARLON MARQUES"/>
    <n v="16230.67"/>
    <x v="0"/>
    <s v="CTE NORMAL"/>
    <s v="GARUVA - SC"/>
    <n v="355.98"/>
    <n v="8"/>
    <n v="52.99"/>
    <s v="FILIAL SP"/>
    <n v="21.39"/>
    <s v="HELTON JOHN DA SILVA"/>
    <n v="0.35"/>
    <s v="G.S CITRUS COMERCIO ATACA"/>
    <n v="25.05"/>
    <n v="42.72"/>
    <n v="0"/>
    <n v="0"/>
    <n v="8.1199999999999992"/>
    <n v="0"/>
    <n v="97.63"/>
    <n v="258.35000000000002"/>
    <n v="92.55"/>
    <n v="165.8"/>
    <n v="0"/>
    <n v="165.8"/>
    <n v="0.46579999999999999"/>
    <m/>
  </r>
  <r>
    <x v="14"/>
    <s v="FILIAL SP"/>
    <d v="2026-09-28T00:00:00"/>
    <d v="2026-09-28T00:00:00"/>
    <m/>
    <s v="37954-1"/>
    <x v="0"/>
    <s v="MARLON MARQUES"/>
    <n v="7452.74"/>
    <x v="0"/>
    <s v="CTE NORMAL"/>
    <s v="GARUVA - SC"/>
    <n v="163.44"/>
    <n v="4"/>
    <n v="26.5"/>
    <s v="FILIAL SP"/>
    <n v="10.7"/>
    <s v="HELTON JOHN DA SILVA"/>
    <n v="0.17"/>
    <s v="G.S CITRUS COMERCIO ATACA"/>
    <n v="12.53"/>
    <n v="19.61"/>
    <n v="0"/>
    <n v="0"/>
    <n v="3.73"/>
    <n v="0"/>
    <n v="46.74"/>
    <n v="116.7"/>
    <n v="42.49"/>
    <n v="74.209999999999994"/>
    <n v="0"/>
    <n v="74.209999999999994"/>
    <n v="0.45409999999999995"/>
    <m/>
  </r>
  <r>
    <x v="15"/>
    <s v="FILIAL SP"/>
    <d v="2026-09-28T00:00:00"/>
    <d v="2026-09-28T00:00:00"/>
    <m/>
    <s v="37953-1"/>
    <x v="1"/>
    <s v="MARLON MARQUES"/>
    <n v="1974.43"/>
    <x v="0"/>
    <s v="CTE NORMAL"/>
    <s v="GARUVA - SC"/>
    <n v="115.39"/>
    <n v="1"/>
    <n v="2.1"/>
    <s v="FILIAL SP"/>
    <n v="0.85"/>
    <s v="HELTON JOHN DA SILVA"/>
    <n v="0.01"/>
    <s v="G.S CITRUS COMERCIO ATACA"/>
    <n v="0.99"/>
    <n v="13.85"/>
    <n v="0"/>
    <n v="0"/>
    <n v="0.99"/>
    <n v="0"/>
    <n v="16.690000000000001"/>
    <n v="98.7"/>
    <n v="30"/>
    <n v="68.7"/>
    <n v="0"/>
    <n v="68.7"/>
    <n v="0.59540000000000004"/>
    <m/>
  </r>
  <r>
    <x v="16"/>
    <s v="FILIAL SP"/>
    <d v="2026-09-28T00:00:00"/>
    <d v="2026-09-28T00:00:00"/>
    <m/>
    <s v="37952-1"/>
    <x v="0"/>
    <s v="MARLON MARQUES"/>
    <n v="9315.92"/>
    <x v="0"/>
    <s v="CTE NORMAL"/>
    <s v="GARUVA - SC"/>
    <n v="204.32"/>
    <n v="5"/>
    <n v="33.119999999999997"/>
    <s v="FILIAL SP"/>
    <n v="13.37"/>
    <s v="HELTON JOHN DA SILVA"/>
    <n v="0.22"/>
    <s v="G.S CITRUS COMERCIO ATACA"/>
    <n v="15.65"/>
    <n v="24.52"/>
    <n v="0"/>
    <n v="0"/>
    <n v="4.66"/>
    <n v="0"/>
    <n v="58.42"/>
    <n v="145.9"/>
    <n v="53.12"/>
    <n v="92.78"/>
    <n v="0"/>
    <n v="92.78"/>
    <n v="0.45409999999999995"/>
    <m/>
  </r>
  <r>
    <x v="17"/>
    <s v="FILIAL SP"/>
    <d v="2026-09-28T00:00:00"/>
    <d v="2026-09-28T00:00:00"/>
    <m/>
    <s v="37951-1"/>
    <x v="1"/>
    <s v="MARLON MARQUES"/>
    <n v="1974.43"/>
    <x v="0"/>
    <s v="CTE NORMAL"/>
    <s v="GARUVA - SC"/>
    <n v="115.39"/>
    <n v="1"/>
    <n v="2.1"/>
    <s v="FILIAL SP"/>
    <n v="0.85"/>
    <s v="HELTON JOHN DA SILVA"/>
    <n v="0.01"/>
    <s v="G.S CITRUS COMERCIO ATACA"/>
    <n v="0.99"/>
    <n v="13.85"/>
    <n v="0"/>
    <n v="0"/>
    <n v="0.99"/>
    <n v="0"/>
    <n v="16.690000000000001"/>
    <n v="98.7"/>
    <n v="30"/>
    <n v="68.7"/>
    <n v="0"/>
    <n v="68.7"/>
    <n v="0.59540000000000004"/>
    <m/>
  </r>
  <r>
    <x v="18"/>
    <s v="FILIAL SP"/>
    <d v="2026-09-28T00:00:00"/>
    <d v="2026-09-28T00:00:00"/>
    <m/>
    <s v="37950-1"/>
    <x v="0"/>
    <s v="MARLON MARQUES"/>
    <n v="3439.05"/>
    <x v="0"/>
    <s v="CTE NORMAL"/>
    <s v="GARUVA - SC"/>
    <n v="115.39"/>
    <n v="3"/>
    <n v="35.29"/>
    <s v="FILIAL SP"/>
    <n v="14.24"/>
    <s v="HELTON JOHN DA SILVA"/>
    <n v="0.23"/>
    <s v="G.S CITRUS COMERCIO ATACA"/>
    <n v="16.68"/>
    <n v="13.85"/>
    <n v="0"/>
    <n v="0"/>
    <n v="1.72"/>
    <n v="0"/>
    <n v="46.72"/>
    <n v="68.67"/>
    <n v="30"/>
    <n v="38.67"/>
    <n v="0"/>
    <n v="38.67"/>
    <n v="0.33509999999999995"/>
    <m/>
  </r>
  <r>
    <x v="19"/>
    <s v="FILIAL SP"/>
    <d v="2026-09-28T00:00:00"/>
    <d v="2026-09-28T00:00:00"/>
    <m/>
    <s v="37949-1"/>
    <x v="0"/>
    <s v="MARLON MARQUES"/>
    <n v="27098.99"/>
    <x v="0"/>
    <s v="CTE NORMAL"/>
    <s v="GARUVA - SC"/>
    <n v="594.33000000000004"/>
    <n v="6"/>
    <n v="57.02"/>
    <s v="FILIAL SP"/>
    <n v="23.01"/>
    <s v="HELTON JOHN DA SILVA"/>
    <n v="0.37"/>
    <s v="G.S CITRUS COMERCIO ATACA"/>
    <n v="26.95"/>
    <n v="71.319999999999993"/>
    <n v="0"/>
    <n v="0"/>
    <n v="13.55"/>
    <n v="0"/>
    <n v="135.19999999999999"/>
    <n v="459.13"/>
    <n v="154.53"/>
    <n v="304.60000000000002"/>
    <n v="0"/>
    <n v="304.60000000000002"/>
    <n v="0.51249999999999996"/>
    <m/>
  </r>
  <r>
    <x v="20"/>
    <s v="FILIAL SP"/>
    <d v="2026-09-28T00:00:00"/>
    <d v="2026-09-28T00:00:00"/>
    <m/>
    <s v="37948-1"/>
    <x v="0"/>
    <s v="MARLON MARQUES"/>
    <n v="4589.0600000000004"/>
    <x v="0"/>
    <s v="CTE NORMAL"/>
    <s v="GARUVA - SC"/>
    <n v="115.39"/>
    <n v="3"/>
    <n v="34.369999999999997"/>
    <s v="FILIAL SP"/>
    <n v="13.87"/>
    <s v="HELTON JOHN DA SILVA"/>
    <n v="0.23"/>
    <s v="G.S CITRUS COMERCIO ATACA"/>
    <n v="16.25"/>
    <n v="13.85"/>
    <n v="0"/>
    <n v="0"/>
    <n v="2.29"/>
    <n v="0"/>
    <n v="46.49"/>
    <n v="68.900000000000006"/>
    <n v="30"/>
    <n v="38.9"/>
    <n v="0"/>
    <n v="38.9"/>
    <n v="0.33710000000000001"/>
    <m/>
  </r>
  <r>
    <x v="21"/>
    <s v="FILIAL SP"/>
    <d v="2026-09-28T00:00:00"/>
    <d v="2026-09-28T00:00:00"/>
    <m/>
    <s v="37947-1"/>
    <x v="0"/>
    <s v="MARLON MARQUES"/>
    <n v="87817.4"/>
    <x v="0"/>
    <s v="CTE NORMAL"/>
    <s v="GARUVA - SC"/>
    <n v="1926"/>
    <n v="22"/>
    <n v="188.18"/>
    <s v="FILIAL SP"/>
    <n v="75.95"/>
    <s v="HELTON JOHN DA SILVA"/>
    <n v="1.23"/>
    <s v="G.S CITRUS COMERCIO ATACA"/>
    <n v="88.94"/>
    <n v="231.12"/>
    <n v="0"/>
    <n v="0"/>
    <n v="43.91"/>
    <n v="0"/>
    <n v="441.15"/>
    <n v="1484.85"/>
    <n v="500.76"/>
    <n v="984.09"/>
    <n v="0"/>
    <n v="984.09"/>
    <n v="0.51100000000000001"/>
    <m/>
  </r>
  <r>
    <x v="22"/>
    <s v="FILIAL SP"/>
    <d v="2026-09-28T00:00:00"/>
    <d v="2026-09-28T00:00:00"/>
    <m/>
    <s v="37945-1"/>
    <x v="0"/>
    <s v="MARLON MARQUES"/>
    <n v="152644.21"/>
    <x v="0"/>
    <s v="CTE NORMAL"/>
    <s v="GARUVA - SC"/>
    <n v="3347.76"/>
    <n v="164"/>
    <n v="1294.78"/>
    <s v="FILIAL SP"/>
    <n v="522.58000000000004"/>
    <s v="HELTON JOHN DA SILVA"/>
    <n v="8.49"/>
    <s v="G.S CITRUS COMERCIO ATACA"/>
    <n v="611.99"/>
    <n v="401.73"/>
    <n v="0"/>
    <n v="0"/>
    <n v="76.319999999999993"/>
    <n v="0"/>
    <n v="1621.11"/>
    <n v="1726.65"/>
    <n v="870.42"/>
    <n v="856.23"/>
    <n v="0"/>
    <n v="856.23"/>
    <n v="0.25579999999999997"/>
    <m/>
  </r>
  <r>
    <x v="23"/>
    <s v="FILIAL SP"/>
    <d v="2026-09-28T00:00:00"/>
    <d v="2026-09-28T00:00:00"/>
    <m/>
    <s v="37934-1"/>
    <x v="0"/>
    <s v="MARLON MARQUES"/>
    <n v="5116.0600000000004"/>
    <x v="0"/>
    <s v="CTE NORMAL"/>
    <s v="GARUVA - SC"/>
    <n v="115.39"/>
    <n v="5"/>
    <n v="151.27000000000001"/>
    <s v="FILIAL SP"/>
    <n v="61.05"/>
    <s v="HELTON JOHN DA SILVA"/>
    <n v="0.99"/>
    <s v="G.S CITRUS COMERCIO ATACA"/>
    <n v="71.5"/>
    <n v="13.85"/>
    <n v="0"/>
    <n v="0"/>
    <n v="2.56"/>
    <n v="0"/>
    <n v="149.94999999999999"/>
    <n v="-34.56"/>
    <n v="30"/>
    <n v="-64.56"/>
    <n v="0"/>
    <n v="-64.56"/>
    <n v="-0.5595"/>
    <m/>
  </r>
  <r>
    <x v="24"/>
    <s v="FILIAL SP"/>
    <d v="2026-09-28T00:00:00"/>
    <d v="2026-09-28T00:00:00"/>
    <m/>
    <s v="37929-1"/>
    <x v="0"/>
    <s v="MARLON MARQUES"/>
    <n v="54197.99"/>
    <x v="0"/>
    <s v="CTE NORMAL"/>
    <s v="GARUVA - SC"/>
    <n v="1188.6600000000001"/>
    <n v="12"/>
    <n v="114.05"/>
    <s v="FILIAL SP"/>
    <n v="46.03"/>
    <s v="HELTON JOHN DA SILVA"/>
    <n v="0.75"/>
    <s v="G.S CITRUS COMERCIO ATACA"/>
    <n v="53.91"/>
    <n v="142.63999999999999"/>
    <n v="0"/>
    <n v="0"/>
    <n v="27.1"/>
    <n v="0"/>
    <n v="270.43"/>
    <n v="918.23"/>
    <n v="309.05"/>
    <n v="609.17999999999995"/>
    <n v="0"/>
    <n v="609.17999999999995"/>
    <n v="0.51249999999999996"/>
    <m/>
  </r>
  <r>
    <x v="25"/>
    <s v="MATRIZ"/>
    <d v="2026-09-29T00:00:00"/>
    <d v="2026-09-29T00:00:00"/>
    <m/>
    <s v="4064-1"/>
    <x v="2"/>
    <s v="URIEL CORREA"/>
    <n v="6964.8"/>
    <x v="1"/>
    <s v="CTE NORMAL"/>
    <s v="NAVEGANTES - SC"/>
    <n v="87.07"/>
    <n v="10"/>
    <n v="273"/>
    <s v="MATRIZ"/>
    <n v="0"/>
    <s v="N/D"/>
    <n v="0"/>
    <s v="G.S CITRUS COMERCIO ATACA"/>
    <n v="33.5"/>
    <n v="0"/>
    <n v="0"/>
    <n v="0"/>
    <n v="0"/>
    <n v="0"/>
    <n v="33.5"/>
    <n v="53.57"/>
    <n v="22.64"/>
    <n v="30.93"/>
    <n v="0.87"/>
    <n v="30.06"/>
    <n v="0.34520000000000001"/>
    <m/>
  </r>
  <r>
    <x v="26"/>
    <s v="MATRIZ"/>
    <d v="2026-09-29T00:00:00"/>
    <d v="2026-09-29T00:00:00"/>
    <m/>
    <s v="4063-1"/>
    <x v="2"/>
    <s v="URIEL CORREA"/>
    <n v="9000"/>
    <x v="1"/>
    <s v="CTE NORMAL"/>
    <s v="NAVEGANTES - SC"/>
    <n v="112.52"/>
    <n v="10"/>
    <n v="100"/>
    <s v="MATRIZ"/>
    <n v="0"/>
    <s v="N/D"/>
    <n v="0"/>
    <s v="G.S CITRUS COMERCIO ATACA"/>
    <n v="43.3"/>
    <n v="0"/>
    <n v="0"/>
    <n v="0"/>
    <n v="0"/>
    <n v="0"/>
    <n v="43.3"/>
    <n v="69.22"/>
    <n v="29.26"/>
    <n v="39.96"/>
    <n v="1.1299999999999999"/>
    <n v="38.83"/>
    <n v="0.34509999999999996"/>
    <m/>
  </r>
  <r>
    <x v="27"/>
    <s v="MATRIZ"/>
    <d v="2026-09-29T00:00:00"/>
    <d v="2026-09-29T00:00:00"/>
    <m/>
    <s v="4062-1"/>
    <x v="2"/>
    <s v="URIEL CORREA"/>
    <n v="73200"/>
    <x v="1"/>
    <s v="CTE NORMAL"/>
    <s v="NAVEGANTES - SC"/>
    <n v="915.12"/>
    <n v="130"/>
    <n v="600"/>
    <s v="MATRIZ"/>
    <n v="0"/>
    <s v="N/D"/>
    <n v="0"/>
    <s v="G.S CITRUS COMERCIO ATACA"/>
    <n v="352.13"/>
    <n v="0"/>
    <n v="0"/>
    <n v="0"/>
    <n v="0"/>
    <n v="0"/>
    <n v="352.13"/>
    <n v="562.99"/>
    <n v="237.93"/>
    <n v="325.06"/>
    <n v="9.15"/>
    <n v="315.91000000000003"/>
    <n v="0.34520000000000001"/>
    <m/>
  </r>
  <r>
    <x v="28"/>
    <s v="MATRIZ"/>
    <d v="2026-09-29T00:00:00"/>
    <d v="2026-09-29T00:00:00"/>
    <m/>
    <s v="4061-1"/>
    <x v="2"/>
    <s v="URIEL CORREA"/>
    <n v="14415"/>
    <x v="1"/>
    <s v="CTE NORMAL"/>
    <s v="NAVEGANTES - SC"/>
    <n v="180.21"/>
    <n v="7"/>
    <n v="84"/>
    <s v="MATRIZ"/>
    <n v="0"/>
    <s v="N/D"/>
    <n v="0"/>
    <s v="G.S CITRUS COMERCIO ATACA"/>
    <n v="69.34"/>
    <n v="0"/>
    <n v="0"/>
    <n v="0"/>
    <n v="0"/>
    <n v="0"/>
    <n v="69.34"/>
    <n v="110.87"/>
    <n v="46.85"/>
    <n v="64.02"/>
    <n v="1.8"/>
    <n v="62.22"/>
    <n v="0.3453"/>
    <m/>
  </r>
  <r>
    <x v="29"/>
    <s v="MATRIZ"/>
    <d v="2026-09-29T00:00:00"/>
    <d v="2026-09-29T00:00:00"/>
    <m/>
    <s v="4060-1"/>
    <x v="2"/>
    <s v="URIEL CORREA"/>
    <n v="10752"/>
    <x v="1"/>
    <s v="CTE NORMAL"/>
    <s v="NAVEGANTES - SC"/>
    <n v="134.41999999999999"/>
    <n v="14"/>
    <n v="449"/>
    <s v="MATRIZ"/>
    <n v="0"/>
    <s v="N/D"/>
    <n v="0"/>
    <s v="G.S CITRUS COMERCIO ATACA"/>
    <n v="51.72"/>
    <n v="0"/>
    <n v="0"/>
    <n v="0"/>
    <n v="0"/>
    <n v="0"/>
    <n v="51.72"/>
    <n v="82.7"/>
    <n v="34.950000000000003"/>
    <n v="47.75"/>
    <n v="1.34"/>
    <n v="46.41"/>
    <n v="0.3453"/>
    <m/>
  </r>
  <r>
    <x v="30"/>
    <m/>
    <m/>
    <m/>
    <m/>
    <m/>
    <x v="3"/>
    <m/>
    <m/>
    <x v="2"/>
    <m/>
    <m/>
    <m/>
    <m/>
    <m/>
    <m/>
    <m/>
    <m/>
    <m/>
    <m/>
    <m/>
    <m/>
    <m/>
    <m/>
    <m/>
    <m/>
    <m/>
    <m/>
    <m/>
    <m/>
    <m/>
    <m/>
    <m/>
    <m/>
  </r>
  <r>
    <x v="30"/>
    <m/>
    <m/>
    <m/>
    <m/>
    <m/>
    <x v="3"/>
    <m/>
    <m/>
    <x v="2"/>
    <m/>
    <m/>
    <m/>
    <m/>
    <m/>
    <m/>
    <m/>
    <m/>
    <m/>
    <m/>
    <m/>
    <m/>
    <m/>
    <m/>
    <m/>
    <m/>
    <m/>
    <m/>
    <m/>
    <m/>
    <m/>
    <m/>
    <m/>
    <m/>
  </r>
  <r>
    <x v="30"/>
    <m/>
    <m/>
    <m/>
    <m/>
    <m/>
    <x v="3"/>
    <m/>
    <m/>
    <x v="2"/>
    <m/>
    <m/>
    <m/>
    <m/>
    <m/>
    <m/>
    <m/>
    <m/>
    <m/>
    <m/>
    <m/>
    <m/>
    <m/>
    <m/>
    <m/>
    <m/>
    <m/>
    <m/>
    <m/>
    <m/>
    <m/>
    <m/>
    <m/>
    <m/>
  </r>
  <r>
    <x v="30"/>
    <m/>
    <m/>
    <m/>
    <m/>
    <m/>
    <x v="3"/>
    <m/>
    <m/>
    <x v="2"/>
    <m/>
    <m/>
    <m/>
    <m/>
    <m/>
    <m/>
    <m/>
    <m/>
    <m/>
    <m/>
    <m/>
    <m/>
    <m/>
    <m/>
    <m/>
    <m/>
    <m/>
    <m/>
    <m/>
    <m/>
    <m/>
    <m/>
    <m/>
    <m/>
  </r>
  <r>
    <x v="30"/>
    <m/>
    <m/>
    <m/>
    <m/>
    <m/>
    <x v="3"/>
    <m/>
    <m/>
    <x v="2"/>
    <m/>
    <m/>
    <m/>
    <m/>
    <m/>
    <m/>
    <m/>
    <m/>
    <m/>
    <m/>
    <m/>
    <m/>
    <m/>
    <m/>
    <m/>
    <m/>
    <m/>
    <m/>
    <m/>
    <m/>
    <m/>
    <m/>
    <m/>
    <m/>
  </r>
  <r>
    <x v="30"/>
    <m/>
    <m/>
    <m/>
    <m/>
    <m/>
    <x v="3"/>
    <m/>
    <m/>
    <x v="2"/>
    <m/>
    <m/>
    <m/>
    <m/>
    <m/>
    <m/>
    <m/>
    <m/>
    <m/>
    <m/>
    <m/>
    <m/>
    <m/>
    <m/>
    <m/>
    <m/>
    <m/>
    <m/>
    <m/>
    <m/>
    <m/>
    <m/>
    <m/>
    <m/>
  </r>
  <r>
    <x v="30"/>
    <m/>
    <m/>
    <m/>
    <m/>
    <m/>
    <x v="3"/>
    <m/>
    <m/>
    <x v="2"/>
    <m/>
    <m/>
    <m/>
    <m/>
    <m/>
    <m/>
    <m/>
    <m/>
    <m/>
    <m/>
    <m/>
    <m/>
    <m/>
    <m/>
    <m/>
    <m/>
    <m/>
    <m/>
    <m/>
    <m/>
    <m/>
    <m/>
    <m/>
    <m/>
  </r>
  <r>
    <x v="30"/>
    <m/>
    <m/>
    <m/>
    <m/>
    <m/>
    <x v="3"/>
    <m/>
    <m/>
    <x v="2"/>
    <m/>
    <m/>
    <m/>
    <m/>
    <m/>
    <m/>
    <m/>
    <m/>
    <m/>
    <m/>
    <m/>
    <m/>
    <m/>
    <m/>
    <m/>
    <m/>
    <m/>
    <m/>
    <m/>
    <m/>
    <m/>
    <m/>
    <m/>
    <m/>
  </r>
  <r>
    <x v="30"/>
    <m/>
    <m/>
    <m/>
    <m/>
    <m/>
    <x v="3"/>
    <m/>
    <m/>
    <x v="2"/>
    <m/>
    <m/>
    <m/>
    <m/>
    <m/>
    <m/>
    <m/>
    <m/>
    <m/>
    <m/>
    <m/>
    <m/>
    <m/>
    <m/>
    <m/>
    <m/>
    <m/>
    <m/>
    <m/>
    <m/>
    <m/>
    <m/>
    <m/>
    <m/>
  </r>
  <r>
    <x v="30"/>
    <m/>
    <m/>
    <m/>
    <m/>
    <m/>
    <x v="3"/>
    <m/>
    <m/>
    <x v="2"/>
    <m/>
    <m/>
    <m/>
    <m/>
    <m/>
    <m/>
    <m/>
    <m/>
    <m/>
    <m/>
    <m/>
    <m/>
    <m/>
    <m/>
    <m/>
    <m/>
    <m/>
    <m/>
    <m/>
    <m/>
    <m/>
    <m/>
    <m/>
    <m/>
  </r>
  <r>
    <x v="30"/>
    <m/>
    <m/>
    <m/>
    <m/>
    <m/>
    <x v="3"/>
    <m/>
    <m/>
    <x v="2"/>
    <m/>
    <m/>
    <m/>
    <m/>
    <m/>
    <m/>
    <m/>
    <m/>
    <m/>
    <m/>
    <m/>
    <m/>
    <m/>
    <m/>
    <m/>
    <m/>
    <m/>
    <m/>
    <m/>
    <m/>
    <m/>
    <m/>
    <m/>
    <m/>
  </r>
  <r>
    <x v="30"/>
    <m/>
    <m/>
    <m/>
    <m/>
    <m/>
    <x v="3"/>
    <m/>
    <m/>
    <x v="2"/>
    <m/>
    <m/>
    <m/>
    <m/>
    <m/>
    <m/>
    <m/>
    <m/>
    <m/>
    <m/>
    <m/>
    <m/>
    <m/>
    <m/>
    <m/>
    <m/>
    <m/>
    <m/>
    <m/>
    <m/>
    <m/>
    <m/>
    <m/>
    <m/>
  </r>
  <r>
    <x v="30"/>
    <m/>
    <m/>
    <m/>
    <m/>
    <m/>
    <x v="3"/>
    <m/>
    <m/>
    <x v="2"/>
    <m/>
    <m/>
    <m/>
    <m/>
    <m/>
    <m/>
    <m/>
    <m/>
    <m/>
    <m/>
    <m/>
    <m/>
    <m/>
    <m/>
    <m/>
    <m/>
    <m/>
    <m/>
    <m/>
    <m/>
    <m/>
    <m/>
    <m/>
    <m/>
  </r>
  <r>
    <x v="30"/>
    <m/>
    <m/>
    <m/>
    <m/>
    <m/>
    <x v="3"/>
    <m/>
    <m/>
    <x v="2"/>
    <m/>
    <m/>
    <m/>
    <m/>
    <m/>
    <m/>
    <m/>
    <m/>
    <m/>
    <m/>
    <m/>
    <m/>
    <m/>
    <m/>
    <m/>
    <m/>
    <m/>
    <m/>
    <m/>
    <m/>
    <m/>
    <m/>
    <m/>
    <m/>
  </r>
  <r>
    <x v="30"/>
    <m/>
    <m/>
    <m/>
    <m/>
    <m/>
    <x v="3"/>
    <m/>
    <m/>
    <x v="2"/>
    <m/>
    <m/>
    <m/>
    <m/>
    <m/>
    <m/>
    <m/>
    <m/>
    <m/>
    <m/>
    <m/>
    <m/>
    <m/>
    <m/>
    <m/>
    <m/>
    <m/>
    <m/>
    <m/>
    <m/>
    <m/>
    <m/>
    <m/>
    <m/>
  </r>
  <r>
    <x v="30"/>
    <m/>
    <m/>
    <m/>
    <m/>
    <m/>
    <x v="3"/>
    <m/>
    <m/>
    <x v="2"/>
    <m/>
    <m/>
    <m/>
    <m/>
    <m/>
    <m/>
    <m/>
    <m/>
    <m/>
    <m/>
    <m/>
    <m/>
    <m/>
    <m/>
    <m/>
    <m/>
    <m/>
    <m/>
    <m/>
    <m/>
    <m/>
    <m/>
    <m/>
    <m/>
  </r>
  <r>
    <x v="30"/>
    <m/>
    <m/>
    <m/>
    <m/>
    <m/>
    <x v="3"/>
    <m/>
    <m/>
    <x v="2"/>
    <m/>
    <m/>
    <m/>
    <m/>
    <m/>
    <m/>
    <m/>
    <m/>
    <m/>
    <m/>
    <m/>
    <m/>
    <m/>
    <m/>
    <m/>
    <m/>
    <m/>
    <m/>
    <m/>
    <m/>
    <m/>
    <m/>
    <m/>
    <m/>
  </r>
  <r>
    <x v="30"/>
    <m/>
    <m/>
    <m/>
    <m/>
    <m/>
    <x v="3"/>
    <m/>
    <m/>
    <x v="2"/>
    <m/>
    <m/>
    <m/>
    <m/>
    <m/>
    <m/>
    <m/>
    <m/>
    <m/>
    <m/>
    <m/>
    <m/>
    <m/>
    <m/>
    <m/>
    <m/>
    <m/>
    <m/>
    <m/>
    <m/>
    <m/>
    <m/>
    <m/>
    <m/>
  </r>
  <r>
    <x v="30"/>
    <m/>
    <m/>
    <m/>
    <m/>
    <m/>
    <x v="3"/>
    <m/>
    <m/>
    <x v="2"/>
    <m/>
    <m/>
    <m/>
    <m/>
    <m/>
    <m/>
    <m/>
    <m/>
    <m/>
    <m/>
    <m/>
    <m/>
    <m/>
    <m/>
    <m/>
    <m/>
    <m/>
    <m/>
    <m/>
    <m/>
    <m/>
    <m/>
    <m/>
    <m/>
  </r>
  <r>
    <x v="30"/>
    <m/>
    <m/>
    <m/>
    <m/>
    <m/>
    <x v="3"/>
    <m/>
    <m/>
    <x v="2"/>
    <m/>
    <m/>
    <m/>
    <m/>
    <m/>
    <m/>
    <m/>
    <m/>
    <m/>
    <m/>
    <m/>
    <m/>
    <m/>
    <m/>
    <m/>
    <m/>
    <m/>
    <m/>
    <m/>
    <m/>
    <m/>
    <m/>
    <m/>
    <m/>
  </r>
  <r>
    <x v="30"/>
    <m/>
    <m/>
    <m/>
    <m/>
    <m/>
    <x v="3"/>
    <m/>
    <m/>
    <x v="2"/>
    <m/>
    <m/>
    <m/>
    <m/>
    <m/>
    <m/>
    <m/>
    <m/>
    <m/>
    <m/>
    <m/>
    <m/>
    <m/>
    <m/>
    <m/>
    <m/>
    <m/>
    <m/>
    <m/>
    <m/>
    <m/>
    <m/>
    <m/>
    <m/>
  </r>
  <r>
    <x v="30"/>
    <m/>
    <m/>
    <m/>
    <m/>
    <m/>
    <x v="3"/>
    <m/>
    <m/>
    <x v="2"/>
    <m/>
    <m/>
    <m/>
    <m/>
    <m/>
    <m/>
    <m/>
    <m/>
    <m/>
    <m/>
    <m/>
    <m/>
    <m/>
    <m/>
    <m/>
    <m/>
    <m/>
    <m/>
    <m/>
    <m/>
    <m/>
    <m/>
    <m/>
    <m/>
  </r>
  <r>
    <x v="30"/>
    <m/>
    <m/>
    <m/>
    <m/>
    <m/>
    <x v="3"/>
    <m/>
    <m/>
    <x v="2"/>
    <m/>
    <m/>
    <m/>
    <m/>
    <m/>
    <m/>
    <m/>
    <m/>
    <m/>
    <m/>
    <m/>
    <m/>
    <m/>
    <m/>
    <m/>
    <m/>
    <m/>
    <m/>
    <m/>
    <m/>
    <m/>
    <m/>
    <m/>
    <m/>
  </r>
  <r>
    <x v="30"/>
    <m/>
    <m/>
    <m/>
    <m/>
    <m/>
    <x v="3"/>
    <m/>
    <m/>
    <x v="2"/>
    <m/>
    <m/>
    <m/>
    <m/>
    <m/>
    <m/>
    <m/>
    <m/>
    <m/>
    <m/>
    <m/>
    <m/>
    <m/>
    <m/>
    <m/>
    <m/>
    <m/>
    <m/>
    <m/>
    <m/>
    <m/>
    <m/>
    <m/>
    <m/>
  </r>
  <r>
    <x v="30"/>
    <m/>
    <m/>
    <m/>
    <m/>
    <m/>
    <x v="3"/>
    <m/>
    <m/>
    <x v="2"/>
    <m/>
    <m/>
    <m/>
    <m/>
    <m/>
    <m/>
    <m/>
    <m/>
    <m/>
    <m/>
    <m/>
    <m/>
    <m/>
    <m/>
    <m/>
    <m/>
    <m/>
    <m/>
    <m/>
    <m/>
    <m/>
    <m/>
    <m/>
    <m/>
  </r>
  <r>
    <x v="30"/>
    <m/>
    <m/>
    <m/>
    <m/>
    <m/>
    <x v="3"/>
    <m/>
    <m/>
    <x v="2"/>
    <m/>
    <m/>
    <m/>
    <m/>
    <m/>
    <m/>
    <m/>
    <m/>
    <m/>
    <m/>
    <m/>
    <m/>
    <m/>
    <m/>
    <m/>
    <m/>
    <m/>
    <m/>
    <m/>
    <m/>
    <m/>
    <m/>
    <m/>
    <m/>
  </r>
  <r>
    <x v="30"/>
    <m/>
    <m/>
    <m/>
    <m/>
    <m/>
    <x v="3"/>
    <m/>
    <m/>
    <x v="2"/>
    <m/>
    <m/>
    <m/>
    <m/>
    <m/>
    <m/>
    <m/>
    <m/>
    <m/>
    <m/>
    <m/>
    <m/>
    <m/>
    <m/>
    <m/>
    <m/>
    <m/>
    <m/>
    <m/>
    <m/>
    <m/>
    <m/>
    <m/>
    <m/>
  </r>
  <r>
    <x v="30"/>
    <m/>
    <m/>
    <m/>
    <m/>
    <m/>
    <x v="3"/>
    <m/>
    <m/>
    <x v="2"/>
    <m/>
    <m/>
    <m/>
    <m/>
    <m/>
    <m/>
    <m/>
    <m/>
    <m/>
    <m/>
    <m/>
    <m/>
    <m/>
    <m/>
    <m/>
    <m/>
    <m/>
    <m/>
    <m/>
    <m/>
    <m/>
    <m/>
    <m/>
    <m/>
  </r>
  <r>
    <x v="30"/>
    <m/>
    <m/>
    <m/>
    <m/>
    <m/>
    <x v="3"/>
    <m/>
    <m/>
    <x v="2"/>
    <m/>
    <m/>
    <m/>
    <m/>
    <m/>
    <m/>
    <m/>
    <m/>
    <m/>
    <m/>
    <m/>
    <m/>
    <m/>
    <m/>
    <m/>
    <m/>
    <m/>
    <m/>
    <m/>
    <m/>
    <m/>
    <m/>
    <m/>
    <m/>
  </r>
  <r>
    <x v="30"/>
    <m/>
    <m/>
    <m/>
    <m/>
    <m/>
    <x v="3"/>
    <m/>
    <m/>
    <x v="2"/>
    <m/>
    <m/>
    <m/>
    <m/>
    <m/>
    <m/>
    <m/>
    <m/>
    <m/>
    <m/>
    <m/>
    <m/>
    <m/>
    <m/>
    <m/>
    <m/>
    <m/>
    <m/>
    <m/>
    <m/>
    <m/>
    <m/>
    <m/>
    <m/>
  </r>
  <r>
    <x v="30"/>
    <m/>
    <m/>
    <m/>
    <m/>
    <m/>
    <x v="3"/>
    <m/>
    <m/>
    <x v="2"/>
    <m/>
    <m/>
    <m/>
    <m/>
    <m/>
    <m/>
    <m/>
    <m/>
    <m/>
    <m/>
    <m/>
    <m/>
    <m/>
    <m/>
    <m/>
    <m/>
    <m/>
    <m/>
    <m/>
    <m/>
    <m/>
    <m/>
    <m/>
    <m/>
  </r>
  <r>
    <x v="30"/>
    <m/>
    <m/>
    <m/>
    <m/>
    <m/>
    <x v="3"/>
    <m/>
    <m/>
    <x v="2"/>
    <m/>
    <m/>
    <m/>
    <m/>
    <m/>
    <m/>
    <m/>
    <m/>
    <m/>
    <m/>
    <m/>
    <m/>
    <m/>
    <m/>
    <m/>
    <m/>
    <m/>
    <m/>
    <m/>
    <m/>
    <m/>
    <m/>
    <m/>
    <m/>
  </r>
  <r>
    <x v="30"/>
    <m/>
    <m/>
    <m/>
    <m/>
    <m/>
    <x v="3"/>
    <m/>
    <m/>
    <x v="2"/>
    <m/>
    <m/>
    <m/>
    <m/>
    <m/>
    <m/>
    <m/>
    <m/>
    <m/>
    <m/>
    <m/>
    <m/>
    <m/>
    <m/>
    <m/>
    <m/>
    <m/>
    <m/>
    <m/>
    <m/>
    <m/>
    <m/>
    <m/>
    <m/>
  </r>
  <r>
    <x v="30"/>
    <m/>
    <m/>
    <m/>
    <m/>
    <m/>
    <x v="3"/>
    <m/>
    <m/>
    <x v="2"/>
    <m/>
    <m/>
    <m/>
    <m/>
    <m/>
    <m/>
    <m/>
    <m/>
    <m/>
    <m/>
    <m/>
    <m/>
    <m/>
    <m/>
    <m/>
    <m/>
    <m/>
    <m/>
    <m/>
    <m/>
    <m/>
    <m/>
    <m/>
    <m/>
  </r>
  <r>
    <x v="30"/>
    <m/>
    <m/>
    <m/>
    <m/>
    <m/>
    <x v="3"/>
    <m/>
    <m/>
    <x v="2"/>
    <m/>
    <m/>
    <m/>
    <m/>
    <m/>
    <m/>
    <m/>
    <m/>
    <m/>
    <m/>
    <m/>
    <m/>
    <m/>
    <m/>
    <m/>
    <m/>
    <m/>
    <m/>
    <m/>
    <m/>
    <m/>
    <m/>
    <m/>
    <m/>
  </r>
  <r>
    <x v="30"/>
    <m/>
    <m/>
    <m/>
    <m/>
    <m/>
    <x v="3"/>
    <m/>
    <m/>
    <x v="2"/>
    <m/>
    <m/>
    <m/>
    <m/>
    <m/>
    <m/>
    <m/>
    <m/>
    <m/>
    <m/>
    <m/>
    <m/>
    <m/>
    <m/>
    <m/>
    <m/>
    <m/>
    <m/>
    <m/>
    <m/>
    <m/>
    <m/>
    <m/>
    <m/>
  </r>
  <r>
    <x v="30"/>
    <m/>
    <m/>
    <m/>
    <m/>
    <m/>
    <x v="3"/>
    <m/>
    <m/>
    <x v="2"/>
    <m/>
    <m/>
    <m/>
    <m/>
    <m/>
    <m/>
    <m/>
    <m/>
    <m/>
    <m/>
    <m/>
    <m/>
    <m/>
    <m/>
    <m/>
    <m/>
    <m/>
    <m/>
    <m/>
    <m/>
    <m/>
    <m/>
    <m/>
    <m/>
  </r>
  <r>
    <x v="30"/>
    <m/>
    <m/>
    <m/>
    <m/>
    <m/>
    <x v="3"/>
    <m/>
    <m/>
    <x v="2"/>
    <m/>
    <m/>
    <m/>
    <m/>
    <m/>
    <m/>
    <m/>
    <m/>
    <m/>
    <m/>
    <m/>
    <m/>
    <m/>
    <m/>
    <m/>
    <m/>
    <m/>
    <m/>
    <m/>
    <m/>
    <m/>
    <m/>
    <m/>
    <m/>
  </r>
  <r>
    <x v="30"/>
    <m/>
    <m/>
    <m/>
    <m/>
    <m/>
    <x v="3"/>
    <m/>
    <m/>
    <x v="2"/>
    <m/>
    <m/>
    <m/>
    <m/>
    <m/>
    <m/>
    <m/>
    <m/>
    <m/>
    <m/>
    <m/>
    <m/>
    <m/>
    <m/>
    <m/>
    <m/>
    <m/>
    <m/>
    <m/>
    <m/>
    <m/>
    <m/>
    <m/>
    <m/>
  </r>
  <r>
    <x v="30"/>
    <m/>
    <m/>
    <m/>
    <m/>
    <m/>
    <x v="3"/>
    <m/>
    <m/>
    <x v="2"/>
    <m/>
    <m/>
    <m/>
    <m/>
    <m/>
    <m/>
    <m/>
    <m/>
    <m/>
    <m/>
    <m/>
    <m/>
    <m/>
    <m/>
    <m/>
    <m/>
    <m/>
    <m/>
    <m/>
    <m/>
    <m/>
    <m/>
    <m/>
    <m/>
  </r>
  <r>
    <x v="30"/>
    <m/>
    <m/>
    <m/>
    <m/>
    <m/>
    <x v="3"/>
    <m/>
    <m/>
    <x v="2"/>
    <m/>
    <m/>
    <m/>
    <m/>
    <m/>
    <m/>
    <m/>
    <m/>
    <m/>
    <m/>
    <m/>
    <m/>
    <m/>
    <m/>
    <m/>
    <m/>
    <m/>
    <m/>
    <m/>
    <m/>
    <m/>
    <m/>
    <m/>
    <m/>
  </r>
  <r>
    <x v="30"/>
    <m/>
    <m/>
    <m/>
    <m/>
    <m/>
    <x v="3"/>
    <m/>
    <m/>
    <x v="2"/>
    <m/>
    <m/>
    <m/>
    <m/>
    <m/>
    <m/>
    <m/>
    <m/>
    <m/>
    <m/>
    <m/>
    <m/>
    <m/>
    <m/>
    <m/>
    <m/>
    <m/>
    <m/>
    <m/>
    <m/>
    <m/>
    <m/>
    <m/>
    <m/>
  </r>
  <r>
    <x v="30"/>
    <m/>
    <m/>
    <m/>
    <m/>
    <m/>
    <x v="3"/>
    <m/>
    <m/>
    <x v="2"/>
    <m/>
    <m/>
    <m/>
    <m/>
    <m/>
    <m/>
    <m/>
    <m/>
    <m/>
    <m/>
    <m/>
    <m/>
    <m/>
    <m/>
    <m/>
    <m/>
    <m/>
    <m/>
    <m/>
    <m/>
    <m/>
    <m/>
    <m/>
    <m/>
  </r>
  <r>
    <x v="30"/>
    <m/>
    <m/>
    <m/>
    <m/>
    <m/>
    <x v="3"/>
    <m/>
    <m/>
    <x v="2"/>
    <m/>
    <m/>
    <m/>
    <m/>
    <m/>
    <m/>
    <m/>
    <m/>
    <m/>
    <m/>
    <m/>
    <m/>
    <m/>
    <m/>
    <m/>
    <m/>
    <m/>
    <m/>
    <m/>
    <m/>
    <m/>
    <m/>
    <m/>
    <m/>
  </r>
  <r>
    <x v="30"/>
    <m/>
    <m/>
    <m/>
    <m/>
    <m/>
    <x v="3"/>
    <m/>
    <m/>
    <x v="2"/>
    <m/>
    <m/>
    <m/>
    <m/>
    <m/>
    <m/>
    <m/>
    <m/>
    <m/>
    <m/>
    <m/>
    <m/>
    <m/>
    <m/>
    <m/>
    <m/>
    <m/>
    <m/>
    <m/>
    <m/>
    <m/>
    <m/>
    <m/>
    <m/>
  </r>
  <r>
    <x v="30"/>
    <m/>
    <m/>
    <m/>
    <m/>
    <m/>
    <x v="3"/>
    <m/>
    <m/>
    <x v="2"/>
    <m/>
    <m/>
    <m/>
    <m/>
    <m/>
    <m/>
    <m/>
    <m/>
    <m/>
    <m/>
    <m/>
    <m/>
    <m/>
    <m/>
    <m/>
    <m/>
    <m/>
    <m/>
    <m/>
    <m/>
    <m/>
    <m/>
    <m/>
    <m/>
  </r>
  <r>
    <x v="30"/>
    <m/>
    <m/>
    <m/>
    <m/>
    <m/>
    <x v="3"/>
    <m/>
    <m/>
    <x v="2"/>
    <m/>
    <m/>
    <m/>
    <m/>
    <m/>
    <m/>
    <m/>
    <m/>
    <m/>
    <m/>
    <m/>
    <m/>
    <m/>
    <m/>
    <m/>
    <m/>
    <m/>
    <m/>
    <m/>
    <m/>
    <m/>
    <m/>
    <m/>
    <m/>
  </r>
  <r>
    <x v="30"/>
    <m/>
    <m/>
    <m/>
    <m/>
    <m/>
    <x v="3"/>
    <m/>
    <m/>
    <x v="2"/>
    <m/>
    <m/>
    <m/>
    <m/>
    <m/>
    <m/>
    <m/>
    <m/>
    <m/>
    <m/>
    <m/>
    <m/>
    <m/>
    <m/>
    <m/>
    <m/>
    <m/>
    <m/>
    <m/>
    <m/>
    <m/>
    <m/>
    <m/>
    <m/>
  </r>
  <r>
    <x v="30"/>
    <m/>
    <m/>
    <m/>
    <m/>
    <m/>
    <x v="3"/>
    <m/>
    <m/>
    <x v="2"/>
    <m/>
    <m/>
    <m/>
    <m/>
    <m/>
    <m/>
    <m/>
    <m/>
    <m/>
    <m/>
    <m/>
    <m/>
    <m/>
    <m/>
    <m/>
    <m/>
    <m/>
    <m/>
    <m/>
    <m/>
    <m/>
    <m/>
    <m/>
    <m/>
  </r>
  <r>
    <x v="30"/>
    <m/>
    <m/>
    <m/>
    <m/>
    <m/>
    <x v="3"/>
    <m/>
    <m/>
    <x v="2"/>
    <m/>
    <m/>
    <m/>
    <m/>
    <m/>
    <m/>
    <m/>
    <m/>
    <m/>
    <m/>
    <m/>
    <m/>
    <m/>
    <m/>
    <m/>
    <m/>
    <m/>
    <m/>
    <m/>
    <m/>
    <m/>
    <m/>
    <m/>
    <m/>
  </r>
  <r>
    <x v="30"/>
    <m/>
    <m/>
    <m/>
    <m/>
    <m/>
    <x v="3"/>
    <m/>
    <m/>
    <x v="2"/>
    <m/>
    <m/>
    <m/>
    <m/>
    <m/>
    <m/>
    <m/>
    <m/>
    <m/>
    <m/>
    <m/>
    <m/>
    <m/>
    <m/>
    <m/>
    <m/>
    <m/>
    <m/>
    <m/>
    <m/>
    <m/>
    <m/>
    <m/>
    <m/>
  </r>
  <r>
    <x v="30"/>
    <m/>
    <m/>
    <m/>
    <m/>
    <m/>
    <x v="3"/>
    <m/>
    <m/>
    <x v="2"/>
    <m/>
    <m/>
    <m/>
    <m/>
    <m/>
    <m/>
    <m/>
    <m/>
    <m/>
    <m/>
    <m/>
    <m/>
    <m/>
    <m/>
    <m/>
    <m/>
    <m/>
    <m/>
    <m/>
    <m/>
    <m/>
    <m/>
    <m/>
    <m/>
  </r>
  <r>
    <x v="30"/>
    <m/>
    <m/>
    <m/>
    <m/>
    <m/>
    <x v="3"/>
    <m/>
    <m/>
    <x v="2"/>
    <m/>
    <m/>
    <m/>
    <m/>
    <m/>
    <m/>
    <m/>
    <m/>
    <m/>
    <m/>
    <m/>
    <m/>
    <m/>
    <m/>
    <m/>
    <m/>
    <m/>
    <m/>
    <m/>
    <m/>
    <m/>
    <m/>
    <m/>
    <m/>
  </r>
  <r>
    <x v="30"/>
    <m/>
    <m/>
    <m/>
    <m/>
    <m/>
    <x v="3"/>
    <m/>
    <m/>
    <x v="2"/>
    <m/>
    <m/>
    <m/>
    <m/>
    <m/>
    <m/>
    <m/>
    <m/>
    <m/>
    <m/>
    <m/>
    <m/>
    <m/>
    <m/>
    <m/>
    <m/>
    <m/>
    <m/>
    <m/>
    <m/>
    <m/>
    <m/>
    <m/>
    <m/>
  </r>
  <r>
    <x v="30"/>
    <m/>
    <m/>
    <m/>
    <m/>
    <m/>
    <x v="3"/>
    <m/>
    <m/>
    <x v="2"/>
    <m/>
    <m/>
    <m/>
    <m/>
    <m/>
    <m/>
    <m/>
    <m/>
    <m/>
    <m/>
    <m/>
    <m/>
    <m/>
    <m/>
    <m/>
    <m/>
    <m/>
    <m/>
    <m/>
    <m/>
    <m/>
    <m/>
    <m/>
    <m/>
  </r>
  <r>
    <x v="30"/>
    <m/>
    <m/>
    <m/>
    <m/>
    <m/>
    <x v="3"/>
    <m/>
    <m/>
    <x v="2"/>
    <m/>
    <m/>
    <m/>
    <m/>
    <m/>
    <m/>
    <m/>
    <m/>
    <m/>
    <m/>
    <m/>
    <m/>
    <m/>
    <m/>
    <m/>
    <m/>
    <m/>
    <m/>
    <m/>
    <m/>
    <m/>
    <m/>
    <m/>
    <m/>
  </r>
  <r>
    <x v="30"/>
    <m/>
    <m/>
    <m/>
    <m/>
    <m/>
    <x v="3"/>
    <m/>
    <m/>
    <x v="2"/>
    <m/>
    <m/>
    <m/>
    <m/>
    <m/>
    <m/>
    <m/>
    <m/>
    <m/>
    <m/>
    <m/>
    <m/>
    <m/>
    <m/>
    <m/>
    <m/>
    <m/>
    <m/>
    <m/>
    <m/>
    <m/>
    <m/>
    <m/>
    <m/>
  </r>
  <r>
    <x v="30"/>
    <m/>
    <m/>
    <m/>
    <m/>
    <m/>
    <x v="3"/>
    <m/>
    <m/>
    <x v="2"/>
    <m/>
    <m/>
    <m/>
    <m/>
    <m/>
    <m/>
    <m/>
    <m/>
    <m/>
    <m/>
    <m/>
    <m/>
    <m/>
    <m/>
    <m/>
    <m/>
    <m/>
    <m/>
    <m/>
    <m/>
    <m/>
    <m/>
    <m/>
    <m/>
  </r>
  <r>
    <x v="30"/>
    <m/>
    <m/>
    <m/>
    <m/>
    <m/>
    <x v="3"/>
    <m/>
    <m/>
    <x v="2"/>
    <m/>
    <m/>
    <m/>
    <m/>
    <m/>
    <m/>
    <m/>
    <m/>
    <m/>
    <m/>
    <m/>
    <m/>
    <m/>
    <m/>
    <m/>
    <m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0000000}" name="Tabela dinâmica1" cacheId="34" applyNumberFormats="0" applyBorderFormats="0" applyFontFormats="0" applyPatternFormats="0" applyAlignmentFormats="0" applyWidthHeightFormats="1" dataCaption="Valores" updatedVersion="8" minRefreshableVersion="3" useAutoFormatting="1" rowGrandTotals="0" colGrandTotals="0" itemPrintTitles="1" createdVersion="6" indent="0" outline="1" outlineData="1" multipleFieldFilters="0" rowHeaderCaption="CLIENTE">
  <location ref="A3:N39" firstHeaderRow="1" firstDataRow="2" firstDataCol="1" rowPageCount="1" colPageCount="1"/>
  <pivotFields count="52">
    <pivotField axis="axisRow" showAll="0" defaultSubtotal="0">
      <items count="8000">
        <item m="1" x="5645"/>
        <item m="1" x="5891"/>
        <item m="1" x="317"/>
        <item m="1" x="3972"/>
        <item m="1" x="4004"/>
        <item m="1" x="4266"/>
        <item m="1" x="4335"/>
        <item m="1" x="4368"/>
        <item m="1" x="4402"/>
        <item m="1" x="4436"/>
        <item m="1" x="4484"/>
        <item m="1" x="6003"/>
        <item m="1" x="6071"/>
        <item m="1" x="6148"/>
        <item m="1" x="6218"/>
        <item m="1" x="6245"/>
        <item m="1" x="6272"/>
        <item m="1" x="6301"/>
        <item m="1" x="6328"/>
        <item m="1" x="6479"/>
        <item m="1" x="6512"/>
        <item m="1" x="6544"/>
        <item m="1" x="6576"/>
        <item m="1" x="6610"/>
        <item m="1" x="6643"/>
        <item m="1" x="6677"/>
        <item m="1" x="6706"/>
        <item m="1" x="6739"/>
        <item m="1" x="6773"/>
        <item m="1" x="6808"/>
        <item m="1" x="6840"/>
        <item m="1" x="6869"/>
        <item m="1" x="6897"/>
        <item m="1" x="6930"/>
        <item m="1" x="167"/>
        <item m="1" x="226"/>
        <item m="1" x="274"/>
        <item m="1" x="323"/>
        <item m="1" x="383"/>
        <item m="1" x="573"/>
        <item m="1" x="610"/>
        <item m="1" x="650"/>
        <item m="1" x="690"/>
        <item m="1" x="725"/>
        <item m="1" x="763"/>
        <item m="1" x="800"/>
        <item m="1" x="836"/>
        <item m="1" x="874"/>
        <item m="1" x="910"/>
        <item m="1" x="947"/>
        <item m="1" x="987"/>
        <item m="1" x="1027"/>
        <item m="1" x="1060"/>
        <item m="1" x="1089"/>
        <item m="1" x="1116"/>
        <item m="1" x="1143"/>
        <item m="1" x="1174"/>
        <item m="1" x="1208"/>
        <item m="1" x="1240"/>
        <item m="1" x="1346"/>
        <item m="1" x="1377"/>
        <item m="1" x="1411"/>
        <item m="1" x="1505"/>
        <item m="1" x="1544"/>
        <item m="1" x="1578"/>
        <item m="1" x="1613"/>
        <item m="1" x="1640"/>
        <item m="1" x="1786"/>
        <item m="1" x="1817"/>
        <item m="1" x="1853"/>
        <item m="1" x="1886"/>
        <item m="1" x="1946"/>
        <item m="1" x="1970"/>
        <item m="1" x="2058"/>
        <item m="1" x="2198"/>
        <item m="1" x="2221"/>
        <item m="1" x="2246"/>
        <item m="1" x="2306"/>
        <item m="1" x="2339"/>
        <item m="1" x="2450"/>
        <item m="1" x="2489"/>
        <item m="1" x="2528"/>
        <item m="1" x="2567"/>
        <item m="1" x="2605"/>
        <item m="1" x="2651"/>
        <item m="1" x="2688"/>
        <item m="1" x="4212"/>
        <item m="1" x="4241"/>
        <item m="1" x="4277"/>
        <item m="1" x="4308"/>
        <item m="1" x="4347"/>
        <item m="1" x="4523"/>
        <item m="1" x="4554"/>
        <item m="1" x="4743"/>
        <item m="1" x="4774"/>
        <item m="1" x="4798"/>
        <item m="1" x="4823"/>
        <item m="1" x="4888"/>
        <item m="1" x="4924"/>
        <item m="1" x="4955"/>
        <item m="1" x="4980"/>
        <item m="1" x="5183"/>
        <item m="1" x="5242"/>
        <item m="1" x="5297"/>
        <item m="1" x="5324"/>
        <item m="1" x="5356"/>
        <item m="1" x="5385"/>
        <item m="1" x="5415"/>
        <item m="1" x="5444"/>
        <item m="1" x="5475"/>
        <item m="1" x="5509"/>
        <item m="1" x="5537"/>
        <item m="1" x="5570"/>
        <item m="1" x="5603"/>
        <item m="1" x="5633"/>
        <item m="1" x="5667"/>
        <item m="1" x="5704"/>
        <item m="1" x="5742"/>
        <item m="1" x="5775"/>
        <item m="1" x="5811"/>
        <item m="1" x="5844"/>
        <item m="1" x="5880"/>
        <item m="1" x="5912"/>
        <item m="1" x="5943"/>
        <item m="1" x="5979"/>
        <item m="1" x="6013"/>
        <item m="1" x="6046"/>
        <item m="1" x="6086"/>
        <item m="1" x="6127"/>
        <item m="1" x="6163"/>
        <item m="1" x="6197"/>
        <item m="1" x="6228"/>
        <item m="1" x="6254"/>
        <item m="1" x="6286"/>
        <item m="1" x="6307"/>
        <item m="1" x="6339"/>
        <item m="1" x="6382"/>
        <item m="1" x="6455"/>
        <item m="1" x="6490"/>
        <item m="1" x="6520"/>
        <item m="1" x="6552"/>
        <item m="1" x="6587"/>
        <item m="1" x="6620"/>
        <item m="1" x="6654"/>
        <item m="1" x="64"/>
        <item m="1" x="90"/>
        <item m="1" x="116"/>
        <item m="1" x="145"/>
        <item m="1" x="181"/>
        <item m="1" x="209"/>
        <item m="1" x="234"/>
        <item m="1" x="259"/>
        <item m="1" x="280"/>
        <item m="1" x="310"/>
        <item m="1" x="336"/>
        <item m="1" x="368"/>
        <item m="1" x="391"/>
        <item m="1" x="412"/>
        <item m="1" x="444"/>
        <item m="1" x="482"/>
        <item m="1" x="519"/>
        <item m="1" x="585"/>
        <item m="1" x="663"/>
        <item m="1" x="2349"/>
        <item m="1" x="2381"/>
        <item m="1" x="2422"/>
        <item m="1" x="2462"/>
        <item m="1" x="2502"/>
        <item m="1" x="2542"/>
        <item m="1" x="2579"/>
        <item m="1" x="2620"/>
        <item m="1" x="2664"/>
        <item m="1" x="2700"/>
        <item m="1" x="2733"/>
        <item m="1" x="2767"/>
        <item m="1" x="2805"/>
        <item m="1" x="2843"/>
        <item m="1" x="2873"/>
        <item m="1" x="2909"/>
        <item m="1" x="2942"/>
        <item m="1" x="2972"/>
        <item m="1" x="3005"/>
        <item m="1" x="3034"/>
        <item m="1" x="3066"/>
        <item m="1" x="3097"/>
        <item m="1" x="3156"/>
        <item m="1" x="3183"/>
        <item m="1" x="3211"/>
        <item m="1" x="3240"/>
        <item m="1" x="3269"/>
        <item m="1" x="3299"/>
        <item m="1" x="3338"/>
        <item m="1" x="3370"/>
        <item m="1" x="3400"/>
        <item m="1" x="3432"/>
        <item m="1" x="3465"/>
        <item m="1" x="3494"/>
        <item m="1" x="3530"/>
        <item m="1" x="3569"/>
        <item m="1" x="3603"/>
        <item m="1" x="3635"/>
        <item m="1" x="3668"/>
        <item m="1" x="3702"/>
        <item m="1" x="3731"/>
        <item m="1" x="3763"/>
        <item m="1" x="3793"/>
        <item m="1" x="3849"/>
        <item m="1" x="3902"/>
        <item m="1" x="3931"/>
        <item m="1" x="3958"/>
        <item m="1" x="3991"/>
        <item m="1" x="4023"/>
        <item m="1" x="4049"/>
        <item m="1" x="4098"/>
        <item m="1" x="4124"/>
        <item m="1" x="4158"/>
        <item m="1" x="4221"/>
        <item m="1" x="4251"/>
        <item m="1" x="4287"/>
        <item m="1" x="4318"/>
        <item m="1" x="4357"/>
        <item m="1" x="4388"/>
        <item m="1" x="4451"/>
        <item m="1" x="4473"/>
        <item m="1" x="4502"/>
        <item m="1" x="4561"/>
        <item m="1" x="4590"/>
        <item m="1" x="4619"/>
        <item m="1" x="4654"/>
        <item m="1" x="4687"/>
        <item m="1" x="4720"/>
        <item m="1" x="4753"/>
        <item m="1" x="4780"/>
        <item m="1" x="4803"/>
        <item m="1" x="6350"/>
        <item m="1" x="6393"/>
        <item m="1" x="6428"/>
        <item m="1" x="6466"/>
        <item m="1" x="6499"/>
        <item m="1" x="6532"/>
        <item m="1" x="6561"/>
        <item m="1" x="6595"/>
        <item m="1" x="6628"/>
        <item m="1" x="6661"/>
        <item m="1" x="6693"/>
        <item m="1" x="6828"/>
        <item m="1" x="6888"/>
        <item m="1" x="6917"/>
        <item m="1" x="494"/>
        <item m="1" x="530"/>
        <item m="1" x="563"/>
        <item m="1" x="596"/>
        <item m="1" x="634"/>
        <item m="1" x="674"/>
        <item m="1" x="711"/>
        <item m="1" x="787"/>
        <item m="1" x="821"/>
        <item m="1" x="857"/>
        <item m="1" x="895"/>
        <item m="1" x="931"/>
        <item m="1" x="972"/>
        <item m="1" x="1014"/>
        <item m="1" x="1045"/>
        <item m="1" x="1077"/>
        <item m="1" x="1105"/>
        <item m="1" x="1135"/>
        <item m="1" x="1162"/>
        <item m="1" x="1194"/>
        <item m="1" x="1231"/>
        <item m="1" x="1257"/>
        <item m="1" x="1294"/>
        <item m="1" x="1333"/>
        <item m="1" x="1367"/>
        <item m="1" x="1397"/>
        <item m="1" x="1433"/>
        <item m="1" x="1467"/>
        <item m="1" x="1494"/>
        <item m="1" x="1533"/>
        <item m="1" x="1565"/>
        <item m="1" x="1599"/>
        <item m="1" x="1629"/>
        <item m="1" x="1712"/>
        <item m="1" x="1775"/>
        <item m="1" x="1806"/>
        <item m="1" x="1837"/>
        <item m="1" x="1872"/>
        <item m="1" x="1903"/>
        <item m="1" x="1932"/>
        <item m="1" x="1962"/>
        <item m="1" x="1992"/>
        <item m="1" x="2020"/>
        <item m="1" x="2050"/>
        <item m="1" x="2115"/>
        <item m="1" x="2149"/>
        <item m="1" x="2181"/>
        <item m="1" x="2214"/>
        <item m="1" x="2237"/>
        <item m="1" x="2267"/>
        <item m="1" x="2293"/>
        <item m="1" x="2324"/>
        <item m="1" x="2360"/>
        <item m="1" x="2394"/>
        <item m="1" x="2511"/>
        <item m="1" x="2552"/>
        <item m="1" x="2591"/>
        <item m="1" x="2633"/>
        <item m="1" x="2674"/>
        <item m="1" x="2709"/>
        <item m="1" x="2741"/>
        <item m="1" x="2817"/>
        <item m="1" x="2852"/>
        <item m="1" x="2884"/>
        <item m="1" x="2919"/>
        <item m="1" x="2949"/>
        <item m="1" x="2981"/>
        <item m="1" x="3015"/>
        <item m="1" x="3046"/>
        <item m="1" x="3075"/>
        <item m="1" x="4542"/>
        <item m="1" x="4570"/>
        <item m="1" x="4597"/>
        <item m="1" x="4634"/>
        <item m="1" x="4665"/>
        <item m="1" x="4734"/>
        <item m="1" x="4762"/>
        <item m="1" x="4791"/>
        <item m="1" x="4812"/>
        <item m="1" x="4843"/>
        <item m="1" x="4876"/>
        <item m="1" x="4911"/>
        <item m="1" x="4943"/>
        <item m="1" x="4970"/>
        <item m="1" x="4997"/>
        <item m="1" x="5058"/>
        <item m="1" x="5343"/>
        <item m="1" x="5373"/>
        <item m="1" x="5462"/>
        <item m="1" x="5497"/>
        <item m="1" x="5524"/>
        <item m="1" x="5589"/>
        <item m="1" x="5621"/>
        <item m="1" x="5652"/>
        <item m="1" x="5691"/>
        <item m="1" x="5727"/>
        <item m="1" x="5833"/>
        <item m="1" x="5864"/>
        <item m="1" x="5901"/>
        <item m="1" x="5930"/>
        <item m="1" x="5968"/>
        <item m="1" x="6000"/>
        <item m="1" x="6033"/>
        <item m="1" x="6068"/>
        <item m="1" x="6110"/>
        <item m="1" x="6142"/>
        <item m="1" x="6183"/>
        <item m="1" x="6216"/>
        <item m="1" x="6242"/>
        <item m="1" x="6269"/>
        <item m="1" x="6299"/>
        <item m="1" x="6326"/>
        <item m="1" x="6365"/>
        <item m="1" x="6404"/>
        <item m="1" x="6441"/>
        <item m="1" x="6511"/>
        <item m="1" x="6541"/>
        <item m="1" x="6572"/>
        <item m="1" x="6609"/>
        <item m="1" x="6639"/>
        <item m="1" x="6672"/>
        <item m="1" x="6704"/>
        <item m="1" x="6771"/>
        <item m="1" x="6804"/>
        <item m="1" x="6837"/>
        <item m="1" x="6867"/>
        <item m="1" x="6924"/>
        <item m="1" x="77"/>
        <item m="1" x="106"/>
        <item m="1" x="133"/>
        <item m="1" x="196"/>
        <item m="1" x="248"/>
        <item m="1" x="321"/>
        <item m="1" x="380"/>
        <item m="1" x="433"/>
        <item m="1" x="468"/>
        <item m="1" x="504"/>
        <item m="1" x="542"/>
        <item m="1" x="571"/>
        <item m="1" x="604"/>
        <item m="1" x="646"/>
        <item m="1" x="687"/>
        <item m="1" x="720"/>
        <item m="1" x="760"/>
        <item m="1" x="796"/>
        <item m="1" x="832"/>
        <item m="1" x="869"/>
        <item m="1" x="906"/>
        <item m="1" x="942"/>
        <item m="1" x="983"/>
        <item m="1" x="1024"/>
        <item m="1" x="1056"/>
        <item m="1" x="1084"/>
        <item m="1" x="1113"/>
        <item m="1" x="1140"/>
        <item m="1" x="1169"/>
        <item m="1" x="2790"/>
        <item m="1" x="2830"/>
        <item m="1" x="2896"/>
        <item m="1" x="2929"/>
        <item m="1" x="2959"/>
        <item m="1" x="2992"/>
        <item m="1" x="3359"/>
        <item m="1" x="3808"/>
        <item m="1" x="3868"/>
        <item m="1" x="3893"/>
        <item m="1" x="3922"/>
        <item m="1" x="3948"/>
        <item m="1" x="3978"/>
        <item m="1" x="4009"/>
        <item m="1" x="4039"/>
        <item m="1" x="4065"/>
        <item m="1" x="4090"/>
        <item m="1" x="4114"/>
        <item m="1" x="4144"/>
        <item m="1" x="4178"/>
        <item m="1" x="4273"/>
        <item m="1" x="4304"/>
        <item m="1" x="4343"/>
        <item m="1" x="4376"/>
        <item m="1" x="4411"/>
        <item m="1" x="4442"/>
        <item m="1" x="4465"/>
        <item m="1" x="4490"/>
        <item m="1" x="4521"/>
        <item m="1" x="4551"/>
        <item m="1" x="4578"/>
        <item m="1" x="4605"/>
        <item m="1" x="4645"/>
        <item m="1" x="4676"/>
        <item m="1" x="4707"/>
        <item m="1" x="4741"/>
        <item m="1" x="4770"/>
        <item m="1" x="4797"/>
        <item m="1" x="4821"/>
        <item m="1" x="4851"/>
        <item m="1" x="4885"/>
        <item m="1" x="4920"/>
        <item m="1" x="4952"/>
        <item m="1" x="1797"/>
        <item m="1" x="3368"/>
        <item m="1" x="6759"/>
        <item m="1" x="1315"/>
        <item m="1" x="6054"/>
        <item m="1" x="6348"/>
        <item m="1" x="6391"/>
        <item m="1" x="6725"/>
        <item m="1" x="6748"/>
        <item m="1" x="6780"/>
        <item m="1" x="6815"/>
        <item m="1" x="6847"/>
        <item m="1" x="6879"/>
        <item m="1" x="6905"/>
        <item m="1" x="6941"/>
        <item m="1" x="2460"/>
        <item m="1" x="2497"/>
        <item m="1" x="2576"/>
        <item m="1" x="6464"/>
        <item m="1" x="5157"/>
        <item m="1" x="960"/>
        <item m="1" x="2230"/>
        <item m="1" x="2871"/>
        <item m="1" x="2906"/>
        <item m="1" x="2969"/>
        <item m="1" x="5248"/>
        <item m="1" x="5304"/>
        <item m="1" x="5363"/>
        <item m="1" x="5424"/>
        <item m="1" x="5452"/>
        <item m="1" x="5577"/>
        <item m="1" x="1673"/>
        <item m="1" x="1703"/>
        <item m="1" x="1736"/>
        <item m="1" x="4899"/>
        <item m="1" x="4932"/>
        <item m="1" x="4962"/>
        <item m="1" x="4988"/>
        <item m="1" x="5018"/>
        <item m="1" x="5049"/>
        <item m="1" x="5081"/>
        <item m="1" x="5109"/>
        <item m="1" x="5142"/>
        <item m="1" x="5165"/>
        <item m="1" x="1000"/>
        <item m="1" x="1035"/>
        <item m="1" x="1385"/>
        <item m="1" x="1420"/>
        <item m="1" x="1455"/>
        <item m="1" x="1517"/>
        <item m="1" x="1551"/>
        <item m="1" x="1585"/>
        <item m="1" x="5191"/>
        <item m="1" x="5219"/>
        <item m="1" x="5676"/>
        <item m="1" x="3336"/>
        <item m="1" x="6559"/>
        <item m="1" x="403"/>
        <item m="1" x="1358"/>
        <item m="1" x="2348"/>
        <item m="1" x="5988"/>
        <item m="1" x="1862"/>
        <item m="1" x="1952"/>
        <item m="1" x="1980"/>
        <item m="1" x="1647"/>
        <item m="1" x="1069"/>
        <item m="1" x="1095"/>
        <item m="1" x="1124"/>
        <item m="1" x="1152"/>
        <item m="1" x="1183"/>
        <item m="1" x="1218"/>
        <item m="1" x="1248"/>
        <item m="1" x="1283"/>
        <item m="1" x="2255"/>
        <item m="1" x="2285"/>
        <item m="1" x="2661"/>
        <item m="1" x="2697"/>
        <item m="1" x="2730"/>
        <item m="1" x="2840"/>
        <item m="1" x="1893"/>
        <item m="1" x="3399"/>
        <item m="1" x="6291"/>
        <item m="1" x="6313"/>
        <item m="1" x="6426"/>
        <item m="1" x="4238"/>
        <item m="1" x="3513"/>
        <item m="1" x="3556"/>
        <item m="1" x="3590"/>
        <item m="1" x="3621"/>
        <item m="1" x="3656"/>
        <item m="1" x="3688"/>
        <item m="1" x="3717"/>
        <item m="1" x="3751"/>
        <item m="1" x="3838"/>
        <item m="1" x="2315"/>
        <item m="1" x="3062"/>
        <item m="1" x="3094"/>
        <item m="1" x="3121"/>
        <item m="1" x="3153"/>
        <item m="1" x="3181"/>
        <item m="1" x="3209"/>
        <item m="1" x="3238"/>
        <item m="1" x="3267"/>
        <item m="1" x="3296"/>
        <item m="1" x="6498"/>
        <item m="1" x="469"/>
        <item m="1" x="1620"/>
        <item m="1" x="1761"/>
        <item m="1" x="2764"/>
        <item m="1" x="4977"/>
        <item m="1" x="5039"/>
        <item m="1" x="2617"/>
        <item m="1" x="2802"/>
        <item m="1" x="1923"/>
        <item m="1" x="1826"/>
        <item m="1" x="6023"/>
        <item m="1" x="6201"/>
        <item m="1" x="2380"/>
        <item m="1" x="2420"/>
        <item m="1" x="6133"/>
        <item m="1" x="6530"/>
        <item m="1" x="6593"/>
        <item m="1" x="3967"/>
        <item m="1" x="2241"/>
        <item m="1" x="3446"/>
        <item m="1" x="2368"/>
        <item m="1" x="2273"/>
        <item m="1" x="2301"/>
        <item m="1" x="2123"/>
        <item m="1" x="2158"/>
        <item m="1" x="2189"/>
        <item m="1" x="3053"/>
        <item m="1" x="3080"/>
        <item m="1" x="4329"/>
        <item m="1" x="4365"/>
        <item m="1" x="1102"/>
        <item m="1" x="1133"/>
        <item m="1" x="1158"/>
        <item m="1" x="4511"/>
        <item m="1" x="4594"/>
        <item m="1" x="4632"/>
        <item m="1" x="4696"/>
        <item m="1" x="4730"/>
        <item m="1" x="4810"/>
        <item m="1" x="5149"/>
        <item m="1" x="5382"/>
        <item m="1" x="5412"/>
        <item m="1" x="3164"/>
        <item m="1" x="5261"/>
        <item m="1" x="5283"/>
        <item m="1" x="5493"/>
        <item m="1" x="1500"/>
        <item m="1" x="2523"/>
        <item m="1" x="2561"/>
        <item m="1" x="3140"/>
        <item m="1" x="3172"/>
        <item m="1" x="3227"/>
        <item m="1" x="5533"/>
        <item m="1" x="5664"/>
        <item m="1" x="5700"/>
        <item m="1" x="5804"/>
        <item m="1" x="4662"/>
        <item m="1" x="6158"/>
        <item m="1" x="784"/>
        <item m="1" x="5399"/>
        <item m="1" x="1404"/>
        <item m="1" x="1813"/>
        <item m="1" x="6122"/>
        <item m="1" x="1430"/>
        <item m="1" x="4170"/>
        <item m="1" x="4226"/>
        <item m="1" x="3783"/>
        <item m="1" x="561"/>
        <item m="1" x="592"/>
        <item m="1" x="5321"/>
        <item m="1" x="1328"/>
        <item m="1" x="2001"/>
        <item m="1" x="2029"/>
        <item m="1" x="2087"/>
        <item m="1" x="2218"/>
        <item m="1" x="3113"/>
        <item m="1" x="3451"/>
        <item m="1" x="3553"/>
        <item m="1" x="5752"/>
        <item m="1" x="5784"/>
        <item m="1" x="5820"/>
        <item m="1" x="5852"/>
        <item m="1" x="1393"/>
        <item m="1" x="4134"/>
        <item m="1" x="4760"/>
        <item m="1" x="4788"/>
        <item m="1" x="5026"/>
        <item m="1" x="5091"/>
        <item m="1" x="2483"/>
        <item m="1" x="5975"/>
        <item m="1" x="6225"/>
        <item m="1" x="6251"/>
        <item m="1" x="4397"/>
        <item m="1" x="1255"/>
        <item m="1" x="2405"/>
        <item m="1" x="4200"/>
        <item m="1" x="4262"/>
        <item m="1" x="4294"/>
        <item m="1" x="1692"/>
        <item m="1" x="3510"/>
        <item m="1" x="1226"/>
        <item m="1" x="3131"/>
        <item m="1" x="3191"/>
        <item m="1" x="5353"/>
        <item m="1" x="5442"/>
        <item m="1" x="1442"/>
        <item m="1" x="1471"/>
        <item m="1" x="2332"/>
        <item m="1" x="264"/>
        <item m="1" x="287"/>
        <item m="1" x="313"/>
        <item m="1" x="527"/>
        <item m="1" x="632"/>
        <item m="1" x="671"/>
        <item m="1" x="709"/>
        <item m="1" x="748"/>
        <item m="1" x="1847"/>
        <item m="1" x="1882"/>
        <item m="1" x="1912"/>
        <item m="1" x="5839"/>
        <item m="1" x="5906"/>
        <item m="1" x="5938"/>
        <item m="1" x="5547"/>
        <item m="1" x="5919"/>
        <item m="1" x="5954"/>
        <item m="1" x="3740"/>
        <item m="1" x="3775"/>
        <item m="1" x="124"/>
        <item m="1" x="156"/>
        <item m="1" x="239"/>
        <item m="1" x="1530"/>
        <item m="1" x="1562"/>
        <item m="1" x="3475"/>
        <item m="1" x="3503"/>
        <item m="1" x="3542"/>
        <item m="1" x="3581"/>
        <item m="1" x="3610"/>
        <item m="1" x="3798"/>
        <item m="1" x="3829"/>
        <item m="1" x="3858"/>
        <item m="1" x="3884"/>
        <item m="1" x="3913"/>
        <item m="1" x="3941"/>
        <item m="1" x="4840"/>
        <item m="1" x="4873"/>
        <item m="1" x="4907"/>
        <item m="1" x="4939"/>
        <item m="1" x="4967"/>
        <item m="1" x="2599"/>
        <item m="1" x="2643"/>
        <item m="1" x="2681"/>
        <item m="1" x="2717"/>
        <item m="1" x="2750"/>
        <item m="1" x="2788"/>
        <item m="1" x="2828"/>
        <item m="1" x="2860"/>
        <item m="1" x="2893"/>
        <item m="1" x="2927"/>
        <item m="1" x="2956"/>
        <item m="1" x="3421"/>
        <item m="1" x="3749"/>
        <item m="1" x="2441"/>
        <item m="1" x="5121"/>
        <item m="1" x="1341"/>
        <item m="1" x="97"/>
        <item m="1" x="3220"/>
        <item m="1" x="3250"/>
        <item m="1" x="3278"/>
        <item m="1" x="3310"/>
        <item m="1" x="3020"/>
        <item m="1" x="340"/>
        <item m="1" x="1373"/>
        <item m="1" x="3002"/>
        <item m="1" x="5712"/>
        <item m="1" x="5886"/>
        <item m="1" x="6792"/>
        <item m="1" x="6826"/>
        <item m="1" x="6884"/>
        <item m="1" x="6915"/>
        <item m="1" x="6947"/>
        <item m="1" x="393"/>
        <item m="1" x="418"/>
        <item m="1" x="454"/>
        <item m="1" x="491"/>
        <item m="1" x="5198"/>
        <item m="1" x="5228"/>
        <item m="1" x="3347"/>
        <item m="1" x="3587"/>
        <item m="1" x="3619"/>
        <item m="1" x="3654"/>
        <item m="1" x="3686"/>
        <item m="1" x="70"/>
        <item m="1" x="4429"/>
        <item m="1" x="4457"/>
        <item m="1" x="4479"/>
        <item m="1" x="4540"/>
        <item m="1" x="4567"/>
        <item m="1" x="1265"/>
        <item m="1" x="1301"/>
        <item m="1" x="3483"/>
        <item m="1" x="5295"/>
        <item m="1" x="5874"/>
        <item m="1" x="773"/>
        <item m="1" x="880"/>
        <item m="1" x="996"/>
        <item m="1" x="1583"/>
        <item m="1" x="1617"/>
        <item m="1" x="1644"/>
        <item m="1" x="1671"/>
        <item m="1" x="1890"/>
        <item m="1" x="87"/>
        <item m="1" x="114"/>
        <item m="1" x="179"/>
        <item m="1" x="1033"/>
        <item m="1" x="1067"/>
        <item m="1" x="3357"/>
        <item m="1" x="1757"/>
        <item m="1" x="1792"/>
        <item m="1" x="1822"/>
        <item m="1" x="1858"/>
        <item m="1" x="1731"/>
        <item m="1" x="6683"/>
        <item m="1" x="62"/>
        <item m="1" x="142"/>
        <item m="1" x="1354"/>
        <item m="1" x="1515"/>
        <item m="1" x="5750"/>
        <item m="1" x="5782"/>
        <item m="1" x="5484"/>
        <item m="1" x="5544"/>
        <item m="1" x="3526"/>
        <item m="1" x="6714"/>
        <item m="1" x="6746"/>
        <item m="1" x="6779"/>
        <item m="1" x="6813"/>
        <item m="1" x="6845"/>
        <item m="1" x="6876"/>
        <item m="1" x="6902"/>
        <item m="1" x="6937"/>
        <item m="1" x="3791"/>
        <item m="1" x="3817"/>
        <item m="1" x="3846"/>
        <item m="1" x="3874"/>
        <item m="1" x="4121"/>
        <item m="1" x="4421"/>
        <item m="1" x="4471"/>
        <item m="1" x="4528"/>
        <item m="1" x="4559"/>
        <item m="1" x="5770"/>
        <item m="1" x="3987"/>
        <item m="1" x="5710"/>
        <item m="1" x="4588"/>
        <item m="1" x="5600"/>
        <item m="1" x="734"/>
        <item m="1" x="3929"/>
        <item m="1" x="5189"/>
        <item m="1" x="5636"/>
        <item m="1" x="1280"/>
        <item m="1" x="4802"/>
        <item m="1" x="4498"/>
        <item m="1" x="4685"/>
        <item m="1" x="1417"/>
        <item m="1" x="1481"/>
        <item m="1" x="5673"/>
        <item m="1" x="5818"/>
        <item m="1" x="5850"/>
        <item m="1" x="256"/>
        <item m="1" x="278"/>
        <item m="1" x="307"/>
        <item m="1" x="331"/>
        <item m="1" x="363"/>
        <item m="1" x="3630"/>
        <item m="1" x="3663"/>
        <item m="1" x="3698"/>
        <item m="1" x="4020"/>
        <item m="1" x="4073"/>
        <item m="1" x="4315"/>
        <item m="1" x="4354"/>
        <item m="1" x="4778"/>
        <item m="1" x="4898"/>
        <item m="1" x="5514"/>
        <item m="1" x="4615"/>
        <item m="1" x="206"/>
        <item m="1" x="1122"/>
        <item m="1" x="3728"/>
        <item m="1" x="3759"/>
        <item m="1" x="4717"/>
        <item m="1" x="659"/>
        <item m="1" x="5575"/>
        <item m="1" x="3567"/>
        <item m="1" x="5329"/>
        <item m="1" x="5361"/>
        <item m="1" x="5391"/>
        <item m="1" x="5422"/>
        <item m="1" x="5450"/>
        <item m="1" x="4750"/>
        <item m="1" x="4987"/>
        <item m="1" x="5017"/>
        <item m="1" x="513"/>
        <item m="1" x="956"/>
        <item m="1" x="3899"/>
        <item m="1" x="1700"/>
        <item m="1" x="4960"/>
        <item m="1" x="1149"/>
        <item m="1" x="1181"/>
        <item m="1" x="4652"/>
        <item m="1" x="1214"/>
        <item m="1" x="1312"/>
        <item m="1" x="1382"/>
        <item m="1" x="1453"/>
        <item m="1" x="4831"/>
        <item m="1" x="4861"/>
        <item m="1" x="4930"/>
        <item m="1" x="5301"/>
        <item m="1" x="69"/>
        <item m="1" x="5686"/>
        <item m="1" x="6398"/>
        <item m="1" x="6701"/>
        <item m="1" x="5829"/>
        <item m="1" x="6107"/>
        <item m="1" x="6506"/>
        <item m="1" x="3963"/>
        <item m="1" x="6178"/>
        <item m="1" x="6832"/>
        <item m="1" x="2549"/>
        <item m="1" x="6213"/>
        <item m="1" x="2881"/>
        <item m="1" x="2914"/>
        <item m="1" x="2946"/>
        <item m="1" x="2977"/>
        <item m="1" x="3471"/>
        <item m="1" x="2468"/>
        <item m="1" x="1627"/>
        <item m="1" x="1651"/>
        <item m="1" x="1680"/>
        <item m="1" x="1709"/>
        <item m="1" x="1769"/>
        <item m="1" x="1801"/>
        <item m="1" x="1832"/>
        <item m="1" x="1869"/>
        <item m="1" x="1929"/>
        <item m="1" x="5140"/>
        <item m="1" x="5163"/>
        <item m="1" x="1958"/>
        <item m="1" x="2508"/>
        <item m="1" x="2774"/>
        <item m="1" x="2586"/>
        <item m="1" x="2429"/>
        <item m="1" x="2357"/>
        <item m="1" x="2812"/>
        <item m="1" x="4154"/>
        <item m="1" x="1689"/>
        <item m="1" x="1658"/>
        <item m="1" x="4549"/>
        <item m="1" x="1497"/>
        <item m="1" x="1741"/>
        <item m="1" x="5554"/>
        <item m="1" x="6063"/>
        <item m="1" x="6241"/>
        <item m="1" x="4440"/>
        <item m="1" x="4463"/>
        <item m="1" x="5586"/>
        <item m="1" x="5759"/>
        <item m="1" x="5896"/>
        <item m="1" x="193"/>
        <item m="1" x="1234"/>
        <item m="1" x="1299"/>
        <item m="1" x="1371"/>
        <item m="1" x="6041"/>
        <item m="1" x="6078"/>
        <item m="1" x="1109"/>
        <item m="1" x="1138"/>
        <item m="1" x="3275"/>
        <item m="1" x="3307"/>
        <item m="1" x="3343"/>
        <item m="1" x="3376"/>
        <item m="1" x="3407"/>
        <item m="1" x="3442"/>
        <item m="1" x="161"/>
        <item m="1" x="1262"/>
        <item m="1" x="4142"/>
        <item m="1" x="4175"/>
        <item m="1" x="4207"/>
        <item m="1" x="4640"/>
        <item m="1" x="4671"/>
        <item m="1" x="4703"/>
        <item m="1" x="4739"/>
        <item m="1" x="2628"/>
        <item m="1" x="2706"/>
        <item m="1" x="3853"/>
        <item m="1" x="319"/>
        <item m="1" x="643"/>
        <item m="1" x="6767"/>
        <item m="1" x="4576"/>
        <item m="1" x="5004"/>
        <item m="1" x="5064"/>
        <item m="1" x="3825"/>
        <item m="1" x="5792"/>
        <item m="1" x="1200"/>
        <item m="1" x="5180"/>
        <item m="1" x="6139"/>
        <item m="1" x="937"/>
        <item m="1" x="4303"/>
        <item m="1" x="4848"/>
        <item m="1" x="5130"/>
        <item m="1" x="4949"/>
        <item m="1" x="5925"/>
        <item m="1" x="5963"/>
        <item m="1" x="5995"/>
        <item m="1" x="5094"/>
        <item m="1" x="1536"/>
        <item m="1" x="6359"/>
        <item m="1" x="1571"/>
        <item m="1" x="499"/>
        <item m="1" x="535"/>
        <item m="1" x="4975"/>
        <item m="1" x="6538"/>
        <item m="1" x="6296"/>
        <item m="1" x="6322"/>
        <item m="1" x="244"/>
        <item m="1" x="4407"/>
        <item m="1" x="220"/>
        <item m="1" x="4918"/>
        <item m="1" x="3907"/>
        <item m="1" x="74"/>
        <item m="1" x="102"/>
        <item m="1" x="127"/>
        <item m="1" x="268"/>
        <item m="1" x="297"/>
        <item m="1" x="4817"/>
        <item m="1" x="758"/>
        <item m="1" x="1021"/>
        <item m="1" x="1053"/>
        <item m="1" x="4519"/>
        <item m="1" x="1166"/>
        <item m="1" x="3937"/>
        <item m="1" x="3997"/>
        <item m="1" x="4028"/>
        <item m="1" x="4079"/>
        <item m="1" x="866"/>
        <item m="1" x="903"/>
        <item m="1" x="980"/>
        <item m="1" x="1748"/>
        <item m="1" x="1780"/>
        <item m="1" x="1843"/>
        <item m="1" x="1878"/>
        <item m="1" x="1908"/>
        <item m="1" x="1937"/>
        <item m="1" x="2119"/>
        <item m="1" x="2153"/>
        <item m="1" x="5207"/>
        <item m="1" x="6120"/>
        <item m="1" x="6156"/>
        <item m="1" x="6192"/>
        <item m="1" x="6222"/>
        <item m="1" x="6248"/>
        <item m="1" x="5648"/>
        <item m="1" x="5722"/>
        <item m="1" x="6435"/>
        <item m="1" x="464"/>
        <item m="1" x="6028"/>
        <item m="1" x="682"/>
        <item m="1" x="718"/>
        <item m="1" x="1338"/>
        <item m="1" x="1401"/>
        <item m="1" x="1439"/>
        <item m="1" x="1469"/>
        <item m="1" x="795"/>
        <item m="1" x="4234"/>
        <item m="1" x="4269"/>
        <item m="1" x="4372"/>
        <item m="1" x="4488"/>
        <item m="1" x="4000"/>
        <item m="1" x="6568"/>
        <item m="1" x="6601"/>
        <item m="1" x="6634"/>
        <item m="1" x="6667"/>
        <item m="1" x="350"/>
        <item m="1" x="378"/>
        <item m="1" x="397"/>
        <item m="1" x="428"/>
        <item m="1" x="829"/>
        <item m="1" x="6473"/>
        <item m="1" x="6799"/>
        <item m="1" x="5035"/>
        <item m="1" x="4110"/>
        <item m="1" x="5378"/>
        <item m="1" x="5408"/>
        <item m="1" x="5439"/>
        <item m="1" x="5529"/>
        <item m="1" x="5660"/>
        <item m="1" x="1963"/>
        <item m="1" x="1974"/>
        <item m="1" x="1993"/>
        <item m="1" x="2007"/>
        <item m="1" x="2021"/>
        <item m="1" x="2038"/>
        <item m="1" x="2061"/>
        <item m="1" x="2078"/>
        <item m="1" x="2098"/>
        <item m="1" x="2131"/>
        <item m="1" x="2150"/>
        <item m="1" x="2166"/>
        <item m="1" x="2182"/>
        <item m="1" x="2203"/>
        <item m="1" x="2215"/>
        <item m="1" x="2227"/>
        <item m="1" x="254"/>
        <item m="1" x="3565"/>
        <item m="1" x="3647"/>
        <item m="1" x="4264"/>
        <item m="1" x="3253"/>
        <item m="1" x="3546"/>
        <item m="1" x="3789"/>
        <item m="1" x="3491"/>
        <item m="1" x="4331"/>
        <item m="1" x="4366"/>
        <item m="1" x="3208"/>
        <item m="1" x="3266"/>
        <item m="1" x="2742"/>
        <item m="1" x="1602"/>
        <item m="1" x="3891"/>
        <item m="1" x="3920"/>
        <item m="1" x="3945"/>
        <item m="1" x="3976"/>
        <item m="1" x="4006"/>
        <item m="1" x="4063"/>
        <item m="1" x="4089"/>
        <item m="1" x="4794"/>
        <item m="1" x="2779"/>
        <item m="1" x="6167"/>
        <item m="1" x="6143"/>
        <item m="1" x="6184"/>
        <item m="1" x="6199"/>
        <item m="1" x="6217"/>
        <item m="1" x="6231"/>
        <item m="1" x="6243"/>
        <item m="1" x="2838"/>
        <item m="1" x="5952"/>
        <item m="1" x="5969"/>
        <item m="1" x="5986"/>
        <item m="1" x="6001"/>
        <item m="1" x="6020"/>
        <item m="1" x="6034"/>
        <item m="1" x="6345"/>
        <item m="1" x="6405"/>
        <item m="1" x="3237"/>
        <item m="1" x="3349"/>
        <item m="1" x="6673"/>
        <item m="1" x="3314"/>
        <item m="1" x="6624"/>
        <item m="1" x="6640"/>
        <item m="1" x="6556"/>
        <item m="1" x="3119"/>
        <item m="1" x="3148"/>
        <item m="1" x="3166"/>
        <item m="1" x="6805"/>
        <item m="1" x="6051"/>
        <item m="1" x="6573"/>
        <item m="1" x="6723"/>
        <item m="1" x="3107"/>
        <item m="1" x="2693"/>
        <item m="1" x="2759"/>
        <item m="1" x="4384"/>
        <item m="1" x="3629"/>
        <item m="1" x="60"/>
        <item m="1" x="84"/>
        <item m="1" x="112"/>
        <item m="1" x="175"/>
        <item m="1" x="205"/>
        <item m="1" x="231"/>
        <item m="1" x="276"/>
        <item m="1" x="305"/>
        <item m="1" x="2512"/>
        <item m="1" x="2533"/>
        <item m="1" x="2553"/>
        <item m="1" x="3726"/>
        <item m="1" x="3778"/>
        <item m="1" x="3814"/>
        <item m="1" x="3860"/>
        <item m="1" x="3897"/>
        <item m="1" x="6300"/>
        <item m="1" x="6312"/>
        <item m="1" x="6327"/>
        <item m="1" x="3711"/>
        <item m="1" x="2250"/>
        <item m="1" x="2268"/>
        <item m="1" x="2281"/>
        <item m="1" x="2473"/>
        <item m="1" x="3872"/>
        <item m="1" x="3916"/>
        <item m="1" x="3984"/>
        <item m="1" x="4033"/>
        <item m="1" x="4070"/>
        <item m="1" x="4093"/>
        <item m="1" x="4172"/>
        <item m="1" x="4202"/>
        <item m="1" x="4229"/>
        <item m="1" x="4246"/>
        <item m="1" x="3611"/>
        <item m="1" x="3662"/>
        <item m="1" x="3695"/>
        <item m="1" x="6258"/>
        <item m="1" x="2818"/>
        <item m="1" x="2853"/>
        <item m="1" x="3134"/>
        <item m="1" x="6925"/>
        <item m="1" x="4002"/>
        <item m="1" x="6478"/>
        <item m="1" x="3430"/>
        <item m="1" x="2492"/>
        <item m="1" x="328"/>
        <item m="1" x="358"/>
        <item m="1" x="3800"/>
        <item m="1" x="3842"/>
        <item m="1" x="6366"/>
        <item m="1" x="6388"/>
        <item m="1" x="6423"/>
        <item m="1" x="6460"/>
        <item m="1" x="3282"/>
        <item m="1" x="3295"/>
        <item m="1" x="3333"/>
        <item m="1" x="3448"/>
        <item m="1" x="3462"/>
        <item m="1" x="3680"/>
        <item m="1" x="4420"/>
        <item m="1" x="4118"/>
        <item m="1" x="6494"/>
        <item m="1" x="3831"/>
        <item m="1" x="6787"/>
        <item m="1" x="3522"/>
        <item m="1" x="4106"/>
        <item m="1" x="4058"/>
        <item m="1" x="4351"/>
        <item m="1" x="4312"/>
        <item m="1" x="6823"/>
        <item m="1" x="4218"/>
        <item m="1" x="6895"/>
        <item m="1" x="6912"/>
        <item m="1" x="6945"/>
        <item m="1" x="3505"/>
        <item m="1" x="4138"/>
        <item m="1" x="4152"/>
        <item m="1" x="6591"/>
        <item m="1" x="5350"/>
        <item m="1" x="5626"/>
        <item m="1" x="2051"/>
        <item m="1" x="2116"/>
        <item m="1" x="2309"/>
        <item m="1" x="2982"/>
        <item m="1" x="3886"/>
        <item m="1" x="3927"/>
        <item m="1" x="3942"/>
        <item m="1" x="3969"/>
        <item m="1" x="4016"/>
        <item m="1" x="4083"/>
        <item m="1" x="6111"/>
        <item m="1" x="6442"/>
        <item m="1" x="2573"/>
        <item m="1" x="4433"/>
        <item m="1" x="4448"/>
        <item m="1" x="6542"/>
        <item m="1" x="2726"/>
        <item m="1" x="6526"/>
        <item m="1" x="2634"/>
        <item m="1" x="2868"/>
        <item m="1" x="2885"/>
        <item m="1" x="6838"/>
        <item m="1" x="6093"/>
        <item m="1" x="4282"/>
        <item m="1" x="4185"/>
        <item m="1" x="6738"/>
        <item m="1" x="6757"/>
        <item m="1" x="6069"/>
        <item m="1" x="119"/>
        <item m="1" x="134"/>
        <item m="1" x="165"/>
        <item m="1" x="184"/>
        <item m="1" x="197"/>
        <item m="1" x="212"/>
        <item m="1" x="814"/>
        <item m="1" x="272"/>
        <item m="1" x="1222"/>
        <item m="1" x="1524"/>
        <item m="1" x="1375"/>
        <item m="1" x="1391"/>
        <item m="1" x="1426"/>
        <item m="1" x="1445"/>
        <item m="1" x="887"/>
        <item m="1" x="261"/>
        <item m="1" x="688"/>
        <item m="1" x="1204"/>
        <item m="1" x="1025"/>
        <item m="1" x="1155"/>
        <item m="1" x="1969"/>
        <item m="1" x="1984"/>
        <item m="1" x="6305"/>
        <item m="1" x="6453"/>
        <item m="1" x="1558"/>
        <item m="1" x="4935"/>
        <item m="1" x="6487"/>
        <item m="1" x="5520"/>
        <item m="1" x="4646"/>
        <item m="1" x="4657"/>
        <item m="1" x="4822"/>
        <item m="1" x="283"/>
        <item m="1" x="312"/>
        <item m="1" x="322"/>
        <item m="1" x="605"/>
        <item m="1" x="626"/>
        <item m="1" x="706"/>
        <item m="1" x="4852"/>
        <item m="1" x="4886"/>
        <item m="1" x="4903"/>
        <item m="1" x="5115"/>
        <item m="1" x="5413"/>
        <item m="1" x="5701"/>
        <item m="1" x="5718"/>
        <item m="1" x="5756"/>
        <item m="1" x="5771"/>
        <item m="1" x="5807"/>
        <item m="1" x="5826"/>
        <item m="1" x="5876"/>
        <item m="1" x="5893"/>
        <item m="1" x="5908"/>
        <item m="1" x="5939"/>
        <item m="1" x="5959"/>
        <item m="1" x="5976"/>
        <item m="1" x="5993"/>
        <item m="1" x="6011"/>
        <item m="1" x="6026"/>
        <item m="1" x="6044"/>
        <item m="1" x="6083"/>
        <item m="1" x="6124"/>
        <item m="1" x="4579"/>
        <item m="1" x="6431"/>
        <item m="1" x="5195"/>
        <item m="1" x="5210"/>
        <item m="1" x="1170"/>
        <item m="1" x="2003"/>
        <item m="1" x="5396"/>
        <item m="1" x="5098"/>
        <item m="1" x="6519"/>
        <item m="1" x="6137"/>
        <item m="1" x="5665"/>
        <item m="1" x="6415"/>
        <item m="1" x="4377"/>
        <item m="1" x="5158"/>
        <item m="1" x="5354"/>
        <item m="1" x="5383"/>
        <item m="1" x="5492"/>
        <item m="1" x="4305"/>
        <item m="1" x="4625"/>
        <item m="1" x="4921"/>
        <item m="1" x="4344"/>
        <item m="1" x="4360"/>
        <item m="1" x="5457"/>
        <item m="1" x="5473"/>
        <item m="1" x="4552"/>
        <item m="1" x="4592"/>
        <item m="1" x="1040"/>
        <item m="1" x="1057"/>
        <item m="1" x="2583"/>
        <item m="1" x="2068"/>
        <item m="1" x="2160"/>
        <item m="1" x="2173"/>
        <item m="1" x="2194"/>
        <item m="1" x="2208"/>
        <item m="1" x="2219"/>
        <item m="1" x="2232"/>
        <item m="1" x="1237"/>
        <item m="1" x="2370"/>
        <item m="1" x="2407"/>
        <item m="1" x="2425"/>
        <item m="1" x="943"/>
        <item m="1" x="965"/>
        <item m="1" x="2244"/>
        <item m="1" x="2525"/>
        <item m="1" x="2547"/>
        <item m="1" x="2563"/>
        <item m="1" x="2602"/>
        <item m="1" x="2646"/>
        <item m="1" x="1867"/>
        <item m="1" x="1914"/>
        <item m="1" x="1006"/>
        <item m="1" x="1305"/>
        <item m="1" x="1322"/>
        <item m="1" x="1343"/>
        <item m="1" x="1362"/>
        <item m="1" x="1460"/>
        <item m="1" x="400"/>
        <item m="1" x="451"/>
        <item m="1" x="1814"/>
        <item m="1" x="370"/>
        <item m="1" x="1072"/>
        <item m="1" x="1595"/>
        <item m="1" x="1186"/>
        <item m="1" x="1721"/>
        <item m="1" x="2276"/>
        <item m="1" x="2465"/>
        <item m="1" x="2259"/>
        <item m="1" x="2288"/>
        <item m="1" x="2302"/>
        <item m="1" x="2319"/>
        <item m="1" x="2334"/>
        <item m="1" x="2353"/>
        <item m="1" x="2385"/>
        <item m="1" x="2444"/>
        <item m="1" x="833"/>
        <item m="1" x="850"/>
        <item m="1" x="870"/>
        <item m="1" x="907"/>
        <item m="1" x="984"/>
        <item m="1" x="1085"/>
        <item m="1" x="1608"/>
        <item m="1" x="2623"/>
        <item m="1" x="2665"/>
        <item m="1" x="1407"/>
        <item m="1" x="1883"/>
        <item m="1" x="1927"/>
        <item m="1" x="1955"/>
        <item m="1" x="2088"/>
        <item m="1" x="2106"/>
        <item m="1" x="2124"/>
        <item m="1" x="2015"/>
        <item m="1" x="224"/>
        <item m="1" x="1849"/>
        <item m="1" x="1898"/>
        <item m="1" x="1944"/>
        <item m="1" x="1662"/>
        <item m="1" x="1678"/>
        <item m="1" x="2030"/>
        <item m="1" x="2044"/>
        <item m="1" x="2057"/>
        <item m="1" x="1472"/>
        <item m="1" x="1488"/>
        <item m="1" x="3092"/>
        <item m="1" x="2140"/>
        <item m="1" x="237"/>
        <item m="1" x="505"/>
        <item m="1" x="1099"/>
        <item m="1" x="1251"/>
        <item m="1" x="1269"/>
        <item m="1" x="1290"/>
        <item m="1" x="1624"/>
        <item m="1" x="1830"/>
        <item m="1" x="5551"/>
        <item m="1" x="742"/>
        <item m="1" x="334"/>
        <item m="1" x="348"/>
        <item m="1" x="367"/>
        <item m="1" x="395"/>
        <item m="1" x="411"/>
        <item m="1" x="425"/>
        <item m="1" x="441"/>
        <item m="1" x="737"/>
        <item m="1" x="756"/>
        <item m="1" x="480"/>
        <item m="1" x="3943"/>
        <item m="1" x="4061"/>
        <item m="1" x="4074"/>
        <item m="1" x="4087"/>
        <item m="1" x="4108"/>
        <item m="1" x="4122"/>
        <item m="1" x="4141"/>
        <item m="1" x="4155"/>
        <item m="1" x="4174"/>
        <item m="1" x="4187"/>
        <item m="1" x="4205"/>
        <item m="1" x="4233"/>
        <item m="1" x="4249"/>
        <item m="1" x="4268"/>
        <item m="1" x="4285"/>
        <item m="1" x="4300"/>
        <item m="1" x="4316"/>
        <item m="1" x="4337"/>
        <item m="1" x="4355"/>
        <item m="1" x="3268"/>
        <item m="1" x="3284"/>
        <item m="1" x="3297"/>
        <item m="1" x="3319"/>
        <item m="1" x="3337"/>
        <item m="1" x="3354"/>
        <item m="1" x="3369"/>
        <item m="1" x="3384"/>
        <item m="1" x="3529"/>
        <item m="1" x="3551"/>
        <item m="1" x="3182"/>
        <item m="1" x="3196"/>
        <item m="1" x="3955"/>
        <item m="1" x="3973"/>
        <item m="1" x="3988"/>
        <item m="1" x="4005"/>
        <item m="1" x="4037"/>
        <item m="1" x="3834"/>
        <item m="1" x="3792"/>
        <item m="1" x="4461"/>
        <item m="1" x="4472"/>
        <item m="1" x="3918"/>
        <item m="1" x="3049"/>
        <item m="1" x="3063"/>
        <item m="1" x="3095"/>
        <item m="1" x="3110"/>
        <item m="1" x="3138"/>
        <item m="1" x="2401"/>
        <item m="1" x="6504"/>
        <item m="1" x="6377"/>
        <item m="1" x="6598"/>
        <item m="1" x="6631"/>
        <item m="1" x="5225"/>
        <item m="1" x="5256"/>
        <item m="1" x="5280"/>
        <item m="1" x="5335"/>
        <item m="1" x="5367"/>
        <item m="1" x="5145"/>
        <item m="1" x="6239"/>
        <item m="1" x="4475"/>
        <item m="1" x="4677"/>
        <item m="1" x="4691"/>
        <item m="1" x="5566"/>
        <item m="1" x="5310"/>
        <item m="1" x="4392"/>
        <item m="1" x="4466"/>
        <item m="1" x="4505"/>
        <item m="1" x="4532"/>
        <item m="1" x="5443"/>
        <item m="1" x="6160"/>
        <item m="1" x="4491"/>
        <item m="1" x="4742"/>
        <item m="1" x="4771"/>
        <item m="1" x="4783"/>
        <item m="1" x="4806"/>
        <item m="1" x="5054"/>
        <item m="1" x="5069"/>
        <item m="1" x="6336"/>
        <item m="1" x="6356"/>
        <item m="1" x="4606"/>
        <item m="1" x="5170"/>
        <item m="1" x="5534"/>
        <item m="1" x="6210"/>
        <item m="1" x="6252"/>
        <item m="1" x="6281"/>
        <item m="1" x="6293"/>
        <item m="1" x="4443"/>
        <item m="1" x="4454"/>
        <item m="1" x="4725"/>
        <item m="1" x="4522"/>
        <item m="1" x="299"/>
        <item m="1" x="647"/>
        <item m="1" x="666"/>
        <item m="1" x="721"/>
        <item m="1" x="4162"/>
        <item m="1" x="4193"/>
        <item m="1" x="4209"/>
        <item m="1" x="4239"/>
        <item m="1" x="4256"/>
        <item m="1" x="4274"/>
        <item m="1" x="4289"/>
        <item m="1" x="4322"/>
        <item m="1" x="4564"/>
        <item m="1" x="5022"/>
        <item m="1" x="5739"/>
        <item m="1" x="5789"/>
        <item m="1" x="5841"/>
        <item m="1" x="5857"/>
        <item m="1" x="5923"/>
        <item m="1" x="5182"/>
        <item m="1" x="6105"/>
        <item m="1" x="4867"/>
        <item m="1" x="6565"/>
        <item m="1" x="5507"/>
        <item m="1" x="5584"/>
        <item m="1" x="5601"/>
        <item m="1" x="5631"/>
        <item m="1" x="5646"/>
        <item m="1" x="5683"/>
        <item m="1" x="6226"/>
        <item m="1" x="4412"/>
        <item m="1" x="4426"/>
        <item m="1" x="6175"/>
        <item m="1" x="3900"/>
        <item m="1" x="6446"/>
        <item m="1" x="4529"/>
        <item m="1" x="6548"/>
        <item m="1" x="389"/>
        <item m="1" x="2538"/>
        <item m="1" x="2557"/>
        <item m="1" x="2577"/>
        <item m="1" x="2595"/>
        <item m="1" x="2639"/>
        <item m="1" x="2662"/>
        <item m="1" x="2678"/>
        <item m="1" x="2698"/>
        <item m="1" x="2746"/>
        <item m="1" x="2765"/>
        <item m="1" x="2803"/>
        <item m="1" x="2823"/>
        <item m="1" x="2841"/>
        <item m="1" x="2872"/>
        <item m="1" x="4617"/>
        <item m="1" x="4638"/>
        <item m="1" x="6314"/>
        <item m="1" x="6331"/>
        <item m="1" x="6349"/>
        <item m="1" x="3616"/>
        <item m="1" x="4096"/>
        <item m="1" x="4423"/>
        <item m="1" x="4737"/>
        <item m="1" x="4486"/>
        <item m="1" x="4370"/>
        <item m="1" x="4386"/>
        <item m="1" x="4405"/>
        <item m="1" x="295"/>
        <item m="1" x="4793"/>
        <item m="1" x="232"/>
        <item m="1" x="2363"/>
        <item m="1" x="3256"/>
        <item m="1" x="3847"/>
        <item m="1" x="4517"/>
        <item m="1" x="6369"/>
        <item m="1" x="6392"/>
        <item m="1" x="6410"/>
        <item m="1" x="6427"/>
        <item m="1" x="6560"/>
        <item m="1" x="3633"/>
        <item m="1" x="2478"/>
        <item m="1" x="3122"/>
        <item m="1" x="3714"/>
        <item m="1" x="2618"/>
        <item m="1" x="2731"/>
        <item m="1" x="2889"/>
        <item m="1" x="2907"/>
        <item m="1" x="2923"/>
        <item m="1" x="2970"/>
        <item m="1" x="3003"/>
        <item m="1" x="3032"/>
        <item m="1" x="4718"/>
        <item m="1" x="583"/>
        <item m="1" x="63"/>
        <item m="1" x="4766"/>
        <item m="1" x="2498"/>
        <item m="1" x="101"/>
        <item m="1" x="2713"/>
        <item m="1" x="2784"/>
        <item m="1" x="3078"/>
        <item m="1" x="309"/>
        <item m="1" x="462"/>
        <item m="1" x="4438"/>
        <item m="1" x="207"/>
        <item m="1" x="243"/>
        <item m="1" x="257"/>
        <item m="1" x="497"/>
        <item m="1" x="554"/>
        <item m="1" x="622"/>
        <item m="1" x="640"/>
        <item m="1" x="700"/>
        <item m="1" x="2986"/>
        <item m="1" x="3017"/>
        <item m="1" x="3666"/>
        <item m="1" x="3864"/>
        <item m="1" x="3875"/>
        <item m="1" x="3889"/>
        <item m="1" x="4021"/>
        <item m="1" x="4047"/>
        <item m="1" x="4500"/>
        <item m="1" x="4751"/>
        <item m="1" x="2939"/>
        <item m="1" x="115"/>
        <item m="1" x="377"/>
        <item m="1" x="599"/>
        <item m="1" x="3819"/>
        <item m="1" x="4546"/>
        <item m="1" x="2518"/>
        <item m="1" x="2856"/>
        <item m="1" x="3154"/>
        <item m="1" x="3210"/>
        <item m="1" x="3239"/>
        <item m="1" x="3652"/>
        <item m="1" x="3700"/>
        <item m="1" x="3746"/>
        <item m="1" x="3761"/>
        <item m="1" x="3683"/>
        <item m="1" x="4030"/>
        <item m="1" x="3729"/>
        <item m="1" x="3781"/>
        <item m="1" x="3805"/>
        <item m="1" x="6613"/>
        <item m="1" x="562"/>
        <item m="1" x="576"/>
        <item m="1" x="653"/>
        <item m="1" x="672"/>
        <item m="1" x="710"/>
        <item m="1" x="1641"/>
        <item m="1" x="1683"/>
        <item m="1" x="492"/>
        <item m="1" x="528"/>
        <item m="1" x="728"/>
        <item m="1" x="749"/>
        <item m="1" x="785"/>
        <item m="1" x="802"/>
        <item m="1" x="819"/>
        <item m="1" x="839"/>
        <item m="1" x="855"/>
        <item m="1" x="877"/>
        <item m="1" x="950"/>
        <item m="1" x="970"/>
        <item m="1" x="990"/>
        <item m="1" x="1010"/>
        <item m="1" x="1029"/>
        <item m="1" x="1062"/>
        <item m="1" x="1091"/>
        <item m="1" x="1103"/>
        <item m="1" x="1119"/>
        <item m="1" x="1159"/>
        <item m="1" x="1176"/>
        <item m="1" x="1191"/>
        <item m="1" x="1210"/>
        <item m="1" x="1242"/>
        <item m="1" x="1275"/>
        <item m="1" x="1293"/>
        <item m="1" x="1308"/>
        <item m="1" x="1329"/>
        <item m="1" x="1349"/>
        <item m="1" x="1366"/>
        <item m="1" x="1379"/>
        <item m="1" x="1394"/>
        <item m="1" x="1413"/>
        <item m="1" x="1465"/>
        <item m="1" x="1510"/>
        <item m="1" x="1531"/>
        <item m="1" x="1547"/>
        <item m="1" x="1563"/>
        <item m="1" x="2470"/>
        <item m="1" x="1773"/>
        <item m="1" x="1802"/>
        <item m="1" x="1871"/>
        <item m="1" x="1888"/>
        <item m="1" x="1919"/>
        <item m="1" x="1959"/>
        <item m="1" x="2017"/>
        <item m="1" x="2035"/>
        <item m="1" x="2145"/>
        <item m="1" x="2224"/>
        <item m="1" x="1788"/>
        <item m="1" x="1930"/>
        <item m="1" x="1972"/>
        <item m="1" x="1989"/>
        <item m="1" x="2129"/>
        <item m="1" x="2059"/>
        <item m="1" x="2074"/>
        <item m="1" x="2111"/>
        <item m="1" x="2177"/>
        <item m="1" x="1947"/>
        <item m="1" x="413"/>
        <item m="1" x="448"/>
        <item m="1" x="466"/>
        <item m="1" x="484"/>
        <item m="1" x="501"/>
        <item m="1" x="521"/>
        <item m="1" x="538"/>
        <item m="1" x="587"/>
        <item m="1" x="431"/>
        <item m="1" x="379"/>
        <item m="1" x="1540"/>
        <item m="1" x="2079"/>
        <item m="1" x="2117"/>
        <item m="1" x="2151"/>
        <item m="1" x="2216"/>
        <item m="1" x="2228"/>
        <item m="1" x="2238"/>
        <item m="1" x="2252"/>
        <item m="1" x="2326"/>
        <item m="1" x="2345"/>
        <item m="1" x="2377"/>
        <item m="1" x="1399"/>
        <item m="1" x="1859"/>
        <item m="1" x="2295"/>
        <item m="1" x="5608"/>
        <item m="1" x="6772"/>
        <item m="1" x="4220"/>
        <item m="1" x="5987"/>
        <item m="1" x="6022"/>
        <item m="1" x="6036"/>
        <item m="1" x="6072"/>
        <item m="1" x="6115"/>
        <item m="1" x="6169"/>
        <item m="1" x="1023"/>
        <item m="1" x="6934"/>
        <item m="1" x="5359"/>
        <item m="1" x="3495"/>
        <item m="1" x="4127"/>
        <item m="1" x="4159"/>
        <item m="1" x="4176"/>
        <item m="1" x="4222"/>
        <item m="1" x="4271"/>
        <item m="1" x="2979"/>
        <item m="1" x="2609"/>
        <item m="1" x="2671"/>
        <item m="1" x="2691"/>
        <item m="1" x="2707"/>
        <item m="1" x="5172"/>
        <item m="1" x="76"/>
        <item m="1" x="4008"/>
        <item m="1" x="6899"/>
        <item m="1" x="1697"/>
        <item m="1" x="1710"/>
        <item m="1" x="1727"/>
        <item m="1" x="2777"/>
        <item m="1" x="2799"/>
        <item m="1" x="5103"/>
        <item m="1" x="5122"/>
        <item m="1" x="5138"/>
        <item m="1" x="5150"/>
        <item m="1" x="2875"/>
        <item m="1" x="3021"/>
        <item m="1" x="3125"/>
        <item m="1" x="3141"/>
        <item m="1" x="3158"/>
        <item m="1" x="3186"/>
        <item m="1" x="3201"/>
        <item m="1" x="3214"/>
        <item m="1" x="4866"/>
        <item m="1" x="4756"/>
        <item m="1" x="3099"/>
        <item m="1" x="6855"/>
        <item m="1" x="6872"/>
        <item m="1" x="6885"/>
        <item m="1" x="6783"/>
        <item m="1" x="419"/>
        <item m="1" x="3013"/>
        <item m="1" x="4697"/>
        <item m="1" x="5761"/>
        <item m="1" x="66"/>
        <item m="1" x="645"/>
        <item m="1" x="704"/>
        <item m="1" x="831"/>
        <item m="1" x="5340"/>
        <item m="1" x="6606"/>
        <item m="1" x="2957"/>
        <item m="1" x="5522"/>
        <item m="1" x="4834"/>
        <item m="1" x="5012"/>
        <item m="1" x="5044"/>
        <item m="1" x="3358"/>
        <item m="1" x="3388"/>
        <item m="1" x="6465"/>
        <item m="1" x="6531"/>
        <item m="1" x="6594"/>
        <item m="1" x="1654"/>
        <item m="1" x="2248"/>
        <item m="1" x="6165"/>
        <item m="1" x="6179"/>
        <item m="1" x="6341"/>
        <item m="1" x="6361"/>
        <item m="1" x="777"/>
        <item m="1" x="3173"/>
        <item m="1" x="4050"/>
        <item m="1" x="4075"/>
        <item m="1" x="4441"/>
        <item m="1" x="4453"/>
        <item m="1" x="4796"/>
        <item m="1" x="4850"/>
        <item m="1" x="6696"/>
        <item m="1" x="938"/>
        <item m="1" x="963"/>
        <item m="1" x="981"/>
        <item m="1" x="1002"/>
        <item m="1" x="4236"/>
        <item m="1" x="924"/>
        <item m="1" x="436"/>
        <item m="1" x="547"/>
        <item m="1" x="4556"/>
        <item m="1" x="4568"/>
        <item m="1" x="5370"/>
        <item m="1" x="3638"/>
        <item m="1" x="352"/>
        <item m="1" x="2934"/>
        <item m="1" x="5847"/>
        <item m="1" x="5862"/>
        <item m="1" x="6065"/>
        <item m="1" x="6090"/>
        <item m="1" x="6108"/>
        <item m="1" x="6130"/>
        <item m="1" x="6140"/>
        <item m="1" x="6438"/>
        <item m="1" x="6458"/>
        <item m="1" x="3588"/>
        <item m="1" x="3620"/>
        <item m="1" x="455"/>
        <item m="1" x="3655"/>
        <item m="1" x="4681"/>
        <item m="1" x="4711"/>
        <item m="1" x="4801"/>
        <item m="1" x="4811"/>
        <item m="1" x="4827"/>
        <item m="1" x="4841"/>
        <item m="1" x="4857"/>
        <item m="1" x="4874"/>
        <item m="1" x="4891"/>
        <item m="1" x="4908"/>
        <item m="1" x="4968"/>
        <item m="1" x="4982"/>
        <item m="1" x="4995"/>
        <item m="1" x="5027"/>
        <item m="1" x="1139"/>
        <item m="1" x="4723"/>
        <item m="1" x="1669"/>
        <item m="1" x="2724"/>
        <item m="1" x="2912"/>
        <item m="1" x="3114"/>
        <item m="1" x="2588"/>
        <item m="1" x="2655"/>
        <item m="1" x="2998"/>
        <item m="1" x="5185"/>
        <item m="1" x="2453"/>
        <item m="1" x="2490"/>
        <item m="1" x="2509"/>
        <item m="1" x="2531"/>
        <item m="1" x="2550"/>
        <item m="1" x="2571"/>
        <item m="1" x="5815"/>
        <item m="1" x="5831"/>
        <item m="1" x="311"/>
        <item m="1" x="320"/>
        <item m="1" x="337"/>
        <item m="1" x="369"/>
        <item m="1" x="1038"/>
        <item m="1" x="1055"/>
        <item m="1" x="1071"/>
        <item m="1" x="1082"/>
        <item m="1" x="1097"/>
        <item m="1" x="1112"/>
        <item m="1" x="1127"/>
        <item m="1" x="3554"/>
        <item m="1" x="3573"/>
        <item m="1" x="3704"/>
        <item m="1" x="3716"/>
        <item m="1" x="3733"/>
        <item m="1" x="3750"/>
        <item m="1" x="4038"/>
        <item m="1" x="4143"/>
        <item m="1" x="4804"/>
        <item m="1" x="2815"/>
        <item m="1" x="4740"/>
        <item m="1" x="5446"/>
        <item m="1" x="5459"/>
        <item m="1" x="5478"/>
        <item m="1" x="5494"/>
        <item m="1" x="5510"/>
        <item m="1" x="6589"/>
        <item m="1" x="6669"/>
        <item m="1" x="4884"/>
        <item m="1" x="692"/>
        <item m="1" x="1752"/>
        <item m="1" x="6726"/>
        <item m="1" x="6655"/>
        <item m="1" x="4113"/>
        <item m="1" x="4926"/>
        <item m="1" x="4956"/>
        <item m="1" x="4504"/>
        <item m="1" x="4940"/>
        <item m="1" x="5400"/>
        <item m="1" x="6680"/>
        <item m="1" x="6709"/>
        <item m="1" x="6793"/>
        <item m="1" x="473"/>
        <item m="1" x="593"/>
        <item m="1" x="613"/>
        <item m="1" x="633"/>
        <item m="1" x="766"/>
        <item m="1" x="893"/>
        <item m="1" x="913"/>
        <item m="1" x="928"/>
        <item m="1" x="1043"/>
        <item m="1" x="1075"/>
        <item m="1" x="1134"/>
        <item m="1" x="1145"/>
        <item m="1" x="1227"/>
        <item m="1" x="1256"/>
        <item m="1" x="1431"/>
        <item m="1" x="1450"/>
        <item m="1" x="1479"/>
        <item m="1" x="1492"/>
        <item m="1" x="1819"/>
        <item m="1" x="1834"/>
        <item m="1" x="1855"/>
        <item m="1" x="1901"/>
        <item m="1" x="2046"/>
        <item m="1" x="2096"/>
        <item m="1" x="2164"/>
        <item m="1" x="2201"/>
        <item m="1" x="4525"/>
        <item m="1" x="4583"/>
        <item m="1" x="4595"/>
        <item m="1" x="4611"/>
        <item m="1" x="4633"/>
        <item m="1" x="4731"/>
        <item m="1" x="4747"/>
        <item m="1" x="4761"/>
        <item m="1" x="4776"/>
        <item m="1" x="4789"/>
        <item m="1" x="5229"/>
        <item m="1" x="5244"/>
        <item m="1" x="5619"/>
        <item m="1" x="5650"/>
        <item m="1" x="5688"/>
        <item m="1" x="5796"/>
        <item m="1" x="5947"/>
        <item m="1" x="5965"/>
        <item m="1" x="5982"/>
        <item m="1" x="5997"/>
        <item m="1" x="6030"/>
        <item m="1" x="6048"/>
        <item m="1" x="6401"/>
        <item m="1" x="6421"/>
        <item m="1" x="6689"/>
        <item m="1" x="6702"/>
        <item m="1" x="6720"/>
        <item m="1" x="6734"/>
        <item m="1" x="6752"/>
        <item m="1" x="6768"/>
        <item m="1" x="6801"/>
        <item m="1" x="6819"/>
        <item m="1" x="6834"/>
        <item m="1" x="6850"/>
        <item m="1" x="6864"/>
        <item m="1" x="6881"/>
        <item m="1" x="6893"/>
        <item m="1" x="6909"/>
        <item m="1" x="6922"/>
        <item m="1" x="6943"/>
        <item m="1" x="92"/>
        <item m="1" x="399"/>
        <item m="1" x="1154"/>
        <item m="1" x="3007"/>
        <item m="1" x="3038"/>
        <item m="1" x="3054"/>
        <item m="1" x="3068"/>
        <item m="1" x="3403"/>
        <item m="1" x="3511"/>
        <item m="1" x="3532"/>
        <item m="1" x="3766"/>
        <item m="1" x="3784"/>
        <item m="1" x="3806"/>
        <item m="1" x="3823"/>
        <item m="1" x="3866"/>
        <item m="1" x="4489"/>
        <item m="1" x="4531"/>
        <item m="1" x="4563"/>
        <item m="1" x="4901"/>
        <item m="1" x="4919"/>
        <item m="1" x="4934"/>
        <item m="1" x="4950"/>
        <item m="1" x="4976"/>
        <item m="1" x="5007"/>
        <item m="1" x="5021"/>
        <item m="1" x="5036"/>
        <item m="1" x="5051"/>
        <item m="1" x="5067"/>
        <item m="1" x="5097"/>
        <item m="1" x="5131"/>
        <item m="1" x="5144"/>
        <item m="1" x="6827"/>
        <item m="1" x="3043"/>
        <item m="1" x="4650"/>
        <item m="1" x="5387"/>
        <item m="1" x="163"/>
        <item m="1" x="195"/>
        <item m="1" x="211"/>
        <item m="1" x="223"/>
        <item m="1" x="236"/>
        <item m="1" x="246"/>
        <item m="1" x="260"/>
        <item m="1" x="270"/>
        <item m="1" x="281"/>
        <item m="1" x="298"/>
        <item m="1" x="4190"/>
        <item m="1" x="5540"/>
        <item m="1" x="5555"/>
        <item m="1" x="4374"/>
        <item m="1" x="4391"/>
        <item m="1" x="4409"/>
        <item m="1" x="4604"/>
        <item m="1" x="4623"/>
        <item m="1" x="4819"/>
        <item m="1" x="6760"/>
        <item m="1" x="6776"/>
        <item m="1" x="6948"/>
        <item m="1" x="5724"/>
        <item m="1" x="5745"/>
        <item m="1" x="5778"/>
        <item m="1" x="5882"/>
        <item m="1" x="5898"/>
        <item m="1" x="6475"/>
        <item m="1" x="6622"/>
        <item m="1" x="6636"/>
        <item m="1" x="2990"/>
        <item m="1" x="3435"/>
        <item m="1" x="3452"/>
        <item m="1" x="3467"/>
        <item m="1" x="3484"/>
        <item m="1" x="4674"/>
        <item m="1" x="4689"/>
        <item m="1" x="4705"/>
        <item m="1" x="4254"/>
        <item m="1" x="5074"/>
        <item m="1" x="5706"/>
        <item m="1" x="6016"/>
        <item m="1" x="6385"/>
        <item m="1" x="602"/>
        <item m="1" x="686"/>
        <item m="1" x="740"/>
        <item m="1" x="2846"/>
        <item m="1" x="2861"/>
        <item m="1" x="3687"/>
        <item m="1" x="3837"/>
        <item m="1" x="4024"/>
        <item m="1" x="2631"/>
        <item m="1" x="3028"/>
        <item m="1" x="2894"/>
        <item m="1" x="3993"/>
        <item m="1" x="4099"/>
        <item m="1" x="4320"/>
        <item m="1" x="4340"/>
        <item m="1" x="4359"/>
        <item m="1" x="4655"/>
        <item m="1" x="4768"/>
        <item m="1" x="4055"/>
        <item m="1" x="1597"/>
        <item m="1" x="1615"/>
        <item m="1" x="1628"/>
        <item m="1" x="6509"/>
        <item m="1" x="6524"/>
        <item m="1" x="6539"/>
        <item m="1" x="6554"/>
        <item m="1" x="6571"/>
        <item m="1" x="3081"/>
        <item m="1" x="3671"/>
        <item m="1" x="4663"/>
        <item m="1" x="4288"/>
        <item m="1" x="200"/>
        <item m="1" x="1175"/>
        <item m="1" x="417"/>
        <item m="1" x="452"/>
        <item m="1" x="507"/>
        <item m="1" x="559"/>
        <item m="1" x="3344"/>
        <item m="1" x="3617"/>
        <item m="1" x="1587"/>
        <item m="1" x="1675"/>
        <item m="1" x="5678"/>
        <item m="1" x="5716"/>
        <item m="1" x="5736"/>
        <item m="1" x="5754"/>
        <item m="1" x="6101"/>
        <item m="1" x="6121"/>
        <item m="1" x="6136"/>
        <item m="1" x="6157"/>
        <item m="1" x="6174"/>
        <item m="1" x="6193"/>
        <item m="1" x="6205"/>
        <item m="1" x="6223"/>
        <item m="1" x="6235"/>
        <item m="1" x="6249"/>
        <item m="1" x="6411"/>
        <item m="1" x="6467"/>
        <item m="1" x="5193"/>
        <item m="1" x="3764"/>
        <item m="1" x="5922"/>
        <item m="1" x="6057"/>
        <item m="1" x="1659"/>
        <item m="1" x="3006"/>
        <item m="1" x="3225"/>
        <item m="1" x="3241"/>
        <item m="1" x="3270"/>
        <item m="1" x="5319"/>
        <item m="1" x="6371"/>
        <item m="1" x="2943"/>
        <item m="1" x="5518"/>
        <item m="1" x="5936"/>
        <item m="1" x="5957"/>
        <item m="1" x="6079"/>
        <item m="1" x="1954"/>
        <item m="1" x="2438"/>
        <item m="1" x="730"/>
        <item m="1" x="4367"/>
        <item m="1" x="3598"/>
        <item m="1" x="5187"/>
        <item m="1" x="5328"/>
        <item m="1" x="5215"/>
        <item m="1" x="5246"/>
        <item m="1" x="5273"/>
        <item m="1" x="5285"/>
        <item m="1" x="5300"/>
        <item m="1" x="5312"/>
        <item m="1" x="5834"/>
        <item m="1" x="4971"/>
        <item m="1" x="3887"/>
        <item m="1" x="345"/>
        <item m="1" x="359"/>
        <item m="1" x="385"/>
        <item m="1" x="5202"/>
        <item m="1" x="5263"/>
        <item m="1" x="5344"/>
        <item m="1" x="5525"/>
        <item m="1" x="4944"/>
        <item m="1" x="1300"/>
        <item m="1" x="1372"/>
        <item m="1" x="1209"/>
        <item m="1" x="2416"/>
        <item m="1" x="6841"/>
        <item m="1" x="6870"/>
        <item m="1" x="5416"/>
        <item m="1" x="2270"/>
        <item m="1" x="5394"/>
        <item m="1" x="1263"/>
        <item m="1" x="1324"/>
        <item m="1" x="5190"/>
        <item m="1" x="5204"/>
        <item m="1" x="5217"/>
        <item m="1" x="5232"/>
        <item m="1" x="5247"/>
        <item m="1" x="5264"/>
        <item m="1" x="5286"/>
        <item m="1" x="5302"/>
        <item m="1" x="5313"/>
        <item m="1" x="5330"/>
        <item m="1" x="5346"/>
        <item m="1" x="5362"/>
        <item m="1" x="5375"/>
        <item m="1" x="5392"/>
        <item m="1" x="5404"/>
        <item m="1" x="5423"/>
        <item m="1" x="5729"/>
        <item m="1" x="817"/>
        <item m="1" x="875"/>
        <item m="1" x="1285"/>
        <item m="1" x="3586"/>
        <item m="1" x="3636"/>
        <item m="1" x="3703"/>
        <item m="1" x="3732"/>
        <item m="1" x="5530"/>
        <item m="1" x="5597"/>
        <item m="1" x="5614"/>
        <item m="1" x="4914"/>
        <item m="1" x="4931"/>
        <item m="1" x="4946"/>
        <item m="1" x="5147"/>
        <item m="1" x="2480"/>
        <item m="1" x="2503"/>
        <item m="1" x="2520"/>
        <item m="1" x="2543"/>
        <item m="1" x="2559"/>
        <item m="1" x="2580"/>
        <item m="1" x="5440"/>
        <item m="1" x="5905"/>
        <item m="1" x="6516"/>
        <item m="1" x="6533"/>
        <item m="1" x="5208"/>
        <item m="1" x="1995"/>
        <item m="1" x="6592"/>
        <item m="1" x="6611"/>
        <item m="1" x="6626"/>
        <item m="1" x="6659"/>
        <item m="1" x="6707"/>
        <item m="1" x="6724"/>
        <item m="1" x="6740"/>
        <item m="1" x="6758"/>
        <item m="1" x="6774"/>
        <item m="1" x="6824"/>
        <item m="1" x="6853"/>
        <item m="1" x="6898"/>
        <item m="1" x="6931"/>
        <item m="1" x="6946"/>
        <item m="1" x="372"/>
        <item m="1" x="384"/>
        <item m="1" x="392"/>
        <item m="1" x="404"/>
        <item m="1" x="434"/>
        <item m="1" x="488"/>
        <item m="1" x="526"/>
        <item m="1" x="545"/>
        <item m="1" x="3116"/>
        <item m="1" x="3129"/>
        <item m="1" x="3145"/>
        <item m="1" x="3162"/>
        <item m="1" x="3177"/>
        <item m="1" x="3189"/>
        <item m="1" x="3218"/>
        <item m="1" x="3261"/>
        <item m="1" x="3653"/>
        <item m="1" x="3669"/>
        <item m="1" x="3715"/>
        <item m="1" x="3748"/>
        <item m="1" x="5769"/>
        <item m="1" x="3198"/>
        <item m="1" x="1875"/>
        <item m="1" x="5485"/>
        <item m="1" x="5501"/>
        <item m="1" x="5515"/>
        <item m="1" x="5526"/>
        <item m="1" x="5545"/>
        <item m="1" x="5560"/>
        <item m="1" x="5593"/>
        <item m="1" x="5655"/>
        <item m="1" x="6480"/>
        <item m="1" x="6528"/>
        <item m="1" x="6545"/>
        <item m="1" x="6557"/>
        <item m="1" x="96"/>
        <item m="1" x="1028"/>
        <item m="1" x="1463"/>
        <item m="1" x="1476"/>
        <item m="1" x="3707"/>
        <item m="1" x="5056"/>
        <item m="1" x="5337"/>
        <item m="1" x="2025"/>
        <item m="1" x="2042"/>
        <item m="1" x="2053"/>
        <item m="1" x="2065"/>
        <item m="1" x="2082"/>
        <item m="1" x="2102"/>
        <item m="1" x="2924"/>
        <item m="1" x="2953"/>
        <item m="1" x="2988"/>
        <item m="1" x="5237"/>
        <item m="1" x="5469"/>
        <item m="1" x="6647"/>
        <item m="1" x="6711"/>
        <item m="1" x="6727"/>
        <item m="1" x="6744"/>
        <item m="1" x="6762"/>
        <item m="1" x="6794"/>
        <item m="1" x="6811"/>
        <item m="1" x="6829"/>
        <item m="1" x="6790"/>
        <item m="1" x="6496"/>
        <item m="1" x="6513"/>
        <item m="1" x="5803"/>
        <item m="1" x="5855"/>
        <item m="1" x="5872"/>
        <item m="1" x="6368"/>
        <item m="1" x="6276"/>
        <item m="1" x="2283"/>
        <item m="1" x="3674"/>
        <item m="1" x="1221"/>
        <item m="1" x="3385"/>
        <item m="1" x="3401"/>
        <item m="1" x="3433"/>
        <item m="1" x="3466"/>
        <item m="1" x="6549"/>
        <item m="1" x="6562"/>
        <item m="1" x="6681"/>
        <item m="1" x="2312"/>
        <item m="1" x="5751"/>
        <item m="1" x="6407"/>
        <item m="1" x="574"/>
        <item m="1" x="691"/>
        <item m="1" x="708"/>
        <item m="1" x="3908"/>
        <item m="1" x="5455"/>
        <item m="1" x="988"/>
        <item m="1" x="4966"/>
        <item m="1" x="4981"/>
        <item m="1" x="4993"/>
        <item m="1" x="6444"/>
        <item m="1" x="1347"/>
        <item m="1" x="3552"/>
        <item m="1" x="5379"/>
        <item m="1" x="3685"/>
        <item m="1" x="5786"/>
        <item m="1" x="5823"/>
        <item m="1" x="2463"/>
        <item m="1" x="1949"/>
        <item m="1" x="1964"/>
        <item m="1" x="5764"/>
        <item m="1" x="5488"/>
        <item m="1" x="5504"/>
        <item m="1" x="5627"/>
        <item m="1" x="5642"/>
        <item m="1" x="5274"/>
        <item m="1" x="5088"/>
        <item m="1" x="1117"/>
        <item m="1" x="1061"/>
        <item m="1" x="5164"/>
        <item m="1" x="5176"/>
        <item m="1" x="837"/>
        <item m="1" x="853"/>
        <item m="1" x="3123"/>
        <item m="1" x="3570"/>
        <item m="1" x="5661"/>
        <item m="1" x="5698"/>
        <item m="1" x="1383"/>
        <item m="1" x="1418"/>
        <item m="1" x="1436"/>
        <item m="1" x="1645"/>
        <item m="1" x="1656"/>
        <item m="1" x="2433"/>
        <item m="1" x="2456"/>
        <item m="1" x="2475"/>
        <item m="1" x="6246"/>
        <item m="1" x="6260"/>
        <item m="1" x="6273"/>
        <item m="1" x="6289"/>
        <item m="1" x="107"/>
        <item m="1" x="338"/>
        <item m="1" x="354"/>
        <item m="1" x="2138"/>
        <item m="1" x="2154"/>
        <item m="1" x="2170"/>
        <item m="1" x="2186"/>
        <item m="1" x="2205"/>
        <item m="1" x="6614"/>
        <item m="1" x="3327"/>
        <item m="1" x="926"/>
        <item m="1" x="5127"/>
        <item m="1" x="4011"/>
        <item m="1" x="1905"/>
        <item m="1" x="6004"/>
        <item m="1" x="470"/>
        <item m="1" x="5222"/>
        <item m="1" x="2062"/>
        <item m="1" x="3276"/>
        <item m="1" x="1254"/>
        <item m="1" x="2099"/>
        <item m="1" x="2022"/>
        <item m="1" x="611"/>
        <item m="1" x="6429"/>
        <item m="1" x="6662"/>
        <item m="1" x="6874"/>
        <item m="1" x="3247"/>
        <item m="1" x="1235"/>
        <item m="1" x="6500"/>
        <item m="1" x="2398"/>
        <item m="1" x="2361"/>
        <item m="1" x="911"/>
        <item m="1" x="1339"/>
        <item m="1" x="1387"/>
        <item m="1" x="1402"/>
        <item m="1" x="1423"/>
        <item m="1" x="1440"/>
        <item m="1" x="1470"/>
        <item m="1" x="1485"/>
        <item m="1" x="6809"/>
        <item m="1" x="3139"/>
        <item m="1" x="4508"/>
        <item m="1" x="3184"/>
        <item m="1" x="6390"/>
        <item m="1" x="6424"/>
        <item m="1" x="6918"/>
        <item m="1" x="6936"/>
        <item m="1" x="6950"/>
        <item m="1" x="5107"/>
        <item m="1" x="5851"/>
        <item m="1" x="5868"/>
        <item m="1" x="5885"/>
        <item m="1" x="5902"/>
        <item m="1" x="5918"/>
        <item m="1" x="5931"/>
        <item m="1" x="5953"/>
        <item m="1" x="5971"/>
        <item m="1" x="3854"/>
        <item m="1" x="4101"/>
        <item m="1" x="2329"/>
        <item m="1" x="3112"/>
        <item m="1" x="6483"/>
        <item m="1" x="6579"/>
        <item m="1" x="635"/>
        <item m="1" x="3098"/>
        <item m="1" x="5409"/>
        <item m="1" x="5427"/>
        <item m="1" x="5889"/>
        <item m="1" x="5783"/>
        <item m="1" x="1457"/>
        <item m="1" x="846"/>
        <item m="1" x="861"/>
        <item m="1" x="881"/>
        <item m="1" x="899"/>
        <item m="1" x="920"/>
        <item m="1" x="933"/>
        <item m="1" x="957"/>
        <item m="1" x="976"/>
        <item m="1" x="997"/>
        <item m="1" x="1017"/>
        <item m="1" x="1034"/>
        <item m="1" x="1049"/>
        <item m="1" x="1068"/>
        <item m="1" x="1094"/>
        <item m="1" x="1123"/>
        <item m="1" x="1136"/>
        <item m="1" x="1150"/>
        <item m="1" x="1165"/>
        <item m="1" x="1182"/>
        <item m="1" x="1198"/>
        <item m="1" x="1215"/>
        <item m="1" x="1232"/>
        <item m="1" x="1246"/>
        <item m="1" x="1260"/>
        <item m="1" x="1281"/>
        <item m="1" x="1296"/>
        <item m="1" x="1313"/>
        <item m="1" x="1336"/>
        <item m="1" x="1355"/>
        <item m="1" x="1977"/>
        <item m="1" x="2185"/>
        <item m="1" x="2494"/>
        <item m="1" x="2516"/>
        <item m="1" x="2536"/>
        <item m="1" x="2556"/>
        <item m="1" x="2594"/>
        <item m="1" x="2614"/>
        <item m="1" x="2637"/>
        <item m="1" x="2658"/>
        <item m="1" x="2727"/>
        <item m="1" x="2744"/>
        <item m="1" x="2760"/>
        <item m="1" x="2782"/>
        <item m="1" x="2820"/>
        <item m="1" x="2839"/>
        <item m="1" x="2855"/>
        <item m="1" x="2870"/>
        <item m="1" x="2888"/>
        <item m="1" x="2905"/>
        <item m="1" x="2938"/>
        <item m="1" x="2952"/>
        <item m="1" x="2967"/>
        <item m="1" x="3001"/>
        <item m="1" x="3031"/>
        <item m="1" x="3093"/>
        <item m="1" x="3120"/>
        <item m="1" x="3136"/>
        <item m="1" x="3150"/>
        <item m="1" x="3180"/>
        <item m="1" x="3195"/>
        <item m="1" x="3224"/>
        <item m="1" x="3317"/>
        <item m="1" x="3334"/>
        <item m="1" x="3351"/>
        <item m="1" x="4862"/>
        <item m="1" x="4882"/>
        <item m="1" x="5031"/>
        <item m="1" x="5048"/>
        <item m="1" x="5059"/>
        <item m="1" x="5078"/>
        <item m="1" x="5092"/>
        <item m="1" x="5141"/>
        <item m="1" x="5152"/>
        <item m="1" x="5451"/>
        <item m="1" x="5637"/>
        <item m="1" x="5693"/>
        <item m="1" x="5711"/>
        <item m="1" x="6053"/>
        <item m="1" x="6095"/>
        <item m="1" x="6132"/>
        <item m="1" x="6149"/>
        <item m="1" x="6187"/>
        <item m="1" x="6200"/>
        <item m="1" x="6219"/>
        <item m="1" x="6233"/>
        <item m="1" x="6462"/>
        <item m="1" x="215"/>
        <item m="1" x="227"/>
        <item m="1" x="726"/>
        <item m="1" x="746"/>
        <item m="1" x="764"/>
        <item m="1" x="781"/>
        <item m="1" x="968"/>
        <item m="1" x="1101"/>
        <item m="1" x="1189"/>
        <item m="1" x="1273"/>
        <item m="1" x="1448"/>
        <item m="1" x="1490"/>
        <item m="1" x="1506"/>
        <item m="1" x="1526"/>
        <item m="1" x="3408"/>
        <item m="1" x="3426"/>
        <item m="1" x="3500"/>
        <item m="1" x="3518"/>
        <item m="1" x="3591"/>
        <item m="1" x="4131"/>
        <item m="1" x="4166"/>
        <item m="1" x="4181"/>
        <item m="1" x="4197"/>
        <item m="1" x="4213"/>
        <item m="1" x="4223"/>
        <item m="1" x="4242"/>
        <item m="1" x="4259"/>
        <item m="1" x="4278"/>
        <item m="1" x="4291"/>
        <item m="1" x="4309"/>
        <item m="1" x="4326"/>
        <item m="1" x="4348"/>
        <item m="1" x="4362"/>
        <item m="1" x="4379"/>
        <item m="1" x="4394"/>
        <item m="1" x="4414"/>
        <item m="1" x="4445"/>
        <item m="1" x="4455"/>
        <item m="1" x="4468"/>
        <item m="1" x="4477"/>
        <item m="1" x="4494"/>
        <item m="1" x="4524"/>
        <item m="1" x="4535"/>
        <item m="1" x="4555"/>
        <item m="1" x="4565"/>
        <item m="1" x="4582"/>
        <item m="1" x="4593"/>
        <item m="1" x="4610"/>
        <item m="1" x="4630"/>
        <item m="1" x="4649"/>
        <item m="1" x="4660"/>
        <item m="1" x="4679"/>
        <item m="1" x="4693"/>
        <item m="1" x="4710"/>
        <item m="1" x="4727"/>
        <item m="1" x="4744"/>
        <item m="1" x="4758"/>
        <item m="1" x="4775"/>
        <item m="1" x="4786"/>
        <item m="1" x="4799"/>
        <item m="1" x="4808"/>
        <item m="1" x="4824"/>
        <item m="1" x="4837"/>
        <item m="1" x="4855"/>
        <item m="1" x="4871"/>
        <item m="1" x="4889"/>
        <item m="1" x="4905"/>
        <item m="1" x="4925"/>
        <item m="1" x="4937"/>
        <item m="1" x="5011"/>
        <item m="1" x="5042"/>
        <item m="1" x="1519"/>
        <item m="1" x="1537"/>
        <item m="1" x="1553"/>
        <item m="1" x="1572"/>
        <item m="1" x="1603"/>
        <item m="1" x="1621"/>
        <item m="1" x="1634"/>
        <item m="1" x="1649"/>
        <item m="1" x="1690"/>
        <item m="1" x="1705"/>
        <item m="1" x="1717"/>
        <item m="1" x="1737"/>
        <item m="1" x="1749"/>
        <item m="1" x="1764"/>
        <item m="1" x="1781"/>
        <item m="1" x="1799"/>
        <item m="1" x="1810"/>
        <item m="1" x="1828"/>
        <item m="1" x="1844"/>
        <item m="1" x="1864"/>
        <item m="1" x="1879"/>
        <item m="1" x="1895"/>
        <item m="1" x="1909"/>
        <item m="1" x="1925"/>
        <item m="1" x="1938"/>
        <item m="1" x="2271"/>
        <item m="1" x="2286"/>
        <item m="1" x="2298"/>
        <item m="1" x="2382"/>
        <item m="1" x="2402"/>
        <item m="1" x="2423"/>
        <item m="1" x="3018"/>
        <item m="1" x="3035"/>
        <item m="1" x="3050"/>
        <item m="1" x="3257"/>
        <item m="1" x="3285"/>
        <item m="1" x="3300"/>
        <item m="1" x="3320"/>
        <item m="1" x="3339"/>
        <item m="1" x="3356"/>
        <item m="1" x="6303"/>
        <item m="1" x="6316"/>
        <item m="1" x="6332"/>
        <item m="1" x="6351"/>
        <item m="1" x="6394"/>
        <item m="1" x="1074"/>
        <item m="1" x="1241"/>
        <item m="1" x="1920"/>
        <item m="1" x="1292"/>
        <item m="1" x="3811"/>
        <item m="1" x="3840"/>
        <item m="1" x="2641"/>
        <item m="1" x="2858"/>
        <item m="1" x="5435"/>
        <item m="1" x="5799"/>
        <item m="1" x="5819"/>
        <item m="1" x="5836"/>
        <item m="1" x="3171"/>
        <item m="1" x="3212"/>
        <item m="1" x="1360"/>
        <item m="1" x="2009"/>
        <item m="1" x="1632"/>
        <item m="1" x="1807"/>
        <item m="1" x="1823"/>
        <item m="1" x="1839"/>
        <item m="1" x="5576"/>
        <item m="1" x="5609"/>
        <item m="1" x="5623"/>
        <item m="1" x="6577"/>
        <item m="1" x="6644"/>
        <item m="1" x="6678"/>
        <item m="1" x="6692"/>
        <item m="1" x="5072"/>
        <item m="1" x="5306"/>
        <item m="1" x="5580"/>
        <item m="1" x="6263"/>
        <item m="1" x="3970"/>
        <item m="1" x="6329"/>
        <item m="1" x="670"/>
        <item m="1" x="1042"/>
        <item m="1" x="1715"/>
        <item m="1" x="1732"/>
        <item m="1" x="1758"/>
        <item m="1" x="1777"/>
        <item m="1" x="1793"/>
        <item m="1" x="2168"/>
        <item m="1" x="5465"/>
        <item m="1" x="5674"/>
        <item m="1" x="136"/>
        <item m="1" x="153"/>
        <item m="1" x="168"/>
        <item m="1" x="238"/>
        <item m="1" x="284"/>
        <item m="1" x="300"/>
        <item m="1" x="948"/>
        <item m="1" x="3392"/>
        <item m="1" x="3443"/>
        <item m="1" x="3457"/>
        <item m="1" x="3472"/>
        <item m="1" x="3539"/>
        <item m="1" x="3560"/>
        <item m="1" x="3577"/>
        <item m="1" x="3623"/>
        <item m="1" x="3641"/>
        <item m="1" x="3658"/>
        <item m="1" x="3691"/>
        <item m="1" x="3938"/>
        <item m="1" x="1498"/>
        <item m="1" x="2013"/>
        <item m="1" x="5252"/>
        <item m="1" x="5269"/>
        <item m="1" x="5277"/>
        <item m="1" x="6844"/>
        <item m="1" x="6857"/>
        <item m="1" x="6914"/>
        <item m="1" x="6883"/>
        <item m="1" x="590"/>
        <item m="1" x="2134"/>
        <item m="1" x="1132"/>
        <item m="1" x="1144"/>
        <item m="1" x="1157"/>
        <item m="1" x="3204"/>
        <item m="1" x="3308"/>
        <item m="1" x="3719"/>
        <item m="1" x="3737"/>
        <item m="1" x="3754"/>
        <item m="1" x="3771"/>
        <item m="1" x="3787"/>
        <item m="1" x="3796"/>
        <item m="1" x="3826"/>
        <item m="1" x="2350"/>
        <item m="1" x="2364"/>
        <item m="1" x="2844"/>
        <item m="1" x="2890"/>
        <item m="1" x="2910"/>
        <item m="1" x="6042"/>
        <item m="1" x="891"/>
        <item m="1" x="2621"/>
        <item m="1" x="4081"/>
        <item m="1" x="4961"/>
        <item m="1" x="630"/>
        <item m="1" x="651"/>
        <item m="1" x="3230"/>
        <item m="1" x="3289"/>
        <item m="1" x="5974"/>
        <item m="1" x="5992"/>
        <item m="1" x="6010"/>
        <item m="1" x="6025"/>
        <item m="1" x="1008"/>
        <item m="1" x="4427"/>
        <item m="1" x="1318"/>
        <item m="1" x="2847"/>
        <item m="1" x="3752"/>
        <item m="1" x="3734"/>
        <item m="1" x="3906"/>
        <item m="1" x="3622"/>
        <item m="1" x="3949"/>
        <item m="1" x="3861"/>
        <item m="1" x="1512"/>
        <item m="1" x="1534"/>
        <item m="1" x="1549"/>
        <item m="1" x="61"/>
        <item m="1" x="72"/>
        <item m="1" x="3696"/>
        <item m="1" x="5403"/>
        <item m="1" x="5606"/>
        <item m="1" x="5622"/>
        <item m="1" x="5635"/>
        <item m="1" x="5653"/>
        <item m="1" x="5672"/>
        <item m="1" x="5692"/>
        <item m="1" x="5728"/>
        <item m="1" x="5749"/>
        <item m="1" x="5763"/>
        <item m="1" x="5781"/>
        <item m="1" x="5482"/>
        <item m="1" x="788"/>
        <item m="1" x="1381"/>
        <item m="1" x="1398"/>
        <item m="1" x="1416"/>
        <item m="1" x="1434"/>
        <item m="1" x="1452"/>
        <item m="1" x="4459"/>
        <item m="1" x="4470"/>
        <item m="1" x="4481"/>
        <item m="1" x="4496"/>
        <item m="1" x="4513"/>
        <item m="1" x="4526"/>
        <item m="1" x="4543"/>
        <item m="1" x="4557"/>
        <item m="1" x="4571"/>
        <item m="1" x="4586"/>
        <item m="1" x="1566"/>
        <item m="1" x="1685"/>
        <item m="1" x="3523"/>
        <item m="1" x="3547"/>
        <item m="1" x="3566"/>
        <item m="1" x="1351"/>
        <item m="1" x="858"/>
        <item m="1" x="822"/>
        <item m="1" x="1121"/>
        <item m="1" x="1258"/>
        <item m="1" x="3583"/>
        <item m="1" x="3928"/>
        <item m="1" x="4139"/>
        <item m="1" x="4449"/>
        <item m="1" x="4635"/>
        <item m="1" x="5463"/>
        <item m="1" x="4385"/>
        <item m="1" x="1078"/>
        <item m="1" x="3712"/>
        <item m="1" x="4877"/>
        <item m="1" x="5434"/>
        <item m="1" x="5448"/>
        <item m="1" x="5498"/>
        <item m="1" x="5512"/>
        <item m="1" x="5558"/>
        <item m="1" x="5573"/>
        <item m="1" x="5590"/>
        <item m="1" x="5709"/>
        <item m="1" x="712"/>
        <item m="1" x="4173"/>
        <item m="1" x="4219"/>
        <item m="1" x="4230"/>
        <item m="1" x="4247"/>
        <item m="1" x="4265"/>
        <item m="1" x="4283"/>
        <item m="1" x="4297"/>
        <item m="1" x="4313"/>
        <item m="1" x="4998"/>
        <item m="1" x="5014"/>
        <item m="1" x="5029"/>
        <item m="1" x="5045"/>
        <item m="1" x="750"/>
        <item m="1" x="1368"/>
        <item m="1" x="2354"/>
        <item m="1" x="255"/>
        <item m="1" x="277"/>
        <item m="1" x="1754"/>
        <item m="1" x="1776"/>
        <item m="1" x="3843"/>
        <item m="1" x="4153"/>
        <item m="1" x="125"/>
        <item m="1" x="993"/>
        <item m="1" x="1031"/>
        <item m="1" x="1046"/>
        <item m="1" x="1065"/>
        <item m="1" x="1093"/>
        <item m="1" x="1106"/>
        <item m="1" x="1277"/>
        <item m="1" x="1698"/>
        <item m="1" x="3727"/>
        <item m="1" x="4119"/>
        <item m="1" x="4651"/>
        <item m="1" x="4928"/>
        <item m="1" x="5374"/>
        <item m="1" x="5390"/>
        <item m="1" x="1643"/>
        <item m="1" x="3742"/>
        <item m="1" x="3492"/>
        <item m="1" x="973"/>
        <item m="1" x="3953"/>
        <item m="1" x="3985"/>
        <item m="1" x="4003"/>
        <item m="1" x="4017"/>
        <item m="1" x="4034"/>
        <item m="1" x="4046"/>
        <item m="1" x="4059"/>
        <item m="1" x="769"/>
        <item m="1" x="85"/>
        <item m="1" x="100"/>
        <item m="1" x="113"/>
        <item m="1" x="655"/>
        <item m="1" x="4084"/>
        <item m="1" x="4094"/>
        <item m="1" x="4352"/>
        <item m="1" x="1744"/>
        <item m="1" x="140"/>
        <item m="1" x="3479"/>
        <item m="1" x="675"/>
        <item m="1" x="694"/>
        <item m="1" x="293"/>
        <item m="1" x="306"/>
        <item m="1" x="329"/>
        <item m="1" x="375"/>
        <item m="1" x="916"/>
        <item m="1" x="1630"/>
        <item m="1" x="1713"/>
        <item m="1" x="3873"/>
        <item m="1" x="3898"/>
        <item m="1" x="3917"/>
        <item m="1" x="4186"/>
        <item m="1" x="5124"/>
        <item m="1" x="5421"/>
        <item m="1" x="5849"/>
        <item m="1" x="421"/>
        <item m="1" x="805"/>
        <item m="1" x="932"/>
        <item m="1" x="4203"/>
        <item m="1" x="896"/>
        <item m="1" x="1163"/>
        <item m="1" x="4332"/>
        <item m="1" x="4434"/>
        <item m="1" x="4895"/>
        <item m="1" x="4912"/>
        <item m="1" x="4985"/>
        <item m="1" x="4071"/>
        <item m="1" x="5542"/>
        <item m="1" x="1616"/>
        <item m="1" x="1295"/>
        <item m="1" x="1311"/>
        <item m="1" x="1728"/>
        <item m="1" x="4598"/>
        <item m="1" x="4613"/>
        <item m="1" x="4666"/>
        <item m="1" x="1334"/>
        <item m="1" x="1655"/>
        <item m="1" x="5602"/>
        <item m="1" x="5924"/>
        <item m="1" x="5994"/>
        <item m="1" x="6027"/>
        <item m="1" x="6084"/>
        <item m="1" x="6282"/>
        <item m="1" x="6306"/>
        <item m="1" x="6319"/>
        <item m="1" x="6240"/>
        <item m="1" x="5858"/>
        <item m="1" x="5877"/>
        <item m="1" x="5909"/>
        <item m="1" x="5960"/>
        <item m="1" x="5632"/>
        <item m="1" x="5684"/>
        <item m="1" x="6211"/>
        <item m="1" x="6536"/>
        <item m="1" x="6584"/>
        <item m="1" x="6618"/>
        <item m="1" x="6717"/>
        <item m="1" x="6764"/>
        <item m="1" x="6861"/>
        <item m="1" x="3216"/>
        <item m="1" x="3287"/>
        <item m="1" x="3324"/>
        <item m="1" x="5719"/>
        <item m="1" x="5740"/>
        <item m="1" x="5827"/>
        <item m="1" x="6294"/>
        <item m="1" x="6378"/>
        <item m="1" x="3341"/>
        <item m="1" x="6432"/>
        <item m="1" x="6954"/>
        <item m="1" x="5940"/>
        <item m="1" x="5977"/>
        <item m="1" x="6012"/>
        <item m="1" x="6045"/>
        <item m="1" x="6062"/>
        <item m="1" x="6106"/>
        <item m="1" x="6125"/>
        <item m="1" x="6161"/>
        <item m="1" x="6196"/>
        <item m="1" x="5585"/>
        <item m="1" x="6416"/>
        <item m="1" x="5790"/>
        <item m="1" x="5808"/>
        <item m="1" x="6227"/>
        <item m="1" x="6488"/>
        <item m="1" x="6505"/>
        <item m="1" x="6880"/>
        <item m="1" x="6891"/>
        <item m="1" x="6454"/>
        <item m="1" x="6471"/>
        <item m="1" x="6906"/>
        <item m="1" x="6942"/>
        <item m="1" x="6920"/>
        <item m="1" x="2386"/>
        <item m="1" x="2408"/>
        <item m="1" x="2426"/>
        <item m="1" x="2445"/>
        <item m="1" x="2466"/>
        <item m="1" x="2486"/>
        <item m="1" x="2506"/>
        <item m="1" x="2526"/>
        <item m="1" x="5535"/>
        <item m="1" x="5617"/>
        <item m="1" x="6357"/>
        <item m="1" x="5552"/>
        <item m="1" x="5567"/>
        <item m="1" x="5647"/>
        <item m="1" x="5666"/>
        <item m="1" x="3142"/>
        <item m="1" x="3160"/>
        <item m="1" x="5757"/>
        <item m="1" x="6698"/>
        <item m="1" x="6781"/>
        <item m="1" x="6798"/>
        <item m="1" x="6816"/>
        <item m="1" x="6830"/>
        <item m="1" x="6138"/>
        <item m="1" x="6176"/>
        <item m="1" x="6253"/>
        <item m="1" x="1483"/>
        <item m="1" x="279"/>
        <item m="1" x="349"/>
        <item m="1" x="1518"/>
        <item m="1" x="1421"/>
        <item m="1" x="534"/>
        <item m="1" x="555"/>
        <item m="1" x="1370"/>
        <item m="1" x="426"/>
        <item m="1" x="1316"/>
        <item m="1" x="1359"/>
        <item m="1" x="865"/>
        <item m="1" x="5904"/>
        <item m="1" x="5266"/>
        <item m="1" x="3865"/>
        <item m="1" x="5305"/>
        <item m="1" x="1456"/>
        <item m="1" x="1495"/>
        <item m="1" x="1569"/>
        <item m="1" x="4948"/>
        <item m="1" x="4963"/>
        <item m="1" x="4989"/>
        <item m="1" x="2791"/>
        <item m="1" x="2944"/>
        <item m="1" x="463"/>
        <item m="1" x="3879"/>
        <item m="1" x="3894"/>
        <item m="1" x="3962"/>
        <item m="1" x="3979"/>
        <item m="1" x="2753"/>
        <item m="1" x="2769"/>
        <item m="1" x="2831"/>
        <item m="1" x="6075"/>
        <item m="1" x="6202"/>
        <item m="1" x="1586"/>
        <item m="1" x="1601"/>
        <item m="1" x="3820"/>
        <item m="1" x="3835"/>
        <item m="1" x="3848"/>
        <item m="1" x="3956"/>
        <item m="1" x="3989"/>
        <item m="1" x="4022"/>
        <item m="1" x="4048"/>
        <item m="1" x="4062"/>
        <item m="1" x="4088"/>
        <item m="1" x="5062"/>
        <item m="1" x="5082"/>
        <item m="1" x="2303"/>
        <item m="1" x="567"/>
        <item m="1" x="584"/>
        <item m="1" x="600"/>
        <item m="1" x="641"/>
        <item m="1" x="661"/>
        <item m="1" x="680"/>
        <item m="1" x="701"/>
        <item m="1" x="717"/>
        <item m="1" x="738"/>
        <item m="1" x="5437"/>
        <item m="1" x="5453"/>
        <item m="1" x="5467"/>
        <item m="1" x="5486"/>
        <item m="1" x="5502"/>
        <item m="1" x="5696"/>
        <item m="1" x="5713"/>
        <item m="1" x="5733"/>
        <item m="1" x="5753"/>
        <item m="1" x="5766"/>
        <item m="1" x="5785"/>
        <item m="1" x="5802"/>
        <item m="1" x="5821"/>
        <item m="1" x="5838"/>
        <item m="1" x="5853"/>
        <item m="1" x="5871"/>
        <item m="1" x="5887"/>
        <item m="1" x="2974"/>
        <item m="1" x="1985"/>
        <item m="1" x="2031"/>
        <item m="1" x="2195"/>
        <item m="1" x="2209"/>
        <item m="1" x="2220"/>
        <item m="1" x="2564"/>
        <item m="1" x="1552"/>
        <item m="1" x="4188"/>
        <item m="1" x="4206"/>
        <item m="1" x="4286"/>
        <item m="1" x="2960"/>
        <item m="1" x="2320"/>
        <item m="1" x="4010"/>
        <item m="1" x="4025"/>
        <item m="1" x="4250"/>
        <item m="1" x="4462"/>
        <item m="1" x="5562"/>
        <item m="1" x="5595"/>
        <item m="1" x="4109"/>
        <item m="1" x="3373"/>
        <item m="1" x="3496"/>
        <item m="1" x="4051"/>
        <item m="1" x="3974"/>
        <item m="1" x="2993"/>
        <item m="1" x="5935"/>
        <item m="1" x="2808"/>
        <item m="1" x="3115"/>
        <item m="1" x="3930"/>
        <item m="1" x="4097"/>
        <item m="1" x="2141"/>
        <item m="1" x="2624"/>
        <item m="1" x="2666"/>
        <item m="1" x="2684"/>
        <item m="1" x="2720"/>
        <item m="1" x="2734"/>
        <item m="1" x="3869"/>
        <item m="1" x="793"/>
        <item m="1" x="812"/>
        <item m="1" x="827"/>
        <item m="1" x="1438"/>
        <item m="1" x="1798"/>
        <item m="1" x="4301"/>
        <item m="1" x="4317"/>
        <item m="1" x="4338"/>
        <item m="1" x="4356"/>
        <item m="1" x="4371"/>
        <item m="1" x="4387"/>
        <item m="1" x="4406"/>
        <item m="1" x="4424"/>
        <item m="1" x="4439"/>
        <item m="1" x="4560"/>
        <item m="1" x="4575"/>
        <item m="1" x="4589"/>
        <item m="1" x="4653"/>
        <item m="1" x="4670"/>
        <item m="1" x="4686"/>
        <item m="1" x="4702"/>
        <item m="1" x="4767"/>
        <item m="1" x="4779"/>
        <item m="1" x="4832"/>
        <item m="1" x="4847"/>
        <item m="1" x="4752"/>
        <item m="1" x="5249"/>
        <item m="1" x="233"/>
        <item m="1" x="3672"/>
        <item m="1" x="3705"/>
        <item m="1" x="1956"/>
        <item m="1" x="335"/>
        <item m="1" x="5920"/>
        <item m="1" x="2335"/>
        <item m="1" x="5003"/>
        <item m="1" x="5019"/>
        <item m="1" x="5033"/>
        <item m="1" x="442"/>
        <item m="1" x="481"/>
        <item m="1" x="498"/>
        <item m="1" x="517"/>
        <item m="1" x="1020"/>
        <item m="1" x="5364"/>
        <item m="1" x="3901"/>
        <item m="1" x="2371"/>
        <item m="1" x="1001"/>
        <item m="1" x="1386"/>
        <item m="1" x="936"/>
        <item m="1" x="1762"/>
        <item m="1" x="1809"/>
        <item m="1" x="4719"/>
        <item m="1" x="3557"/>
        <item m="1" x="3102"/>
        <item m="1" x="5955"/>
        <item m="1" x="5235"/>
        <item m="1" x="922"/>
        <item m="1" x="885"/>
        <item m="1" x="3639"/>
        <item m="1" x="5050"/>
        <item m="1" x="3127"/>
        <item m="1" x="3923"/>
        <item m="1" x="4076"/>
        <item m="1" x="4501"/>
        <item m="1" x="4547"/>
        <item m="1" x="5973"/>
        <item m="1" x="6007"/>
        <item m="1" x="3023"/>
        <item m="1" x="5798"/>
        <item m="1" x="5817"/>
        <item m="1" x="1928"/>
        <item m="1" x="2548"/>
        <item m="1" x="3389"/>
        <item m="1" x="3404"/>
        <item m="1" x="3423"/>
        <item m="1" x="3437"/>
        <item m="1" x="3454"/>
        <item m="1" x="3468"/>
        <item m="1" x="3485"/>
        <item m="1" x="3534"/>
        <item m="1" x="623"/>
        <item m="1" x="1137"/>
        <item m="1" x="1184"/>
        <item m="1" x="1199"/>
        <item m="1" x="1219"/>
        <item m="1" x="1249"/>
        <item m="1" x="1261"/>
        <item m="1" x="1284"/>
        <item m="1" x="1298"/>
        <item m="1" x="1747"/>
        <item m="1" x="1779"/>
        <item m="1" x="1841"/>
        <item m="1" x="1863"/>
        <item m="1" x="1877"/>
        <item m="1" x="1894"/>
        <item m="1" x="1907"/>
        <item m="1" x="1924"/>
        <item m="1" x="1936"/>
        <item m="1" x="1953"/>
        <item m="1" x="1966"/>
        <item m="1" x="1981"/>
        <item m="1" x="1998"/>
        <item m="1" x="2012"/>
        <item m="1" x="2024"/>
        <item m="1" x="2041"/>
        <item m="1" x="2052"/>
        <item m="1" x="2064"/>
        <item m="1" x="2081"/>
        <item m="1" x="2137"/>
        <item m="1" x="2152"/>
        <item m="1" x="3890"/>
        <item m="1" x="3919"/>
        <item m="1" x="4738"/>
        <item m="1" x="4917"/>
        <item m="1" x="5393"/>
        <item m="1" x="5406"/>
        <item m="1" x="5425"/>
        <item m="1" x="3056"/>
        <item m="1" x="3718"/>
        <item m="1" x="3785"/>
        <item m="1" x="3795"/>
        <item m="1" x="4066"/>
        <item m="1" x="776"/>
        <item m="1" x="961"/>
        <item m="1" x="1827"/>
        <item m="1" x="3876"/>
        <item m="1" x="4156"/>
        <item m="1" x="4450"/>
        <item m="1" x="4601"/>
        <item m="1" x="4618"/>
        <item m="1" x="4639"/>
        <item m="1" x="3575"/>
        <item m="1" x="3852"/>
        <item m="1" x="5129"/>
        <item m="1" x="1609"/>
        <item m="1" x="1899"/>
        <item m="1" x="160"/>
        <item m="1" x="5315"/>
        <item m="1" x="5331"/>
        <item m="1" x="3944"/>
        <item m="1" x="1850"/>
        <item m="1" x="1636"/>
        <item m="1" x="1663"/>
        <item m="1" x="1679"/>
        <item m="1" x="1694"/>
        <item m="1" x="1722"/>
        <item m="1" x="1739"/>
        <item m="1" x="2069"/>
        <item m="1" x="2089"/>
        <item m="1" x="2107"/>
        <item m="1" x="2584"/>
        <item m="1" x="2603"/>
        <item m="1" x="258"/>
        <item m="1" x="390"/>
        <item m="1" x="396"/>
        <item m="1" x="1036"/>
        <item m="1" x="1052"/>
        <item m="1" x="1070"/>
        <item m="1" x="1081"/>
        <item m="1" x="1108"/>
        <item m="1" x="1125"/>
        <item m="1" x="1233"/>
        <item m="1" x="4123"/>
        <item m="1" x="4487"/>
        <item m="1" x="4518"/>
        <item m="1" x="4530"/>
        <item m="1" x="5275"/>
        <item m="1" x="5578"/>
        <item m="1" x="5289"/>
        <item m="1" x="6024"/>
        <item m="1" x="2245"/>
        <item m="1" x="2260"/>
        <item m="1" x="2277"/>
        <item m="1" x="2289"/>
        <item m="1" x="3809"/>
        <item m="1" x="3824"/>
        <item m="1" x="3839"/>
        <item m="1" x="180"/>
        <item m="1" x="192"/>
        <item m="1" x="208"/>
        <item m="1" x="219"/>
        <item m="1" x="979"/>
        <item m="1" x="5989"/>
        <item m="1" x="6098"/>
        <item m="1" x="6117"/>
        <item m="1" x="6134"/>
        <item m="1" x="6153"/>
        <item m="1" x="6171"/>
        <item m="1" x="6190"/>
        <item m="1" x="1400"/>
        <item m="1" x="6039"/>
        <item m="1" x="3689"/>
        <item m="1" x="3085"/>
        <item m="1" x="3994"/>
        <item m="1" x="757"/>
        <item m="1" x="4900"/>
        <item m="1" x="4933"/>
        <item m="1" x="4974"/>
        <item m="1" x="1915"/>
        <item m="1" x="216"/>
        <item m="1" x="229"/>
        <item m="1" x="187"/>
        <item m="1" x="3279"/>
        <item m="1" x="3291"/>
        <item m="1" x="3329"/>
        <item m="1" x="3363"/>
        <item m="1" x="2589"/>
        <item m="1" x="2610"/>
        <item m="1" x="2632"/>
        <item m="1" x="2656"/>
        <item m="1" x="2672"/>
        <item m="1" x="2692"/>
        <item m="1" x="2725"/>
        <item m="1" x="2758"/>
        <item m="1" x="2778"/>
        <item m="1" x="2800"/>
        <item m="1" x="2837"/>
        <item m="1" x="2866"/>
        <item m="1" x="2902"/>
        <item m="1" x="2999"/>
        <item m="1" x="3504"/>
        <item m="1" x="3723"/>
        <item m="1" x="3627"/>
        <item m="1" x="2572"/>
        <item m="1" x="3413"/>
        <item m="1" x="3447"/>
        <item m="1" x="3461"/>
        <item m="1" x="6525"/>
        <item m="1" x="6555"/>
        <item m="1" x="6607"/>
        <item m="1" x="3132"/>
        <item m="1" x="3709"/>
        <item m="1" x="3757"/>
        <item m="1" x="3788"/>
        <item m="1" x="6049"/>
        <item m="1" x="4416"/>
        <item m="1" x="4031"/>
        <item m="1" x="4044"/>
        <item m="1" x="6476"/>
        <item m="1" x="2883"/>
        <item m="1" x="3072"/>
        <item m="1" x="6342"/>
        <item m="1" x="1960"/>
        <item m="1" x="1973"/>
        <item m="1" x="1990"/>
        <item m="1" x="2006"/>
        <item m="1" x="2060"/>
        <item m="1" x="2097"/>
        <item m="1" x="2130"/>
        <item m="1" x="2146"/>
        <item m="1" x="2165"/>
        <item m="1" x="2212"/>
        <item m="1" x="2225"/>
        <item m="1" x="2234"/>
        <item m="1" x="2264"/>
        <item m="1" x="2280"/>
        <item m="1" x="2291"/>
        <item m="1" x="2342"/>
        <item m="1" x="4244"/>
        <item m="1" x="4135"/>
        <item m="1" x="6310"/>
        <item m="1" x="6031"/>
        <item m="1" x="267"/>
        <item m="1" x="296"/>
        <item m="1" x="302"/>
        <item m="1" x="265"/>
        <item m="1" x="157"/>
        <item m="1" x="171"/>
        <item m="1" x="288"/>
        <item m="1" x="314"/>
        <item m="1" x="325"/>
        <item m="1" x="202"/>
        <item m="1" x="240"/>
        <item m="1" x="253"/>
        <item m="1" x="341"/>
        <item m="1" x="5517"/>
        <item m="1" x="685"/>
        <item m="1" x="4795"/>
        <item m="1" x="3836"/>
        <item m="1" x="4056"/>
        <item m="1" x="6753"/>
        <item m="1" x="6256"/>
        <item m="1" x="2249"/>
        <item m="1" x="3014"/>
        <item m="1" x="3982"/>
        <item m="1" x="3059"/>
        <item m="1" x="3476"/>
        <item m="1" x="3490"/>
        <item m="1" x="3520"/>
        <item m="1" x="3264"/>
        <item m="1" x="6637"/>
        <item m="1" x="6670"/>
        <item m="1" x="6851"/>
        <item m="1" x="4001"/>
        <item m="1" x="58"/>
        <item m="1" x="2471"/>
        <item m="1" x="3813"/>
        <item m="1" x="6230"/>
        <item m="1" x="3741"/>
        <item m="1" x="2178"/>
        <item m="1" x="5998"/>
        <item m="1" x="5966"/>
        <item m="1" x="5983"/>
        <item m="1" x="6066"/>
        <item m="1" x="3044"/>
        <item m="1" x="3596"/>
        <item m="1" x="6141"/>
        <item m="1" x="6198"/>
        <item m="1" x="6215"/>
        <item m="1" x="3029"/>
        <item m="1" x="3088"/>
        <item m="1" x="4430"/>
        <item m="1" x="4092"/>
        <item m="1" x="5948"/>
        <item m="1" x="4398"/>
        <item m="1" x="6109"/>
        <item m="1" x="6131"/>
        <item m="1" x="6422"/>
        <item m="1" x="6439"/>
        <item m="1" x="6459"/>
        <item m="1" x="4311"/>
        <item m="1" x="4330"/>
        <item m="1" x="6492"/>
        <item m="1" x="6091"/>
        <item m="1" x="6166"/>
        <item m="1" x="6386"/>
        <item m="1" x="3776"/>
        <item m="1" x="3678"/>
        <item m="1" x="3859"/>
        <item m="1" x="3871"/>
        <item m="1" x="3885"/>
        <item m="1" x="6017"/>
        <item m="1" x="3660"/>
        <item m="1" x="2412"/>
        <item m="1" x="2430"/>
        <item m="1" x="2454"/>
        <item m="1" x="2551"/>
        <item m="1" x="2708"/>
        <item m="1" x="2740"/>
        <item m="1" x="2816"/>
        <item m="1" x="2851"/>
        <item m="1" x="2916"/>
        <item m="1" x="2935"/>
        <item m="1" x="2948"/>
        <item m="1" x="2965"/>
        <item m="1" x="3429"/>
        <item m="1" x="4068"/>
        <item m="1" x="4082"/>
        <item m="1" x="6402"/>
        <item m="1" x="6703"/>
        <item m="1" x="2112"/>
        <item m="1" x="6180"/>
        <item m="1" x="6735"/>
        <item m="1" x="4015"/>
        <item m="1" x="2980"/>
        <item m="1" x="3543"/>
        <item m="1" x="3564"/>
        <item m="1" x="4382"/>
        <item m="1" x="6325"/>
        <item m="1" x="6362"/>
        <item m="1" x="6540"/>
        <item m="1" x="6721"/>
        <item m="1" x="1948"/>
        <item m="1" x="2036"/>
        <item m="1" x="2075"/>
        <item m="1" x="2202"/>
        <item m="1" x="2308"/>
        <item m="1" x="2322"/>
        <item m="1" x="2359"/>
        <item m="1" x="2376"/>
        <item m="1" x="2390"/>
        <item m="1" x="2532"/>
        <item m="1" x="3234"/>
        <item m="1" x="3799"/>
        <item m="1" x="3841"/>
        <item m="1" x="4150"/>
        <item m="1" x="4171"/>
        <item m="1" x="4183"/>
        <item m="1" x="4201"/>
        <item m="1" x="4217"/>
        <item m="1" x="6510"/>
        <item m="1" x="6656"/>
        <item m="1" x="2491"/>
        <item m="1" x="2510"/>
        <item m="1" x="6910"/>
        <item m="1" x="6769"/>
        <item m="1" x="6784"/>
        <item m="1" x="6802"/>
        <item m="1" x="6820"/>
        <item m="1" x="6835"/>
        <item m="1" x="6865"/>
        <item m="1" x="6894"/>
        <item m="1" x="6923"/>
        <item m="1" x="6944"/>
        <item m="1" x="3644"/>
        <item m="1" x="5916"/>
        <item m="1" x="5928"/>
        <item m="1" x="6463"/>
        <item m="1" x="2274"/>
        <item m="1" x="2442"/>
        <item m="1" x="1003"/>
        <item m="1" x="2067"/>
        <item m="1" x="2190"/>
        <item m="1" x="2207"/>
        <item m="1" x="2622"/>
        <item m="1" x="2002"/>
        <item m="1" x="2014"/>
        <item m="1" x="4624"/>
        <item m="1" x="4643"/>
        <item m="1" x="4656"/>
        <item m="1" x="4675"/>
        <item m="1" x="4690"/>
        <item m="1" x="4706"/>
        <item m="1" x="4724"/>
        <item m="1" x="485"/>
        <item m="1" x="522"/>
        <item m="1" x="539"/>
        <item m="1" x="569"/>
        <item m="1" x="4805"/>
        <item m="1" x="4820"/>
        <item m="1" x="5491"/>
        <item m="1" x="5322"/>
        <item m="1" x="4272"/>
        <item m="1" x="2545"/>
        <item m="1" x="1538"/>
        <item m="1" x="105"/>
        <item m="1" x="247"/>
        <item m="1" x="1591"/>
        <item m="1" x="4160"/>
        <item m="1" x="4208"/>
        <item m="1" x="4951"/>
        <item m="1" x="4991"/>
        <item m="1" x="5008"/>
        <item m="1" x="5037"/>
        <item m="1" x="5052"/>
        <item m="1" x="5068"/>
        <item m="1" x="5132"/>
        <item m="1" x="129"/>
        <item m="1" x="147"/>
        <item m="1" x="164"/>
        <item m="1" x="4341"/>
        <item m="1" x="4520"/>
        <item m="1" x="1660"/>
        <item m="1" x="6061"/>
        <item m="1" x="2384"/>
        <item m="1" x="4769"/>
        <item m="1" x="6035"/>
        <item m="1" x="2541"/>
        <item m="1" x="6104"/>
        <item m="1" x="6195"/>
        <item m="1" x="6501"/>
        <item m="1" x="1994"/>
        <item m="1" x="2514"/>
        <item m="1" x="3076"/>
        <item m="1" x="6575"/>
        <item m="1" x="6238"/>
        <item m="1" x="6842"/>
        <item m="1" x="2745"/>
        <item m="1" x="6290"/>
        <item m="1" x="3760"/>
        <item m="1" x="3863"/>
        <item m="1" x="6854"/>
        <item m="1" x="6775"/>
        <item m="1" x="6791"/>
        <item m="1" x="3527"/>
        <item m="1" x="6645"/>
        <item m="1" x="2346"/>
        <item m="1" x="2362"/>
        <item m="1" x="2378"/>
        <item m="1" x="2399"/>
        <item m="1" x="2417"/>
        <item m="1" x="2434"/>
        <item m="1" x="2457"/>
        <item m="1" x="2476"/>
        <item m="1" x="2517"/>
        <item m="1" x="2659"/>
        <item m="1" x="2676"/>
        <item m="1" x="2694"/>
        <item m="1" x="6408"/>
        <item m="1" x="6425"/>
        <item m="1" x="6445"/>
        <item m="1" x="6481"/>
        <item m="1" x="6497"/>
        <item m="1" x="6514"/>
        <item m="1" x="6529"/>
        <item m="1" x="6546"/>
        <item m="1" x="6558"/>
        <item m="1" x="6347"/>
        <item m="1" x="3417"/>
        <item m="1" x="6825"/>
        <item m="1" x="2825"/>
        <item m="1" x="3321"/>
        <item m="1" x="3371"/>
        <item m="1" x="3386"/>
        <item m="1" x="3402"/>
        <item m="1" x="4672"/>
        <item m="1" x="4721"/>
        <item m="1" x="4754"/>
        <item m="1" x="4781"/>
        <item m="1" x="6777"/>
        <item m="1" x="6812"/>
        <item m="1" x="6900"/>
        <item m="1" x="2869"/>
        <item m="1" x="1873"/>
        <item m="1" x="1352"/>
        <item m="1" x="5075"/>
        <item m="1" x="1079"/>
        <item m="1" x="5030"/>
        <item m="1" x="5046"/>
        <item m="1" x="5105"/>
        <item m="1" x="6795"/>
        <item m="1" x="1278"/>
        <item m="1" x="2635"/>
        <item m="1" x="6521"/>
        <item m="1" x="4986"/>
        <item m="1" x="5543"/>
        <item m="1" x="5559"/>
        <item m="1" x="5574"/>
        <item m="1" x="5591"/>
        <item m="1" x="5607"/>
        <item m="1" x="6461"/>
        <item m="1" x="5865"/>
        <item m="1" x="6389"/>
        <item m="1" x="4878"/>
        <item m="1" x="4999"/>
        <item m="1" x="5015"/>
        <item m="1" x="5499"/>
        <item m="1" x="5513"/>
        <item m="1" x="6574"/>
        <item m="1" x="6882"/>
        <item m="1" x="842"/>
        <item m="1" x="917"/>
        <item m="1" x="953"/>
        <item m="1" x="974"/>
        <item m="1" x="994"/>
        <item m="1" x="1015"/>
        <item m="1" x="1032"/>
        <item m="1" x="1047"/>
        <item m="1" x="1066"/>
        <item m="1" x="1179"/>
        <item m="1" x="1195"/>
        <item m="1" x="2132"/>
        <item m="1" x="1148"/>
        <item m="1" x="1327"/>
        <item m="1" x="1596"/>
        <item m="1" x="3152"/>
        <item m="1" x="3665"/>
        <item m="1" x="4616"/>
        <item m="1" x="4863"/>
        <item m="1" x="5108"/>
        <item m="1" x="6112"/>
        <item m="1" x="249"/>
        <item m="1" x="834"/>
        <item m="1" x="851"/>
        <item m="1" x="871"/>
        <item m="1" x="888"/>
        <item m="1" x="120"/>
        <item m="1" x="381"/>
        <item m="1" x="401"/>
        <item m="1" x="908"/>
        <item m="1" x="273"/>
        <item m="1" x="371"/>
        <item m="1" x="225"/>
        <item m="1" x="525"/>
        <item m="1" x="627"/>
        <item m="1" x="722"/>
        <item m="1" x="3086"/>
        <item m="1" x="3753"/>
        <item m="1" x="3810"/>
        <item m="1" x="198"/>
        <item m="1" x="415"/>
        <item m="1" x="543"/>
        <item m="1" x="606"/>
        <item m="1" x="667"/>
        <item m="1" x="707"/>
        <item m="1" x="4922"/>
        <item m="1" x="5257"/>
        <item m="1" x="3374"/>
        <item m="1" x="3390"/>
        <item m="1" x="5226"/>
        <item m="1" x="5240"/>
        <item m="1" x="5271"/>
        <item m="1" x="5384"/>
        <item m="1" x="5429"/>
        <item m="1" x="3769"/>
        <item m="1" x="3786"/>
        <item m="1" x="815"/>
        <item m="1" x="3128"/>
        <item m="1" x="3245"/>
        <item m="1" x="3259"/>
        <item m="1" x="3305"/>
        <item m="1" x="3325"/>
        <item m="1" x="3405"/>
        <item m="1" x="4506"/>
        <item m="1" x="3438"/>
        <item m="1" x="3455"/>
        <item m="1" x="3673"/>
        <item m="1" x="3497"/>
        <item m="1" x="3535"/>
        <item m="1" x="150"/>
        <item m="1" x="3605"/>
        <item m="1" x="3202"/>
        <item m="1" x="4052"/>
        <item m="1" x="5389"/>
        <item m="1" x="4978"/>
        <item m="1" x="4868"/>
        <item m="1" x="5116"/>
        <item m="1" x="1129"/>
        <item m="1" x="4040"/>
        <item m="1" x="4240"/>
        <item m="1" x="4100"/>
        <item m="1" x="4115"/>
        <item m="1" x="4129"/>
        <item m="1" x="4145"/>
        <item m="1" x="4163"/>
        <item m="1" x="4179"/>
        <item m="1" x="4194"/>
        <item m="1" x="4210"/>
        <item m="1" x="4323"/>
        <item m="1" x="93"/>
        <item m="1" x="1711"/>
        <item m="1" x="941"/>
        <item m="1" x="1203"/>
        <item m="1" x="1466"/>
        <item m="1" x="1484"/>
        <item m="1" x="1570"/>
        <item m="1" x="4580"/>
        <item m="1" x="4626"/>
        <item m="1" x="5734"/>
        <item m="1" x="5854"/>
        <item m="1" x="5888"/>
        <item m="1" x="5921"/>
        <item m="1" x="5956"/>
        <item m="1" x="5990"/>
        <item m="1" x="6008"/>
        <item m="1" x="6040"/>
        <item m="1" x="6055"/>
        <item m="1" x="6076"/>
        <item m="1" x="6099"/>
        <item m="1" x="6118"/>
        <item m="1" x="6135"/>
        <item m="1" x="6172"/>
        <item m="1" x="6203"/>
        <item m="1" x="5316"/>
        <item m="1" x="5348"/>
        <item m="1" x="2499"/>
        <item m="1" x="3355"/>
        <item m="1" x="6154"/>
        <item m="1" x="1319"/>
        <item m="1" x="1590"/>
        <item m="1" x="1829"/>
        <item m="1" x="3670"/>
        <item m="1" x="203"/>
        <item m="1" x="1330"/>
        <item m="1" x="1743"/>
        <item m="1" x="1753"/>
        <item m="1" x="1774"/>
        <item m="1" x="1789"/>
        <item m="1" x="1803"/>
        <item m="1" x="1820"/>
        <item m="1" x="1835"/>
        <item m="1" x="1856"/>
        <item m="1" x="1548"/>
        <item m="1" x="1309"/>
        <item m="1" x="289"/>
        <item m="1" x="303"/>
        <item m="1" x="342"/>
        <item m="1" x="356"/>
        <item m="1" x="374"/>
        <item m="1" x="1684"/>
        <item m="1" x="456"/>
        <item m="1" x="5866"/>
        <item m="1" x="5419"/>
        <item m="1" x="4569"/>
        <item m="1" x="4892"/>
        <item m="1" x="4941"/>
        <item m="1" x="1380"/>
        <item m="1" x="1395"/>
        <item m="1" x="1414"/>
        <item m="1" x="1432"/>
        <item m="1" x="1451"/>
        <item m="1" x="3914"/>
        <item m="1" x="1564"/>
        <item m="1" x="3628"/>
        <item m="1" x="3645"/>
        <item m="1" x="3661"/>
        <item m="1" x="3694"/>
        <item m="1" x="3710"/>
        <item m="1" x="3724"/>
        <item m="1" x="3758"/>
        <item m="1" x="5028"/>
        <item m="1" x="408"/>
        <item m="1" x="697"/>
        <item m="1" x="1514"/>
        <item m="1" x="2535"/>
        <item m="1" x="6146"/>
        <item m="1" x="995"/>
        <item m="1" x="1245"/>
        <item m="1" x="1756"/>
        <item m="1" x="2008"/>
        <item m="1" x="2251"/>
        <item m="1" x="6675"/>
        <item m="1" x="3903"/>
        <item m="1" x="4126"/>
        <item m="1" x="4389"/>
        <item m="1" x="4621"/>
        <item m="1" x="4864"/>
        <item m="1" x="5112"/>
        <item m="1" x="5334"/>
        <item m="1" x="5583"/>
        <item m="1" x="6927"/>
        <item m="1" x="4104"/>
        <item m="1" x="5173"/>
        <item m="1" x="1598"/>
        <item m="1" x="4842"/>
        <item m="1" x="4399"/>
        <item m="1" x="4417"/>
        <item m="1" x="4431"/>
        <item m="1" x="4458"/>
        <item m="1" x="654"/>
        <item m="1" x="594"/>
        <item m="1" x="5460"/>
        <item m="1" x="729"/>
        <item m="1" x="1063"/>
        <item m="1" x="5199"/>
        <item m="1" x="5479"/>
        <item m="1" x="6856"/>
        <item m="1" x="5611"/>
        <item m="1" x="1496"/>
        <item m="1" x="6886"/>
        <item m="1" x="5267"/>
        <item m="1" x="5816"/>
        <item m="1" x="767"/>
        <item m="1" x="856"/>
        <item m="1" x="786"/>
        <item m="1" x="803"/>
        <item m="1" x="894"/>
        <item m="1" x="929"/>
        <item m="1" x="951"/>
        <item m="1" x="991"/>
        <item m="1" x="1011"/>
        <item m="1" x="1030"/>
        <item m="1" x="1044"/>
        <item m="1" x="914"/>
        <item m="1" x="5638"/>
        <item m="1" x="5656"/>
        <item m="1" x="88"/>
        <item m="1" x="4403"/>
        <item m="1" x="4422"/>
        <item m="1" x="4573"/>
        <item m="1" x="618"/>
        <item m="1" x="6150"/>
        <item m="1" x="2311"/>
        <item m="1" x="2613"/>
        <item m="1" x="2904"/>
        <item m="1" x="4298"/>
        <item m="1" x="4629"/>
        <item m="1" x="5118"/>
        <item m="1" x="228"/>
        <item m="1" x="2529"/>
        <item m="1" x="3436"/>
        <item m="1" x="251"/>
        <item m="1" x="263"/>
        <item m="1" x="285"/>
        <item m="1" x="169"/>
        <item m="1" x="3103"/>
        <item m="1" x="3117"/>
        <item m="1" x="3130"/>
        <item m="1" x="3146"/>
        <item m="1" x="3163"/>
        <item m="1" x="3178"/>
        <item m="1" x="3190"/>
        <item m="1" x="3205"/>
        <item m="1" x="3219"/>
        <item m="1" x="3231"/>
        <item m="1" x="3248"/>
        <item m="1" x="3262"/>
        <item m="1" x="3277"/>
        <item m="1" x="3290"/>
        <item m="1" x="3309"/>
        <item m="1" x="3328"/>
        <item m="1" x="3345"/>
        <item m="1" x="3361"/>
        <item m="1" x="3377"/>
        <item m="1" x="3909"/>
        <item m="1" x="2738"/>
        <item m="1" x="2775"/>
        <item m="1" x="2795"/>
        <item m="1" x="2813"/>
        <item m="1" x="2835"/>
        <item m="1" x="2850"/>
        <item m="1" x="2865"/>
        <item m="1" x="2882"/>
        <item m="1" x="2901"/>
        <item m="1" x="2915"/>
        <item m="1" x="2932"/>
        <item m="1" x="2947"/>
        <item m="1" x="2962"/>
        <item m="1" x="2978"/>
        <item m="1" x="2996"/>
        <item m="1" x="3010"/>
        <item m="1" x="3025"/>
        <item m="1" x="3041"/>
        <item m="1" x="3058"/>
        <item m="1" x="3071"/>
        <item m="1" x="3087"/>
        <item m="1" x="2211"/>
        <item m="1" x="1733"/>
        <item m="1" x="4915"/>
        <item m="1" x="5376"/>
        <item m="1" x="6188"/>
        <item m="1" x="3393"/>
        <item m="1" x="3409"/>
        <item m="1" x="3444"/>
        <item m="1" x="3458"/>
        <item m="1" x="3473"/>
        <item m="1" x="3501"/>
        <item m="1" x="3540"/>
        <item m="1" x="2093"/>
        <item m="1" x="2110"/>
        <item m="1" x="2126"/>
        <item m="1" x="2263"/>
        <item m="1" x="3642"/>
        <item m="1" x="3675"/>
        <item m="1" x="3692"/>
        <item m="1" x="4012"/>
        <item m="1" x="2222"/>
        <item m="1" x="2233"/>
        <item m="1" x="2568"/>
        <item m="1" x="2606"/>
        <item m="1" x="2629"/>
        <item m="1" x="3592"/>
        <item m="1" x="5153"/>
        <item m="1" x="2162"/>
        <item m="1" x="2469"/>
        <item m="1" x="6750"/>
        <item m="1" x="6323"/>
        <item m="1" x="80"/>
        <item m="1" x="1987"/>
        <item m="1" x="4147"/>
        <item m="1" x="4167"/>
        <item m="1" x="4198"/>
        <item m="1" x="6507"/>
        <item m="1" x="6553"/>
        <item m="1" x="6833"/>
        <item m="1" x="6849"/>
        <item m="1" x="2358"/>
        <item m="1" x="3578"/>
        <item m="1" x="3607"/>
        <item m="1" x="3624"/>
        <item m="1" x="3720"/>
        <item m="1" x="3964"/>
        <item m="1" x="3980"/>
        <item m="1" x="2451"/>
        <item m="1" x="4102"/>
        <item m="1" x="4214"/>
        <item m="1" x="6522"/>
        <item m="1" x="6569"/>
        <item m="1" x="6588"/>
        <item m="1" x="6602"/>
        <item m="1" x="6751"/>
        <item m="1" x="6287"/>
        <item m="1" x="6907"/>
        <item m="1" x="6308"/>
        <item m="1" x="55"/>
        <item m="1" x="123"/>
        <item m="1" x="154"/>
        <item m="1" x="2321"/>
        <item m="1" x="2340"/>
        <item m="1" x="6436"/>
        <item m="1" x="6732"/>
        <item m="1" x="6863"/>
        <item m="1" x="6921"/>
        <item m="1" x="6955"/>
        <item m="1" x="6214"/>
        <item m="1" x="353"/>
        <item m="1" x="603"/>
        <item m="1" x="1444"/>
        <item m="1" x="1943"/>
        <item m="1" x="2193"/>
        <item m="1" x="144"/>
        <item m="1" x="365"/>
        <item m="1" x="620"/>
        <item m="1" x="2458"/>
        <item m="1" x="2762"/>
        <item m="1" x="132"/>
        <item m="1" x="905"/>
        <item m="1" x="1168"/>
        <item m="1" x="108"/>
        <item m="1" x="955"/>
        <item m="1" x="1480"/>
        <item m="1" x="1730"/>
        <item m="1" x="1976"/>
        <item m="1" x="4290"/>
        <item m="1" x="4534"/>
        <item m="1" x="4785"/>
        <item m="1" x="5025"/>
        <item m="1" x="5258"/>
        <item m="1" x="137"/>
        <item m="1" x="1811"/>
        <item m="1" x="1691"/>
        <item m="1" x="1706"/>
        <item m="1" x="1676"/>
        <item m="1" x="1635"/>
        <item m="1" x="1865"/>
        <item m="1" x="1880"/>
        <item m="1" x="1896"/>
        <item m="1" x="1910"/>
        <item m="1" x="1926"/>
        <item m="1" x="1939"/>
        <item m="1" x="117"/>
        <item m="1" x="1096"/>
        <item m="1" x="1110"/>
        <item m="1" x="1264"/>
        <item m="1" x="4319"/>
        <item m="1" x="4339"/>
        <item m="1" x="4373"/>
        <item m="1" x="4408"/>
        <item m="1" x="4425"/>
        <item m="1" x="4452"/>
        <item m="1" x="4464"/>
        <item m="1" x="4474"/>
        <item m="1" x="5110"/>
        <item m="1" x="4111"/>
        <item m="1" x="4125"/>
        <item m="1" x="4235"/>
        <item m="1" x="4252"/>
        <item m="1" x="4270"/>
        <item m="1" x="4602"/>
        <item m="1" x="4641"/>
        <item m="1" x="5167"/>
        <item m="1" x="5181"/>
        <item m="1" x="5209"/>
        <item m="1" x="5223"/>
        <item m="1" x="5238"/>
        <item m="1" x="5253"/>
        <item m="1" x="5270"/>
        <item m="1" x="5278"/>
        <item m="1" x="5292"/>
        <item m="1" x="5307"/>
        <item m="1" x="4189"/>
        <item m="1" x="5084"/>
        <item m="1" x="4782"/>
        <item m="1" x="4849"/>
        <item m="1" x="5095"/>
        <item m="1" x="5065"/>
        <item m="1" x="1286"/>
        <item m="1" x="2083"/>
        <item m="1" x="2155"/>
        <item m="1" x="2187"/>
        <item m="1" x="1718"/>
        <item m="1" x="4688"/>
        <item m="1" x="5679"/>
        <item m="1" x="715"/>
        <item m="1" x="1018"/>
        <item m="1" x="103"/>
        <item m="1" x="221"/>
        <item m="1" x="269"/>
        <item m="1" x="536"/>
        <item m="1" x="1153"/>
        <item m="1" x="1167"/>
        <item m="1" x="1201"/>
        <item m="1" x="75"/>
        <item m="1" x="445"/>
        <item m="1" x="6043"/>
        <item m="1" x="5890"/>
        <item m="1" x="6058"/>
        <item m="1" x="5717"/>
        <item m="1" x="6224"/>
        <item m="1" x="6448"/>
        <item m="1" x="6372"/>
        <item m="1" x="5787"/>
        <item m="1" x="5824"/>
        <item m="1" x="4358"/>
        <item m="1" x="4591"/>
        <item m="1" x="4833"/>
        <item m="1" x="5086"/>
        <item m="1" x="5309"/>
        <item m="1" x="5550"/>
        <item m="1" x="6103"/>
        <item m="1" x="6353"/>
        <item m="1" x="2294"/>
        <item m="1" x="2592"/>
        <item m="1" x="4673"/>
        <item m="1" x="4704"/>
        <item m="1" x="2026"/>
        <item m="1" x="429"/>
        <item m="1" x="6367"/>
        <item m="1" x="6642"/>
        <item m="1" x="6896"/>
        <item m="1" x="3648"/>
        <item m="1" x="330"/>
        <item m="1" x="189"/>
        <item m="1" x="86"/>
        <item m="1" x="360"/>
        <item m="1" x="394"/>
        <item m="1" x="510"/>
        <item m="1" x="531"/>
        <item m="1" x="549"/>
        <item m="1" x="564"/>
        <item m="1" x="578"/>
        <item m="1" x="614"/>
        <item m="1" x="636"/>
        <item m="1" x="656"/>
        <item m="1" x="676"/>
        <item m="1" x="695"/>
        <item m="1" x="2886"/>
        <item m="1" x="52"/>
        <item m="1" x="271"/>
        <item m="1" x="503"/>
        <item m="1" x="1618"/>
        <item m="1" x="2657"/>
        <item m="1" x="2780"/>
        <item m="1" x="2612"/>
        <item m="1" x="3254"/>
        <item m="1" x="3315"/>
        <item m="1" x="458"/>
        <item m="1" x="475"/>
        <item m="1" x="2395"/>
        <item m="1" x="2415"/>
        <item m="1" x="2493"/>
        <item m="1" x="2513"/>
        <item m="1" x="2534"/>
        <item m="1" x="2554"/>
        <item m="1" x="2920"/>
        <item m="1" x="2950"/>
        <item m="1" x="2983"/>
        <item m="1" x="3030"/>
        <item m="1" x="4527"/>
        <item m="1" x="3844"/>
        <item m="1" x="3986"/>
        <item m="1" x="4120"/>
        <item m="1" x="4231"/>
        <item m="1" x="4248"/>
        <item m="1" x="3365"/>
        <item m="1" x="4514"/>
        <item m="1" x="3380"/>
        <item m="1" x="3061"/>
        <item m="1" x="3108"/>
        <item m="1" x="4667"/>
        <item m="1" x="4683"/>
        <item m="1" x="3167"/>
        <item m="1" x="3149"/>
        <item m="1" x="4333"/>
        <item m="1" x="3815"/>
        <item m="1" x="6527"/>
        <item m="1" x="6674"/>
        <item m="1" x="6788"/>
        <item m="1" x="6839"/>
        <item m="1" x="6868"/>
        <item m="1" x="6913"/>
        <item m="1" x="6926"/>
        <item m="1" x="2574"/>
        <item m="1" x="6625"/>
        <item m="1" x="6641"/>
        <item m="1" x="6658"/>
        <item m="1" x="4072"/>
        <item m="1" x="4204"/>
        <item m="1" x="4636"/>
        <item m="1" x="3954"/>
        <item m="1" x="3812"/>
        <item m="1" x="4018"/>
        <item m="1" x="4035"/>
        <item m="1" x="4095"/>
        <item m="1" x="3801"/>
        <item m="1" x="2282"/>
        <item m="1" x="4085"/>
        <item m="1" x="4714"/>
        <item m="1" x="3971"/>
        <item m="1" x="4572"/>
        <item m="1" x="1408"/>
        <item m="1" x="558"/>
        <item m="1" x="572"/>
        <item m="1" x="628"/>
        <item m="1" x="723"/>
        <item m="1" x="743"/>
        <item m="1" x="797"/>
        <item m="1" x="402"/>
        <item m="1" x="1489"/>
        <item m="1" x="1427"/>
        <item m="1" x="2032"/>
        <item m="1" x="1363"/>
        <item m="1" x="1541"/>
        <item m="1" x="1575"/>
        <item m="1" x="4713"/>
        <item m="1" x="6493"/>
        <item m="1" x="6756"/>
        <item m="1" x="4708"/>
        <item m="1" x="2290"/>
        <item m="1" x="2304"/>
        <item m="1" x="2336"/>
        <item m="1" x="2387"/>
        <item m="1" x="2409"/>
        <item m="1" x="2427"/>
        <item m="1" x="2446"/>
        <item m="1" x="2467"/>
        <item m="1" x="5023"/>
        <item m="1" x="4476"/>
        <item m="1" x="5099"/>
        <item m="1" x="4492"/>
        <item m="1" x="5474"/>
        <item m="1" x="5133"/>
        <item m="1" x="5146"/>
        <item m="1" x="4627"/>
        <item m="1" x="4692"/>
        <item m="1" x="2070"/>
        <item m="1" x="2848"/>
        <item m="1" x="2863"/>
        <item m="1" x="5521"/>
        <item m="1" x="5536"/>
        <item m="1" x="835"/>
        <item m="1" x="852"/>
        <item m="1" x="872"/>
        <item m="1" x="889"/>
        <item m="1" x="909"/>
        <item m="1" x="925"/>
        <item m="1" x="985"/>
        <item m="1" x="1007"/>
        <item m="1" x="1130"/>
        <item m="1" x="1171"/>
        <item m="1" x="1205"/>
        <item m="1" x="5508"/>
        <item m="1" x="4553"/>
        <item m="1" x="4607"/>
        <item m="1" x="4658"/>
        <item m="1" x="607"/>
        <item m="1" x="4726"/>
        <item m="1" x="2174"/>
        <item m="1" x="2196"/>
        <item m="1" x="2210"/>
        <item m="1" x="2770"/>
        <item m="1" x="2809"/>
        <item m="1" x="2876"/>
        <item m="1" x="2897"/>
        <item m="1" x="4869"/>
        <item m="1" x="944"/>
        <item m="1" x="1026"/>
        <item m="1" x="1041"/>
        <item m="1" x="1058"/>
        <item m="1" x="1073"/>
        <item m="1" x="1086"/>
        <item m="1" x="1100"/>
        <item m="1" x="1114"/>
        <item m="1" x="1141"/>
        <item m="1" x="1156"/>
        <item m="1" x="1187"/>
        <item m="1" x="1223"/>
        <item m="1" x="1270"/>
        <item m="1" x="2625"/>
        <item m="1" x="2721"/>
        <item m="1" x="5553"/>
        <item m="1" x="4953"/>
        <item m="1" x="5568"/>
        <item m="1" x="2487"/>
        <item m="1" x="4835"/>
        <item m="1" x="6320"/>
        <item m="1" x="6379"/>
        <item m="1" x="6433"/>
        <item m="1" x="6489"/>
        <item m="1" x="6718"/>
        <item m="1" x="6731"/>
        <item m="1" x="6749"/>
        <item m="1" x="6765"/>
        <item m="1" x="1252"/>
        <item m="1" x="2667"/>
        <item m="1" x="2685"/>
        <item m="1" x="544"/>
        <item m="1" x="689"/>
        <item m="1" x="761"/>
        <item m="1" x="816"/>
        <item m="1" x="2565"/>
        <item m="1" x="2975"/>
        <item m="1" x="2994"/>
        <item m="1" x="5961"/>
        <item m="1" x="5772"/>
        <item m="1" x="5791"/>
        <item m="1" x="5809"/>
        <item m="1" x="2108"/>
        <item m="1" x="4757"/>
        <item m="1" x="4772"/>
        <item m="1" x="4784"/>
        <item m="1" x="4807"/>
        <item m="1" x="4853"/>
        <item m="1" x="6295"/>
        <item m="1" x="6337"/>
        <item m="1" x="6358"/>
        <item m="1" x="6396"/>
        <item m="1" x="6417"/>
        <item m="1" x="6472"/>
        <item m="1" x="6566"/>
        <item m="1" x="6585"/>
        <item m="1" x="6599"/>
        <item m="1" x="6619"/>
        <item m="1" x="6632"/>
        <item m="1" x="6652"/>
        <item m="1" x="6664"/>
        <item m="1" x="1291"/>
        <item m="1" x="2647"/>
        <item m="1" x="2735"/>
        <item m="1" x="5878"/>
        <item m="1" x="2269"/>
        <item m="1" x="2142"/>
        <item m="1" x="2372"/>
        <item m="1" x="5828"/>
        <item m="1" x="5842"/>
        <item m="1" x="6085"/>
        <item m="1" x="5894"/>
        <item m="1" x="2261"/>
        <item m="1" x="2792"/>
        <item m="1" x="6266"/>
        <item m="1" x="6283"/>
        <item m="1" x="5281"/>
        <item m="1" x="5618"/>
        <item m="1" x="5941"/>
        <item m="1" x="5720"/>
        <item m="1" x="4253"/>
        <item m="1" x="4390"/>
        <item m="1" x="4503"/>
        <item m="1" x="4622"/>
        <item m="1" x="4755"/>
        <item m="1" x="4865"/>
        <item m="1" x="4990"/>
        <item m="1" x="5113"/>
        <item m="1" x="2921"/>
        <item m="1" x="2090"/>
        <item m="1" x="1087"/>
        <item m="1" x="946"/>
        <item m="1" x="5859"/>
        <item m="1" x="5910"/>
        <item m="1" x="6806"/>
        <item m="1" x="6928"/>
        <item m="1" x="382"/>
        <item m="1" x="506"/>
        <item m="1" x="649"/>
        <item m="1" x="1344"/>
        <item m="1" x="1474"/>
        <item m="1" x="1611"/>
        <item m="1" x="1724"/>
        <item m="1" x="799"/>
        <item m="1" x="2941"/>
        <item m="1" x="3065"/>
        <item m="1" x="3298"/>
        <item m="1" x="3431"/>
        <item m="1" x="3701"/>
        <item m="1" x="3821"/>
        <item m="1" x="5613"/>
        <item m="1" x="6346"/>
        <item m="1" x="6742"/>
        <item m="1" x="2391"/>
        <item m="1" x="1012"/>
        <item m="1" x="1064"/>
        <item m="1" x="1310"/>
        <item m="1" x="1331"/>
        <item m="1" x="1415"/>
        <item m="1" x="2917"/>
        <item m="1" x="2413"/>
        <item m="1" x="2903"/>
        <item m="1" x="1146"/>
        <item m="1" x="1642"/>
        <item m="1" x="2226"/>
        <item m="1" x="2235"/>
        <item m="1" x="2867"/>
        <item m="1" x="2047"/>
        <item m="1" x="2076"/>
        <item m="1" x="2113"/>
        <item m="1" x="2147"/>
        <item m="1" x="2179"/>
        <item m="1" x="2936"/>
        <item m="1" x="3089"/>
        <item m="1" x="3105"/>
        <item m="1" x="3192"/>
        <item m="1" x="3206"/>
        <item m="1" x="3221"/>
        <item m="1" x="3235"/>
        <item m="1" x="3251"/>
        <item m="1" x="3280"/>
        <item m="1" x="3292"/>
        <item m="1" x="3311"/>
        <item m="1" x="3330"/>
        <item m="1" x="4893"/>
        <item m="1" x="4007"/>
        <item m="1" x="4112"/>
        <item m="1" x="1325"/>
        <item m="1" x="1652"/>
        <item m="1" x="4809"/>
        <item m="1" x="4825"/>
        <item m="1" x="4838"/>
        <item m="1" x="351"/>
        <item m="1" x="1090"/>
        <item m="1" x="1118"/>
        <item m="1" x="3322"/>
        <item m="1" x="3301"/>
        <item m="1" x="3051"/>
        <item m="1" x="3258"/>
        <item m="1" x="3271"/>
        <item m="1" x="2806"/>
        <item m="1" x="2826"/>
        <item m="1" x="2845"/>
        <item m="1" x="3286"/>
        <item m="1" x="2701"/>
        <item m="1" x="1845"/>
        <item m="1" x="2786"/>
        <item m="1" x="2874"/>
        <item m="1" x="2891"/>
        <item m="1" x="2911"/>
        <item m="1" x="2925"/>
        <item m="1" x="2581"/>
        <item m="1" x="2464"/>
        <item m="1" x="2481"/>
        <item m="1" x="2504"/>
        <item m="1" x="2521"/>
        <item m="1" x="1588"/>
        <item m="1" x="3509"/>
        <item m="1" x="3531"/>
        <item m="1" x="5755"/>
        <item m="1" x="2383"/>
        <item m="1" x="3199"/>
        <item m="1" x="5489"/>
        <item m="1" x="5628"/>
        <item m="1" x="5643"/>
        <item m="1" x="3571"/>
        <item m="1" x="5958"/>
        <item m="1" x="6317"/>
        <item m="1" x="1940"/>
        <item m="1" x="1982"/>
        <item m="1" x="2054"/>
        <item m="1" x="2084"/>
        <item m="1" x="2103"/>
        <item m="1" x="2120"/>
        <item m="1" x="2139"/>
        <item m="1" x="2156"/>
        <item m="1" x="6059"/>
        <item m="1" x="6080"/>
        <item m="1" x="6102"/>
        <item m="1" x="6373"/>
        <item m="1" x="6412"/>
        <item m="1" x="6430"/>
        <item m="1" x="2597"/>
        <item m="1" x="5615"/>
        <item m="1" x="3420"/>
        <item m="1" x="6580"/>
        <item m="1" x="1765"/>
        <item m="1" x="1554"/>
        <item m="1" x="1573"/>
        <item m="1" x="5687"/>
        <item m="1" x="4994"/>
        <item m="1" x="3124"/>
        <item m="1" x="6875"/>
        <item m="1" x="2066"/>
        <item m="1" x="2544"/>
        <item m="1" x="6449"/>
        <item m="1" x="2330"/>
        <item m="1" x="6615"/>
        <item m="1" x="6629"/>
        <item m="1" x="6648"/>
        <item m="1" x="5699"/>
        <item m="1" x="6796"/>
        <item m="1" x="6858"/>
        <item m="1" x="6728"/>
        <item m="1" x="6745"/>
        <item m="1" x="6206"/>
        <item m="1" x="5873"/>
        <item m="1" x="6763"/>
        <item m="1" x="6778"/>
        <item m="1" x="6951"/>
        <item m="1" x="6596"/>
        <item m="1" x="6563"/>
        <item m="1" x="6037"/>
        <item m="1" x="6189"/>
        <item m="1" x="6578"/>
        <item m="1" x="6708"/>
        <item m="1" x="1714"/>
        <item m="1" x="1729"/>
        <item m="1" x="1745"/>
        <item m="1" x="1755"/>
        <item m="1" x="1933"/>
        <item m="1" x="615"/>
        <item m="1" x="1600"/>
        <item m="1" x="751"/>
        <item m="1" x="770"/>
        <item m="1" x="806"/>
        <item m="1" x="823"/>
        <item m="1" x="843"/>
        <item m="1" x="859"/>
        <item m="1" x="897"/>
        <item m="1" x="975"/>
        <item m="1" x="1048"/>
        <item m="1" x="361"/>
        <item m="1" x="1196"/>
        <item m="1" x="1213"/>
        <item m="1" x="1335"/>
        <item m="1" x="1353"/>
        <item m="1" x="1435"/>
        <item m="1" x="1468"/>
        <item m="1" x="1513"/>
        <item m="1" x="1567"/>
        <item m="1" x="1582"/>
        <item m="1" x="1631"/>
        <item m="1" x="4060"/>
        <item m="1" x="4107"/>
        <item m="1" x="3845"/>
        <item m="1" x="4813"/>
        <item m="1" x="4830"/>
        <item m="1" x="4844"/>
        <item m="1" x="4859"/>
        <item m="1" x="4879"/>
        <item m="1" x="4896"/>
        <item m="1" x="4699"/>
        <item m="1" x="4945"/>
        <item m="1" x="3790"/>
        <item m="1" x="3802"/>
        <item m="1" x="3816"/>
        <item m="1" x="550"/>
        <item m="1" x="1080"/>
        <item m="1" x="4019"/>
        <item m="1" x="4140"/>
        <item m="1" x="2133"/>
        <item m="1" x="126"/>
        <item m="1" x="141"/>
        <item m="1" x="176"/>
        <item m="1" x="4929"/>
        <item m="1" x="2167"/>
        <item m="1" x="2183"/>
        <item m="1" x="5000"/>
        <item m="1" x="6052"/>
        <item m="1" x="6094"/>
        <item m="1" x="5884"/>
        <item m="1" x="5970"/>
        <item m="1" x="6021"/>
        <item m="1" x="1791"/>
        <item m="1" x="5125"/>
        <item m="1" x="5203"/>
        <item m="1" x="5216"/>
        <item m="1" x="5483"/>
        <item m="1" x="5500"/>
        <item m="1" x="6168"/>
        <item m="1" x="4036"/>
        <item m="1" x="6070"/>
        <item m="1" x="6113"/>
        <item m="1" x="5449"/>
        <item m="1" x="6144"/>
        <item m="1" x="6185"/>
        <item m="1" x="5835"/>
        <item m="1" x="5139"/>
        <item m="1" x="5162"/>
        <item m="1" x="5175"/>
        <item m="1" x="4497"/>
        <item m="1" x="4515"/>
        <item m="1" x="4958"/>
        <item m="1" x="5106"/>
        <item m="1" x="5188"/>
        <item m="1" x="5654"/>
        <item m="1" x="121"/>
        <item m="1" x="135"/>
        <item m="1" x="78"/>
        <item m="1" x="262"/>
        <item m="1" x="3870"/>
        <item m="1" x="3735"/>
        <item m="1" x="6567"/>
        <item m="1" x="6586"/>
        <item m="1" x="2648"/>
        <item m="1" x="3770"/>
        <item m="1" x="2585"/>
        <item m="1" x="2668"/>
        <item m="1" x="5895"/>
        <item m="1" x="5962"/>
        <item m="1" x="4091"/>
        <item m="1" x="3924"/>
        <item m="1" x="3880"/>
        <item m="1" x="4164"/>
        <item m="1" x="2161"/>
        <item m="1" x="2175"/>
        <item m="1" x="2197"/>
        <item m="1" x="2071"/>
        <item m="1" x="2091"/>
        <item m="1" x="2736"/>
        <item m="1" x="2754"/>
        <item m="1" x="2771"/>
        <item m="1" x="2793"/>
        <item m="1" x="2810"/>
        <item m="1" x="2832"/>
        <item m="1" x="2849"/>
        <item m="1" x="2864"/>
        <item m="1" x="2877"/>
        <item m="1" x="2898"/>
        <item m="1" x="2913"/>
        <item m="1" x="2930"/>
        <item m="1" x="2945"/>
        <item m="1" x="2961"/>
        <item m="1" x="3161"/>
        <item m="1" x="3175"/>
        <item m="1" x="3188"/>
        <item m="1" x="3203"/>
        <item m="1" x="3217"/>
        <item m="1" x="3246"/>
        <item m="1" x="3260"/>
        <item m="1" x="3273"/>
        <item m="1" x="3288"/>
        <item m="1" x="3306"/>
        <item m="1" x="3326"/>
        <item m="1" x="3342"/>
        <item m="1" x="3360"/>
        <item m="1" x="3375"/>
        <item m="1" x="3391"/>
        <item m="1" x="3406"/>
        <item m="1" x="3424"/>
        <item m="1" x="3439"/>
        <item m="1" x="3456"/>
        <item m="1" x="3469"/>
        <item m="1" x="3486"/>
        <item m="1" x="3498"/>
        <item m="1" x="3514"/>
        <item m="1" x="3536"/>
        <item m="1" x="3558"/>
        <item m="1" x="4053"/>
        <item m="1" x="4077"/>
        <item m="1" x="2365"/>
        <item m="1" x="2954"/>
        <item m="1" x="2973"/>
        <item m="1" x="2989"/>
        <item m="1" x="3019"/>
        <item m="1" x="3036"/>
        <item m="1" x="3213"/>
        <item m="1" x="5581"/>
        <item m="1" x="5680"/>
        <item m="1" x="5737"/>
        <item m="1" x="6352"/>
        <item m="1" x="6395"/>
        <item m="1" x="4544"/>
        <item m="1" x="4558"/>
        <item m="1" x="4587"/>
        <item m="1" x="4599"/>
        <item m="1" x="4614"/>
        <item m="1" x="5016"/>
        <item m="1" x="5047"/>
        <item m="1" x="151"/>
        <item m="1" x="213"/>
        <item m="1" x="250"/>
        <item m="1" x="2337"/>
        <item m="1" x="3995"/>
        <item m="1" x="4041"/>
        <item m="1" x="6267"/>
        <item m="1" x="6284"/>
        <item m="1" x="6380"/>
        <item m="1" x="6397"/>
        <item m="1" x="6418"/>
        <item m="1" x="6600"/>
        <item m="1" x="6633"/>
        <item m="1" x="2392"/>
        <item m="1" x="3597"/>
        <item m="1" x="6821"/>
        <item m="1" x="6866"/>
        <item m="1" x="3582"/>
        <item m="1" x="3646"/>
        <item m="1" x="6785"/>
        <item m="1" x="3047"/>
        <item m="1" x="3168"/>
        <item m="1" x="4764"/>
        <item m="1" x="4881"/>
        <item m="1" x="5001"/>
        <item m="1" x="5126"/>
        <item m="1" x="5231"/>
        <item m="1" x="5345"/>
        <item m="1" x="5464"/>
        <item m="1" x="5592"/>
        <item m="1" x="5867"/>
        <item m="1" x="6002"/>
        <item m="1" x="6147"/>
        <item m="1" x="6271"/>
        <item m="1" x="6406"/>
        <item m="1" x="6543"/>
        <item m="1" x="6676"/>
        <item m="1" x="6807"/>
        <item m="1" x="6929"/>
        <item m="1" x="1185"/>
        <item m="1" x="759"/>
        <item m="1" x="2275"/>
        <item m="1" x="432"/>
        <item m="1" x="449"/>
        <item m="1" x="2718"/>
        <item m="1" x="867"/>
        <item m="1" x="813"/>
        <item m="1" x="778"/>
        <item m="1" x="2191"/>
        <item m="1" x="1202"/>
        <item m="1" x="1004"/>
        <item m="1" x="1039"/>
        <item m="1" x="1250"/>
        <item m="1" x="1266"/>
        <item m="1" x="1287"/>
        <item m="1" x="1302"/>
        <item m="1" x="1320"/>
        <item m="1" x="1361"/>
        <item m="1" x="1374"/>
        <item m="1" x="1389"/>
        <item m="1" x="1405"/>
        <item m="1" x="1425"/>
        <item m="1" x="1443"/>
        <item m="1" x="1458"/>
        <item m="1" x="1486"/>
        <item m="1" x="1501"/>
        <item m="1" x="1522"/>
        <item m="1" x="1539"/>
        <item m="1" x="1555"/>
        <item m="1" x="1574"/>
        <item m="1" x="1592"/>
        <item m="1" x="1605"/>
        <item m="1" x="1623"/>
        <item m="1" x="1650"/>
        <item m="1" x="1661"/>
        <item m="1" x="1677"/>
        <item m="1" x="1693"/>
        <item m="1" x="1707"/>
        <item m="1" x="1719"/>
        <item m="1" x="1738"/>
        <item m="1" x="1766"/>
        <item m="1" x="1783"/>
        <item m="1" x="6860"/>
        <item m="1" x="4828"/>
        <item m="1" x="4909"/>
        <item m="1" x="4927"/>
        <item m="1" x="1160"/>
        <item m="1" x="1177"/>
        <item m="1" x="1192"/>
        <item m="1" x="1211"/>
        <item m="1" x="1228"/>
        <item m="1" x="1076"/>
        <item m="1" x="1092"/>
        <item m="1" x="1104"/>
        <item m="1" x="1120"/>
        <item m="1" x="1804"/>
        <item m="1" x="1821"/>
        <item m="1" x="290"/>
        <item m="1" x="304"/>
        <item m="1" x="315"/>
        <item m="1" x="326"/>
        <item m="1" x="343"/>
        <item m="1" x="2018"/>
        <item m="1" x="2037"/>
        <item m="1" x="673"/>
        <item m="1" x="4295"/>
        <item m="1" x="4227"/>
        <item m="1" x="4612"/>
        <item m="1" x="3830"/>
        <item m="1" x="4400"/>
        <item m="1" x="4480"/>
        <item m="1" x="5013"/>
        <item m="1" x="5401"/>
        <item m="1" x="5432"/>
        <item m="1" x="5495"/>
        <item m="1" x="5899"/>
        <item m="1" x="5949"/>
        <item m="1" x="5984"/>
        <item m="1" x="172"/>
        <item m="1" x="5327"/>
        <item m="1" x="5341"/>
        <item m="1" x="5360"/>
        <item m="1" x="5371"/>
        <item m="1" x="5480"/>
        <item m="1" x="5620"/>
        <item m="1" x="1794"/>
        <item m="1" x="6437"/>
        <item m="1" x="3474"/>
        <item m="1" x="3643"/>
        <item m="1" x="3659"/>
        <item m="1" x="3676"/>
        <item m="1" x="3693"/>
        <item m="1" x="3708"/>
        <item m="1" x="3721"/>
        <item m="1" x="3738"/>
        <item m="1" x="3755"/>
        <item m="1" x="3772"/>
        <item m="1" x="4215"/>
        <item m="1" x="4224"/>
        <item m="1" x="4243"/>
        <item m="1" x="4260"/>
        <item m="1" x="4292"/>
        <item m="1" x="4327"/>
        <item m="1" x="4363"/>
        <item m="1" x="4446"/>
        <item m="1" x="4509"/>
        <item m="1" x="4536"/>
        <item m="1" x="4566"/>
        <item m="1" x="4661"/>
        <item m="1" x="6383"/>
        <item m="1" x="6399"/>
        <item m="1" x="6603"/>
        <item m="1" x="6668"/>
        <item m="1" x="6687"/>
        <item m="1" x="6719"/>
        <item m="1" x="2630"/>
        <item m="1" x="2796"/>
        <item m="1" x="3459"/>
        <item m="1" x="3488"/>
        <item m="1" x="3502"/>
        <item m="1" x="3561"/>
        <item m="1" x="3579"/>
        <item m="1" x="3608"/>
        <item m="1" x="3779"/>
        <item m="1" x="6892"/>
        <item m="1" x="6908"/>
        <item m="1" x="2652"/>
        <item m="1" x="3232"/>
        <item m="1" x="3249"/>
        <item m="1" x="3263"/>
        <item m="1" x="3410"/>
        <item m="1" x="3445"/>
        <item m="1" x="3625"/>
        <item m="1" x="6818"/>
        <item m="1" x="6229"/>
        <item m="1" x="6420"/>
        <item m="1" x="6456"/>
        <item m="1" x="3881"/>
        <item m="1" x="886"/>
        <item m="1" x="904"/>
        <item m="1" x="923"/>
        <item m="1" x="849"/>
        <item m="1" x="962"/>
        <item m="1" x="398"/>
        <item m="1" x="446"/>
        <item m="1" x="664"/>
        <item m="1" x="683"/>
        <item m="1" x="6277"/>
        <item m="1" x="966"/>
        <item m="1" x="1610"/>
        <item m="1" x="3040"/>
        <item m="1" x="2811"/>
        <item m="1" x="3143"/>
        <item m="1" x="2878"/>
        <item m="1" x="2899"/>
        <item m="1" x="1172"/>
        <item m="1" x="1188"/>
        <item m="1" x="1206"/>
        <item m="1" x="1224"/>
        <item m="1" x="1238"/>
        <item m="1" x="1253"/>
        <item m="1" x="1271"/>
        <item m="1" x="6177"/>
        <item m="1" x="6162"/>
        <item m="1" x="5100"/>
        <item m="1" x="5117"/>
        <item m="1" x="5134"/>
        <item m="1" x="1945"/>
        <item m="1" x="4773"/>
        <item m="1" x="5311"/>
        <item m="1" x="6212"/>
        <item m="1" x="1364"/>
        <item m="1" x="1502"/>
        <item m="1" x="1525"/>
        <item m="1" x="1542"/>
        <item m="1" x="1559"/>
        <item m="1" x="1576"/>
        <item m="1" x="1625"/>
        <item m="1" x="1637"/>
        <item m="1" x="2755"/>
        <item m="1" x="2772"/>
        <item m="1" x="5196"/>
        <item m="1" x="6285"/>
        <item m="1" x="6321"/>
        <item m="1" x="6338"/>
        <item m="1" x="6381"/>
        <item m="1" x="6419"/>
        <item m="1" x="6434"/>
        <item m="1" x="5241"/>
        <item m="1" x="1473"/>
        <item m="1" x="1831"/>
        <item m="1" x="724"/>
        <item m="1" x="744"/>
        <item m="1" x="762"/>
        <item m="1" x="1323"/>
        <item m="1" x="1392"/>
        <item m="1" x="1461"/>
        <item m="1" x="1664"/>
        <item m="1" x="1723"/>
        <item m="1" x="1740"/>
        <item m="1" x="1750"/>
        <item m="1" x="1768"/>
        <item m="1" x="1784"/>
        <item m="1" x="1800"/>
        <item m="1" x="1815"/>
        <item m="1" x="1851"/>
        <item m="1" x="1868"/>
        <item m="1" x="1884"/>
        <item m="1" x="1916"/>
        <item m="1" x="1957"/>
        <item m="1" x="2004"/>
        <item m="1" x="2722"/>
        <item m="1" x="2737"/>
        <item m="1" x="2704"/>
        <item m="1" x="4836"/>
        <item m="1" x="4870"/>
        <item m="1" x="4887"/>
        <item m="1" x="4904"/>
        <item m="1" x="4923"/>
        <item m="1" x="4936"/>
        <item m="1" x="4954"/>
        <item m="1" x="4964"/>
        <item m="1" x="4979"/>
        <item m="1" x="4992"/>
        <item m="1" x="5009"/>
        <item m="1" x="5024"/>
        <item m="1" x="5040"/>
        <item m="1" x="5055"/>
        <item m="1" x="5070"/>
        <item m="1" x="2833"/>
        <item m="1" x="2686"/>
        <item m="1" x="2931"/>
        <item m="1" x="6653"/>
        <item m="1" x="6665"/>
        <item m="1" x="6699"/>
        <item m="1" x="2297"/>
        <item m="1" x="2985"/>
        <item m="1" x="5177"/>
        <item m="1" x="5233"/>
        <item m="1" x="5287"/>
        <item m="1" x="5347"/>
        <item m="1" x="5405"/>
        <item m="1" x="5466"/>
        <item m="1" x="5528"/>
        <item m="1" x="5594"/>
        <item m="1" x="5657"/>
        <item m="1" x="5731"/>
        <item m="1" x="5800"/>
        <item m="1" x="5869"/>
        <item m="1" x="5933"/>
        <item m="1" x="6005"/>
        <item m="1" x="6073"/>
        <item m="1" x="6151"/>
        <item m="1" x="6220"/>
        <item m="1" x="6274"/>
        <item m="1" x="6330"/>
        <item m="1" x="6409"/>
        <item m="1" x="6482"/>
        <item m="1" x="6547"/>
        <item m="1" x="6612"/>
        <item m="1" x="6679"/>
        <item m="1" x="6741"/>
        <item m="1" x="6810"/>
        <item m="1" x="6871"/>
        <item m="1" x="6933"/>
        <item m="1" x="1986"/>
        <item m="1" x="1220"/>
        <item m="1" x="794"/>
        <item m="1" x="1317"/>
        <item m="1" x="1422"/>
        <item m="1" x="4548"/>
        <item m="1" x="5220"/>
        <item m="1" x="5250"/>
        <item m="1" x="5290"/>
        <item m="1" x="5317"/>
        <item m="1" x="5332"/>
        <item m="1" x="1243"/>
        <item m="1" x="1276"/>
        <item m="1" x="1396"/>
        <item m="1" x="1581"/>
        <item m="1" x="2673"/>
        <item m="1" x="3395"/>
        <item m="1" x="3414"/>
        <item m="1" x="3568"/>
        <item m="1" x="3602"/>
        <item m="1" x="3634"/>
        <item m="1" x="2590"/>
        <item m="1" x="1229"/>
        <item m="1" x="2265"/>
        <item m="1" x="2393"/>
        <item m="1" x="1790"/>
        <item m="1" x="2611"/>
        <item m="1" x="2918"/>
        <item m="1" x="3477"/>
        <item m="1" x="1493"/>
        <item m="1" x="1511"/>
        <item m="1" x="1532"/>
        <item m="1" x="6363"/>
        <item m="1" x="6440"/>
        <item m="1" x="3073"/>
        <item m="1" x="3090"/>
        <item m="1" x="3106"/>
        <item m="1" x="3118"/>
        <item m="1" x="3133"/>
        <item m="1" x="3147"/>
        <item m="1" x="3165"/>
        <item m="1" x="3179"/>
        <item m="1" x="3193"/>
        <item m="1" x="3207"/>
        <item m="1" x="3222"/>
        <item m="1" x="3236"/>
        <item m="1" x="3252"/>
        <item m="1" x="3265"/>
        <item m="1" x="3293"/>
        <item m="1" x="3312"/>
        <item m="1" x="3331"/>
        <item m="1" x="3348"/>
        <item m="1" x="5372"/>
        <item m="1" x="5388"/>
        <item m="1" x="5402"/>
        <item m="1" x="5420"/>
        <item m="1" x="5433"/>
        <item m="1" x="5447"/>
        <item m="1" x="5461"/>
        <item m="1" x="5481"/>
        <item m="1" x="5496"/>
        <item m="1" x="5511"/>
        <item m="1" x="5523"/>
        <item m="1" x="5541"/>
        <item m="1" x="5556"/>
        <item m="1" x="5671"/>
        <item m="1" x="5689"/>
        <item m="1" x="5707"/>
        <item m="1" x="5725"/>
        <item m="1" x="5746"/>
        <item m="1" x="6690"/>
        <item m="1" x="6736"/>
        <item m="1" x="6754"/>
        <item m="1" x="3155"/>
        <item m="1" x="5299"/>
        <item m="1" x="5342"/>
        <item m="1" x="5262"/>
        <item m="1" x="1556"/>
        <item m="1" x="67"/>
        <item m="1" x="130"/>
        <item m="1" x="148"/>
        <item m="1" x="570"/>
        <item m="1" x="588"/>
        <item m="1" x="1321"/>
        <item m="1" x="1593"/>
        <item m="1" x="1606"/>
        <item m="1" x="4644"/>
        <item m="1" x="3878"/>
        <item m="1" x="3892"/>
        <item m="1" x="3905"/>
        <item m="1" x="3934"/>
        <item m="1" x="3961"/>
        <item m="1" x="4064"/>
        <item m="1" x="4177"/>
        <item m="1" x="4191"/>
        <item m="1" x="4237"/>
        <item m="1" x="4321"/>
        <item m="1" x="5284"/>
        <item m="1" x="1098"/>
        <item m="1" x="4128"/>
        <item m="1" x="2821"/>
        <item m="1" x="780"/>
        <item m="1" x="3631"/>
        <item m="1" x="3650"/>
        <item m="1" x="2761"/>
        <item m="1" x="2418"/>
        <item m="1" x="2711"/>
        <item m="1" x="3450"/>
        <item m="1" x="1734"/>
        <item m="1" x="1746"/>
        <item m="1" x="1759"/>
        <item m="1" x="1778"/>
        <item m="1" x="1795"/>
        <item m="1" x="1808"/>
        <item m="1" x="1824"/>
        <item m="1" x="1840"/>
        <item m="1" x="1860"/>
        <item m="1" x="1876"/>
        <item m="1" x="1891"/>
        <item m="1" x="1906"/>
        <item m="1" x="1921"/>
        <item m="1" x="1935"/>
        <item m="1" x="1950"/>
        <item m="1" x="1965"/>
        <item m="1" x="1978"/>
        <item m="1" x="1996"/>
        <item m="1" x="2010"/>
        <item m="1" x="2968"/>
        <item m="1" x="3151"/>
        <item m="1" x="3481"/>
        <item m="1" x="1326"/>
        <item m="1" x="1365"/>
        <item m="1" x="1527"/>
        <item m="1" x="1770"/>
        <item m="1" x="1378"/>
        <item m="1" x="1412"/>
        <item m="1" x="1918"/>
        <item m="1" x="373"/>
        <item m="1" x="405"/>
        <item m="1" x="471"/>
        <item m="1" x="489"/>
        <item m="1" x="1348"/>
        <item m="1" x="138"/>
        <item m="1" x="170"/>
        <item m="1" x="185"/>
        <item m="1" x="339"/>
        <item m="1" x="1988"/>
        <item m="1" x="2005"/>
        <item m="1" x="2016"/>
        <item m="1" x="2073"/>
        <item m="1" x="3463"/>
        <item m="1" x="5634"/>
        <item m="1" x="5587"/>
        <item m="1" x="4537"/>
        <item m="1" x="5184"/>
        <item m="1" x="4279"/>
        <item m="1" x="5860"/>
        <item m="1" x="5073"/>
        <item m="1" x="4116"/>
        <item m="1" x="4132"/>
        <item m="1" x="4148"/>
        <item m="1" x="4168"/>
        <item m="1" x="5668"/>
        <item m="1" x="5282"/>
        <item m="1" x="5298"/>
        <item m="1" x="5325"/>
        <item m="1" x="5338"/>
        <item m="1" x="5368"/>
        <item m="1" x="5417"/>
        <item m="1" x="5430"/>
        <item m="1" x="5793"/>
        <item m="1" x="5926"/>
        <item m="1" x="4694"/>
        <item m="1" x="4728"/>
        <item m="1" x="4745"/>
        <item m="1" x="876"/>
        <item m="1" x="892"/>
        <item m="1" x="1464"/>
        <item m="1" x="1477"/>
        <item m="1" x="1491"/>
        <item m="1" x="1507"/>
        <item m="1" x="927"/>
        <item m="1" x="5944"/>
        <item m="1" x="5913"/>
        <item m="1" x="4938"/>
        <item m="1" x="56"/>
        <item m="1" x="109"/>
        <item m="1" x="5089"/>
        <item m="1" x="5119"/>
        <item m="1" x="1681"/>
        <item m="1" x="6087"/>
        <item m="1" x="1653"/>
        <item m="1" x="1666"/>
        <item m="1" x="2033"/>
        <item m="1" x="2045"/>
        <item m="1" x="2094"/>
        <item m="1" x="2127"/>
        <item m="1" x="5259"/>
        <item m="1" x="5357"/>
        <item m="1" x="5476"/>
        <item m="1" x="3895"/>
        <item m="1" x="3910"/>
        <item m="1" x="3925"/>
        <item m="1" x="4380"/>
        <item m="1" x="4395"/>
        <item m="1" x="4415"/>
        <item m="1" x="4428"/>
        <item m="1" x="4447"/>
        <item m="1" x="4456"/>
        <item m="1" x="4469"/>
        <item m="1" x="4478"/>
        <item m="1" x="4495"/>
        <item m="1" x="727"/>
        <item m="1" x="747"/>
        <item m="1" x="765"/>
        <item m="1" x="782"/>
        <item m="1" x="801"/>
        <item m="1" x="818"/>
        <item m="1" x="838"/>
        <item m="1" x="854"/>
        <item m="1" x="989"/>
        <item m="1" x="1307"/>
        <item m="1" x="560"/>
        <item m="1" x="1190"/>
        <item m="1" x="1274"/>
        <item m="1" x="912"/>
        <item m="1" x="949"/>
        <item m="1" x="969"/>
        <item m="1" x="1009"/>
        <item m="1" x="1428"/>
        <item m="1" x="1449"/>
        <item m="1" x="3200"/>
        <item m="1" x="2104"/>
        <item m="1" x="2351"/>
        <item m="1" x="2403"/>
        <item m="1" x="1999"/>
        <item m="1" x="2027"/>
        <item m="1" x="2043"/>
        <item m="1" x="2055"/>
        <item m="1" x="2256"/>
        <item m="1" x="65"/>
        <item m="1" x="104"/>
        <item m="1" x="118"/>
        <item m="1" x="128"/>
        <item m="1" x="146"/>
        <item m="1" x="162"/>
        <item m="1" x="182"/>
        <item m="1" x="194"/>
        <item m="1" x="210"/>
        <item m="1" x="222"/>
        <item m="1" x="235"/>
        <item m="1" x="245"/>
        <item m="1" x="2366"/>
        <item m="1" x="2316"/>
        <item m="1" x="3185"/>
        <item m="1" x="3226"/>
        <item m="1" x="3242"/>
        <item m="1" x="6333"/>
        <item m="1" x="6694"/>
        <item m="1" x="6712"/>
        <item m="1" x="3104"/>
        <item m="1" x="4284"/>
        <item m="1" x="190"/>
        <item m="1" x="2344"/>
        <item m="1" x="2325"/>
        <item m="1" x="2184"/>
        <item m="1" x="2431"/>
        <item m="1" x="4314"/>
        <item m="1" x="4334"/>
        <item m="1" x="4353"/>
        <item m="1" x="731"/>
        <item m="1" x="1686"/>
        <item m="1" x="1874"/>
        <item m="1" x="1889"/>
        <item m="1" x="1904"/>
        <item m="1" x="1670"/>
        <item m="1" x="1699"/>
        <item m="1" x="1838"/>
        <item m="1" x="1857"/>
        <item m="1" x="406"/>
        <item m="1" x="422"/>
        <item m="1" x="438"/>
        <item m="1" x="459"/>
        <item m="1" x="476"/>
        <item m="1" x="495"/>
        <item m="1" x="511"/>
        <item m="1" x="532"/>
        <item m="1" x="551"/>
        <item m="1" x="565"/>
        <item m="1" x="579"/>
        <item m="1" x="1934"/>
        <item m="1" x="3996"/>
        <item m="1" x="4067"/>
        <item m="1" x="2527"/>
        <item m="1" x="2566"/>
        <item m="1" x="2649"/>
        <item m="1" x="2669"/>
        <item m="1" x="3657"/>
        <item m="1" x="3690"/>
        <item m="1" x="4130"/>
        <item m="1" x="4361"/>
        <item m="1" x="2388"/>
        <item m="1" x="2410"/>
        <item m="1" x="2447"/>
        <item m="1" x="2507"/>
        <item m="1" x="2756"/>
        <item m="1" x="2773"/>
        <item m="1" x="2794"/>
        <item m="1" x="2834"/>
        <item m="1" x="2879"/>
        <item m="1" x="2900"/>
        <item m="1" x="3274"/>
        <item m="1" x="3440"/>
        <item m="1" x="3736"/>
        <item m="1" x="4647"/>
        <item m="1" x="4659"/>
        <item m="1" x="4608"/>
        <item m="1" x="3606"/>
        <item m="1" x="4533"/>
        <item m="1" x="608"/>
        <item m="1" x="2338"/>
        <item m="1" x="2355"/>
        <item m="1" x="2373"/>
        <item m="1" x="4628"/>
        <item m="1" x="4257"/>
        <item m="1" x="3487"/>
        <item m="1" x="4275"/>
        <item m="1" x="4306"/>
        <item m="1" x="4324"/>
        <item m="1" x="4345"/>
        <item m="1" x="2976"/>
        <item m="1" x="2995"/>
        <item m="1" x="3009"/>
        <item m="1" x="3024"/>
        <item m="1" x="3950"/>
        <item m="1" x="4026"/>
        <item m="1" x="4042"/>
        <item m="1" x="3070"/>
        <item m="1" x="3144"/>
        <item m="1" x="3176"/>
        <item m="1" x="3499"/>
        <item m="1" x="3515"/>
        <item m="1" x="3537"/>
        <item m="1" x="3640"/>
        <item m="1" x="4146"/>
        <item m="1" x="4165"/>
        <item m="1" x="4180"/>
        <item m="1" x="4195"/>
        <item m="1" x="53"/>
        <item m="1" x="68"/>
        <item m="1" x="94"/>
        <item m="1" x="122"/>
        <item m="1" x="152"/>
        <item m="1" x="166"/>
        <item m="1" x="199"/>
        <item m="1" x="79"/>
        <item m="1" x="6495"/>
        <item m="1" x="3057"/>
        <item m="1" x="3425"/>
        <item m="1" x="642"/>
        <item m="1" x="3936"/>
        <item m="1" x="427"/>
        <item m="1" x="443"/>
        <item m="1" x="518"/>
        <item m="1" x="2421"/>
        <item m="1" x="2500"/>
        <item m="1" x="2539"/>
        <item m="1" x="5624"/>
        <item m="1" x="5640"/>
        <item m="1" x="5714"/>
        <item m="1" x="5767"/>
        <item m="1" x="5822"/>
        <item m="1" x="5991"/>
        <item m="1" x="5114"/>
        <item m="1" x="5682"/>
        <item m="1" x="3008"/>
        <item m="1" x="3039"/>
        <item m="1" x="3069"/>
        <item m="1" x="3101"/>
        <item m="1" x="3126"/>
        <item m="1" x="3159"/>
        <item m="1" x="3187"/>
        <item m="1" x="3215"/>
        <item m="1" x="3244"/>
        <item m="1" x="3272"/>
        <item m="1" x="3304"/>
        <item m="1" x="4902"/>
        <item m="1" x="3352"/>
        <item m="1" x="3366"/>
        <item m="1" x="3382"/>
        <item m="1" x="3599"/>
        <item m="1" x="3614"/>
        <item m="1" x="3804"/>
        <item m="1" x="939"/>
        <item m="1" x="1128"/>
        <item m="1" x="1236"/>
        <item m="1" x="1267"/>
        <item m="1" x="1288"/>
        <item m="1" x="1303"/>
        <item m="1" x="1390"/>
        <item m="1" x="1406"/>
        <item m="1" x="1459"/>
        <item m="1" x="1487"/>
        <item m="1" x="1523"/>
        <item m="1" x="1557"/>
        <item m="1" x="1594"/>
        <item m="1" x="1607"/>
        <item m="1" x="1708"/>
        <item m="1" x="1720"/>
        <item m="1" x="1848"/>
        <item m="1" x="1866"/>
        <item m="1" x="2159"/>
        <item m="1" x="2242"/>
        <item m="1" x="2258"/>
        <item m="1" x="2333"/>
        <item m="1" x="2352"/>
        <item m="1" x="2369"/>
        <item m="1" x="2406"/>
        <item m="1" x="2424"/>
        <item m="1" x="2443"/>
        <item m="1" x="2484"/>
        <item m="1" x="2505"/>
        <item m="1" x="2546"/>
        <item m="1" x="2600"/>
        <item m="1" x="2644"/>
        <item m="1" x="2682"/>
        <item m="1" x="2703"/>
        <item m="1" x="3228"/>
        <item m="1" x="3243"/>
        <item m="1" x="5788"/>
        <item m="1" x="5805"/>
        <item m="1" x="5825"/>
        <item m="1" x="5840"/>
        <item m="1" x="5856"/>
        <item m="1" x="5875"/>
        <item m="1" x="5892"/>
        <item m="1" x="5907"/>
        <item m="1" x="6318"/>
        <item m="1" x="6335"/>
        <item m="1" x="6355"/>
        <item m="1" x="6375"/>
        <item m="1" x="6451"/>
        <item m="1" x="6470"/>
        <item m="1" x="6484"/>
        <item m="1" x="6502"/>
        <item m="1" x="6517"/>
        <item m="1" x="6535"/>
        <item m="1" x="6550"/>
        <item m="1" x="6582"/>
        <item m="1" x="6597"/>
        <item m="1" x="6616"/>
        <item m="1" x="6630"/>
        <item m="1" x="6650"/>
        <item m="1" x="6684"/>
        <item m="1" x="6697"/>
        <item m="1" x="6715"/>
        <item m="1" x="6729"/>
        <item m="1" x="6797"/>
        <item m="1" x="6877"/>
        <item m="1" x="6890"/>
        <item m="1" x="6903"/>
        <item m="1" x="6919"/>
        <item m="1" x="6938"/>
        <item m="1" x="6953"/>
        <item m="1" x="6956"/>
        <item m="1" x="4735"/>
        <item m="1" x="2783"/>
        <item m="1" x="6932"/>
        <item m="1" x="7197"/>
        <item m="1" x="7209"/>
        <item m="1" x="7228"/>
        <item m="1" x="7582"/>
        <item m="1" x="346"/>
        <item m="1" x="7051"/>
        <item m="1" x="5218"/>
        <item m="1" x="3137"/>
        <item m="1" x="7214"/>
        <item m="1" x="7223"/>
        <item m="1" x="1509"/>
        <item m="1" x="1546"/>
        <item m="1" x="1580"/>
        <item m="1" x="1668"/>
        <item m="1" x="7458"/>
        <item m="1" x="7470"/>
        <item m="1" x="7486"/>
        <item m="1" x="7496"/>
        <item m="1" x="7504"/>
        <item m="1" x="7512"/>
        <item m="1" x="7438"/>
        <item m="1" x="7445"/>
        <item m="1" x="5090"/>
        <item m="1" x="5102"/>
        <item m="1" x="5120"/>
        <item m="1" x="5136"/>
        <item m="1" x="5148"/>
        <item m="1" x="5160"/>
        <item m="1" x="5171"/>
        <item m="1" x="5197"/>
        <item m="1" x="5212"/>
        <item m="1" x="5227"/>
        <item m="1" x="5243"/>
        <item m="1" x="5260"/>
        <item m="1" x="5272"/>
        <item m="1" x="1508"/>
        <item m="1" x="3233"/>
        <item m="1" x="5669"/>
        <item m="1" x="5723"/>
        <item m="1" x="5743"/>
        <item m="1" x="5760"/>
        <item m="1" x="5776"/>
        <item m="1" x="5794"/>
        <item m="1" x="5812"/>
        <item m="1" x="5830"/>
        <item m="1" x="5845"/>
        <item m="1" x="5861"/>
        <item m="1" x="5897"/>
        <item m="1" x="5914"/>
        <item m="1" x="5927"/>
        <item m="1" x="5945"/>
        <item m="1" x="5964"/>
        <item m="1" x="5980"/>
        <item m="1" x="5996"/>
        <item m="1" x="6014"/>
        <item m="1" x="6029"/>
        <item m="1" x="6064"/>
        <item m="1" x="6088"/>
        <item m="1" x="6164"/>
        <item m="1" x="1429"/>
        <item m="1" x="2176"/>
        <item m="1" x="1478"/>
        <item m="1" x="3346"/>
        <item m="1" x="3362"/>
        <item m="1" x="3378"/>
        <item m="1" x="3411"/>
        <item m="1" x="6959"/>
        <item m="1" x="6966"/>
        <item m="1" x="6976"/>
        <item m="1" x="6981"/>
        <item m="1" x="6988"/>
        <item m="1" x="7077"/>
        <item m="1" x="7084"/>
        <item m="1" x="7092"/>
        <item m="1" x="7105"/>
        <item m="1" x="7113"/>
        <item m="1" x="7120"/>
        <item m="1" x="7129"/>
        <item m="1" x="7131"/>
        <item m="1" x="3427"/>
        <item m="1" x="7138"/>
        <item m="1" x="1771"/>
        <item m="1" x="1787"/>
        <item m="1" x="1667"/>
        <item m="1" x="1682"/>
        <item m="1" x="1696"/>
        <item m="1" x="1726"/>
        <item m="1" x="1742"/>
        <item m="1" x="5339"/>
        <item m="1" x="5358"/>
        <item m="1" x="5369"/>
        <item m="1" x="5386"/>
        <item m="1" x="5398"/>
        <item m="1" x="5418"/>
        <item m="1" x="5431"/>
        <item m="1" x="5445"/>
        <item m="1" x="5458"/>
        <item m="1" x="5477"/>
        <item m="1" x="7598"/>
        <item m="1" x="7602"/>
        <item m="1" x="7619"/>
        <item m="1" x="7624"/>
        <item m="1" x="7628"/>
        <item m="1" x="7631"/>
        <item m="1" x="2199"/>
        <item m="1" x="1971"/>
        <item m="1" x="1870"/>
        <item m="1" x="1225"/>
        <item m="1" x="5604"/>
        <item m="1" x="5538"/>
        <item m="1" x="5571"/>
        <item m="1" x="5326"/>
        <item m="1" x="3011"/>
        <item m="1" x="6570"/>
        <item m="1" x="6604"/>
        <item m="1" x="7594"/>
        <item m="1" x="1887"/>
        <item m="1" x="1900"/>
        <item m="1" x="6970"/>
        <item m="1" x="3626"/>
        <item m="1" x="7687"/>
        <item m="1" x="684"/>
        <item m="1" x="1340"/>
        <item m="1" x="830"/>
        <item m="1" x="1528"/>
        <item m="1" x="1545"/>
        <item m="1" x="1561"/>
        <item m="1" x="1579"/>
        <item m="1" x="1818"/>
        <item m="1" x="1833"/>
        <item m="1" x="1854"/>
        <item m="1" x="3541"/>
        <item m="1" x="3562"/>
        <item m="1" x="3580"/>
        <item m="1" x="3593"/>
        <item m="1" x="3609"/>
        <item m="1" x="6255"/>
        <item m="1" x="6268"/>
        <item m="1" x="6288"/>
        <item m="1" x="6297"/>
        <item m="1" x="6309"/>
        <item m="1" x="6324"/>
        <item m="1" x="6340"/>
        <item m="1" x="6360"/>
        <item m="1" x="6384"/>
        <item m="1" x="6400"/>
        <item m="1" x="6457"/>
        <item m="1" x="6474"/>
        <item m="1" x="6491"/>
        <item m="1" x="6508"/>
        <item m="1" x="6523"/>
        <item m="1" x="6621"/>
        <item m="1" x="6635"/>
        <item m="1" x="6992"/>
        <item m="1" x="6998"/>
        <item m="1" x="7005"/>
        <item m="1" x="7012"/>
        <item m="1" x="7017"/>
        <item m="1" x="7021"/>
        <item m="1" x="7025"/>
        <item m="1" x="7029"/>
        <item m="1" x="7032"/>
        <item m="1" x="7038"/>
        <item m="1" x="7041"/>
        <item m="1" x="7046"/>
        <item m="1" x="7050"/>
        <item m="1" x="7055"/>
        <item m="1" x="7061"/>
        <item m="1" x="7068"/>
        <item m="1" x="7071"/>
        <item m="1" x="1441"/>
        <item m="1" x="3387"/>
        <item m="1" x="5531"/>
        <item m="1" x="5616"/>
        <item m="1" x="5662"/>
        <item m="1" x="1424"/>
        <item m="1" x="1520"/>
        <item m="1" x="3434"/>
        <item m="1" x="5548"/>
        <item m="1" x="5564"/>
        <item m="1" x="5582"/>
        <item m="1" x="5598"/>
        <item m="1" x="5629"/>
        <item m="1" x="5644"/>
        <item m="1" x="5681"/>
        <item m="1" x="5156"/>
        <item m="1" x="3822"/>
        <item m="1" x="5066"/>
        <item m="1" x="5085"/>
        <item m="1" x="5096"/>
        <item m="1" x="5470"/>
        <item m="1" x="3572"/>
        <item m="1" x="5351"/>
        <item m="1" x="5365"/>
        <item m="1" x="5380"/>
        <item m="1" x="5395"/>
        <item m="1" x="5410"/>
        <item m="1" x="5428"/>
        <item m="1" x="3932"/>
        <item m="1" x="3946"/>
        <item m="1" x="3959"/>
        <item m="1" x="5293"/>
        <item m="1" x="3637"/>
        <item m="1" x="7494"/>
        <item m="1" x="5168"/>
        <item m="1" x="7281"/>
        <item m="1" x="7284"/>
        <item m="1" x="7367"/>
        <item m="1" x="7421"/>
        <item m="1" x="7424"/>
        <item m="1" x="7378"/>
        <item m="1" x="7382"/>
        <item m="1" x="7288"/>
        <item m="1" x="7292"/>
        <item m="1" x="7321"/>
        <item m="1" x="7326"/>
        <item m="1" x="7330"/>
        <item m="1" x="5456"/>
        <item m="1" x="430"/>
        <item m="1" x="447"/>
        <item m="1" x="465"/>
        <item m="1" x="483"/>
        <item m="1" x="500"/>
        <item m="1" x="520"/>
        <item m="1" x="537"/>
        <item m="1" x="556"/>
        <item m="1" x="568"/>
        <item m="1" x="586"/>
        <item m="1" x="601"/>
        <item m="1" x="625"/>
        <item m="1" x="644"/>
        <item m="1" x="665"/>
        <item m="1" x="7476"/>
        <item m="1" x="7394"/>
        <item m="1" x="7244"/>
        <item m="1" x="7261"/>
        <item m="1" x="5079"/>
        <item m="1" x="3921"/>
        <item m="1" x="7087"/>
        <item m="1" x="7655"/>
        <item m="1" x="702"/>
        <item m="1" x="7428"/>
        <item m="1" x="3604"/>
        <item m="1" x="3618"/>
        <item m="1" x="5194"/>
        <item m="1" x="5224"/>
        <item m="1" x="5239"/>
        <item m="1" x="5254"/>
        <item m="1" x="5111"/>
        <item m="1" x="7081"/>
        <item m="1" x="3765"/>
        <item m="1" x="7047"/>
        <item m="1" x="7057"/>
        <item m="1" x="7130"/>
        <item m="1" x="7134"/>
        <item m="1" x="7398"/>
        <item m="1" x="4151"/>
        <item m="1" x="4184"/>
        <item m="1" x="4296"/>
        <item m="1" x="98"/>
        <item m="1" x="139"/>
        <item m="1" x="173"/>
        <item m="1" x="230"/>
        <item m="1" x="241"/>
        <item m="1" x="2323"/>
        <item m="1" x="2343"/>
        <item m="1" x="2472"/>
        <item m="1" x="840"/>
        <item m="1" x="4418"/>
        <item m="1" x="4584"/>
        <item m="1" x="4280"/>
        <item m="1" x="4512"/>
        <item m="1" x="4383"/>
        <item m="1" x="4136"/>
        <item m="1" x="4996"/>
        <item m="1" x="6477"/>
        <item m="1" x="5123"/>
        <item m="1" x="6050"/>
        <item m="1" x="6092"/>
        <item m="1" x="6298"/>
        <item m="1" x="6311"/>
        <item m="1" x="2396"/>
        <item m="1" x="6181"/>
        <item m="1" x="5174"/>
        <item m="1" x="5186"/>
        <item m="1" x="5200"/>
        <item m="1" x="5214"/>
        <item m="1" x="4983"/>
        <item m="1" x="5230"/>
        <item m="1" x="5950"/>
        <item m="1" x="2048"/>
        <item m="1" x="6067"/>
        <item m="1" x="6018"/>
        <item m="1" x="5057"/>
        <item m="1" x="6257"/>
        <item m="1" x="7430"/>
        <item m="1" x="7435"/>
        <item m="1" x="4957"/>
        <item m="1" x="7338"/>
        <item m="1" x="7551"/>
        <item m="1" x="7405"/>
        <item m="1" x="7408"/>
        <item m="1" x="7665"/>
        <item m="1" x="4732"/>
        <item m="1" x="4858"/>
        <item m="1" x="4910"/>
        <item m="1" x="5690"/>
        <item m="1" x="5747"/>
        <item m="1" x="7369"/>
        <item m="1" x="7373"/>
        <item m="1" x="7381"/>
        <item m="1" x="7427"/>
        <item m="1" x="7673"/>
        <item m="1" x="7683"/>
        <item m="1" x="7688"/>
        <item m="1" x="4894"/>
        <item m="1" x="5779"/>
        <item m="1" x="4942"/>
        <item m="1" x="7333"/>
        <item m="1" x="2455"/>
        <item m="1" x="7320"/>
        <item m="1" x="7353"/>
        <item m="1" x="4157"/>
        <item m="1" x="4748"/>
        <item m="1" x="7384"/>
        <item m="1" x="7446"/>
        <item m="1" x="7453"/>
        <item m="1" x="7459"/>
        <item m="1" x="7467"/>
        <item m="1" x="7471"/>
        <item m="1" x="7481"/>
        <item m="1" x="7487"/>
        <item m="1" x="7533"/>
        <item m="1" x="7537"/>
        <item m="1" x="7544"/>
        <item m="1" x="7557"/>
        <item m="1" x="7560"/>
        <item m="1" x="7564"/>
        <item m="1" x="7566"/>
        <item m="1" x="7573"/>
        <item m="1" x="7576"/>
        <item m="1" x="7581"/>
        <item m="1" x="7586"/>
        <item m="1" x="7615"/>
        <item m="1" x="7620"/>
        <item m="1" x="7625"/>
        <item m="1" x="7629"/>
        <item m="1" x="7632"/>
        <item m="1" x="7636"/>
        <item m="1" x="7638"/>
        <item m="1" x="7642"/>
        <item m="1" x="7653"/>
        <item m="1" x="131"/>
        <item m="1" x="149"/>
        <item m="1" x="2414"/>
        <item m="1" x="7324"/>
        <item m="1" x="7341"/>
        <item m="1" x="7345"/>
        <item m="1" x="7349"/>
        <item m="1" x="7358"/>
        <item m="1" x="7376"/>
        <item m="1" x="4161"/>
        <item m="1" x="2318"/>
        <item m="1" x="2172"/>
        <item m="1" x="2192"/>
        <item m="1" x="3422"/>
        <item m="1" x="3767"/>
        <item m="1" x="4342"/>
        <item m="1" x="3807"/>
        <item m="1" x="3850"/>
        <item m="1" x="3867"/>
        <item m="1" x="3935"/>
        <item m="1" x="4192"/>
        <item m="1" x="486"/>
        <item m="1" x="502"/>
        <item m="1" x="523"/>
        <item m="1" x="540"/>
        <item m="1" x="2807"/>
        <item m="1" x="3977"/>
        <item m="1" x="7329"/>
        <item m="1" x="4255"/>
        <item m="1" x="282"/>
        <item m="1" x="3082"/>
        <item m="1" x="7064"/>
        <item m="1" x="7219"/>
        <item m="1" x="7313"/>
        <item m="1" x="5060"/>
        <item m="1" x="4499"/>
        <item m="1" x="5080"/>
        <item m="1" x="294"/>
        <item m="1" x="308"/>
        <item m="1" x="318"/>
        <item m="1" x="332"/>
        <item m="1" x="347"/>
        <item m="1" x="364"/>
        <item m="1" x="376"/>
        <item m="1" x="388"/>
        <item m="1" x="410"/>
        <item m="1" x="424"/>
        <item m="1" x="440"/>
        <item m="1" x="461"/>
        <item m="1" x="479"/>
        <item m="1" x="496"/>
        <item m="1" x="514"/>
        <item m="1" x="678"/>
        <item m="1" x="699"/>
        <item m="1" x="714"/>
        <item m="1" x="735"/>
        <item m="1" x="753"/>
        <item m="1" x="774"/>
        <item m="1" x="790"/>
        <item m="1" x="809"/>
        <item m="1" x="825"/>
        <item m="1" x="847"/>
        <item m="1" x="862"/>
        <item m="1" x="882"/>
        <item m="1" x="900"/>
        <item m="1" x="998"/>
        <item m="1" x="1050"/>
        <item m="1" x="6261"/>
        <item m="1" x="5516"/>
        <item m="1" x="5527"/>
        <item m="1" x="5561"/>
        <item m="1" x="5610"/>
        <item m="1" x="5639"/>
        <item m="1" x="5675"/>
        <item m="1" x="5694"/>
        <item m="1" x="5730"/>
        <item m="1" x="6485"/>
        <item m="1" x="3174"/>
        <item m="1" x="2296"/>
        <item m="1" x="2313"/>
        <item m="1" x="2327"/>
        <item m="1" x="1997"/>
        <item m="1" x="6503"/>
        <item m="1" x="2751"/>
        <item m="1" x="2768"/>
        <item m="1" x="7088"/>
        <item m="1" x="7111"/>
        <item m="1" x="7299"/>
        <item m="1" x="414"/>
        <item m="1" x="3100"/>
        <item m="1" x="6564"/>
        <item m="1" x="7185"/>
        <item m="1" x="6343"/>
        <item m="1" x="6364"/>
        <item m="1" x="6387"/>
        <item m="1" x="6403"/>
        <item m="1" x="2243"/>
        <item m="1" x="4375"/>
        <item m="1" x="6170"/>
        <item m="1" x="5303"/>
        <item m="1" x="5314"/>
        <item m="1" x="6096"/>
        <item m="1" x="6843"/>
        <item m="1" x="7600"/>
        <item m="1" x="6660"/>
        <item m="1" x="186"/>
        <item m="1" x="81"/>
        <item m="1" x="546"/>
        <item m="1" x="612"/>
        <item m="1" x="631"/>
        <item m="1" x="783"/>
        <item m="1" x="252"/>
        <item m="1" x="286"/>
        <item m="1" x="301"/>
        <item m="1" x="355"/>
        <item m="1" x="6515"/>
        <item m="1" x="2653"/>
        <item m="1" x="2670"/>
        <item m="1" x="2689"/>
        <item m="1" x="2739"/>
        <item m="1" x="2776"/>
        <item m="1" x="4349"/>
        <item m="1" x="2569"/>
        <item m="1" x="2587"/>
        <item m="1" x="2607"/>
        <item m="1" x="2797"/>
        <item m="1" x="2997"/>
        <item m="1" x="3012"/>
        <item m="1" x="3563"/>
        <item m="1" x="3594"/>
        <item m="1" x="435"/>
        <item m="1" x="453"/>
        <item m="1" x="472"/>
        <item m="1" x="490"/>
        <item m="1" x="508"/>
        <item m="1" x="575"/>
        <item m="1" x="591"/>
        <item m="1" x="4013"/>
        <item m="1" x="3827"/>
        <item m="1" x="3855"/>
        <item m="1" x="3882"/>
        <item m="1" x="3896"/>
        <item m="1" x="3911"/>
        <item m="1" x="3926"/>
        <item m="1" x="3939"/>
        <item m="1" x="2814"/>
        <item m="1" x="2963"/>
        <item m="1" x="3026"/>
        <item m="1" x="3042"/>
        <item m="1" x="4216"/>
        <item m="1" x="6800"/>
        <item m="1" x="6982"/>
        <item m="1" x="6999"/>
        <item m="1" x="7006"/>
        <item m="1" x="7022"/>
        <item m="1" x="7033"/>
        <item m="1" x="7072"/>
        <item m="1" x="6605"/>
        <item m="1" x="4149"/>
        <item m="1" x="4381"/>
        <item m="1" x="4510"/>
        <item m="1" x="4538"/>
        <item m="1" x="7106"/>
        <item m="1" x="7114"/>
        <item m="1" x="7121"/>
        <item m="1" x="7263"/>
        <item m="1" x="7272"/>
        <item m="1" x="7290"/>
        <item m="1" x="7201"/>
        <item m="1" x="7246"/>
        <item m="1" x="7249"/>
        <item m="1" x="7236"/>
        <item m="1" x="7363"/>
        <item m="1" x="7207"/>
        <item m="1" x="201"/>
        <item m="1" x="7204"/>
        <item m="1" x="7217"/>
        <item m="1" x="1529"/>
        <item m="1" x="2582"/>
        <item m="1" x="7664"/>
        <item m="1" x="7671"/>
        <item m="1" x="2400"/>
        <item m="1" x="2437"/>
        <item m="1" x="4232"/>
        <item m="1" x="4267"/>
        <item m="1" x="4299"/>
        <item m="1" x="4336"/>
        <item m="1" x="4369"/>
        <item m="1" x="4404"/>
        <item m="1" x="4437"/>
        <item m="1" x="4460"/>
        <item m="1" x="4485"/>
        <item m="1" x="4516"/>
        <item m="1" x="4545"/>
        <item m="1" x="4574"/>
        <item m="1" x="4600"/>
        <item m="1" x="4637"/>
        <item m="1" x="4669"/>
        <item m="1" x="4701"/>
        <item m="1" x="4736"/>
        <item m="1" x="4765"/>
        <item m="1" x="4792"/>
        <item m="1" x="4816"/>
        <item m="1" x="4846"/>
        <item m="1" x="4883"/>
        <item m="1" x="4916"/>
        <item m="1" x="4947"/>
        <item m="1" x="4973"/>
        <item m="1" x="5002"/>
        <item m="1" x="5032"/>
        <item m="1" x="5061"/>
        <item m="1" x="5093"/>
        <item m="1" x="5128"/>
        <item m="1" x="5154"/>
        <item m="1" x="5178"/>
        <item m="1" x="5205"/>
        <item m="1" x="5234"/>
        <item m="1" x="5265"/>
        <item m="1" x="5288"/>
        <item m="1" x="1589"/>
        <item m="1" x="1604"/>
        <item m="1" x="1622"/>
        <item m="1" x="1022"/>
        <item m="1" x="1037"/>
        <item m="1" x="1054"/>
        <item m="1" x="1111"/>
        <item m="1" x="1126"/>
        <item m="1" x="1388"/>
        <item m="1" x="1403"/>
        <item m="1" x="1499"/>
        <item m="1" x="1521"/>
        <item m="1" x="3037"/>
        <item m="1" x="3052"/>
        <item m="1" x="3067"/>
        <item m="1" x="4722"/>
        <item m="1" x="4818"/>
        <item m="1" x="5020"/>
        <item m="1" x="5143"/>
        <item m="1" x="5169"/>
        <item m="1" x="2085"/>
        <item m="1" x="2105"/>
        <item m="1" x="2121"/>
        <item m="1" x="2171"/>
        <item m="1" x="2206"/>
        <item m="1" x="2231"/>
        <item m="1" x="2239"/>
        <item m="1" x="2257"/>
        <item m="1" x="2299"/>
        <item m="1" x="2317"/>
        <item m="1" x="3157"/>
        <item m="1" x="5308"/>
        <item m="1" x="5937"/>
        <item m="1" x="652"/>
        <item m="1" x="6581"/>
        <item m="1" x="5255"/>
        <item m="1" x="2680"/>
        <item m="1" x="2702"/>
        <item m="1" x="2715"/>
        <item m="1" x="5490"/>
        <item m="1" x="5505"/>
        <item m="1" x="5519"/>
        <item m="1" x="5549"/>
        <item m="1" x="6859"/>
        <item m="1" x="6901"/>
        <item m="1" x="6889"/>
        <item m="1" x="6972"/>
        <item m="1" x="6974"/>
        <item m="1" x="6980"/>
        <item m="1" x="7003"/>
        <item m="1" x="7009"/>
        <item m="1" x="5366"/>
        <item m="1" x="6967"/>
        <item m="1" x="6060"/>
        <item m="1" x="6207"/>
        <item m="1" x="6236"/>
        <item m="1" x="6264"/>
        <item m="1" x="6278"/>
        <item m="1" x="6334"/>
        <item m="1" x="6374"/>
        <item m="1" x="6468"/>
        <item m="1" x="2748"/>
        <item m="1" x="5279"/>
        <item m="1" x="3394"/>
        <item m="1" x="3428"/>
        <item m="1" x="3460"/>
        <item m="1" x="3489"/>
        <item m="1" x="3519"/>
        <item m="1" x="3595"/>
        <item m="1" x="3722"/>
        <item m="1" x="6688"/>
        <item m="1" x="7451"/>
        <item m="1" x="7456"/>
        <item m="1" x="7464"/>
        <item m="1" x="7469"/>
        <item m="1" x="7477"/>
        <item m="1" x="7694"/>
        <item m="1" x="7548"/>
        <item m="1" x="6534"/>
        <item m="1" x="7523"/>
        <item m="1" x="7525"/>
        <item m="1" x="7531"/>
        <item m="1" x="7535"/>
        <item m="1" x="7175"/>
        <item m="1" x="7179"/>
        <item m="1" x="7184"/>
        <item m="1" x="7187"/>
        <item m="1" x="7191"/>
        <item m="1" x="7195"/>
        <item m="1" x="7200"/>
        <item m="1" x="7206"/>
        <item m="1" x="7213"/>
        <item m="1" x="7222"/>
        <item m="1" x="7232"/>
        <item m="1" x="7237"/>
        <item m="1" x="7242"/>
        <item m="1" x="7251"/>
        <item m="1" x="7258"/>
        <item m="1" x="7269"/>
        <item m="1" x="7279"/>
        <item m="1" x="7286"/>
        <item m="1" x="7296"/>
        <item m="1" x="7304"/>
        <item m="1" x="7315"/>
        <item m="1" x="7323"/>
        <item m="1" x="7332"/>
        <item m="1" x="7340"/>
        <item m="1" x="7348"/>
        <item m="1" x="7357"/>
        <item m="1" x="155"/>
        <item m="1" x="703"/>
        <item m="1" x="6978"/>
        <item m="1" x="6984"/>
        <item m="1" x="5076"/>
        <item m="1" x="4814"/>
        <item m="1" x="4860"/>
        <item m="1" x="6962"/>
        <item m="1" x="4972"/>
        <item m="1" x="7080"/>
        <item m="1" x="7101"/>
        <item m="1" x="7116"/>
        <item m="1" x="7123"/>
        <item m="1" x="7141"/>
        <item m="1" x="7413"/>
        <item m="1" x="191"/>
        <item m="1" x="4668"/>
        <item m="1" x="4684"/>
        <item m="1" x="4715"/>
        <item m="1" x="4880"/>
        <item m="1" x="4897"/>
        <item m="1" x="4845"/>
        <item m="1" x="1016"/>
        <item m="1" x="1180"/>
        <item m="1" x="1197"/>
        <item m="1" x="4086"/>
        <item m="1" x="3493"/>
        <item m="1" x="3524"/>
        <item m="1" x="460"/>
        <item m="1" x="177"/>
        <item m="1" x="386"/>
        <item m="1" x="407"/>
        <item m="1" x="423"/>
        <item m="1" x="3584"/>
        <item m="1" x="3743"/>
        <item m="1" x="6354"/>
        <item m="1" x="1059"/>
        <item m="1" x="1088"/>
        <item m="1" x="1115"/>
        <item m="1" x="1142"/>
        <item m="1" x="1173"/>
        <item m="1" x="1207"/>
        <item m="1" x="1239"/>
        <item m="1" x="1272"/>
        <item m="1" x="1306"/>
        <item m="1" x="1345"/>
        <item m="1" x="1376"/>
        <item m="1" x="1410"/>
        <item m="1" x="1447"/>
        <item m="1" x="1475"/>
        <item m="1" x="1504"/>
        <item m="1" x="1543"/>
        <item m="1" x="1577"/>
        <item m="1" x="1612"/>
        <item m="1" x="1639"/>
        <item m="1" x="1665"/>
        <item m="1" x="1695"/>
        <item m="1" x="1725"/>
        <item m="1" x="1751"/>
        <item m="1" x="1785"/>
        <item m="1" x="1816"/>
        <item m="1" x="1852"/>
        <item m="1" x="1885"/>
        <item m="1" x="2449"/>
        <item m="1" x="1409"/>
        <item m="1" x="2072"/>
        <item m="1" x="2092"/>
        <item m="1" x="2278"/>
        <item m="1" x="1917"/>
        <item m="1" x="2143"/>
        <item m="1" x="2262"/>
        <item m="1" x="2356"/>
        <item m="1" x="2374"/>
        <item m="1" x="2389"/>
        <item m="1" x="1638"/>
        <item m="1" x="1131"/>
        <item m="1" x="1560"/>
        <item m="1" x="3516"/>
        <item m="1" x="5773"/>
        <item m="1" x="2448"/>
        <item m="1" x="5685"/>
        <item m="1" x="5702"/>
        <item m="1" x="5721"/>
        <item m="1" x="5758"/>
        <item m="1" x="6126"/>
        <item m="1" x="3576"/>
        <item m="1" x="5414"/>
        <item m="1" x="5296"/>
        <item m="1" x="5323"/>
        <item m="1" x="5336"/>
        <item m="1" x="5355"/>
        <item m="1" x="5397"/>
        <item m="1" x="5569"/>
        <item m="1" x="3559"/>
        <item m="1" x="7623"/>
        <item m="1" x="7572"/>
        <item m="1" x="7530"/>
        <item m="1" x="7542"/>
        <item m="1" x="7554"/>
        <item m="1" x="7562"/>
        <item m="1" x="7570"/>
        <item m="1" x="7144"/>
        <item m="1" x="7151"/>
        <item m="1" x="7158"/>
        <item m="1" x="7164"/>
        <item m="1" x="7169"/>
        <item m="1" x="7173"/>
        <item m="1" x="7177"/>
        <item m="1" x="467"/>
        <item m="1" x="524"/>
        <item m="1" x="541"/>
        <item m="1" x="557"/>
        <item m="1" x="589"/>
        <item m="1" x="705"/>
        <item m="1" x="719"/>
        <item m="1" x="741"/>
        <item m="1" x="868"/>
        <item m="1" x="940"/>
        <item m="1" x="964"/>
        <item m="1" x="982"/>
        <item m="1" x="1005"/>
        <item m="1" x="3544"/>
        <item m="1" x="5557"/>
        <item m="1" x="5572"/>
        <item m="1" x="5588"/>
        <item m="1" x="5605"/>
        <item m="1" x="5651"/>
        <item m="1" x="5708"/>
        <item m="1" x="5726"/>
        <item m="1" x="5748"/>
        <item m="1" x="5762"/>
        <item m="1" x="5780"/>
        <item m="1" x="5797"/>
        <item m="1" x="5832"/>
        <item m="1" x="5848"/>
        <item m="1" x="5863"/>
        <item m="1" x="5883"/>
        <item m="1" x="5900"/>
        <item m="1" x="5917"/>
        <item m="1" x="5929"/>
        <item m="1" x="5951"/>
        <item m="1" x="5967"/>
        <item m="1" x="5985"/>
        <item m="1" x="5999"/>
        <item m="1" x="6019"/>
        <item m="1" x="6032"/>
        <item m="1" x="6590"/>
        <item m="1" x="6608"/>
        <item m="1" x="6623"/>
        <item m="1" x="6638"/>
        <item m="1" x="6657"/>
        <item m="1" x="6671"/>
        <item m="1" x="6691"/>
        <item m="1" x="6722"/>
        <item m="1" x="6737"/>
        <item m="1" x="6755"/>
        <item m="1" x="6770"/>
        <item m="1" x="6786"/>
        <item m="1" x="6803"/>
        <item m="1" x="6822"/>
        <item m="1" x="6836"/>
        <item m="1" x="6852"/>
        <item m="1" x="1782"/>
        <item m="1" x="1812"/>
        <item m="1" x="1846"/>
        <item m="1" x="1881"/>
        <item m="1" x="1911"/>
        <item m="1" x="1941"/>
        <item m="1" x="1967"/>
        <item m="1" x="2000"/>
        <item m="1" x="2028"/>
        <item m="1" x="2056"/>
        <item m="1" x="2086"/>
        <item m="1" x="2122"/>
        <item m="1" x="2157"/>
        <item m="1" x="2188"/>
        <item m="1" x="2217"/>
        <item m="1" x="2240"/>
        <item m="1" x="2272"/>
        <item m="1" x="2300"/>
        <item m="1" x="2331"/>
        <item m="1" x="2367"/>
        <item m="1" x="2404"/>
        <item m="1" x="2440"/>
        <item m="1" x="2482"/>
        <item m="1" x="2522"/>
        <item m="1" x="2560"/>
        <item m="1" x="2598"/>
        <item m="1" x="2642"/>
        <item m="1" x="2716"/>
        <item m="1" x="2749"/>
        <item m="1" x="2787"/>
        <item m="1" x="2827"/>
        <item m="1" x="2859"/>
        <item m="1" x="2892"/>
        <item m="1" x="2926"/>
        <item m="1" x="2955"/>
        <item m="1" x="1897"/>
        <item m="1" x="1767"/>
        <item m="1" x="1913"/>
        <item m="1" x="1942"/>
        <item m="1" x="3768"/>
        <item m="1" x="1342"/>
        <item m="1" x="1268"/>
        <item m="1" x="1289"/>
        <item m="1" x="1304"/>
        <item m="1" x="3851"/>
        <item m="1" x="7226"/>
        <item m="1" x="362"/>
        <item m="1" x="387"/>
        <item m="1" x="409"/>
        <item m="1" x="439"/>
        <item m="1" x="478"/>
        <item m="1" x="512"/>
        <item m="1" x="552"/>
        <item m="1" x="581"/>
        <item m="1" x="617"/>
        <item m="1" x="658"/>
        <item m="1" x="698"/>
        <item m="1" x="733"/>
        <item m="1" x="772"/>
        <item m="1" x="808"/>
        <item m="1" x="845"/>
        <item m="1" x="879"/>
        <item m="1" x="919"/>
        <item m="1" x="4959"/>
        <item m="1" x="7448"/>
        <item m="1" x="7461"/>
        <item m="1" x="7472"/>
        <item m="1" x="7489"/>
        <item m="1" x="7499"/>
        <item m="1" x="7507"/>
        <item m="1" x="7514"/>
        <item m="1" x="7521"/>
        <item m="1" x="7528"/>
        <item m="1" x="7539"/>
        <item m="1" x="7553"/>
        <item m="1" x="7561"/>
        <item m="1" x="7568"/>
        <item m="1" x="7579"/>
        <item m="1" x="7585"/>
        <item m="1" x="7588"/>
        <item m="1" x="7590"/>
        <item m="1" x="7596"/>
        <item m="1" x="7604"/>
        <item m="1" x="7609"/>
        <item m="1" x="7616"/>
        <item m="1" x="7626"/>
        <item m="1" x="7634"/>
        <item m="1" x="7639"/>
        <item m="1" x="7647"/>
        <item m="1" x="7651"/>
        <item m="1" x="7656"/>
        <item m="1" x="7661"/>
        <item m="1" x="7668"/>
        <item m="1" x="7679"/>
        <item m="1" x="7689"/>
        <item m="1" x="7698"/>
        <item m="1" x="2435"/>
        <item m="1" x="2023"/>
        <item m="1" x="2039"/>
        <item m="1" x="2080"/>
        <item m="1" x="2253"/>
        <item m="1" x="2328"/>
        <item m="1" x="3818"/>
        <item m="1" x="7198"/>
        <item m="1" x="6097"/>
        <item m="1" x="4815"/>
        <item m="1" x="4913"/>
        <item m="1" x="54"/>
        <item m="1" x="6537"/>
        <item m="1" x="4043"/>
        <item m="1" x="4507"/>
        <item m="1" x="416"/>
        <item m="1" x="487"/>
        <item m="1" x="609"/>
        <item m="1" x="668"/>
        <item m="1" x="6766"/>
        <item m="1" x="6782"/>
        <item m="1" x="6817"/>
        <item m="1" x="6831"/>
        <item m="1" x="6848"/>
        <item m="1" x="6862"/>
        <item m="1" x="3706"/>
        <item m="1" x="4027"/>
        <item m="1" x="4965"/>
        <item m="1" x="7443"/>
        <item m="1" x="2626"/>
        <item m="1" x="4258"/>
        <item m="1" x="4276"/>
        <item m="1" x="4307"/>
        <item m="1" x="4325"/>
        <item m="1" x="4346"/>
        <item m="1" x="4393"/>
        <item m="1" x="4196"/>
        <item m="1" x="4211"/>
        <item m="1" x="7037"/>
        <item m="1" x="7040"/>
        <item m="1" x="7045"/>
        <item m="1" x="7049"/>
        <item m="1" x="7054"/>
        <item m="1" x="7060"/>
        <item m="1" x="7067"/>
        <item m="1" x="7070"/>
        <item m="1" x="7076"/>
        <item m="1" x="7083"/>
        <item m="1" x="7091"/>
        <item m="1" x="7098"/>
        <item m="1" x="7104"/>
        <item m="1" x="7119"/>
        <item m="1" x="6666"/>
        <item m="1" x="6686"/>
        <item m="1" x="6700"/>
        <item m="1" x="828"/>
        <item m="1" x="624"/>
        <item m="1" x="739"/>
        <item m="1" x="662"/>
        <item m="1" x="681"/>
        <item m="1" x="5703"/>
        <item m="1" x="5741"/>
        <item m="1" x="5774"/>
        <item m="1" x="5843"/>
        <item m="1" x="5810"/>
        <item m="1" x="5879"/>
        <item m="1" x="5911"/>
        <item m="1" x="5942"/>
        <item m="1" x="5978"/>
        <item m="1" x="7546"/>
        <item m="1" x="5612"/>
        <item m="1" x="5641"/>
        <item m="1" x="7565"/>
        <item m="1" x="7589"/>
        <item m="1" x="7591"/>
        <item m="1" x="7595"/>
        <item m="1" x="7597"/>
        <item m="1" x="7599"/>
        <item m="1" x="7605"/>
        <item m="1" x="7607"/>
        <item m="1" x="7610"/>
        <item m="1" x="7613"/>
        <item m="1" x="7617"/>
        <item m="1" x="7627"/>
        <item m="1" x="7630"/>
        <item m="1" x="7635"/>
        <item m="1" x="7637"/>
        <item m="1" x="7640"/>
        <item m="1" x="7644"/>
        <item m="1" x="7648"/>
        <item m="1" x="7650"/>
        <item m="1" x="7652"/>
        <item m="1" x="7654"/>
        <item m="1" x="7657"/>
        <item m="1" x="7659"/>
        <item m="1" x="7666"/>
        <item m="1" x="7680"/>
        <item m="1" x="7685"/>
        <item m="1" x="7690"/>
        <item m="1" x="7693"/>
        <item m="1" x="7475"/>
        <item m="1" x="7483"/>
        <item m="1" x="7493"/>
        <item m="1" x="5768"/>
        <item m="1" x="6979"/>
        <item m="1" x="6985"/>
        <item m="1" x="6990"/>
        <item m="1" x="6994"/>
        <item m="1" x="7002"/>
        <item m="1" x="7008"/>
        <item m="1" x="7014"/>
        <item m="1" x="6761"/>
        <item m="1" x="6627"/>
        <item m="1" x="6646"/>
        <item m="1" x="6370"/>
        <item m="1" x="6960"/>
        <item m="1" x="6963"/>
        <item m="1" x="6056"/>
        <item m="1" x="6077"/>
        <item m="1" x="6100"/>
        <item m="1" x="6119"/>
        <item m="1" x="6155"/>
        <item m="1" x="6173"/>
        <item m="1" x="6191"/>
        <item m="1" x="6204"/>
        <item m="1" x="6221"/>
        <item m="1" x="6234"/>
        <item m="1" x="6247"/>
        <item m="1" x="6262"/>
        <item m="1" x="6275"/>
        <item m="1" x="6302"/>
        <item m="1" x="6315"/>
        <item m="1" x="6873"/>
        <item m="1" x="6887"/>
        <item m="1" x="6916"/>
        <item m="1" x="6935"/>
        <item m="1" x="6949"/>
        <item m="1" x="6958"/>
        <item m="1" x="327"/>
        <item m="1" x="6279"/>
        <item m="1" x="2310"/>
        <item m="1" x="2034"/>
        <item m="1" x="2095"/>
        <item m="1" x="2128"/>
        <item m="1" x="2163"/>
        <item m="1" x="2200"/>
        <item m="1" x="2223"/>
        <item m="1" x="2247"/>
        <item m="1" x="2279"/>
        <item m="1" x="2307"/>
        <item m="1" x="2341"/>
        <item m="1" x="2375"/>
        <item m="1" x="2411"/>
        <item m="1" x="2452"/>
        <item m="1" x="2530"/>
        <item m="1" x="2570"/>
        <item m="1" x="2608"/>
        <item m="1" x="2654"/>
        <item m="1" x="2690"/>
        <item m="1" x="2757"/>
        <item m="1" x="2798"/>
        <item m="1" x="2836"/>
        <item m="1" x="2933"/>
        <item m="1" x="2964"/>
        <item m="1" x="3027"/>
        <item m="1" x="5539"/>
        <item m="1" x="5670"/>
        <item m="1" x="5705"/>
        <item m="1" x="5744"/>
        <item m="1" x="5777"/>
        <item m="1" x="5814"/>
        <item m="1" x="5846"/>
        <item m="1" x="5881"/>
        <item m="1" x="5915"/>
        <item m="1" x="5946"/>
        <item m="1" x="5981"/>
        <item m="1" x="6015"/>
        <item m="1" x="6047"/>
        <item m="1" x="6089"/>
        <item m="1" x="6129"/>
        <item m="1" x="7234"/>
        <item m="1" x="7437"/>
        <item m="1" x="7375"/>
        <item m="1" x="7379"/>
        <item m="1" x="7383"/>
        <item m="1" x="7484"/>
        <item m="1" x="7526"/>
        <item m="1" x="7532"/>
        <item m="1" x="7536"/>
        <item m="1" x="7549"/>
        <item m="1" x="5795"/>
        <item m="1" x="7667"/>
        <item m="1" x="7672"/>
        <item m="1" x="6194"/>
        <item m="1" x="6208"/>
        <item m="1" x="6237"/>
        <item m="1" x="6250"/>
        <item m="1" x="7172"/>
        <item m="1" x="2287"/>
        <item m="1" x="7189"/>
        <item m="1" x="7193"/>
        <item m="1" x="7276"/>
        <item m="1" x="7233"/>
        <item m="1" x="7238"/>
        <item m="1" x="7240"/>
        <item m="1" x="7262"/>
        <item m="1" x="7267"/>
        <item m="1" x="7271"/>
        <item m="1" x="7282"/>
        <item m="1" x="7289"/>
        <item m="1" x="7311"/>
        <item m="1" x="7096"/>
        <item m="1" x="7102"/>
        <item m="1" x="7110"/>
        <item m="1" x="7117"/>
        <item m="1" x="7132"/>
        <item m="1" x="7135"/>
        <item m="1" x="7142"/>
        <item m="1" x="7146"/>
        <item m="1" x="7153"/>
        <item m="1" x="7168"/>
        <item m="1" x="7387"/>
        <item m="1" x="7391"/>
        <item m="1" x="7395"/>
        <item m="1" x="7399"/>
        <item m="1" x="7402"/>
        <item m="1" x="7407"/>
        <item m="1" x="7411"/>
        <item m="1" x="7414"/>
        <item m="1" x="7417"/>
        <item m="1" x="7422"/>
        <item m="1" x="7425"/>
        <item m="1" x="7429"/>
        <item m="1" x="7433"/>
        <item m="1" x="7440"/>
        <item m="1" x="7444"/>
        <item m="1" x="7452"/>
        <item m="1" x="7457"/>
        <item m="1" x="7465"/>
        <item m="1" x="7479"/>
        <item m="1" x="4435"/>
        <item m="1" x="2397"/>
        <item m="1" x="6114"/>
        <item m="1" x="6145"/>
        <item m="1" x="6186"/>
        <item m="1" x="4763"/>
        <item m="1" x="4700"/>
        <item m="1" x="6443"/>
        <item m="1" x="1164"/>
        <item m="1" x="1259"/>
        <item m="1" x="1279"/>
        <item m="1" x="580"/>
        <item m="1" x="597"/>
        <item m="1" x="616"/>
        <item m="1" x="637"/>
        <item m="1" x="657"/>
        <item m="1" x="677"/>
        <item m="1" x="696"/>
        <item m="1" x="713"/>
        <item m="1" x="732"/>
        <item m="1" x="752"/>
        <item m="1" x="771"/>
        <item m="1" x="789"/>
        <item m="1" x="807"/>
        <item m="1" x="824"/>
        <item m="1" x="844"/>
        <item m="1" x="860"/>
        <item m="1" x="878"/>
        <item m="1" x="898"/>
        <item m="1" x="918"/>
        <item m="1" x="954"/>
        <item m="1" x="4716"/>
        <item m="1" x="5077"/>
        <item m="1" x="1975"/>
        <item m="1" x="4401"/>
        <item m="1" x="4482"/>
        <item m="1" x="6232"/>
        <item m="1" x="6244"/>
        <item m="1" x="6259"/>
        <item m="1" x="6270"/>
        <item m="1" x="6705"/>
        <item m="1" x="7684"/>
        <item m="1" x="7516"/>
        <item m="1" x="7534"/>
        <item m="1" x="7538"/>
        <item m="1" x="6789"/>
        <item m="1" x="7643"/>
        <item m="1" x="7392"/>
        <item m="1" x="7409"/>
        <item m="1" x="7415"/>
        <item m="1" x="7420"/>
        <item m="1" x="7447"/>
        <item m="1" x="7460"/>
        <item m="1" x="7558"/>
        <item m="1" x="3877"/>
        <item m="1" x="3904"/>
        <item m="1" x="3933"/>
        <item m="1" x="3960"/>
        <item m="1" x="3992"/>
        <item m="1" x="2432"/>
        <item m="1" x="2474"/>
        <item m="1" x="2515"/>
        <item m="1" x="2555"/>
        <item m="1" x="2593"/>
        <item m="1" x="2636"/>
        <item m="1" x="2675"/>
        <item m="1" x="2710"/>
        <item m="1" x="2743"/>
        <item m="1" x="2781"/>
        <item m="1" x="2819"/>
        <item m="1" x="2854"/>
        <item m="1" x="2887"/>
        <item m="1" x="2922"/>
        <item m="1" x="2951"/>
        <item m="1" x="2984"/>
        <item m="1" x="3016"/>
        <item m="1" x="3048"/>
        <item m="1" x="3077"/>
        <item m="1" x="3109"/>
        <item m="1" x="3135"/>
        <item m="1" x="3169"/>
        <item m="1" x="3194"/>
        <item m="1" x="3223"/>
        <item m="1" x="3255"/>
        <item m="1" x="3283"/>
        <item m="1" x="3316"/>
        <item m="1" x="3350"/>
        <item m="1" x="3381"/>
        <item m="1" x="3416"/>
        <item m="1" x="3449"/>
        <item m="1" x="3480"/>
        <item m="1" x="3506"/>
        <item m="1" x="3549"/>
        <item m="1" x="3585"/>
        <item m="1" x="3613"/>
        <item m="1" x="3649"/>
        <item m="1" x="3681"/>
        <item m="1" x="3713"/>
        <item m="1" x="3744"/>
        <item m="1" x="3780"/>
        <item m="1" x="3803"/>
        <item m="1" x="3833"/>
        <item m="1" x="3862"/>
        <item m="1" x="3888"/>
        <item m="1" x="7397"/>
        <item m="1" x="1842"/>
        <item m="1" x="4969"/>
        <item m="1" x="4984"/>
        <item m="1" x="577"/>
        <item m="1" x="4069"/>
        <item m="1" x="7436"/>
        <item m="1" x="4057"/>
        <item m="1" x="420"/>
        <item m="1" x="7492"/>
        <item m="1" x="595"/>
        <item m="1" x="5201"/>
        <item m="1" x="7442"/>
        <item m="1" x="7450"/>
        <item m="1" x="7455"/>
        <item m="1" x="7463"/>
        <item m="1" x="7468"/>
        <item m="1" x="7039"/>
        <item m="1" x="5563"/>
        <item m="1" x="5579"/>
        <item m="1" x="5596"/>
        <item m="1" x="5625"/>
        <item m="1" x="5659"/>
        <item m="1" x="5677"/>
        <item m="1" x="5697"/>
        <item m="1" x="5715"/>
        <item m="1" x="5735"/>
        <item m="1" x="4585"/>
        <item m="1" x="4596"/>
        <item m="1" x="2937"/>
        <item m="1" x="2966"/>
        <item m="1" x="1633"/>
        <item m="1" x="1648"/>
        <item m="1" x="1657"/>
        <item m="1" x="1674"/>
        <item m="1" x="1688"/>
        <item m="1" x="1704"/>
        <item m="1" x="3197"/>
        <item m="1" x="6710"/>
        <item m="1" x="6743"/>
        <item m="1" x="7587"/>
        <item m="1" x="59"/>
        <item m="1" x="7165"/>
        <item m="1" x="7167"/>
        <item m="1" x="1805"/>
        <item m="1" x="266"/>
        <item m="1" x="188"/>
        <item m="1" x="7577"/>
        <item m="1" x="7374"/>
        <item m="1" x="915"/>
        <item m="1" x="204"/>
        <item m="1" x="1244"/>
        <item m="1" x="3332"/>
        <item m="1" x="3364"/>
        <item m="1" x="4228"/>
        <item m="1" x="4245"/>
        <item m="1" x="4263"/>
        <item m="1" x="4281"/>
        <item m="1" x="3294"/>
        <item m="1" x="3915"/>
        <item m="1" x="3952"/>
        <item m="1" x="3968"/>
        <item m="1" x="3983"/>
        <item m="1" x="4045"/>
        <item m="1" x="1332"/>
        <item m="1" x="3281"/>
        <item m="1" x="3396"/>
        <item m="1" x="217"/>
        <item m="1" x="3379"/>
        <item m="1" x="820"/>
        <item m="1" x="71"/>
        <item m="1" x="4032"/>
        <item m="1" x="5104"/>
        <item m="1" x="5151"/>
        <item m="1" x="5161"/>
        <item m="1" x="5245"/>
        <item m="1" x="6911"/>
        <item m="1" x="7069"/>
        <item m="1" x="7073"/>
        <item m="1" x="7079"/>
        <item m="1" x="7086"/>
        <item m="1" x="7094"/>
        <item m="1" x="7100"/>
        <item m="1" x="7108"/>
        <item m="1" x="7126"/>
        <item m="1" x="7140"/>
        <item m="1" x="7145"/>
        <item m="1" x="7152"/>
        <item m="1" x="7170"/>
        <item m="1" x="7259"/>
        <item m="1" x="7265"/>
        <item m="1" x="7270"/>
        <item m="1" x="7275"/>
        <item m="1" x="7310"/>
        <item m="1" x="7346"/>
        <item m="1" x="7365"/>
        <item m="1" x="7454"/>
        <item m="1" x="7488"/>
        <item m="1" x="7497"/>
        <item m="1" x="7502"/>
        <item m="1" x="7505"/>
        <item m="1" x="7519"/>
        <item m="1" x="7524"/>
        <item m="1" x="7527"/>
        <item m="1" x="2752"/>
        <item m="1" x="2789"/>
        <item m="1" x="2829"/>
        <item m="1" x="2862"/>
        <item m="1" x="2895"/>
        <item m="1" x="2928"/>
        <item m="1" x="2958"/>
        <item m="1" x="2991"/>
        <item m="1" x="3022"/>
        <item m="1" x="3055"/>
        <item m="1" x="3084"/>
        <item m="1" x="6082"/>
        <item m="1" x="6123"/>
        <item m="1" x="6159"/>
        <item m="1" x="516"/>
        <item m="1" x="1217"/>
        <item m="1" x="1247"/>
        <item m="1" x="1282"/>
        <item m="1" x="1314"/>
        <item m="1" x="1357"/>
        <item m="1" x="1384"/>
        <item m="1" x="1419"/>
        <item m="1" x="1454"/>
        <item m="1" x="1482"/>
        <item m="1" x="1516"/>
        <item m="1" x="1550"/>
        <item m="1" x="1584"/>
        <item m="1" x="1619"/>
        <item m="1" x="1646"/>
        <item m="1" x="1672"/>
        <item m="1" x="1702"/>
        <item m="1" x="1735"/>
        <item m="1" x="1760"/>
        <item m="1" x="1796"/>
        <item m="1" x="1825"/>
        <item m="1" x="1861"/>
        <item m="1" x="1892"/>
        <item m="1" x="1922"/>
        <item m="1" x="1951"/>
        <item m="1" x="1979"/>
        <item m="1" x="2011"/>
        <item m="1" x="2040"/>
        <item m="1" x="2063"/>
        <item m="1" x="2101"/>
        <item m="1" x="2136"/>
        <item m="1" x="2169"/>
        <item m="1" x="2204"/>
        <item m="1" x="2229"/>
        <item m="1" x="2254"/>
        <item m="1" x="2284"/>
        <item m="1" x="2314"/>
        <item m="1" x="2347"/>
        <item m="1" x="2379"/>
        <item m="1" x="2419"/>
        <item m="1" x="2459"/>
        <item m="1" x="2496"/>
        <item m="1" x="2537"/>
        <item m="1" x="2575"/>
        <item m="1" x="2616"/>
        <item m="1" x="2660"/>
        <item m="1" x="2696"/>
        <item m="1" x="2729"/>
        <item m="1" x="2763"/>
        <item m="1" x="2801"/>
        <item m="1" x="7385"/>
        <item m="1" x="7390"/>
        <item m="1" x="7334"/>
        <item m="1" x="7252"/>
        <item m="1" x="7255"/>
        <item m="1" x="7305"/>
        <item m="1" x="7159"/>
        <item m="1" x="7162"/>
        <item m="1" x="7301"/>
        <item m="1" x="83"/>
        <item m="1" x="3739"/>
        <item m="1" x="3774"/>
        <item m="1" x="3797"/>
        <item m="1" x="3828"/>
        <item m="1" x="3857"/>
        <item m="1" x="3883"/>
        <item m="1" x="3912"/>
        <item m="1" x="3940"/>
        <item m="1" x="3966"/>
        <item m="1" x="3999"/>
        <item m="1" x="4029"/>
        <item m="1" x="4054"/>
        <item m="1" x="4080"/>
        <item m="1" x="4103"/>
        <item m="1" x="4133"/>
        <item m="1" x="4169"/>
        <item m="1" x="4199"/>
        <item m="1" x="4225"/>
        <item m="1" x="4261"/>
        <item m="1" x="4293"/>
        <item m="1" x="4328"/>
        <item m="1" x="4364"/>
        <item m="1" x="4396"/>
        <item m="1" x="242"/>
        <item m="1" x="275"/>
        <item m="1" x="291"/>
        <item m="1" x="316"/>
        <item m="1" x="768"/>
        <item m="1" x="804"/>
        <item m="1" x="158"/>
        <item m="1" x="1147"/>
        <item m="1" x="1161"/>
        <item m="1" x="1178"/>
        <item m="1" x="1193"/>
        <item m="1" x="1212"/>
        <item m="1" x="1350"/>
        <item m="1" x="357"/>
        <item m="1" x="344"/>
        <item m="1" x="3453"/>
        <item m="1" x="3045"/>
        <item m="1" x="3060"/>
        <item m="1" x="3074"/>
        <item m="1" x="3000"/>
        <item m="1" x="7042"/>
        <item m="1" x="4829"/>
        <item m="1" x="7567"/>
        <item m="1" x="7574"/>
        <item m="1" x="4682"/>
        <item m="1" x="4698"/>
        <item m="1" x="4712"/>
        <item m="1" x="4733"/>
        <item m="1" x="4749"/>
        <item m="1" x="3412"/>
        <item m="1" x="7239"/>
        <item m="1" x="7247"/>
        <item m="1" x="7254"/>
        <item m="1" x="7264"/>
        <item m="1" x="7274"/>
        <item m="1" x="7283"/>
        <item m="1" x="7291"/>
        <item m="1" x="7300"/>
        <item m="1" x="7309"/>
        <item m="1" x="7319"/>
        <item m="1" x="7328"/>
        <item m="1" x="7337"/>
        <item m="1" x="7344"/>
        <item m="1" x="7352"/>
        <item m="1" x="7364"/>
        <item m="1" x="7372"/>
        <item m="1" x="7380"/>
        <item m="1" x="7389"/>
        <item m="1" x="7396"/>
        <item m="1" x="7404"/>
        <item m="1" x="7412"/>
        <item m="1" x="7418"/>
        <item m="1" x="7426"/>
        <item m="1" x="7434"/>
        <item m="1" x="7441"/>
        <item m="1" x="5038"/>
        <item m="1" x="5053"/>
        <item m="1" x="6081"/>
        <item m="1" x="1968"/>
        <item m="1" x="1983"/>
        <item m="1" x="3302"/>
        <item m="1" x="3323"/>
        <item m="1" x="3340"/>
        <item m="1" x="3372"/>
        <item m="1" x="3574"/>
        <item m="1" x="3229"/>
        <item m="1" x="1083"/>
        <item m="1" x="3083"/>
        <item m="1" x="7082"/>
        <item m="1" x="6730"/>
        <item m="1" x="6973"/>
        <item m="1" x="5806"/>
        <item m="1" x="7052"/>
        <item m="1" x="7059"/>
        <item m="1" x="7065"/>
        <item m="1" x="5087"/>
        <item m="1" x="6986"/>
        <item m="1" x="6991"/>
        <item m="1" x="6996"/>
        <item m="1" x="7004"/>
        <item m="1" x="7010"/>
        <item m="1" x="7016"/>
        <item m="1" x="7089"/>
        <item m="1" x="7097"/>
        <item m="1" x="7593"/>
        <item m="1" x="6968"/>
        <item m="1" x="7555"/>
        <item m="1" x="7612"/>
        <item m="1" x="7614"/>
        <item m="1" x="7618"/>
        <item m="1" x="7622"/>
        <item m="1" x="811"/>
        <item m="1" x="5294"/>
        <item m="1" x="5320"/>
        <item m="1" x="5352"/>
        <item m="1" x="5381"/>
        <item m="1" x="5411"/>
        <item m="1" x="5441"/>
        <item m="1" x="5471"/>
        <item m="1" x="5506"/>
        <item m="1" x="5532"/>
        <item m="1" x="5565"/>
        <item m="1" x="5599"/>
        <item m="1" x="5630"/>
        <item m="1" x="5663"/>
        <item m="1" x="5006"/>
        <item m="1" x="7846"/>
        <item m="1" x="7883"/>
        <item m="1" x="7884"/>
        <item m="1" x="2461"/>
        <item m="1" x="2479"/>
        <item m="1" x="2501"/>
        <item m="1" x="2519"/>
        <item m="1" x="2540"/>
        <item m="1" x="2558"/>
        <item m="1" x="2578"/>
        <item m="1" x="2596"/>
        <item m="1" x="2619"/>
        <item m="1" x="2640"/>
        <item m="1" x="2663"/>
        <item m="1" x="2679"/>
        <item m="1" x="2699"/>
        <item m="1" x="2714"/>
        <item m="1" x="2732"/>
        <item m="1" x="2747"/>
        <item m="1" x="2766"/>
        <item m="1" x="2785"/>
        <item m="1" x="2804"/>
        <item m="1" x="2824"/>
        <item m="1" x="2842"/>
        <item m="1" x="2857"/>
        <item m="1" x="2908"/>
        <item m="1" x="2940"/>
        <item m="1" x="2971"/>
        <item m="1" x="2987"/>
        <item m="1" x="3004"/>
        <item m="1" x="3033"/>
        <item m="1" x="3064"/>
        <item m="1" x="3096"/>
        <item m="1" x="3111"/>
        <item m="1" x="3170"/>
        <item m="1" x="5034"/>
        <item m="1" x="5063"/>
        <item m="1" x="5083"/>
        <item m="1" x="5155"/>
        <item m="1" x="5166"/>
        <item m="1" x="5179"/>
        <item m="1" x="5192"/>
        <item m="1" x="5206"/>
        <item m="1" x="5221"/>
        <item m="1" x="5236"/>
        <item m="1" x="5251"/>
        <item m="1" x="5268"/>
        <item m="1" x="5276"/>
        <item m="1" x="5291"/>
        <item m="1" x="5318"/>
        <item m="1" x="5333"/>
        <item m="1" x="5349"/>
        <item m="1" x="5377"/>
        <item m="1" x="5407"/>
        <item m="1" x="5426"/>
        <item m="1" x="5438"/>
        <item m="1" x="5454"/>
        <item m="1" x="5468"/>
        <item m="1" x="5487"/>
        <item m="1" x="5503"/>
        <item m="1" x="6009"/>
        <item m="1" x="7569"/>
        <item m="1" x="7575"/>
        <item m="1" x="7580"/>
        <item m="1" x="7583"/>
        <item m="1" x="7621"/>
        <item m="1" x="7662"/>
        <item m="1" x="7669"/>
        <item m="1" x="7675"/>
        <item m="1" x="7702"/>
        <item m="1" x="7772"/>
        <item m="1" x="7776"/>
        <item m="1" x="7781"/>
        <item m="1" x="7802"/>
        <item m="1" x="99"/>
        <item m="1" x="111"/>
        <item m="1" x="437"/>
        <item m="1" x="457"/>
        <item m="1" x="474"/>
        <item m="1" x="493"/>
        <item m="1" x="509"/>
        <item m="1" x="529"/>
        <item m="1" x="548"/>
        <item m="1" x="693"/>
        <item m="1" x="930"/>
        <item m="1" x="952"/>
        <item m="1" x="971"/>
        <item m="1" x="992"/>
        <item m="1" x="1013"/>
        <item m="1" x="1230"/>
        <item m="1" x="3091"/>
        <item m="1" x="4350"/>
        <item m="1" x="4419"/>
        <item m="1" x="4432"/>
        <item m="1" x="3313"/>
        <item m="1" x="3415"/>
        <item m="1" x="3478"/>
        <item m="1" x="3521"/>
        <item m="1" x="3545"/>
        <item m="1" x="3679"/>
        <item m="1" x="3725"/>
        <item m="1" x="3777"/>
        <item m="1" x="4105"/>
        <item m="1" x="4117"/>
        <item m="1" x="4137"/>
        <item m="1" x="4541"/>
        <item m="1" x="4664"/>
        <item m="1" x="4777"/>
        <item m="1" x="4790"/>
        <item m="1" x="4875"/>
        <item m="1" x="7176"/>
        <item m="1" x="7188"/>
        <item m="1" x="7243"/>
        <item m="1" x="333"/>
        <item m="1" x="366"/>
        <item m="1" x="7280"/>
        <item m="1" x="7287"/>
        <item m="1" x="7297"/>
        <item m="1" x="7306"/>
        <item m="1" x="7316"/>
        <item m="1" x="7325"/>
        <item m="1" x="7335"/>
        <item m="1" x="7342"/>
        <item m="1" x="7350"/>
        <item m="1" x="7360"/>
        <item m="1" x="7370"/>
        <item m="1" x="7377"/>
        <item m="1" x="7386"/>
        <item m="1" x="7393"/>
        <item m="1" x="7401"/>
        <item m="1" x="7410"/>
        <item m="1" x="7416"/>
        <item m="1" x="7423"/>
        <item m="1" x="7431"/>
        <item m="1" x="7439"/>
        <item m="1" x="7449"/>
        <item m="1" x="7462"/>
        <item m="1" x="7474"/>
        <item m="1" x="7490"/>
        <item m="1" x="7500"/>
        <item m="1" x="7508"/>
        <item m="1" x="7515"/>
        <item m="1" x="7522"/>
        <item m="1" x="7529"/>
        <item m="1" x="7540"/>
        <item m="1" x="7796"/>
        <item m="1" x="1836"/>
        <item m="1" x="1902"/>
        <item m="1" x="1931"/>
        <item m="1" x="1961"/>
        <item m="1" x="1991"/>
        <item m="1" x="2019"/>
        <item m="1" x="2049"/>
        <item m="1" x="2077"/>
        <item m="1" x="2114"/>
        <item m="1" x="2148"/>
        <item m="1" x="2180"/>
        <item m="1" x="2213"/>
        <item m="1" x="2236"/>
        <item m="1" x="2266"/>
        <item m="1" x="2292"/>
        <item m="1" x="6182"/>
        <item m="1" x="7192"/>
        <item m="1" x="7406"/>
        <item m="1" x="7419"/>
        <item m="1" x="2485"/>
        <item m="1" x="2524"/>
        <item m="1" x="2562"/>
        <item m="1" x="2601"/>
        <item m="1" x="2645"/>
        <item m="1" x="2683"/>
        <item m="1" x="2719"/>
        <item m="1" x="6376"/>
        <item m="1" x="6414"/>
        <item m="1" x="6452"/>
        <item m="1" x="6486"/>
        <item m="1" x="6518"/>
        <item m="1" x="6551"/>
        <item m="1" x="6583"/>
        <item m="1" x="6617"/>
        <item m="1" x="6651"/>
        <item m="1" x="6685"/>
        <item m="1" x="6716"/>
        <item m="1" x="6747"/>
        <item m="1" x="6814"/>
        <item m="1" x="6846"/>
        <item m="1" x="6878"/>
        <item m="1" x="6904"/>
        <item m="1" x="6940"/>
        <item m="1" x="6957"/>
        <item m="1" x="6961"/>
        <item m="1" x="6969"/>
        <item m="1" x="6975"/>
        <item m="1" x="6987"/>
        <item m="1" x="6997"/>
        <item m="1" x="7011"/>
        <item m="1" x="7020"/>
        <item m="1" x="7028"/>
        <item m="1" x="7036"/>
        <item m="1" x="7044"/>
        <item m="1" x="7053"/>
        <item m="1" x="7066"/>
        <item m="1" x="7075"/>
        <item m="1" x="7090"/>
        <item m="1" x="7103"/>
        <item m="1" x="7118"/>
        <item m="1" x="7127"/>
        <item m="1" x="7133"/>
        <item m="1" x="7137"/>
        <item m="1" x="7143"/>
        <item m="1" x="7147"/>
        <item m="1" x="7155"/>
        <item m="1" x="7160"/>
        <item m="1" x="7166"/>
        <item m="1" x="7171"/>
        <item m="1" x="7174"/>
        <item m="1" x="7178"/>
        <item m="1" x="7183"/>
        <item m="1" x="7186"/>
        <item m="1" x="7190"/>
        <item m="1" x="7194"/>
        <item m="1" x="7199"/>
        <item m="1" x="7203"/>
        <item m="1" x="7211"/>
        <item m="1" x="7220"/>
        <item m="1" x="7230"/>
        <item m="1" x="7235"/>
        <item m="1" x="7241"/>
        <item m="1" x="7248"/>
        <item m="1" x="7257"/>
        <item m="1" x="7268"/>
        <item m="1" x="7277"/>
        <item m="1" x="7285"/>
        <item m="1" x="7294"/>
        <item m="1" x="7303"/>
        <item m="1" x="553"/>
        <item m="1" x="582"/>
        <item m="1" x="621"/>
        <item m="1" x="660"/>
        <item m="1" x="736"/>
        <item m="1" x="775"/>
        <item m="1" x="884"/>
        <item m="1" x="921"/>
        <item m="1" x="959"/>
        <item m="1" x="999"/>
        <item m="1" x="1151"/>
        <item m="1" x="6939"/>
        <item m="1" x="7741"/>
        <item m="1" x="619"/>
        <item m="1" x="1337"/>
        <item m="1" x="1107"/>
        <item m="1" x="3512"/>
        <item m="1" x="3533"/>
        <item m="1" x="3555"/>
        <item m="1" x="6965"/>
        <item m="1" x="7877"/>
        <item m="1" x="7878"/>
        <item m="1" x="7881"/>
        <item m="1" x="5649"/>
        <item m="1" x="5813"/>
        <item m="1" x="7738"/>
        <item m="1" x="7887"/>
        <item m="1" x="7891"/>
        <item m="1" x="7893"/>
        <item m="1" x="7895"/>
        <item m="1" x="6128"/>
        <item m="1" x="7705"/>
        <item m="1" x="7714"/>
        <item m="1" x="7718"/>
        <item m="1" x="7719"/>
        <item m="1" x="7721"/>
        <item m="1" x="7723"/>
        <item m="1" x="5436"/>
        <item m="1" x="7888"/>
        <item m="1" x="7889"/>
        <item m="1" x="7890"/>
        <item m="1" x="7894"/>
        <item m="1" x="7885"/>
        <item m="1" x="7886"/>
        <item m="1" x="7892"/>
        <item m="1" x="515"/>
        <item m="1" x="3318"/>
        <item m="1" x="3383"/>
        <item m="1" x="1297"/>
        <item m="1" x="3335"/>
        <item m="1" x="3353"/>
        <item m="1" x="3367"/>
        <item m="1" x="3397"/>
        <item m="1" x="3418"/>
        <item m="1" x="3464"/>
        <item m="1" x="3482"/>
        <item m="1" x="3507"/>
        <item m="1" x="3632"/>
        <item m="1" x="3651"/>
        <item m="1" x="3664"/>
        <item m="1" x="3682"/>
        <item m="1" x="3699"/>
        <item m="1" x="3528"/>
        <item m="1" x="1687"/>
        <item m="1" x="1701"/>
        <item m="1" x="3600"/>
        <item m="1" x="1356"/>
        <item m="1" x="1369"/>
        <item m="1" x="1216"/>
        <item m="1" x="5546"/>
        <item m="1" x="3745"/>
        <item m="1" x="7095"/>
        <item m="1" x="6733"/>
        <item m="1" x="4550"/>
        <item m="1" x="4562"/>
        <item m="1" x="4577"/>
        <item m="1" x="4603"/>
        <item m="1" x="4620"/>
        <item m="1" x="4642"/>
        <item m="1" x="7571"/>
        <item m="1" x="7584"/>
        <item m="1" x="7592"/>
        <item m="1" x="7606"/>
        <item m="1" x="7608"/>
        <item m="1" x="7611"/>
        <item m="1" x="7660"/>
        <item m="1" x="7676"/>
        <item m="1" x="7681"/>
        <item m="1" x="7686"/>
        <item m="1" x="7691"/>
        <item m="1" x="7695"/>
        <item m="1" x="7699"/>
        <item m="1" x="7703"/>
        <item m="1" x="7707"/>
        <item m="1" x="7710"/>
        <item m="1" x="7712"/>
        <item m="1" x="7715"/>
        <item m="1" x="7716"/>
        <item m="1" x="7001"/>
        <item m="1" x="5658"/>
        <item m="1" x="5695"/>
        <item m="1" x="5732"/>
        <item m="1" x="5765"/>
        <item m="1" x="5801"/>
        <item m="1" x="5837"/>
        <item m="1" x="5870"/>
        <item m="1" x="5903"/>
        <item m="1" x="5934"/>
        <item m="1" x="5972"/>
        <item m="1" x="6006"/>
        <item m="1" x="6038"/>
        <item m="1" x="6074"/>
        <item m="1" x="6116"/>
        <item m="1" x="6152"/>
        <item m="1" x="7293"/>
        <item m="1" x="7298"/>
        <item m="1" x="7302"/>
        <item m="1" x="7307"/>
        <item m="1" x="7312"/>
        <item m="1" x="7317"/>
        <item m="1" x="7322"/>
        <item m="1" x="7327"/>
        <item m="1" x="7331"/>
        <item m="1" x="7336"/>
        <item m="1" x="7339"/>
        <item m="1" x="7343"/>
        <item m="1" x="7347"/>
        <item m="1" x="7351"/>
        <item m="1" x="7354"/>
        <item m="1" x="7361"/>
        <item m="1" x="7368"/>
        <item m="1" x="7371"/>
        <item m="1" x="7861"/>
        <item m="1" x="7862"/>
        <item m="1" x="7864"/>
        <item m="1" x="4631"/>
        <item m="1" x="4182"/>
        <item m="1" x="5137"/>
        <item m="1" x="5213"/>
        <item m="1" x="6977"/>
        <item m="1" x="6983"/>
        <item m="1" x="6989"/>
        <item m="1" x="6993"/>
        <item m="1" x="7000"/>
        <item m="1" x="7007"/>
        <item m="1" x="7013"/>
        <item m="1" x="7018"/>
        <item m="1" x="7023"/>
        <item m="1" x="7026"/>
        <item m="1" x="7030"/>
        <item m="1" x="7034"/>
        <item m="1" x="7078"/>
        <item m="1" x="7085"/>
        <item m="1" x="7093"/>
        <item m="1" x="7107"/>
        <item m="1" x="7115"/>
        <item m="1" x="7122"/>
        <item m="1" x="7125"/>
        <item m="1" x="7136"/>
        <item m="1" x="7056"/>
        <item m="1" x="7149"/>
        <item m="1" x="7157"/>
        <item m="1" x="7161"/>
        <item m="1" x="7163"/>
        <item m="1" x="7196"/>
        <item m="1" x="7202"/>
        <item m="1" x="7205"/>
        <item m="1" x="7208"/>
        <item m="1" x="7250"/>
        <item m="1" x="7253"/>
        <item m="1" x="7273"/>
        <item m="1" x="7308"/>
        <item m="1" x="7314"/>
        <item m="1" x="7318"/>
        <item m="1" x="7388"/>
        <item m="1" x="7778"/>
        <item m="1" x="7780"/>
        <item m="1" x="7786"/>
        <item m="1" x="7789"/>
        <item m="1" x="7792"/>
        <item m="1" x="7821"/>
        <item m="1" x="7824"/>
        <item m="1" x="7828"/>
        <item m="1" x="7831"/>
        <item m="1" x="7834"/>
        <item m="1" x="7849"/>
        <item m="1" x="7855"/>
        <item m="1" x="7858"/>
        <item m="1" x="7860"/>
        <item m="1" x="7863"/>
        <item m="1" x="7865"/>
        <item m="1" x="7869"/>
        <item m="1" x="7870"/>
        <item m="1" x="7871"/>
        <item m="1" x="7872"/>
        <item m="1" x="7873"/>
        <item m="1" x="7819"/>
        <item m="1" x="4729"/>
        <item m="1" x="4826"/>
        <item m="1" x="4872"/>
        <item m="1" x="4695"/>
        <item m="1" x="4856"/>
        <item m="1" x="7748"/>
        <item m="1" x="7753"/>
        <item m="1" x="7758"/>
        <item m="1" x="7759"/>
        <item m="1" x="7760"/>
        <item m="1" x="7762"/>
        <item m="1" x="7763"/>
        <item m="1" x="7764"/>
        <item m="1" x="7766"/>
        <item m="1" x="7767"/>
        <item m="1" x="7769"/>
        <item m="1" x="7770"/>
        <item m="1" x="7896"/>
        <item m="1" x="7900"/>
        <item m="1" x="7901"/>
        <item m="1" x="4680"/>
        <item m="1" x="7961"/>
        <item m="1" x="7963"/>
        <item m="1" x="7965"/>
        <item m="1" x="7966"/>
        <item m="1" x="7967"/>
        <item m="1" x="7970"/>
        <item m="1" x="7973"/>
        <item m="1" x="7975"/>
        <item m="1" x="7977"/>
        <item m="1" x="7980"/>
        <item m="1" x="7982"/>
        <item m="1" x="7983"/>
        <item m="1" x="7985"/>
        <item m="1" x="7987"/>
        <item m="1" x="7989"/>
        <item m="1" x="7991"/>
        <item m="1" x="7993"/>
        <item m="1" x="7995"/>
        <item m="1" x="7997"/>
        <item m="1" x="7999"/>
        <item m="1" x="4014"/>
        <item m="1" x="4746"/>
        <item m="1" x="4759"/>
        <item m="1" x="4787"/>
        <item m="1" x="4800"/>
        <item m="1" x="4839"/>
        <item m="1" x="4890"/>
        <item m="1" x="4906"/>
        <item m="1" x="7062"/>
        <item m="1" x="7839"/>
        <item m="1" x="2439"/>
        <item m="1" x="7356"/>
        <item m="1" x="7400"/>
        <item m="1" x="7403"/>
        <item m="1" x="7466"/>
        <item m="1" x="7480"/>
        <item m="1" x="7485"/>
        <item m="1" x="7491"/>
        <item m="1" x="7495"/>
        <item m="1" x="5738"/>
        <item m="1" x="7603"/>
        <item m="1" x="6265"/>
        <item m="1" x="6413"/>
        <item m="1" x="6649"/>
        <item m="1" x="6695"/>
        <item m="1" x="7658"/>
        <item m="1" x="7692"/>
        <item m="1" x="7696"/>
        <item m="1" x="7697"/>
        <item m="1" x="7700"/>
        <item m="1" x="7701"/>
        <item m="1" x="7704"/>
        <item m="1" x="7706"/>
        <item m="1" x="7708"/>
        <item m="1" x="7709"/>
        <item m="1" x="7724"/>
        <item m="1" x="7725"/>
        <item m="1" x="7730"/>
        <item m="1" x="7733"/>
        <item m="1" x="7734"/>
        <item m="1" x="7765"/>
        <item m="1" x="6964"/>
        <item m="1" x="6995"/>
        <item m="1" x="7015"/>
        <item m="1" x="7019"/>
        <item m="1" x="7024"/>
        <item m="1" x="7027"/>
        <item m="1" x="7031"/>
        <item m="1" x="7035"/>
        <item m="1" x="7043"/>
        <item m="1" x="7058"/>
        <item m="1" x="7063"/>
        <item m="1" x="7074"/>
        <item m="1" x="5005"/>
        <item m="1" x="6209"/>
        <item m="1" x="6280"/>
        <item m="1" x="6292"/>
        <item m="1" x="6304"/>
        <item m="1" x="6450"/>
        <item m="1" x="6469"/>
        <item m="1" x="6663"/>
        <item m="1" x="6682"/>
        <item m="1" x="6713"/>
        <item m="1" x="7048"/>
        <item m="1" x="7498"/>
        <item m="1" x="7501"/>
        <item m="1" x="7641"/>
        <item m="1" x="7645"/>
        <item m="1" x="7646"/>
        <item m="1" x="7649"/>
        <item m="1" x="7663"/>
        <item m="1" x="7670"/>
        <item m="1" x="7674"/>
        <item m="1" x="7678"/>
        <item m="1" x="7682"/>
        <item m="1" x="7711"/>
        <item m="1" x="7713"/>
        <item m="1" x="3794"/>
        <item m="1" x="7771"/>
        <item m="1" x="7773"/>
        <item m="1" x="7775"/>
        <item m="1" x="7875"/>
        <item m="1" x="7720"/>
        <item m="1" x="7774"/>
        <item m="1" x="7777"/>
        <item m="1" x="7779"/>
        <item m="1" x="7782"/>
        <item m="1" x="7783"/>
        <item m="1" x="7784"/>
        <item m="1" x="7785"/>
        <item m="1" x="7787"/>
        <item m="1" x="7788"/>
        <item m="1" x="7790"/>
        <item m="1" x="7791"/>
        <item m="1" x="7793"/>
        <item m="1" x="7794"/>
        <item m="1" x="7795"/>
        <item m="1" x="7798"/>
        <item m="1" x="7799"/>
        <item m="1" x="7800"/>
        <item m="1" x="7801"/>
        <item m="1" x="7803"/>
        <item m="1" x="7804"/>
        <item m="1" x="7805"/>
        <item m="1" x="7806"/>
        <item m="1" x="7807"/>
        <item m="1" x="7808"/>
        <item m="1" x="7809"/>
        <item m="1" x="7813"/>
        <item m="1" x="7814"/>
        <item m="1" x="7818"/>
        <item m="1" x="7820"/>
        <item m="1" x="7822"/>
        <item m="1" x="7823"/>
        <item m="1" x="7830"/>
        <item m="1" x="7974"/>
        <item m="1" x="7945"/>
        <item m="1" x="7601"/>
        <item m="1" x="7950"/>
        <item m="1" x="7920"/>
        <item m="1" x="7946"/>
        <item m="1" x="7948"/>
        <item m="1" x="7949"/>
        <item m="1" x="7959"/>
        <item m="1" x="7960"/>
        <item m="1" x="533"/>
        <item m="1" x="566"/>
        <item m="1" x="598"/>
        <item m="1" x="639"/>
        <item m="1" x="679"/>
        <item m="1" x="716"/>
        <item m="1" x="755"/>
        <item m="1" x="792"/>
        <item m="1" x="826"/>
        <item m="1" x="864"/>
        <item m="1" x="902"/>
        <item m="1" x="935"/>
        <item m="1" x="978"/>
        <item m="1" x="1019"/>
        <item m="1" x="1051"/>
        <item m="1" x="7921"/>
        <item m="1" x="7968"/>
        <item m="1" x="7971"/>
        <item m="1" x="7972"/>
        <item m="1" x="7978"/>
        <item m="1" x="7979"/>
        <item m="1" x="7981"/>
        <item m="1" x="7939"/>
        <item m="1" x="7947"/>
        <item m="1" x="7936"/>
        <item m="1" x="6952"/>
        <item m="1" x="57"/>
        <item m="1" x="82"/>
        <item m="1" x="110"/>
        <item m="1" x="7937"/>
        <item m="1" x="450"/>
        <item m="1" x="477"/>
        <item m="1" x="73"/>
        <item m="1" x="7278"/>
        <item m="1" x="178"/>
        <item m="1" x="7956"/>
        <item m="1" x="7726"/>
        <item m="1" x="7969"/>
        <item m="1" x="7976"/>
        <item m="1" x="7984"/>
        <item m="1" x="7986"/>
        <item m="1" x="7988"/>
        <item m="1" x="7990"/>
        <item m="1" x="7992"/>
        <item m="1" x="7994"/>
        <item m="1" x="7996"/>
        <item m="1" x="7925"/>
        <item m="1" x="7927"/>
        <item m="1" x="7929"/>
        <item m="1" x="7938"/>
        <item m="1" x="7940"/>
        <item m="1" x="7941"/>
        <item m="1" x="7942"/>
        <item m="1" x="7943"/>
        <item m="1" x="7951"/>
        <item m="1" x="7952"/>
        <item m="1" x="7953"/>
        <item m="1" x="7954"/>
        <item m="1" x="7955"/>
        <item m="1" x="7957"/>
        <item m="1" x="7958"/>
        <item m="1" x="7962"/>
        <item m="1" x="7964"/>
        <item m="1" x="7998"/>
        <item m="1" x="3697"/>
        <item m="1" x="3832"/>
        <item m="1" x="3548"/>
        <item m="1" x="3612"/>
        <item m="1" x="4410"/>
        <item m="1" x="3947"/>
        <item m="1" x="4483"/>
        <item m="1" x="5472"/>
        <item m="1" x="3525"/>
        <item m="1" x="7256"/>
        <item m="1" x="3589"/>
        <item m="1" x="7563"/>
        <item m="1" x="7545"/>
        <item m="1" x="7552"/>
        <item m="1" x="7556"/>
        <item m="1" x="7559"/>
        <item m="1" x="7578"/>
        <item m="1" x="7913"/>
        <item m="1" x="7917"/>
        <item m="1" x="7922"/>
        <item m="1" x="7931"/>
        <item m="1" x="7934"/>
        <item m="1" x="7935"/>
        <item m="1" x="7503"/>
        <item m="1" x="7506"/>
        <item m="1" x="7509"/>
        <item m="1" x="7510"/>
        <item m="1" x="7511"/>
        <item m="1" x="7513"/>
        <item m="1" x="7908"/>
        <item m="1" x="3303"/>
        <item m="1" x="7154"/>
        <item m="1" x="7156"/>
        <item m="1" x="7260"/>
        <item m="1" x="7518"/>
        <item m="1" x="7182"/>
        <item m="1" x="7180"/>
        <item m="1" x="7897"/>
        <item m="1" x="7904"/>
        <item m="1" x="7912"/>
        <item m="1" x="7914"/>
        <item m="1" x="7910"/>
        <item m="1" x="7911"/>
        <item m="1" x="7919"/>
        <item m="1" x="7905"/>
        <item m="1" x="7906"/>
        <item m="1" x="7907"/>
        <item m="1" x="7909"/>
        <item m="1" x="7923"/>
        <item m="1" x="7810"/>
        <item m="1" x="7903"/>
        <item m="1" x="7924"/>
        <item m="1" x="7926"/>
        <item m="1" x="7928"/>
        <item m="1" x="7930"/>
        <item m="1" x="7932"/>
        <item m="1" x="7933"/>
        <item m="1" x="7918"/>
        <item m="1" x="7825"/>
        <item m="1" x="7827"/>
        <item m="1" x="7832"/>
        <item m="1" x="7833"/>
        <item m="1" x="7835"/>
        <item m="1" x="7836"/>
        <item m="1" x="7837"/>
        <item m="1" x="7838"/>
        <item m="1" x="7840"/>
        <item m="1" x="7841"/>
        <item m="1" x="7842"/>
        <item m="1" x="7843"/>
        <item m="1" x="7844"/>
        <item m="1" x="7845"/>
        <item m="1" x="7847"/>
        <item m="1" x="7853"/>
        <item m="1" x="7856"/>
        <item m="1" x="7857"/>
        <item m="1" x="7859"/>
        <item m="1" x="7944"/>
        <item m="1" x="7517"/>
        <item m="1" x="7915"/>
        <item m="1" x="7916"/>
        <item m="1" x="1437"/>
        <item m="1" x="1446"/>
        <item m="1" x="1462"/>
        <item m="1" x="1503"/>
        <item m="1" x="1535"/>
        <item m="1" x="1568"/>
        <item m="1" x="1626"/>
        <item m="1" x="2687"/>
        <item m="1" x="2705"/>
        <item m="1" x="2723"/>
        <item m="1" x="2428"/>
        <item m="1" x="2436"/>
        <item m="1" x="1716"/>
        <item m="1" x="2100"/>
        <item m="1" x="2109"/>
        <item m="1" x="2118"/>
        <item m="1" x="2125"/>
        <item m="1" x="2135"/>
        <item m="1" x="2144"/>
        <item m="1" x="2305"/>
        <item m="1" x="2477"/>
        <item m="1" x="2488"/>
        <item m="1" x="2495"/>
        <item m="1" x="2604"/>
        <item m="1" x="2615"/>
        <item m="1" x="2627"/>
        <item m="1" x="2638"/>
        <item m="1" x="2650"/>
        <item m="1" x="2677"/>
        <item m="1" x="2695"/>
        <item m="1" x="2712"/>
        <item m="1" x="2728"/>
        <item m="1" x="2822"/>
        <item m="1" x="2880"/>
        <item m="1" x="6344"/>
        <item m="1" x="3667"/>
        <item m="1" x="3677"/>
        <item m="1" x="3684"/>
        <item m="1" x="3730"/>
        <item m="1" x="3747"/>
        <item m="1" x="3756"/>
        <item m="1" x="3773"/>
        <item m="1" x="3782"/>
        <item m="1" x="3856"/>
        <item m="1" x="3951"/>
        <item m="1" x="3957"/>
        <item m="1" x="3965"/>
        <item m="1" x="3975"/>
        <item m="1" x="3981"/>
        <item m="1" x="3990"/>
        <item m="1" x="3998"/>
        <item m="1" x="1614"/>
        <item m="1" x="1763"/>
        <item m="1" x="1772"/>
        <item m="1" x="7225"/>
        <item m="1" x="7717"/>
        <item m="1" x="7727"/>
        <item m="1" x="7728"/>
        <item m="1" x="7729"/>
        <item m="1" x="7731"/>
        <item m="1" x="7732"/>
        <item m="1" x="7735"/>
        <item m="1" x="7736"/>
        <item m="1" x="7737"/>
        <item m="1" x="7739"/>
        <item m="1" x="7740"/>
        <item m="1" x="7742"/>
        <item m="1" x="7743"/>
        <item m="1" x="7744"/>
        <item m="1" x="7745"/>
        <item m="1" x="7746"/>
        <item m="1" x="7747"/>
        <item m="1" x="7749"/>
        <item m="1" x="7750"/>
        <item m="1" x="7751"/>
        <item m="1" x="7752"/>
        <item m="1" x="7754"/>
        <item m="1" x="7755"/>
        <item m="1" x="7756"/>
        <item m="1" x="7757"/>
        <item m="1" x="7850"/>
        <item m="1" x="7851"/>
        <item m="1" x="7852"/>
        <item m="1" x="7854"/>
        <item m="1" x="7866"/>
        <item m="1" x="7867"/>
        <item m="1" x="7868"/>
        <item m="1" x="7874"/>
        <item m="1" x="7876"/>
        <item m="1" x="7880"/>
        <item m="1" x="7882"/>
        <item m="1" x="7898"/>
        <item m="1" x="7899"/>
        <item m="1" x="7902"/>
        <item m="1" x="91"/>
        <item m="1" x="292"/>
        <item m="1" x="174"/>
        <item m="1" x="183"/>
        <item m="1" x="4467"/>
        <item m="1" x="4493"/>
        <item m="1" x="4581"/>
        <item m="1" x="4609"/>
        <item m="1" x="4648"/>
        <item m="1" x="4678"/>
        <item m="1" x="4709"/>
        <item m="1" x="4854"/>
        <item m="1" x="5010"/>
        <item m="1" x="5041"/>
        <item m="1" x="5071"/>
        <item m="1" x="5101"/>
        <item m="1" x="5135"/>
        <item m="1" x="5159"/>
        <item m="1" x="5211"/>
        <item m="1" x="89"/>
        <item m="1" x="95"/>
        <item m="1" x="143"/>
        <item m="1" x="159"/>
        <item m="1" x="214"/>
        <item m="1" x="218"/>
        <item m="1" x="629"/>
        <item m="1" x="638"/>
        <item m="1" x="648"/>
        <item m="1" x="669"/>
        <item m="1" x="745"/>
        <item m="1" x="754"/>
        <item m="1" x="779"/>
        <item m="1" x="791"/>
        <item m="1" x="798"/>
        <item m="1" x="810"/>
        <item m="1" x="848"/>
        <item m="1" x="863"/>
        <item m="1" x="873"/>
        <item m="1" x="883"/>
        <item m="1" x="890"/>
        <item m="1" x="901"/>
        <item m="1" x="934"/>
        <item m="1" x="945"/>
        <item m="1" x="958"/>
        <item m="1" x="967"/>
        <item m="1" x="977"/>
        <item m="1" x="986"/>
        <item m="1" x="4378"/>
        <item m="1" x="4413"/>
        <item m="1" x="4444"/>
        <item m="1" x="6971"/>
        <item m="1" x="7099"/>
        <item m="1" x="7109"/>
        <item m="1" x="7112"/>
        <item m="1" x="7124"/>
        <item m="1" x="7128"/>
        <item m="1" x="7148"/>
        <item m="1" x="7150"/>
        <item m="1" x="7210"/>
        <item m="1" x="7212"/>
        <item m="1" x="7215"/>
        <item m="1" x="7216"/>
        <item m="1" x="7218"/>
        <item m="1" x="7221"/>
        <item m="1" x="7224"/>
        <item m="1" x="7227"/>
        <item m="1" x="7229"/>
        <item m="1" x="7231"/>
        <item m="1" x="7245"/>
        <item m="1" x="7266"/>
        <item m="1" x="7295"/>
        <item m="1" x="7355"/>
        <item m="1" x="7359"/>
        <item m="1" x="7362"/>
        <item m="1" x="7366"/>
        <item m="1" x="7473"/>
        <item m="1" x="7478"/>
        <item m="1" x="7482"/>
        <item m="1" x="7761"/>
        <item m="1" x="7768"/>
        <item m="1" x="7722"/>
        <item m="1" x="4539"/>
        <item m="1" x="7633"/>
        <item m="1" x="4078"/>
        <item m="1" x="7520"/>
        <item m="1" x="7879"/>
        <item m="1" x="6447"/>
        <item m="1" x="841"/>
        <item m="1" x="7848"/>
        <item m="1" x="5932"/>
        <item m="1" x="324"/>
        <item m="1" x="7797"/>
        <item m="1" x="3398"/>
        <item m="1" x="3419"/>
        <item m="1" x="3441"/>
        <item m="1" x="3470"/>
        <item m="1" x="3508"/>
        <item m="1" x="3517"/>
        <item m="1" x="3538"/>
        <item m="1" x="3550"/>
        <item m="1" x="3601"/>
        <item m="1" x="3615"/>
        <item x="30"/>
        <item m="1" x="7139"/>
        <item m="1" x="7432"/>
        <item m="1" x="3079"/>
        <item m="1" x="3762"/>
        <item m="1" x="4302"/>
        <item m="1" x="4310"/>
        <item m="1" x="5043"/>
        <item m="1" x="7181"/>
        <item m="1" x="7541"/>
        <item m="1" x="7543"/>
        <item m="1" x="7547"/>
        <item m="1" x="7550"/>
        <item m="1" x="7677"/>
        <item m="1" x="7811"/>
        <item m="1" x="7812"/>
        <item m="1" x="7815"/>
        <item m="1" x="7816"/>
        <item m="1" x="7817"/>
        <item m="1" x="7826"/>
        <item m="1" x="7829"/>
        <item m="1" x="31"/>
        <item m="1" x="32"/>
        <item m="1" x="33"/>
        <item m="1" x="34"/>
        <item m="1" x="35"/>
        <item m="1" x="36"/>
        <item m="1" x="37"/>
        <item m="1" x="38"/>
        <item m="1" x="39"/>
        <item m="1" x="40"/>
        <item m="1" x="41"/>
        <item m="1" x="42"/>
        <item m="1" x="43"/>
        <item m="1" x="44"/>
        <item m="1" x="45"/>
        <item m="1" x="46"/>
        <item m="1" x="47"/>
        <item m="1" x="48"/>
        <item m="1" x="49"/>
        <item m="1" x="50"/>
        <item m="1" x="51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</items>
    </pivotField>
    <pivotField showAll="0" defaultSubtotal="0"/>
    <pivotField numFmtId="14" showAll="0" defaultSubtotal="0"/>
    <pivotField numFmtId="14" showAll="0" defaultSubtotal="0"/>
    <pivotField showAll="0" defaultSubtotal="0"/>
    <pivotField showAll="0" defaultSubtotal="0"/>
    <pivotField axis="axisRow" showAll="0" sortType="ascending" defaultSubtotal="0">
      <items count="860">
        <item sd="0" m="1" x="823"/>
        <item sd="0" m="1" x="768"/>
        <item sd="0" m="1" x="799"/>
        <item m="1" x="548"/>
        <item sd="0" m="1" x="154"/>
        <item sd="0" m="1" x="191"/>
        <item sd="0" m="1" x="279"/>
        <item m="1" x="15"/>
        <item m="1" x="767"/>
        <item m="1" x="399"/>
        <item sd="0" m="1" x="717"/>
        <item m="1" x="302"/>
        <item sd="0" m="1" x="118"/>
        <item m="1" x="277"/>
        <item m="1" x="595"/>
        <item m="1" x="330"/>
        <item sd="0" m="1" x="681"/>
        <item sd="0" m="1" x="508"/>
        <item m="1" x="28"/>
        <item m="1" x="586"/>
        <item m="1" x="857"/>
        <item m="1" x="24"/>
        <item m="1" x="763"/>
        <item m="1" x="117"/>
        <item m="1" x="549"/>
        <item m="1" x="833"/>
        <item m="1" x="276"/>
        <item m="1" x="485"/>
        <item m="1" x="778"/>
        <item m="1" x="272"/>
        <item m="1" x="6"/>
        <item m="1" x="350"/>
        <item m="1" x="682"/>
        <item sd="0" m="1" x="806"/>
        <item m="1" x="81"/>
        <item m="1" x="52"/>
        <item sd="0" m="1" x="674"/>
        <item m="1" x="666"/>
        <item m="1" x="475"/>
        <item m="1" x="49"/>
        <item sd="0" m="1" x="736"/>
        <item m="1" x="696"/>
        <item m="1" x="221"/>
        <item sd="0" m="1" x="482"/>
        <item m="1" x="638"/>
        <item m="1" x="452"/>
        <item sd="0" m="1" x="815"/>
        <item m="1" x="673"/>
        <item m="1" x="220"/>
        <item sd="0" m="1" x="136"/>
        <item m="1" x="228"/>
        <item m="1" x="163"/>
        <item m="1" x="236"/>
        <item m="1" x="114"/>
        <item m="1" x="626"/>
        <item m="1" x="146"/>
        <item m="1" x="621"/>
        <item m="1" x="327"/>
        <item m="1" x="825"/>
        <item m="1" x="328"/>
        <item m="1" x="467"/>
        <item x="0"/>
        <item sd="0" m="1" x="558"/>
        <item m="1" x="483"/>
        <item sd="0" m="1" x="250"/>
        <item m="1" x="853"/>
        <item m="1" x="837"/>
        <item m="1" x="748"/>
        <item m="1" x="246"/>
        <item m="1" x="245"/>
        <item m="1" x="468"/>
        <item m="1" x="292"/>
        <item m="1" x="554"/>
        <item m="1" x="850"/>
        <item m="1" x="451"/>
        <item m="1" x="535"/>
        <item m="1" x="671"/>
        <item m="1" x="524"/>
        <item m="1" x="797"/>
        <item sd="0" m="1" x="182"/>
        <item sd="0" m="1" x="63"/>
        <item m="1" x="363"/>
        <item m="1" x="692"/>
        <item m="1" x="318"/>
        <item m="1" x="141"/>
        <item m="1" x="300"/>
        <item m="1" x="606"/>
        <item m="1" x="211"/>
        <item m="1" x="680"/>
        <item m="1" x="144"/>
        <item m="1" x="695"/>
        <item m="1" x="694"/>
        <item m="1" x="459"/>
        <item m="1" x="415"/>
        <item m="1" x="521"/>
        <item m="1" x="324"/>
        <item m="1" x="596"/>
        <item m="1" x="600"/>
        <item m="1" x="738"/>
        <item m="1" x="790"/>
        <item m="1" x="187"/>
        <item m="1" x="840"/>
        <item m="1" x="716"/>
        <item m="1" x="385"/>
        <item m="1" x="212"/>
        <item sd="0" m="1" x="527"/>
        <item m="1" x="469"/>
        <item m="1" x="143"/>
        <item m="1" x="667"/>
        <item m="1" x="379"/>
        <item m="1" x="159"/>
        <item m="1" x="257"/>
        <item m="1" x="633"/>
        <item m="1" x="742"/>
        <item m="1" x="428"/>
        <item m="1" x="85"/>
        <item m="1" x="703"/>
        <item m="1" x="290"/>
        <item m="1" x="851"/>
        <item m="1" x="254"/>
        <item sd="0" m="1" x="769"/>
        <item m="1" x="432"/>
        <item m="1" x="442"/>
        <item m="1" x="171"/>
        <item m="1" x="547"/>
        <item m="1" x="812"/>
        <item sd="0" m="1" x="625"/>
        <item m="1" x="8"/>
        <item m="1" x="776"/>
        <item m="1" x="18"/>
        <item m="1" x="745"/>
        <item m="1" x="400"/>
        <item m="1" x="282"/>
        <item m="1" x="70"/>
        <item sd="0" m="1" x="190"/>
        <item sd="0" m="1" x="313"/>
        <item sd="0" m="1" x="181"/>
        <item m="1" x="601"/>
        <item m="1" x="176"/>
        <item m="1" x="619"/>
        <item sd="0" m="1" x="773"/>
        <item m="1" x="489"/>
        <item m="1" x="57"/>
        <item m="1" x="655"/>
        <item m="1" x="476"/>
        <item m="1" x="255"/>
        <item m="1" x="334"/>
        <item m="1" x="443"/>
        <item m="1" x="359"/>
        <item sd="0" m="1" x="576"/>
        <item m="1" x="572"/>
        <item sd="0" m="1" x="739"/>
        <item m="1" x="761"/>
        <item m="1" x="125"/>
        <item m="1" x="397"/>
        <item sd="0" m="1" x="93"/>
        <item m="1" x="389"/>
        <item m="1" x="819"/>
        <item m="1" x="403"/>
        <item m="1" x="264"/>
        <item m="1" x="384"/>
        <item m="1" x="344"/>
        <item m="1" x="854"/>
        <item sd="0" m="1" x="653"/>
        <item m="1" x="858"/>
        <item sd="0" m="1" x="834"/>
        <item m="1" x="111"/>
        <item m="1" x="408"/>
        <item m="1" x="119"/>
        <item sd="0" m="1" x="658"/>
        <item m="1" x="662"/>
        <item m="1" x="800"/>
        <item sd="0" m="1" x="702"/>
        <item m="1" x="461"/>
        <item m="1" x="388"/>
        <item m="1" x="454"/>
        <item m="1" x="164"/>
        <item m="1" x="283"/>
        <item sd="0" m="1" x="208"/>
        <item m="1" x="500"/>
        <item m="1" x="295"/>
        <item m="1" x="532"/>
        <item m="1" x="263"/>
        <item m="1" x="641"/>
        <item m="1" x="413"/>
        <item m="1" x="845"/>
        <item m="1" x="463"/>
        <item sd="0" m="1" x="484"/>
        <item m="1" x="756"/>
        <item sd="0" m="1" x="644"/>
        <item m="1" x="58"/>
        <item m="1" x="798"/>
        <item m="1" x="722"/>
        <item m="1" x="424"/>
        <item m="1" x="740"/>
        <item m="1" x="818"/>
        <item m="1" x="566"/>
        <item m="1" x="563"/>
        <item m="1" x="435"/>
        <item m="1" x="719"/>
        <item m="1" x="511"/>
        <item m="1" x="177"/>
        <item m="1" x="632"/>
        <item m="1" x="382"/>
        <item m="1" x="813"/>
        <item m="1" x="64"/>
        <item m="1" x="636"/>
        <item m="1" x="536"/>
        <item m="1" x="301"/>
        <item m="1" x="310"/>
        <item m="1" x="178"/>
        <item m="1" x="106"/>
        <item sd="0" m="1" x="75"/>
        <item m="1" x="803"/>
        <item m="1" x="583"/>
        <item sd="0" m="1" x="804"/>
        <item m="1" x="36"/>
        <item m="1" x="679"/>
        <item m="1" x="293"/>
        <item m="1" x="634"/>
        <item m="1" x="271"/>
        <item m="1" x="120"/>
        <item m="1" x="340"/>
        <item m="1" x="225"/>
        <item m="1" x="515"/>
        <item m="1" x="122"/>
        <item sd="0" m="1" x="542"/>
        <item m="1" x="88"/>
        <item m="1" x="607"/>
        <item sd="0" m="1" x="456"/>
        <item m="1" x="356"/>
        <item m="1" x="83"/>
        <item m="1" x="587"/>
        <item m="1" x="22"/>
        <item m="1" x="165"/>
        <item m="1" x="779"/>
        <item m="1" x="584"/>
        <item m="1" x="523"/>
        <item m="1" x="802"/>
        <item m="1" x="169"/>
        <item sd="0" m="1" x="831"/>
        <item m="1" x="115"/>
        <item m="1" x="429"/>
        <item m="1" x="433"/>
        <item sd="0" m="1" x="13"/>
        <item m="1" x="47"/>
        <item m="1" x="20"/>
        <item m="1" x="627"/>
        <item m="1" x="561"/>
        <item m="1" x="631"/>
        <item m="1" x="352"/>
        <item m="1" x="439"/>
        <item m="1" x="215"/>
        <item m="1" x="445"/>
        <item sd="0" m="1" x="107"/>
        <item sd="0" m="1" x="200"/>
        <item m="1" x="836"/>
        <item m="1" x="770"/>
        <item m="1" x="514"/>
        <item m="1" x="826"/>
        <item m="1" x="348"/>
        <item m="1" x="229"/>
        <item m="1" x="337"/>
        <item m="1" x="69"/>
        <item m="1" x="640"/>
        <item m="1" x="464"/>
        <item m="1" x="795"/>
        <item m="1" x="710"/>
        <item m="1" x="240"/>
        <item m="1" x="602"/>
        <item m="1" x="48"/>
        <item m="1" x="202"/>
        <item sd="0" m="1" x="848"/>
        <item sd="0" m="1" x="128"/>
        <item m="1" x="273"/>
        <item m="1" x="298"/>
        <item m="1" x="361"/>
        <item m="1" x="720"/>
        <item m="1" x="103"/>
        <item m="1" x="466"/>
        <item m="1" x="585"/>
        <item m="1" x="360"/>
        <item m="1" x="108"/>
        <item sd="0" m="1" x="544"/>
        <item m="1" x="213"/>
        <item m="1" x="677"/>
        <item m="1" x="492"/>
        <item m="1" x="646"/>
        <item m="1" x="611"/>
        <item m="1" x="537"/>
        <item sd="0" m="1" x="568"/>
        <item m="1" x="744"/>
        <item m="1" x="522"/>
        <item sd="0" m="1" x="393"/>
        <item m="1" x="550"/>
        <item m="1" x="218"/>
        <item m="1" x="422"/>
        <item m="1" x="426"/>
        <item m="1" x="808"/>
        <item m="1" x="45"/>
        <item m="1" x="811"/>
        <item sd="0" m="1" x="493"/>
        <item m="1" x="449"/>
        <item m="1" x="406"/>
        <item sd="0" m="1" x="613"/>
        <item m="1" x="158"/>
        <item m="1" x="19"/>
        <item m="1" x="238"/>
        <item m="1" x="247"/>
        <item m="1" x="9"/>
        <item m="1" x="395"/>
        <item m="1" x="377"/>
        <item m="1" x="620"/>
        <item m="1" x="62"/>
        <item m="1" x="713"/>
        <item m="1" x="27"/>
        <item m="1" x="40"/>
        <item m="1" x="12"/>
        <item m="1" x="425"/>
        <item sd="0" m="1" x="689"/>
        <item m="1" x="291"/>
        <item m="1" x="322"/>
        <item m="1" x="387"/>
        <item m="1" x="320"/>
        <item m="1" x="777"/>
        <item m="1" x="148"/>
        <item m="1" x="672"/>
        <item sd="0" m="1" x="844"/>
        <item sd="0" m="1" x="42"/>
        <item m="1" x="390"/>
        <item m="1" x="594"/>
        <item m="1" x="753"/>
        <item sd="0" m="1" x="275"/>
        <item m="1" x="21"/>
        <item m="1" x="643"/>
        <item m="1" x="396"/>
        <item m="1" x="486"/>
        <item m="1" x="351"/>
        <item m="1" x="743"/>
        <item m="1" x="251"/>
        <item m="1" x="267"/>
        <item sd="0" m="1" x="280"/>
        <item sd="0" m="1" x="827"/>
        <item m="1" x="10"/>
        <item m="1" x="357"/>
        <item m="1" x="582"/>
        <item x="1"/>
        <item m="1" x="321"/>
        <item sd="0" m="1" x="705"/>
        <item m="1" x="338"/>
        <item m="1" x="630"/>
        <item m="1" x="546"/>
        <item sd="0" m="1" x="376"/>
        <item sd="0" m="1" x="342"/>
        <item sd="0" m="1" x="179"/>
        <item m="1" x="427"/>
        <item m="1" x="708"/>
        <item m="1" x="704"/>
        <item m="1" x="386"/>
        <item m="1" x="355"/>
        <item m="1" x="155"/>
        <item m="1" x="765"/>
        <item sd="0" m="1" x="697"/>
        <item sd="0" m="1" x="25"/>
        <item m="1" x="733"/>
        <item x="2"/>
        <item m="1" x="645"/>
        <item m="1" x="335"/>
        <item m="1" x="375"/>
        <item m="1" x="820"/>
        <item m="1" x="782"/>
        <item m="1" x="149"/>
        <item m="1" x="504"/>
        <item m="1" x="473"/>
        <item sd="0" m="1" x="145"/>
        <item sd="0" m="1" x="762"/>
        <item m="1" x="153"/>
        <item m="1" x="230"/>
        <item m="1" x="726"/>
        <item m="1" x="560"/>
        <item m="1" x="121"/>
        <item m="1" x="383"/>
        <item m="1" x="724"/>
        <item m="1" x="132"/>
        <item m="1" x="37"/>
        <item m="1" x="308"/>
        <item m="1" x="553"/>
        <item m="1" x="65"/>
        <item m="1" x="458"/>
        <item m="1" x="780"/>
        <item m="1" x="491"/>
        <item m="1" x="746"/>
        <item sd="0" m="1" x="460"/>
        <item m="1" x="526"/>
        <item m="1" x="166"/>
        <item sd="0" m="1" x="411"/>
        <item m="1" x="747"/>
        <item m="1" x="198"/>
        <item m="1" x="752"/>
        <item m="1" x="391"/>
        <item sd="0" m="1" x="142"/>
        <item m="1" x="664"/>
        <item m="1" x="436"/>
        <item m="1" x="670"/>
        <item m="1" x="499"/>
        <item sd="0" m="1" x="691"/>
        <item sd="0" m="1" x="333"/>
        <item m="1" x="774"/>
        <item sd="0" m="1" x="810"/>
        <item m="1" x="96"/>
        <item m="1" x="577"/>
        <item m="1" x="162"/>
        <item sd="0" m="1" x="565"/>
        <item m="1" x="50"/>
        <item m="1" x="729"/>
        <item m="1" x="754"/>
        <item m="1" x="749"/>
        <item m="1" x="852"/>
        <item sd="0" m="1" x="129"/>
        <item m="1" x="471"/>
        <item m="1" x="707"/>
        <item m="1" x="434"/>
        <item m="1" x="370"/>
        <item m="1" x="105"/>
        <item m="1" x="487"/>
        <item m="1" x="612"/>
        <item sd="0" m="1" x="721"/>
        <item sd="0" m="1" x="59"/>
        <item m="1" x="304"/>
        <item m="1" x="688"/>
        <item m="1" x="140"/>
        <item m="1" x="336"/>
        <item m="1" x="541"/>
        <item sd="0" m="1" x="243"/>
        <item m="1" x="562"/>
        <item m="1" x="551"/>
        <item m="1" x="855"/>
        <item m="1" x="5"/>
        <item m="1" x="278"/>
        <item sd="0" m="1" x="80"/>
        <item m="1" x="135"/>
        <item m="1" x="660"/>
        <item sd="0" m="1" x="727"/>
        <item m="1" x="647"/>
        <item m="1" x="237"/>
        <item m="1" x="380"/>
        <item m="1" x="741"/>
        <item sd="0" m="1" x="137"/>
        <item m="1" x="91"/>
        <item m="1" x="214"/>
        <item m="1" x="687"/>
        <item m="1" x="281"/>
        <item m="1" x="478"/>
        <item m="1" x="805"/>
        <item m="1" x="46"/>
        <item m="1" x="222"/>
        <item m="1" x="832"/>
        <item m="1" x="74"/>
        <item m="1" x="123"/>
        <item m="1" x="651"/>
        <item m="1" x="418"/>
        <item m="1" x="859"/>
        <item m="1" x="438"/>
        <item m="1" x="574"/>
        <item m="1" x="494"/>
        <item m="1" x="186"/>
        <item sd="0" m="1" x="381"/>
        <item m="1" x="248"/>
        <item m="1" x="345"/>
        <item m="1" x="533"/>
        <item m="1" x="430"/>
        <item m="1" x="793"/>
        <item m="1" x="307"/>
        <item m="1" x="315"/>
        <item m="1" x="374"/>
        <item m="1" x="497"/>
        <item m="1" x="668"/>
        <item m="1" x="192"/>
        <item m="1" x="665"/>
        <item m="1" x="227"/>
        <item m="1" x="455"/>
        <item m="1" x="152"/>
        <item m="1" x="369"/>
        <item m="1" x="269"/>
        <item m="1" x="297"/>
        <item m="1" x="545"/>
        <item m="1" x="608"/>
        <item m="1" x="35"/>
        <item m="1" x="274"/>
        <item m="1" x="757"/>
        <item m="1" x="378"/>
        <item m="1" x="252"/>
        <item m="1" x="405"/>
        <item sd="0" m="1" x="488"/>
        <item m="1" x="346"/>
        <item m="1" x="617"/>
        <item m="1" x="678"/>
        <item m="1" x="843"/>
        <item m="1" x="55"/>
        <item m="1" x="610"/>
        <item m="1" x="89"/>
        <item m="1" x="332"/>
        <item m="1" x="38"/>
        <item m="1" x="502"/>
        <item sd="0" m="1" x="512"/>
        <item m="1" x="453"/>
        <item m="1" x="170"/>
        <item m="1" x="138"/>
        <item m="1" x="258"/>
        <item m="1" x="306"/>
        <item m="1" x="824"/>
        <item m="1" x="173"/>
        <item m="1" x="714"/>
        <item m="1" x="175"/>
        <item m="1" x="591"/>
        <item m="1" x="233"/>
        <item m="1" x="398"/>
        <item m="1" x="663"/>
        <item m="1" x="316"/>
        <item m="1" x="79"/>
        <item sd="0" m="1" x="675"/>
        <item m="1" x="99"/>
        <item m="1" x="446"/>
        <item sd="0" m="1" x="358"/>
        <item m="1" x="789"/>
        <item m="1" x="505"/>
        <item m="1" x="66"/>
        <item m="1" x="462"/>
        <item m="1" x="87"/>
        <item m="1" x="331"/>
        <item sd="0" m="1" x="172"/>
        <item m="1" x="339"/>
        <item m="1" x="569"/>
        <item m="1" x="510"/>
        <item m="1" x="234"/>
        <item m="1" x="287"/>
        <item m="1" x="98"/>
        <item m="1" x="414"/>
        <item m="1" x="326"/>
        <item m="1" x="715"/>
        <item m="1" x="540"/>
        <item m="1" x="650"/>
        <item m="1" x="614"/>
        <item m="1" x="839"/>
        <item m="1" x="792"/>
        <item m="1" x="32"/>
        <item m="1" x="787"/>
        <item m="1" x="259"/>
        <item m="1" x="481"/>
        <item m="1" x="817"/>
        <item m="1" x="470"/>
        <item m="1" x="751"/>
        <item m="1" x="654"/>
        <item m="1" x="781"/>
        <item sd="0" m="1" x="76"/>
        <item m="1" x="718"/>
        <item m="1" x="578"/>
        <item m="1" x="188"/>
        <item m="1" x="723"/>
        <item m="1" x="116"/>
        <item m="1" x="260"/>
        <item m="1" x="517"/>
        <item m="1" x="100"/>
        <item m="1" x="528"/>
        <item m="1" x="794"/>
        <item m="1" x="23"/>
        <item m="1" x="543"/>
        <item m="1" x="642"/>
        <item m="1" x="580"/>
        <item sd="0" m="1" x="201"/>
        <item m="1" x="579"/>
        <item m="1" x="372"/>
        <item m="1" x="828"/>
        <item m="1" x="343"/>
        <item m="1" x="529"/>
        <item m="1" x="253"/>
        <item sd="0" m="1" x="14"/>
        <item m="1" x="147"/>
        <item m="1" x="657"/>
        <item m="1" x="609"/>
        <item m="1" x="447"/>
        <item m="1" x="26"/>
        <item m="1" x="599"/>
        <item m="1" x="441"/>
        <item m="1" x="72"/>
        <item m="1" x="661"/>
        <item m="1" x="683"/>
        <item m="1" x="570"/>
        <item m="1" x="520"/>
        <item m="1" x="603"/>
        <item m="1" x="323"/>
        <item m="1" x="786"/>
        <item m="1" x="490"/>
        <item m="1" x="319"/>
        <item m="1" x="354"/>
        <item m="1" x="288"/>
        <item m="1" x="329"/>
        <item m="1" x="849"/>
        <item m="1" x="365"/>
        <item sd="0" m="1" x="394"/>
        <item m="1" x="77"/>
        <item m="1" x="82"/>
        <item m="1" x="534"/>
        <item m="1" x="571"/>
        <item m="1" x="693"/>
        <item m="1" x="286"/>
        <item m="1" x="530"/>
        <item m="1" x="531"/>
        <item m="1" x="41"/>
        <item m="1" x="597"/>
        <item m="1" x="807"/>
        <item m="1" x="588"/>
        <item m="1" x="755"/>
        <item m="1" x="728"/>
        <item m="1" x="538"/>
        <item sd="0" m="1" x="51"/>
        <item m="1" x="559"/>
        <item m="1" x="113"/>
        <item m="1" x="241"/>
        <item sd="0" m="1" x="366"/>
        <item m="1" x="266"/>
        <item m="1" x="371"/>
        <item m="1" x="507"/>
        <item sd="0" m="1" x="151"/>
        <item m="1" x="174"/>
        <item m="1" x="589"/>
        <item m="1" x="809"/>
        <item sd="0" m="1" x="796"/>
        <item m="1" x="205"/>
        <item m="1" x="156"/>
        <item m="1" x="242"/>
        <item m="1" x="509"/>
        <item m="1" x="791"/>
        <item m="1" x="265"/>
        <item sd="0" m="1" x="758"/>
        <item m="1" x="133"/>
        <item m="1" x="216"/>
        <item m="1" x="838"/>
        <item m="1" x="590"/>
        <item m="1" x="801"/>
        <item m="1" x="732"/>
        <item m="1" x="419"/>
        <item m="1" x="29"/>
        <item m="1" x="349"/>
        <item m="1" x="496"/>
        <item m="1" x="516"/>
        <item m="1" x="775"/>
        <item m="1" x="725"/>
        <item m="1" x="766"/>
        <item m="1" x="525"/>
        <item m="1" x="648"/>
        <item m="1" x="294"/>
        <item m="1" x="184"/>
        <item m="1" x="341"/>
        <item m="1" x="822"/>
        <item sd="0" m="1" x="615"/>
        <item m="1" x="592"/>
        <item sd="0" m="1" x="262"/>
        <item m="1" x="555"/>
        <item m="1" x="109"/>
        <item m="1" x="92"/>
        <item m="1" x="760"/>
        <item m="1" x="160"/>
        <item m="1" x="239"/>
        <item m="1" x="244"/>
        <item m="1" x="472"/>
        <item m="1" x="624"/>
        <item m="1" x="737"/>
        <item m="1" x="477"/>
        <item m="1" x="556"/>
        <item m="1" x="270"/>
        <item m="1" x="256"/>
        <item m="1" x="637"/>
        <item m="1" x="706"/>
        <item m="1" x="364"/>
        <item m="1" x="17"/>
        <item m="1" x="231"/>
        <item m="1" x="788"/>
        <item m="1" x="730"/>
        <item m="1" x="846"/>
        <item m="1" x="450"/>
        <item m="1" x="197"/>
        <item m="1" x="312"/>
        <item m="1" x="347"/>
        <item sd="0" m="1" x="101"/>
        <item m="1" x="701"/>
        <item m="1" x="311"/>
        <item sd="0" m="1" x="362"/>
        <item m="1" x="409"/>
        <item m="1" x="622"/>
        <item m="1" x="618"/>
        <item m="1" x="783"/>
        <item m="1" x="401"/>
        <item m="1" x="407"/>
        <item m="1" x="711"/>
        <item m="1" x="410"/>
        <item m="1" x="835"/>
        <item m="1" x="501"/>
        <item m="1" x="402"/>
        <item m="1" x="676"/>
        <item m="1" x="189"/>
        <item sd="0" m="1" x="416"/>
        <item m="1" x="480"/>
        <item m="1" x="842"/>
        <item m="1" x="130"/>
        <item sd="0" m="1" x="157"/>
        <item m="1" x="598"/>
        <item m="1" x="784"/>
        <item m="1" x="616"/>
        <item m="1" x="564"/>
        <item m="1" x="314"/>
        <item m="1" x="659"/>
        <item m="1" x="731"/>
        <item sd="0" m="1" x="412"/>
        <item m="1" x="750"/>
        <item m="1" x="84"/>
        <item m="1" x="56"/>
        <item m="1" x="856"/>
        <item m="1" x="33"/>
        <item sd="0" m="1" x="575"/>
        <item m="1" x="518"/>
        <item m="1" x="420"/>
        <item m="1" x="709"/>
        <item m="1" x="209"/>
        <item sd="0" m="1" x="649"/>
        <item m="1" x="785"/>
        <item sd="0" m="1" x="474"/>
        <item sd="0" m="1" x="44"/>
        <item m="1" x="700"/>
        <item m="1" x="669"/>
        <item sd="0" m="1" x="814"/>
        <item m="1" x="226"/>
        <item m="1" x="821"/>
        <item m="1" x="629"/>
        <item m="1" x="465"/>
        <item m="1" x="698"/>
        <item sd="0" m="1" x="139"/>
        <item m="1" x="417"/>
        <item m="1" x="699"/>
        <item m="1" x="448"/>
        <item m="1" x="368"/>
        <item sd="0" m="1" x="712"/>
        <item m="1" x="309"/>
        <item m="1" x="193"/>
        <item m="1" x="686"/>
        <item sd="0" m="1" x="289"/>
        <item m="1" x="224"/>
        <item m="1" x="325"/>
        <item m="1" x="261"/>
        <item m="1" x="4"/>
        <item sd="0" m="1" x="196"/>
        <item m="1" x="735"/>
        <item m="1" x="392"/>
        <item m="1" x="581"/>
        <item m="1" x="367"/>
        <item m="1" x="457"/>
        <item m="1" x="519"/>
        <item m="1" x="127"/>
        <item m="1" x="652"/>
        <item m="1" x="53"/>
        <item m="1" x="423"/>
        <item m="1" x="150"/>
        <item sd="0" m="1" x="734"/>
        <item m="1" x="168"/>
        <item m="1" x="353"/>
        <item m="1" x="124"/>
        <item m="1" x="296"/>
        <item sd="0" m="1" x="204"/>
        <item m="1" x="210"/>
        <item m="1" x="94"/>
        <item sd="0" m="1" x="31"/>
        <item m="1" x="284"/>
        <item m="1" x="513"/>
        <item sd="0" m="1" x="506"/>
        <item m="1" x="73"/>
        <item m="1" x="685"/>
        <item m="1" x="86"/>
        <item m="1" x="639"/>
        <item m="1" x="71"/>
        <item m="1" x="656"/>
        <item m="1" x="495"/>
        <item m="1" x="759"/>
        <item m="1" x="167"/>
        <item m="1" x="195"/>
        <item m="1" x="684"/>
        <item m="1" x="305"/>
        <item m="1" x="593"/>
        <item sd="0" m="1" x="183"/>
        <item m="1" x="628"/>
        <item sd="0" m="1" x="68"/>
        <item m="1" x="431"/>
        <item sd="0" m="1" x="30"/>
        <item sd="0" m="1" x="771"/>
        <item m="1" x="421"/>
        <item sd="0" m="1" x="557"/>
        <item m="1" x="102"/>
        <item m="1" x="90"/>
        <item sd="0" m="1" x="299"/>
        <item m="1" x="199"/>
        <item sd="0" m="1" x="503"/>
        <item m="1" x="268"/>
        <item m="1" x="34"/>
        <item m="1" x="110"/>
        <item m="1" x="539"/>
        <item sd="0" m="1" x="303"/>
        <item sd="0" m="1" x="404"/>
        <item sd="0" m="1" x="235"/>
        <item sd="0" m="1" x="11"/>
        <item m="1" x="479"/>
        <item sd="0" m="1" x="829"/>
        <item m="1" x="39"/>
        <item m="1" x="317"/>
        <item m="1" x="830"/>
        <item m="1" x="567"/>
        <item m="1" x="67"/>
        <item m="1" x="573"/>
        <item m="1" x="437"/>
        <item m="1" x="180"/>
        <item m="1" x="373"/>
        <item m="1" x="764"/>
        <item m="1" x="605"/>
        <item m="1" x="16"/>
        <item m="1" x="97"/>
        <item m="1" x="444"/>
        <item m="1" x="440"/>
        <item m="1" x="126"/>
        <item m="1" x="635"/>
        <item m="1" x="206"/>
        <item m="1" x="161"/>
        <item m="1" x="60"/>
        <item m="1" x="552"/>
        <item sd="0" m="1" x="623"/>
        <item m="1" x="104"/>
        <item m="1" x="772"/>
        <item m="1" x="131"/>
        <item m="1" x="223"/>
        <item m="1" x="816"/>
        <item m="1" x="285"/>
        <item m="1" x="112"/>
        <item m="1" x="203"/>
        <item m="1" x="219"/>
        <item m="1" x="185"/>
        <item m="1" x="78"/>
        <item m="1" x="217"/>
        <item m="1" x="604"/>
        <item m="1" x="194"/>
        <item m="1" x="232"/>
        <item m="1" x="847"/>
        <item m="1" x="841"/>
        <item m="1" x="498"/>
        <item m="1" x="690"/>
        <item m="1" x="249"/>
        <item m="1" x="61"/>
        <item m="1" x="134"/>
        <item m="1" x="7"/>
        <item m="1" x="54"/>
        <item m="1" x="95"/>
        <item sd="0" m="1" x="207"/>
        <item m="1" x="43"/>
        <item x="3"/>
      </items>
    </pivotField>
    <pivotField showAll="0" defaultSubtotal="0"/>
    <pivotField showAll="0" defaultSubtotal="0"/>
    <pivotField axis="axisPage" multipleItemSelectionAllowed="1" showAll="0" defaultSubtotal="0">
      <items count="27">
        <item m="1" x="9"/>
        <item x="0"/>
        <item m="1" x="11"/>
        <item m="1" x="14"/>
        <item m="1" x="25"/>
        <item m="1" x="19"/>
        <item x="2"/>
        <item m="1" x="7"/>
        <item m="1" x="3"/>
        <item m="1" x="10"/>
        <item m="1" x="22"/>
        <item m="1" x="4"/>
        <item m="1" x="6"/>
        <item m="1" x="16"/>
        <item m="1" x="15"/>
        <item m="1" x="24"/>
        <item x="1"/>
        <item m="1" x="23"/>
        <item m="1" x="5"/>
        <item m="1" x="13"/>
        <item m="1" x="26"/>
        <item m="1" x="8"/>
        <item m="1" x="17"/>
        <item m="1" x="12"/>
        <item m="1" x="20"/>
        <item m="1" x="18"/>
        <item m="1" x="21"/>
      </items>
    </pivotField>
    <pivotField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dataField="1" showAll="0" defaultSubtotal="0"/>
    <pivotField showAll="0" defaultSubtotal="0"/>
    <pivotField showAll="0" defaultSubtotal="0"/>
    <pivotField dataField="1" showAll="0" defaultSubtotal="0"/>
    <pivotField dataField="1" showAll="0" defaultSubtotal="0"/>
    <pivotField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numFmtId="10" showAll="0" defaultSubtotal="0"/>
    <pivotField showAll="0" defaultSubtotal="0"/>
    <pivotField dataField="1" dragToRow="0" dragToCol="0" dragToPage="0" showAll="0" defaultSubtotal="0"/>
    <pivotField dataField="1"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ataField="1"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</pivotFields>
  <rowFields count="2">
    <field x="6"/>
    <field x="0"/>
  </rowFields>
  <rowItems count="35">
    <i>
      <x v="61"/>
    </i>
    <i r="1">
      <x v="7970"/>
    </i>
    <i r="1">
      <x v="7971"/>
    </i>
    <i r="1">
      <x v="7972"/>
    </i>
    <i r="1">
      <x v="7973"/>
    </i>
    <i r="1">
      <x v="7975"/>
    </i>
    <i r="1">
      <x v="7976"/>
    </i>
    <i r="1">
      <x v="7977"/>
    </i>
    <i r="1">
      <x v="7978"/>
    </i>
    <i r="1">
      <x v="7979"/>
    </i>
    <i r="1">
      <x v="7980"/>
    </i>
    <i r="1">
      <x v="7982"/>
    </i>
    <i r="1">
      <x v="7983"/>
    </i>
    <i r="1">
      <x v="7984"/>
    </i>
    <i r="1">
      <x v="7986"/>
    </i>
    <i r="1">
      <x v="7988"/>
    </i>
    <i r="1">
      <x v="7989"/>
    </i>
    <i r="1">
      <x v="7990"/>
    </i>
    <i r="1">
      <x v="7991"/>
    </i>
    <i r="1">
      <x v="7992"/>
    </i>
    <i r="1">
      <x v="7993"/>
    </i>
    <i r="1">
      <x v="7994"/>
    </i>
    <i>
      <x v="346"/>
    </i>
    <i r="1">
      <x v="7974"/>
    </i>
    <i r="1">
      <x v="7981"/>
    </i>
    <i r="1">
      <x v="7985"/>
    </i>
    <i r="1">
      <x v="7987"/>
    </i>
    <i>
      <x v="365"/>
    </i>
    <i r="1">
      <x v="7995"/>
    </i>
    <i r="1">
      <x v="7996"/>
    </i>
    <i r="1">
      <x v="7997"/>
    </i>
    <i r="1">
      <x v="7998"/>
    </i>
    <i r="1">
      <x v="7999"/>
    </i>
    <i>
      <x v="859"/>
    </i>
    <i r="1">
      <x v="7928"/>
    </i>
  </rowItems>
  <colFields count="1">
    <field x="-2"/>
  </colFields>
  <colItems count="13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</colItems>
  <pageFields count="1">
    <pageField fld="9" hier="0"/>
  </pageFields>
  <dataFields count="13">
    <dataField name="FATURAMENTO" fld="12" baseField="0" baseItem="0"/>
    <dataField name="PESO FAT." fld="14" baseField="0" baseItem="0" numFmtId="164"/>
    <dataField name="C.COLETA" fld="16" baseField="0" baseItem="0"/>
    <dataField name="C.ENTREGA" fld="18" baseField="0" baseItem="0"/>
    <dataField name="C.TRANSF" fld="20" baseField="0" baseItem="0"/>
    <dataField name="META C.VARIÁVEL" fld="35" baseField="0" baseItem="0" numFmtId="10"/>
    <dataField name="C.ICMS" fld="21" baseField="0" baseItem="0"/>
    <dataField name="C.SEGURO" fld="24" baseField="0" baseItem="0"/>
    <dataField name="C.OUTROS" fld="25" baseField="0" baseItem="0"/>
    <dataField name="IMPOSTO." fld="28" baseField="0" baseItem="0"/>
    <dataField name="C.COMIS" fld="30" baseField="0" baseItem="0"/>
    <dataField name="Resultado Oper." fld="34" baseField="0" baseItem="0"/>
    <dataField name="MARGEM BRUTA." fld="40" baseField="6" baseItem="0" numFmtId="10"/>
  </dataFields>
  <formats count="14">
    <format dxfId="32">
      <pivotArea outline="0" collapsedLevelsAreSubtotals="1" fieldPosition="0"/>
    </format>
    <format dxfId="31">
      <pivotArea outline="0" collapsedLevelsAreSubtotals="1" fieldPosition="0">
        <references count="1">
          <reference field="4294967294" count="1" selected="0">
            <x v="5"/>
          </reference>
        </references>
      </pivotArea>
    </format>
    <format dxfId="30">
      <pivotArea dataOnly="0" labelOnly="1" outline="0" fieldPosition="0">
        <references count="1">
          <reference field="4294967294" count="1">
            <x v="5"/>
          </reference>
        </references>
      </pivotArea>
    </format>
    <format dxfId="29">
      <pivotArea outline="0" collapsedLevelsAreSubtotals="1" fieldPosition="0">
        <references count="1">
          <reference field="4294967294" count="1" selected="0">
            <x v="12"/>
          </reference>
        </references>
      </pivotArea>
    </format>
    <format dxfId="28">
      <pivotArea dataOnly="0" labelOnly="1" outline="0" fieldPosition="0">
        <references count="1">
          <reference field="4294967294" count="1">
            <x v="12"/>
          </reference>
        </references>
      </pivotArea>
    </format>
    <format dxfId="27">
      <pivotArea outline="0" collapsedLevelsAreSubtotals="1" fieldPosition="0"/>
    </format>
    <format dxfId="26">
      <pivotArea dataOnly="0" labelOnly="1" fieldPosition="0">
        <references count="1">
          <reference field="6" count="50">
            <x v="16"/>
            <x v="21"/>
            <x v="33"/>
            <x v="61"/>
            <x v="66"/>
            <x v="94"/>
            <x v="102"/>
            <x v="110"/>
            <x v="120"/>
            <x v="139"/>
            <x v="149"/>
            <x v="170"/>
            <x v="197"/>
            <x v="256"/>
            <x v="263"/>
            <x v="267"/>
            <x v="297"/>
            <x v="299"/>
            <x v="301"/>
            <x v="315"/>
            <x v="316"/>
            <x v="346"/>
            <x v="347"/>
            <x v="355"/>
            <x v="406"/>
            <x v="440"/>
            <x v="466"/>
            <x v="489"/>
            <x v="510"/>
            <x v="534"/>
            <x v="538"/>
            <x v="581"/>
            <x v="634"/>
            <x v="644"/>
            <x v="675"/>
            <x v="684"/>
            <x v="697"/>
            <x v="715"/>
            <x v="722"/>
            <x v="724"/>
            <x v="739"/>
            <x v="741"/>
            <x v="752"/>
            <x v="762"/>
            <x v="764"/>
            <x v="770"/>
            <x v="782"/>
            <x v="818"/>
            <x v="821"/>
            <x v="833"/>
          </reference>
        </references>
      </pivotArea>
    </format>
    <format dxfId="25">
      <pivotArea dataOnly="0" labelOnly="1" fieldPosition="0">
        <references count="1">
          <reference field="6" count="50">
            <x v="2"/>
            <x v="10"/>
            <x v="17"/>
            <x v="54"/>
            <x v="62"/>
            <x v="79"/>
            <x v="80"/>
            <x v="123"/>
            <x v="187"/>
            <x v="243"/>
            <x v="244"/>
            <x v="273"/>
            <x v="283"/>
            <x v="293"/>
            <x v="300"/>
            <x v="304"/>
            <x v="312"/>
            <x v="334"/>
            <x v="342"/>
            <x v="352"/>
            <x v="374"/>
            <x v="392"/>
            <x v="395"/>
            <x v="398"/>
            <x v="412"/>
            <x v="426"/>
            <x v="447"/>
            <x v="493"/>
            <x v="497"/>
            <x v="504"/>
            <x v="545"/>
            <x v="553"/>
            <x v="568"/>
            <x v="615"/>
            <x v="618"/>
            <x v="627"/>
            <x v="639"/>
            <x v="655"/>
            <x v="701"/>
            <x v="705"/>
            <x v="725"/>
            <x v="767"/>
            <x v="787"/>
            <x v="789"/>
            <x v="792"/>
            <x v="797"/>
            <x v="805"/>
            <x v="806"/>
            <x v="807"/>
            <x v="809"/>
          </reference>
        </references>
      </pivotArea>
    </format>
    <format dxfId="24">
      <pivotArea dataOnly="0" labelOnly="1" fieldPosition="0">
        <references count="1">
          <reference field="6" count="2">
            <x v="136"/>
            <x v="178"/>
          </reference>
        </references>
      </pivotArea>
    </format>
    <format dxfId="23">
      <pivotArea dataOnly="0" labelOnly="1" grandRow="1" outline="0" fieldPosition="0"/>
    </format>
    <format dxfId="22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21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20">
      <pivotArea outline="0" collapsedLevelsAreSubtotals="1" fieldPosition="0"/>
    </format>
    <format dxfId="19">
      <pivotArea dataOnly="0" labelOnly="1" outline="0" fieldPosition="0">
        <references count="1">
          <reference field="4294967294" count="12">
            <x v="0"/>
            <x v="1"/>
            <x v="2"/>
            <x v="3"/>
            <x v="4"/>
            <x v="5"/>
            <x v="6"/>
            <x v="7"/>
            <x v="8"/>
            <x v="10"/>
            <x v="11"/>
            <x v="12"/>
          </reference>
        </references>
      </pivotArea>
    </format>
  </formats>
  <conditionalFormats count="5">
    <conditionalFormat priority="17">
      <pivotAreas count="1">
        <pivotArea type="data" outline="0" collapsedLevelsAreSubtotals="1" fieldPosition="0">
          <references count="1">
            <reference field="4294967294" count="1" selected="0">
              <x v="5"/>
            </reference>
          </references>
        </pivotArea>
      </pivotAreas>
    </conditionalFormat>
    <conditionalFormat priority="16">
      <pivotAreas count="1">
        <pivotArea type="data" outline="0" collapsedLevelsAreSubtotals="1" fieldPosition="0">
          <references count="1">
            <reference field="4294967294" count="1" selected="0">
              <x v="5"/>
            </reference>
          </references>
        </pivotArea>
      </pivotAreas>
    </conditionalFormat>
    <conditionalFormat priority="15">
      <pivotAreas count="1">
        <pivotArea type="data" outline="0" collapsedLevelsAreSubtotals="1" fieldPosition="0">
          <references count="1">
            <reference field="4294967294" count="1" selected="0">
              <x v="12"/>
            </reference>
          </references>
        </pivotArea>
      </pivotAreas>
    </conditionalFormat>
    <conditionalFormat priority="13">
      <pivotAreas count="1">
        <pivotArea type="data" outline="0" collapsedLevelsAreSubtotals="1" fieldPosition="0">
          <references count="1">
            <reference field="4294967294" count="1" selected="0">
              <x v="12"/>
            </reference>
          </references>
        </pivotArea>
      </pivotAreas>
    </conditionalFormat>
    <conditionalFormat priority="12">
      <pivotAreas count="1">
        <pivotArea outline="0" fieldPosition="0">
          <references count="1">
            <reference field="4294967294" count="1">
              <x v="12"/>
            </reference>
          </references>
        </pivotArea>
      </pivotAreas>
    </conditionalFormat>
  </conditional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8AD6FB4-0FC9-48FA-A08D-2D7AA41CEDA7}" name="Tabela dinâmica1" cacheId="34" applyNumberFormats="0" applyBorderFormats="0" applyFontFormats="0" applyPatternFormats="0" applyAlignmentFormats="0" applyWidthHeightFormats="1" dataCaption="Valores" updatedVersion="8" minRefreshableVersion="3" useAutoFormatting="1" rowGrandTotals="0" colGrandTotals="0" itemPrintTitles="1" createdVersion="6" indent="0" outline="1" outlineData="1" multipleFieldFilters="0" chartFormat="15" rowHeaderCaption="CLIENTE">
  <location ref="A3:C8" firstHeaderRow="1" firstDataRow="2" firstDataCol="1" rowPageCount="1" colPageCount="1"/>
  <pivotFields count="52">
    <pivotField showAll="0" defaultSubtotal="0"/>
    <pivotField showAll="0" defaultSubtotal="0"/>
    <pivotField numFmtId="14" showAll="0" defaultSubtotal="0"/>
    <pivotField numFmtId="14" showAll="0" defaultSubtotal="0"/>
    <pivotField showAll="0" defaultSubtotal="0"/>
    <pivotField showAll="0" defaultSubtotal="0"/>
    <pivotField axis="axisRow" showAll="0" sortType="ascending" defaultSubtotal="0">
      <items count="860">
        <item sd="0" m="1" x="823"/>
        <item sd="0" m="1" x="768"/>
        <item sd="0" m="1" x="799"/>
        <item m="1" x="548"/>
        <item sd="0" m="1" x="154"/>
        <item sd="0" m="1" x="191"/>
        <item sd="0" m="1" x="279"/>
        <item m="1" x="15"/>
        <item m="1" x="767"/>
        <item m="1" x="399"/>
        <item sd="0" m="1" x="717"/>
        <item m="1" x="302"/>
        <item sd="0" m="1" x="118"/>
        <item m="1" x="277"/>
        <item m="1" x="595"/>
        <item m="1" x="330"/>
        <item sd="0" m="1" x="681"/>
        <item sd="0" m="1" x="508"/>
        <item m="1" x="28"/>
        <item m="1" x="586"/>
        <item m="1" x="857"/>
        <item m="1" x="24"/>
        <item m="1" x="763"/>
        <item m="1" x="117"/>
        <item m="1" x="549"/>
        <item m="1" x="833"/>
        <item m="1" x="276"/>
        <item m="1" x="485"/>
        <item m="1" x="778"/>
        <item m="1" x="272"/>
        <item m="1" x="6"/>
        <item m="1" x="350"/>
        <item m="1" x="682"/>
        <item sd="0" m="1" x="806"/>
        <item m="1" x="81"/>
        <item m="1" x="52"/>
        <item sd="0" m="1" x="674"/>
        <item m="1" x="666"/>
        <item m="1" x="475"/>
        <item m="1" x="49"/>
        <item sd="0" m="1" x="736"/>
        <item m="1" x="696"/>
        <item m="1" x="221"/>
        <item sd="0" m="1" x="482"/>
        <item m="1" x="638"/>
        <item m="1" x="452"/>
        <item sd="0" m="1" x="815"/>
        <item m="1" x="673"/>
        <item m="1" x="220"/>
        <item sd="0" m="1" x="136"/>
        <item m="1" x="228"/>
        <item m="1" x="163"/>
        <item m="1" x="236"/>
        <item m="1" x="114"/>
        <item m="1" x="626"/>
        <item m="1" x="146"/>
        <item m="1" x="621"/>
        <item m="1" x="327"/>
        <item m="1" x="825"/>
        <item m="1" x="328"/>
        <item m="1" x="467"/>
        <item x="0"/>
        <item sd="0" m="1" x="558"/>
        <item m="1" x="483"/>
        <item sd="0" m="1" x="250"/>
        <item m="1" x="853"/>
        <item m="1" x="837"/>
        <item m="1" x="748"/>
        <item m="1" x="246"/>
        <item m="1" x="245"/>
        <item m="1" x="468"/>
        <item m="1" x="292"/>
        <item m="1" x="554"/>
        <item m="1" x="850"/>
        <item m="1" x="451"/>
        <item m="1" x="535"/>
        <item m="1" x="671"/>
        <item m="1" x="524"/>
        <item m="1" x="797"/>
        <item sd="0" m="1" x="182"/>
        <item sd="0" m="1" x="63"/>
        <item m="1" x="363"/>
        <item m="1" x="692"/>
        <item m="1" x="318"/>
        <item m="1" x="141"/>
        <item m="1" x="300"/>
        <item m="1" x="606"/>
        <item m="1" x="211"/>
        <item m="1" x="680"/>
        <item m="1" x="144"/>
        <item m="1" x="695"/>
        <item m="1" x="694"/>
        <item m="1" x="459"/>
        <item m="1" x="415"/>
        <item m="1" x="521"/>
        <item m="1" x="324"/>
        <item m="1" x="596"/>
        <item m="1" x="600"/>
        <item m="1" x="738"/>
        <item m="1" x="790"/>
        <item m="1" x="187"/>
        <item m="1" x="840"/>
        <item m="1" x="716"/>
        <item m="1" x="385"/>
        <item m="1" x="212"/>
        <item sd="0" m="1" x="527"/>
        <item m="1" x="469"/>
        <item m="1" x="143"/>
        <item m="1" x="667"/>
        <item m="1" x="379"/>
        <item m="1" x="159"/>
        <item m="1" x="257"/>
        <item m="1" x="633"/>
        <item m="1" x="742"/>
        <item m="1" x="428"/>
        <item m="1" x="85"/>
        <item m="1" x="703"/>
        <item m="1" x="290"/>
        <item m="1" x="851"/>
        <item m="1" x="254"/>
        <item sd="0" m="1" x="769"/>
        <item m="1" x="432"/>
        <item m="1" x="442"/>
        <item m="1" x="171"/>
        <item m="1" x="547"/>
        <item m="1" x="812"/>
        <item sd="0" m="1" x="625"/>
        <item m="1" x="8"/>
        <item m="1" x="776"/>
        <item m="1" x="18"/>
        <item m="1" x="745"/>
        <item m="1" x="400"/>
        <item m="1" x="282"/>
        <item m="1" x="70"/>
        <item sd="0" m="1" x="190"/>
        <item sd="0" m="1" x="313"/>
        <item sd="0" m="1" x="181"/>
        <item m="1" x="601"/>
        <item m="1" x="176"/>
        <item m="1" x="619"/>
        <item sd="0" m="1" x="773"/>
        <item m="1" x="489"/>
        <item m="1" x="57"/>
        <item m="1" x="655"/>
        <item m="1" x="476"/>
        <item m="1" x="255"/>
        <item m="1" x="334"/>
        <item m="1" x="443"/>
        <item m="1" x="359"/>
        <item sd="0" m="1" x="576"/>
        <item m="1" x="572"/>
        <item sd="0" m="1" x="739"/>
        <item m="1" x="761"/>
        <item m="1" x="125"/>
        <item m="1" x="397"/>
        <item sd="0" m="1" x="93"/>
        <item m="1" x="389"/>
        <item m="1" x="819"/>
        <item m="1" x="403"/>
        <item m="1" x="264"/>
        <item m="1" x="384"/>
        <item m="1" x="344"/>
        <item m="1" x="854"/>
        <item sd="0" m="1" x="653"/>
        <item m="1" x="858"/>
        <item sd="0" m="1" x="834"/>
        <item m="1" x="111"/>
        <item m="1" x="408"/>
        <item m="1" x="119"/>
        <item sd="0" m="1" x="658"/>
        <item m="1" x="662"/>
        <item m="1" x="800"/>
        <item sd="0" m="1" x="702"/>
        <item m="1" x="461"/>
        <item m="1" x="388"/>
        <item m="1" x="454"/>
        <item m="1" x="164"/>
        <item m="1" x="283"/>
        <item sd="0" m="1" x="208"/>
        <item m="1" x="500"/>
        <item m="1" x="295"/>
        <item m="1" x="532"/>
        <item m="1" x="263"/>
        <item m="1" x="641"/>
        <item m="1" x="413"/>
        <item m="1" x="845"/>
        <item m="1" x="463"/>
        <item sd="0" m="1" x="484"/>
        <item m="1" x="756"/>
        <item sd="0" m="1" x="644"/>
        <item m="1" x="58"/>
        <item m="1" x="798"/>
        <item m="1" x="722"/>
        <item m="1" x="424"/>
        <item m="1" x="740"/>
        <item m="1" x="818"/>
        <item m="1" x="566"/>
        <item m="1" x="563"/>
        <item m="1" x="435"/>
        <item m="1" x="719"/>
        <item m="1" x="511"/>
        <item m="1" x="177"/>
        <item m="1" x="632"/>
        <item m="1" x="382"/>
        <item m="1" x="813"/>
        <item m="1" x="64"/>
        <item m="1" x="636"/>
        <item m="1" x="536"/>
        <item m="1" x="301"/>
        <item m="1" x="310"/>
        <item m="1" x="178"/>
        <item m="1" x="106"/>
        <item sd="0" m="1" x="75"/>
        <item m="1" x="803"/>
        <item m="1" x="583"/>
        <item sd="0" m="1" x="804"/>
        <item m="1" x="36"/>
        <item m="1" x="679"/>
        <item m="1" x="293"/>
        <item m="1" x="634"/>
        <item m="1" x="271"/>
        <item m="1" x="120"/>
        <item m="1" x="340"/>
        <item m="1" x="225"/>
        <item m="1" x="515"/>
        <item m="1" x="122"/>
        <item sd="0" m="1" x="542"/>
        <item m="1" x="88"/>
        <item m="1" x="607"/>
        <item sd="0" m="1" x="456"/>
        <item m="1" x="356"/>
        <item m="1" x="83"/>
        <item m="1" x="587"/>
        <item m="1" x="22"/>
        <item m="1" x="165"/>
        <item m="1" x="779"/>
        <item m="1" x="584"/>
        <item m="1" x="523"/>
        <item m="1" x="802"/>
        <item m="1" x="169"/>
        <item sd="0" m="1" x="831"/>
        <item m="1" x="115"/>
        <item m="1" x="429"/>
        <item m="1" x="433"/>
        <item sd="0" m="1" x="13"/>
        <item m="1" x="47"/>
        <item m="1" x="20"/>
        <item m="1" x="627"/>
        <item m="1" x="561"/>
        <item m="1" x="631"/>
        <item m="1" x="352"/>
        <item m="1" x="439"/>
        <item m="1" x="215"/>
        <item m="1" x="445"/>
        <item sd="0" m="1" x="107"/>
        <item sd="0" m="1" x="200"/>
        <item m="1" x="836"/>
        <item m="1" x="770"/>
        <item m="1" x="514"/>
        <item m="1" x="826"/>
        <item m="1" x="348"/>
        <item m="1" x="229"/>
        <item m="1" x="337"/>
        <item m="1" x="69"/>
        <item m="1" x="640"/>
        <item m="1" x="464"/>
        <item m="1" x="795"/>
        <item sd="0" m="1" x="710"/>
        <item m="1" x="240"/>
        <item m="1" x="602"/>
        <item m="1" x="48"/>
        <item m="1" x="202"/>
        <item sd="0" m="1" x="848"/>
        <item sd="0" m="1" x="128"/>
        <item m="1" x="273"/>
        <item m="1" x="298"/>
        <item m="1" x="361"/>
        <item m="1" x="720"/>
        <item m="1" x="103"/>
        <item m="1" x="466"/>
        <item m="1" x="585"/>
        <item m="1" x="360"/>
        <item m="1" x="108"/>
        <item sd="0" m="1" x="544"/>
        <item m="1" x="213"/>
        <item m="1" x="677"/>
        <item m="1" x="492"/>
        <item m="1" x="646"/>
        <item m="1" x="611"/>
        <item m="1" x="537"/>
        <item sd="0" m="1" x="568"/>
        <item m="1" x="744"/>
        <item m="1" x="522"/>
        <item sd="0" m="1" x="393"/>
        <item m="1" x="550"/>
        <item m="1" x="218"/>
        <item m="1" x="422"/>
        <item m="1" x="426"/>
        <item m="1" x="808"/>
        <item m="1" x="45"/>
        <item m="1" x="811"/>
        <item sd="0" m="1" x="493"/>
        <item m="1" x="449"/>
        <item m="1" x="406"/>
        <item sd="0" m="1" x="613"/>
        <item m="1" x="158"/>
        <item m="1" x="19"/>
        <item m="1" x="238"/>
        <item m="1" x="247"/>
        <item m="1" x="9"/>
        <item m="1" x="395"/>
        <item m="1" x="377"/>
        <item m="1" x="620"/>
        <item m="1" x="62"/>
        <item m="1" x="713"/>
        <item m="1" x="27"/>
        <item m="1" x="40"/>
        <item m="1" x="12"/>
        <item m="1" x="425"/>
        <item sd="0" m="1" x="689"/>
        <item m="1" x="291"/>
        <item m="1" x="322"/>
        <item m="1" x="387"/>
        <item m="1" x="320"/>
        <item m="1" x="777"/>
        <item m="1" x="148"/>
        <item m="1" x="672"/>
        <item sd="0" m="1" x="844"/>
        <item sd="0" m="1" x="42"/>
        <item m="1" x="390"/>
        <item m="1" x="594"/>
        <item m="1" x="753"/>
        <item sd="0" m="1" x="275"/>
        <item m="1" x="21"/>
        <item m="1" x="643"/>
        <item m="1" x="396"/>
        <item m="1" x="486"/>
        <item m="1" x="351"/>
        <item m="1" x="743"/>
        <item m="1" x="251"/>
        <item m="1" x="267"/>
        <item sd="0" m="1" x="280"/>
        <item sd="0" m="1" x="827"/>
        <item m="1" x="10"/>
        <item m="1" x="357"/>
        <item m="1" x="582"/>
        <item x="1"/>
        <item m="1" x="321"/>
        <item sd="0" m="1" x="705"/>
        <item m="1" x="338"/>
        <item m="1" x="630"/>
        <item m="1" x="546"/>
        <item sd="0" m="1" x="376"/>
        <item sd="0" m="1" x="342"/>
        <item sd="0" m="1" x="179"/>
        <item m="1" x="427"/>
        <item m="1" x="708"/>
        <item m="1" x="704"/>
        <item m="1" x="386"/>
        <item m="1" x="355"/>
        <item m="1" x="155"/>
        <item m="1" x="765"/>
        <item sd="0" m="1" x="697"/>
        <item sd="0" m="1" x="25"/>
        <item m="1" x="733"/>
        <item x="2"/>
        <item m="1" x="645"/>
        <item m="1" x="335"/>
        <item m="1" x="375"/>
        <item m="1" x="820"/>
        <item m="1" x="782"/>
        <item m="1" x="149"/>
        <item m="1" x="504"/>
        <item m="1" x="473"/>
        <item sd="0" m="1" x="145"/>
        <item sd="0" m="1" x="762"/>
        <item m="1" x="153"/>
        <item m="1" x="230"/>
        <item m="1" x="726"/>
        <item m="1" x="560"/>
        <item m="1" x="121"/>
        <item m="1" x="383"/>
        <item m="1" x="724"/>
        <item m="1" x="132"/>
        <item m="1" x="37"/>
        <item m="1" x="308"/>
        <item m="1" x="553"/>
        <item m="1" x="65"/>
        <item m="1" x="458"/>
        <item m="1" x="780"/>
        <item m="1" x="491"/>
        <item m="1" x="746"/>
        <item sd="0" m="1" x="460"/>
        <item m="1" x="526"/>
        <item m="1" x="166"/>
        <item sd="0" m="1" x="411"/>
        <item m="1" x="747"/>
        <item m="1" x="198"/>
        <item m="1" x="752"/>
        <item m="1" x="391"/>
        <item sd="0" m="1" x="142"/>
        <item m="1" x="664"/>
        <item m="1" x="436"/>
        <item m="1" x="670"/>
        <item m="1" x="499"/>
        <item sd="0" m="1" x="691"/>
        <item sd="0" m="1" x="333"/>
        <item m="1" x="774"/>
        <item sd="0" m="1" x="810"/>
        <item m="1" x="96"/>
        <item m="1" x="577"/>
        <item m="1" x="162"/>
        <item sd="0" m="1" x="565"/>
        <item m="1" x="50"/>
        <item m="1" x="729"/>
        <item m="1" x="754"/>
        <item m="1" x="749"/>
        <item m="1" x="852"/>
        <item sd="0" m="1" x="129"/>
        <item m="1" x="471"/>
        <item m="1" x="707"/>
        <item m="1" x="434"/>
        <item m="1" x="370"/>
        <item m="1" x="105"/>
        <item m="1" x="487"/>
        <item m="1" x="612"/>
        <item sd="0" m="1" x="721"/>
        <item sd="0" m="1" x="59"/>
        <item m="1" x="304"/>
        <item m="1" x="688"/>
        <item m="1" x="140"/>
        <item m="1" x="336"/>
        <item m="1" x="541"/>
        <item sd="0" m="1" x="243"/>
        <item m="1" x="562"/>
        <item m="1" x="551"/>
        <item m="1" x="855"/>
        <item m="1" x="5"/>
        <item m="1" x="278"/>
        <item sd="0" m="1" x="80"/>
        <item m="1" x="135"/>
        <item m="1" x="660"/>
        <item sd="0" m="1" x="727"/>
        <item m="1" x="647"/>
        <item m="1" x="237"/>
        <item m="1" x="380"/>
        <item m="1" x="741"/>
        <item sd="0" m="1" x="137"/>
        <item m="1" x="91"/>
        <item m="1" x="214"/>
        <item m="1" x="687"/>
        <item m="1" x="281"/>
        <item m="1" x="478"/>
        <item m="1" x="805"/>
        <item m="1" x="46"/>
        <item m="1" x="222"/>
        <item m="1" x="832"/>
        <item m="1" x="74"/>
        <item m="1" x="123"/>
        <item m="1" x="651"/>
        <item m="1" x="418"/>
        <item m="1" x="859"/>
        <item m="1" x="438"/>
        <item m="1" x="574"/>
        <item m="1" x="494"/>
        <item m="1" x="186"/>
        <item sd="0" m="1" x="381"/>
        <item m="1" x="248"/>
        <item m="1" x="345"/>
        <item m="1" x="533"/>
        <item m="1" x="430"/>
        <item m="1" x="793"/>
        <item m="1" x="307"/>
        <item m="1" x="315"/>
        <item m="1" x="374"/>
        <item m="1" x="497"/>
        <item m="1" x="668"/>
        <item m="1" x="192"/>
        <item m="1" x="665"/>
        <item m="1" x="227"/>
        <item m="1" x="455"/>
        <item m="1" x="152"/>
        <item m="1" x="369"/>
        <item m="1" x="269"/>
        <item m="1" x="297"/>
        <item m="1" x="545"/>
        <item m="1" x="608"/>
        <item m="1" x="35"/>
        <item m="1" x="274"/>
        <item m="1" x="757"/>
        <item m="1" x="378"/>
        <item m="1" x="252"/>
        <item m="1" x="405"/>
        <item sd="0" m="1" x="488"/>
        <item m="1" x="346"/>
        <item m="1" x="617"/>
        <item m="1" x="678"/>
        <item m="1" x="843"/>
        <item m="1" x="55"/>
        <item m="1" x="610"/>
        <item m="1" x="89"/>
        <item m="1" x="332"/>
        <item m="1" x="38"/>
        <item m="1" x="502"/>
        <item sd="0" m="1" x="512"/>
        <item m="1" x="453"/>
        <item m="1" x="170"/>
        <item m="1" x="138"/>
        <item m="1" x="258"/>
        <item m="1" x="306"/>
        <item m="1" x="824"/>
        <item m="1" x="173"/>
        <item m="1" x="714"/>
        <item m="1" x="175"/>
        <item m="1" x="591"/>
        <item m="1" x="233"/>
        <item m="1" x="398"/>
        <item m="1" x="663"/>
        <item m="1" x="316"/>
        <item m="1" x="79"/>
        <item sd="0" m="1" x="675"/>
        <item m="1" x="99"/>
        <item m="1" x="446"/>
        <item sd="0" m="1" x="358"/>
        <item m="1" x="789"/>
        <item m="1" x="505"/>
        <item m="1" x="66"/>
        <item m="1" x="462"/>
        <item m="1" x="87"/>
        <item m="1" x="331"/>
        <item sd="0" m="1" x="172"/>
        <item m="1" x="339"/>
        <item m="1" x="569"/>
        <item m="1" x="510"/>
        <item m="1" x="234"/>
        <item m="1" x="287"/>
        <item m="1" x="98"/>
        <item m="1" x="414"/>
        <item m="1" x="326"/>
        <item m="1" x="715"/>
        <item m="1" x="540"/>
        <item m="1" x="650"/>
        <item m="1" x="614"/>
        <item m="1" x="839"/>
        <item m="1" x="792"/>
        <item m="1" x="32"/>
        <item m="1" x="787"/>
        <item m="1" x="259"/>
        <item m="1" x="481"/>
        <item m="1" x="817"/>
        <item m="1" x="470"/>
        <item m="1" x="751"/>
        <item m="1" x="654"/>
        <item m="1" x="781"/>
        <item sd="0" m="1" x="76"/>
        <item m="1" x="718"/>
        <item m="1" x="578"/>
        <item m="1" x="188"/>
        <item m="1" x="723"/>
        <item m="1" x="116"/>
        <item m="1" x="260"/>
        <item m="1" x="517"/>
        <item m="1" x="100"/>
        <item m="1" x="528"/>
        <item m="1" x="794"/>
        <item m="1" x="23"/>
        <item m="1" x="543"/>
        <item m="1" x="642"/>
        <item m="1" x="580"/>
        <item sd="0" m="1" x="201"/>
        <item m="1" x="579"/>
        <item m="1" x="372"/>
        <item m="1" x="828"/>
        <item m="1" x="343"/>
        <item m="1" x="529"/>
        <item m="1" x="253"/>
        <item sd="0" m="1" x="14"/>
        <item m="1" x="147"/>
        <item m="1" x="657"/>
        <item m="1" x="609"/>
        <item m="1" x="447"/>
        <item m="1" x="26"/>
        <item m="1" x="599"/>
        <item m="1" x="441"/>
        <item m="1" x="72"/>
        <item m="1" x="661"/>
        <item m="1" x="683"/>
        <item m="1" x="570"/>
        <item m="1" x="520"/>
        <item m="1" x="603"/>
        <item m="1" x="323"/>
        <item m="1" x="786"/>
        <item m="1" x="490"/>
        <item m="1" x="319"/>
        <item m="1" x="354"/>
        <item m="1" x="288"/>
        <item m="1" x="329"/>
        <item m="1" x="849"/>
        <item m="1" x="365"/>
        <item sd="0" m="1" x="394"/>
        <item m="1" x="77"/>
        <item m="1" x="82"/>
        <item m="1" x="534"/>
        <item m="1" x="571"/>
        <item m="1" x="693"/>
        <item m="1" x="286"/>
        <item m="1" x="530"/>
        <item m="1" x="531"/>
        <item m="1" x="41"/>
        <item m="1" x="597"/>
        <item m="1" x="807"/>
        <item m="1" x="588"/>
        <item m="1" x="755"/>
        <item m="1" x="728"/>
        <item m="1" x="538"/>
        <item sd="0" m="1" x="51"/>
        <item m="1" x="559"/>
        <item m="1" x="113"/>
        <item m="1" x="241"/>
        <item sd="0" m="1" x="366"/>
        <item m="1" x="266"/>
        <item m="1" x="371"/>
        <item m="1" x="507"/>
        <item sd="0" m="1" x="151"/>
        <item m="1" x="174"/>
        <item m="1" x="589"/>
        <item m="1" x="809"/>
        <item sd="0" m="1" x="796"/>
        <item m="1" x="205"/>
        <item m="1" x="156"/>
        <item m="1" x="242"/>
        <item m="1" x="509"/>
        <item m="1" x="791"/>
        <item m="1" x="265"/>
        <item sd="0" m="1" x="758"/>
        <item m="1" x="133"/>
        <item m="1" x="216"/>
        <item m="1" x="838"/>
        <item m="1" x="590"/>
        <item m="1" x="801"/>
        <item m="1" x="732"/>
        <item m="1" x="419"/>
        <item m="1" x="29"/>
        <item m="1" x="349"/>
        <item m="1" x="496"/>
        <item m="1" x="516"/>
        <item m="1" x="775"/>
        <item m="1" x="725"/>
        <item m="1" x="766"/>
        <item m="1" x="525"/>
        <item m="1" x="648"/>
        <item m="1" x="294"/>
        <item m="1" x="184"/>
        <item m="1" x="341"/>
        <item m="1" x="822"/>
        <item sd="0" m="1" x="615"/>
        <item m="1" x="592"/>
        <item sd="0" m="1" x="262"/>
        <item m="1" x="555"/>
        <item m="1" x="109"/>
        <item m="1" x="92"/>
        <item m="1" x="760"/>
        <item m="1" x="160"/>
        <item m="1" x="239"/>
        <item m="1" x="244"/>
        <item m="1" x="472"/>
        <item m="1" x="624"/>
        <item m="1" x="737"/>
        <item m="1" x="477"/>
        <item m="1" x="556"/>
        <item m="1" x="270"/>
        <item m="1" x="256"/>
        <item m="1" x="637"/>
        <item m="1" x="706"/>
        <item m="1" x="364"/>
        <item m="1" x="17"/>
        <item m="1" x="231"/>
        <item m="1" x="788"/>
        <item m="1" x="730"/>
        <item m="1" x="846"/>
        <item m="1" x="450"/>
        <item m="1" x="197"/>
        <item m="1" x="312"/>
        <item m="1" x="347"/>
        <item sd="0" m="1" x="101"/>
        <item m="1" x="701"/>
        <item m="1" x="311"/>
        <item sd="0" m="1" x="362"/>
        <item m="1" x="409"/>
        <item m="1" x="622"/>
        <item m="1" x="618"/>
        <item m="1" x="783"/>
        <item m="1" x="401"/>
        <item m="1" x="407"/>
        <item m="1" x="711"/>
        <item m="1" x="410"/>
        <item m="1" x="835"/>
        <item m="1" x="501"/>
        <item m="1" x="402"/>
        <item m="1" x="676"/>
        <item m="1" x="189"/>
        <item sd="0" m="1" x="416"/>
        <item m="1" x="480"/>
        <item m="1" x="842"/>
        <item m="1" x="130"/>
        <item sd="0" m="1" x="157"/>
        <item m="1" x="598"/>
        <item m="1" x="784"/>
        <item m="1" x="616"/>
        <item m="1" x="564"/>
        <item m="1" x="314"/>
        <item m="1" x="659"/>
        <item m="1" x="731"/>
        <item sd="0" m="1" x="412"/>
        <item m="1" x="750"/>
        <item m="1" x="84"/>
        <item m="1" x="56"/>
        <item m="1" x="856"/>
        <item m="1" x="33"/>
        <item sd="0" m="1" x="575"/>
        <item m="1" x="518"/>
        <item m="1" x="420"/>
        <item m="1" x="709"/>
        <item m="1" x="209"/>
        <item sd="0" m="1" x="649"/>
        <item m="1" x="785"/>
        <item sd="0" m="1" x="474"/>
        <item sd="0" m="1" x="44"/>
        <item m="1" x="700"/>
        <item m="1" x="669"/>
        <item sd="0" m="1" x="814"/>
        <item m="1" x="226"/>
        <item m="1" x="821"/>
        <item m="1" x="629"/>
        <item m="1" x="465"/>
        <item m="1" x="698"/>
        <item sd="0" m="1" x="139"/>
        <item m="1" x="417"/>
        <item m="1" x="699"/>
        <item m="1" x="448"/>
        <item m="1" x="368"/>
        <item sd="0" m="1" x="712"/>
        <item m="1" x="309"/>
        <item m="1" x="193"/>
        <item m="1" x="686"/>
        <item sd="0" m="1" x="289"/>
        <item m="1" x="224"/>
        <item m="1" x="325"/>
        <item m="1" x="261"/>
        <item m="1" x="4"/>
        <item sd="0" m="1" x="196"/>
        <item m="1" x="735"/>
        <item m="1" x="392"/>
        <item m="1" x="581"/>
        <item m="1" x="367"/>
        <item m="1" x="457"/>
        <item m="1" x="519"/>
        <item m="1" x="127"/>
        <item m="1" x="652"/>
        <item m="1" x="53"/>
        <item m="1" x="423"/>
        <item m="1" x="150"/>
        <item sd="0" m="1" x="734"/>
        <item m="1" x="168"/>
        <item m="1" x="353"/>
        <item m="1" x="124"/>
        <item m="1" x="296"/>
        <item sd="0" m="1" x="204"/>
        <item m="1" x="210"/>
        <item m="1" x="94"/>
        <item sd="0" m="1" x="31"/>
        <item m="1" x="284"/>
        <item m="1" x="513"/>
        <item sd="0" m="1" x="506"/>
        <item m="1" x="73"/>
        <item m="1" x="685"/>
        <item m="1" x="86"/>
        <item m="1" x="639"/>
        <item m="1" x="71"/>
        <item m="1" x="656"/>
        <item m="1" x="495"/>
        <item m="1" x="759"/>
        <item m="1" x="167"/>
        <item m="1" x="195"/>
        <item m="1" x="684"/>
        <item m="1" x="305"/>
        <item m="1" x="593"/>
        <item sd="0" m="1" x="183"/>
        <item m="1" x="628"/>
        <item sd="0" m="1" x="68"/>
        <item m="1" x="431"/>
        <item sd="0" m="1" x="30"/>
        <item sd="0" m="1" x="771"/>
        <item m="1" x="421"/>
        <item sd="0" m="1" x="557"/>
        <item m="1" x="102"/>
        <item m="1" x="90"/>
        <item sd="0" m="1" x="299"/>
        <item m="1" x="199"/>
        <item sd="0" m="1" x="503"/>
        <item m="1" x="268"/>
        <item m="1" x="34"/>
        <item m="1" x="110"/>
        <item m="1" x="539"/>
        <item sd="0" m="1" x="303"/>
        <item sd="0" m="1" x="404"/>
        <item sd="0" m="1" x="235"/>
        <item sd="0" m="1" x="11"/>
        <item m="1" x="479"/>
        <item sd="0" m="1" x="829"/>
        <item m="1" x="39"/>
        <item m="1" x="317"/>
        <item m="1" x="830"/>
        <item m="1" x="567"/>
        <item m="1" x="67"/>
        <item m="1" x="573"/>
        <item m="1" x="437"/>
        <item m="1" x="180"/>
        <item m="1" x="373"/>
        <item m="1" x="764"/>
        <item m="1" x="605"/>
        <item m="1" x="16"/>
        <item m="1" x="97"/>
        <item m="1" x="444"/>
        <item m="1" x="440"/>
        <item m="1" x="126"/>
        <item m="1" x="635"/>
        <item m="1" x="206"/>
        <item m="1" x="161"/>
        <item m="1" x="60"/>
        <item m="1" x="552"/>
        <item sd="0" m="1" x="623"/>
        <item m="1" x="104"/>
        <item m="1" x="772"/>
        <item m="1" x="131"/>
        <item m="1" x="223"/>
        <item m="1" x="816"/>
        <item m="1" x="285"/>
        <item m="1" x="112"/>
        <item m="1" x="203"/>
        <item m="1" x="219"/>
        <item m="1" x="185"/>
        <item m="1" x="78"/>
        <item m="1" x="217"/>
        <item m="1" x="604"/>
        <item m="1" x="194"/>
        <item m="1" x="232"/>
        <item m="1" x="847"/>
        <item m="1" x="841"/>
        <item m="1" x="498"/>
        <item m="1" x="690"/>
        <item m="1" x="249"/>
        <item m="1" x="61"/>
        <item m="1" x="134"/>
        <item m="1" x="7"/>
        <item m="1" x="54"/>
        <item m="1" x="95"/>
        <item sd="0" m="1" x="207"/>
        <item m="1" x="43"/>
        <item x="3"/>
      </items>
    </pivotField>
    <pivotField showAll="0" defaultSubtotal="0"/>
    <pivotField showAll="0" defaultSubtotal="0"/>
    <pivotField axis="axisPage" multipleItemSelectionAllowed="1" showAll="0" defaultSubtotal="0">
      <items count="27">
        <item m="1" x="9"/>
        <item x="0"/>
        <item m="1" x="11"/>
        <item m="1" x="14"/>
        <item m="1" x="25"/>
        <item m="1" x="19"/>
        <item x="2"/>
        <item m="1" x="7"/>
        <item m="1" x="3"/>
        <item m="1" x="10"/>
        <item m="1" x="22"/>
        <item m="1" x="4"/>
        <item m="1" x="6"/>
        <item m="1" x="16"/>
        <item m="1" x="15"/>
        <item m="1" x="24"/>
        <item x="1"/>
        <item m="1" x="23"/>
        <item m="1" x="5"/>
        <item m="1" x="13"/>
        <item m="1" x="26"/>
        <item m="1" x="8"/>
        <item m="1" x="17"/>
        <item m="1" x="12"/>
        <item m="1" x="20"/>
        <item m="1" x="18"/>
        <item m="1" x="21"/>
      </items>
    </pivotField>
    <pivotField showAll="0" defaultSubtotal="0"/>
    <pivotField showAll="0" defaultSubtotal="0"/>
    <pivotField dataField="1"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numFmtId="10" showAll="0" defaultSubtotal="0"/>
    <pivotField showAll="0" defaultSubtotal="0"/>
    <pivotField dataField="1"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</pivotFields>
  <rowFields count="1">
    <field x="6"/>
  </rowFields>
  <rowItems count="4">
    <i>
      <x v="61"/>
    </i>
    <i>
      <x v="346"/>
    </i>
    <i>
      <x v="365"/>
    </i>
    <i>
      <x v="859"/>
    </i>
  </rowItems>
  <colFields count="1">
    <field x="-2"/>
  </colFields>
  <colItems count="2">
    <i>
      <x/>
    </i>
    <i i="1">
      <x v="1"/>
    </i>
  </colItems>
  <pageFields count="1">
    <pageField fld="9" hier="-1"/>
  </pageFields>
  <dataFields count="2">
    <dataField name="Faturamento." fld="12" baseField="6" baseItem="603"/>
    <dataField name="Resultado Oper." fld="34" baseField="0" baseItem="0"/>
  </dataFields>
  <formats count="8">
    <format dxfId="16">
      <pivotArea outline="0" collapsedLevelsAreSubtotals="1" fieldPosition="0"/>
    </format>
    <format dxfId="15">
      <pivotArea outline="0" collapsedLevelsAreSubtotals="1" fieldPosition="0"/>
    </format>
    <format dxfId="14">
      <pivotArea dataOnly="0" labelOnly="1" fieldPosition="0">
        <references count="1">
          <reference field="6" count="50">
            <x v="16"/>
            <x v="21"/>
            <x v="33"/>
            <x v="61"/>
            <x v="66"/>
            <x v="94"/>
            <x v="102"/>
            <x v="110"/>
            <x v="120"/>
            <x v="139"/>
            <x v="149"/>
            <x v="170"/>
            <x v="197"/>
            <x v="256"/>
            <x v="263"/>
            <x v="267"/>
            <x v="297"/>
            <x v="299"/>
            <x v="301"/>
            <x v="315"/>
            <x v="316"/>
            <x v="346"/>
            <x v="347"/>
            <x v="355"/>
            <x v="406"/>
            <x v="440"/>
            <x v="466"/>
            <x v="489"/>
            <x v="510"/>
            <x v="534"/>
            <x v="538"/>
            <x v="581"/>
            <x v="634"/>
            <x v="644"/>
            <x v="675"/>
            <x v="684"/>
            <x v="697"/>
            <x v="715"/>
            <x v="722"/>
            <x v="724"/>
            <x v="739"/>
            <x v="741"/>
            <x v="752"/>
            <x v="762"/>
            <x v="764"/>
            <x v="770"/>
            <x v="782"/>
            <x v="818"/>
            <x v="821"/>
            <x v="833"/>
          </reference>
        </references>
      </pivotArea>
    </format>
    <format dxfId="13">
      <pivotArea dataOnly="0" labelOnly="1" fieldPosition="0">
        <references count="1">
          <reference field="6" count="50">
            <x v="2"/>
            <x v="10"/>
            <x v="17"/>
            <x v="54"/>
            <x v="62"/>
            <x v="79"/>
            <x v="80"/>
            <x v="123"/>
            <x v="187"/>
            <x v="243"/>
            <x v="244"/>
            <x v="273"/>
            <x v="283"/>
            <x v="293"/>
            <x v="300"/>
            <x v="304"/>
            <x v="312"/>
            <x v="334"/>
            <x v="342"/>
            <x v="352"/>
            <x v="374"/>
            <x v="392"/>
            <x v="395"/>
            <x v="398"/>
            <x v="412"/>
            <x v="426"/>
            <x v="447"/>
            <x v="493"/>
            <x v="497"/>
            <x v="504"/>
            <x v="545"/>
            <x v="553"/>
            <x v="568"/>
            <x v="615"/>
            <x v="618"/>
            <x v="627"/>
            <x v="639"/>
            <x v="655"/>
            <x v="701"/>
            <x v="705"/>
            <x v="725"/>
            <x v="767"/>
            <x v="787"/>
            <x v="789"/>
            <x v="792"/>
            <x v="797"/>
            <x v="805"/>
            <x v="806"/>
            <x v="807"/>
            <x v="809"/>
          </reference>
        </references>
      </pivotArea>
    </format>
    <format dxfId="12">
      <pivotArea dataOnly="0" labelOnly="1" fieldPosition="0">
        <references count="1">
          <reference field="6" count="2">
            <x v="136"/>
            <x v="178"/>
          </reference>
        </references>
      </pivotArea>
    </format>
    <format dxfId="11">
      <pivotArea dataOnly="0" labelOnly="1" grandRow="1" outline="0" fieldPosition="0"/>
    </format>
    <format dxfId="10">
      <pivotArea outline="0" collapsedLevelsAreSubtotals="1" fieldPosition="0"/>
    </format>
    <format dxfId="9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conditionalFormats count="1">
    <conditionalFormat priority="1">
      <pivotAreas count="1">
        <pivotArea type="data" outline="0" collapsedLevelsAreSubtotals="1" fieldPosition="0">
          <references count="1">
            <reference field="4294967294" count="1" selected="0">
              <x v="1"/>
            </reference>
          </references>
        </pivotArea>
      </pivotAreas>
    </conditionalFormat>
  </conditionalFormats>
  <chartFormats count="3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5" format="2">
      <pivotArea type="data" outline="0" fieldPosition="0">
        <references count="2">
          <reference field="4294967294" count="1" selected="0">
            <x v="1"/>
          </reference>
          <reference field="6" count="1" selected="0">
            <x v="818"/>
          </reference>
        </references>
      </pivotArea>
    </chartFormat>
    <chartFormat chart="8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7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8" format="8">
      <pivotArea type="data" outline="0" fieldPosition="0">
        <references count="2">
          <reference field="4294967294" count="1" selected="0">
            <x v="1"/>
          </reference>
          <reference field="6" count="1" selected="0">
            <x v="818"/>
          </reference>
        </references>
      </pivotArea>
    </chartFormat>
    <chartFormat chart="9" format="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10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9" format="11">
      <pivotArea type="data" outline="0" fieldPosition="0">
        <references count="2">
          <reference field="4294967294" count="1" selected="0">
            <x v="1"/>
          </reference>
          <reference field="6" count="1" selected="0">
            <x v="818"/>
          </reference>
        </references>
      </pivotArea>
    </chartFormat>
    <chartFormat chart="10" format="1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13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0" format="14">
      <pivotArea type="data" outline="0" fieldPosition="0">
        <references count="2">
          <reference field="4294967294" count="1" selected="0">
            <x v="1"/>
          </reference>
          <reference field="6" count="1" selected="0">
            <x v="818"/>
          </reference>
        </references>
      </pivotArea>
    </chartFormat>
    <chartFormat chart="14" format="1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4" format="19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4" format="20">
      <pivotArea type="data" outline="0" fieldPosition="0">
        <references count="2">
          <reference field="4294967294" count="1" selected="0">
            <x v="1"/>
          </reference>
          <reference field="6" count="1" selected="0">
            <x v="818"/>
          </reference>
        </references>
      </pivotArea>
    </chartFormat>
    <chartFormat chart="14" format="21">
      <pivotArea type="data" outline="0" fieldPosition="0">
        <references count="2">
          <reference field="4294967294" count="1" selected="0">
            <x v="1"/>
          </reference>
          <reference field="6" count="1" selected="0">
            <x v="707"/>
          </reference>
        </references>
      </pivotArea>
    </chartFormat>
    <chartFormat chart="14" format="22">
      <pivotArea type="data" outline="0" fieldPosition="0">
        <references count="2">
          <reference field="4294967294" count="1" selected="0">
            <x v="1"/>
          </reference>
          <reference field="6" count="1" selected="0">
            <x v="66"/>
          </reference>
        </references>
      </pivotArea>
    </chartFormat>
    <chartFormat chart="14" format="23">
      <pivotArea type="data" outline="0" fieldPosition="0">
        <references count="2">
          <reference field="4294967294" count="1" selected="0">
            <x v="1"/>
          </reference>
          <reference field="6" count="1" selected="0">
            <x v="159"/>
          </reference>
        </references>
      </pivotArea>
    </chartFormat>
    <chartFormat chart="14" format="24">
      <pivotArea type="data" outline="0" fieldPosition="0">
        <references count="2">
          <reference field="4294967294" count="1" selected="0">
            <x v="1"/>
          </reference>
          <reference field="6" count="1" selected="0">
            <x v="61"/>
          </reference>
        </references>
      </pivotArea>
    </chartFormat>
    <chartFormat chart="14" format="25">
      <pivotArea type="data" outline="0" fieldPosition="0">
        <references count="2">
          <reference field="4294967294" count="1" selected="0">
            <x v="1"/>
          </reference>
          <reference field="6" count="1" selected="0">
            <x v="824"/>
          </reference>
        </references>
      </pivotArea>
    </chartFormat>
    <chartFormat chart="14" format="26">
      <pivotArea type="data" outline="0" fieldPosition="0">
        <references count="2">
          <reference field="4294967294" count="1" selected="0">
            <x v="1"/>
          </reference>
          <reference field="6" count="1" selected="0">
            <x v="161"/>
          </reference>
        </references>
      </pivotArea>
    </chartFormat>
    <chartFormat chart="14" format="27">
      <pivotArea type="data" outline="0" fieldPosition="0">
        <references count="2">
          <reference field="4294967294" count="1" selected="0">
            <x v="1"/>
          </reference>
          <reference field="6" count="1" selected="0">
            <x v="722"/>
          </reference>
        </references>
      </pivotArea>
    </chartFormat>
    <chartFormat chart="14" format="28">
      <pivotArea type="data" outline="0" fieldPosition="0">
        <references count="2">
          <reference field="4294967294" count="1" selected="0">
            <x v="1"/>
          </reference>
          <reference field="6" count="1" selected="0">
            <x v="859"/>
          </reference>
        </references>
      </pivotArea>
    </chartFormat>
    <chartFormat chart="14" format="29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4" format="30">
      <pivotArea type="data" outline="0" fieldPosition="0">
        <references count="2">
          <reference field="4294967294" count="1" selected="0">
            <x v="1"/>
          </reference>
          <reference field="6" count="1" selected="0">
            <x v="30"/>
          </reference>
        </references>
      </pivotArea>
    </chartFormat>
    <chartFormat chart="14" format="31">
      <pivotArea type="data" outline="0" fieldPosition="0">
        <references count="2">
          <reference field="4294967294" count="1" selected="0">
            <x v="1"/>
          </reference>
          <reference field="6" count="1" selected="0">
            <x v="54"/>
          </reference>
        </references>
      </pivotArea>
    </chartFormat>
    <chartFormat chart="14" format="32">
      <pivotArea type="data" outline="0" fieldPosition="0">
        <references count="2">
          <reference field="4294967294" count="1" selected="0">
            <x v="1"/>
          </reference>
          <reference field="6" count="1" selected="0">
            <x v="298"/>
          </reference>
        </references>
      </pivotArea>
    </chartFormat>
    <chartFormat chart="14" format="33">
      <pivotArea type="data" outline="0" fieldPosition="0">
        <references count="2">
          <reference field="4294967294" count="1" selected="0">
            <x v="1"/>
          </reference>
          <reference field="6" count="1" selected="0">
            <x v="303"/>
          </reference>
        </references>
      </pivotArea>
    </chartFormat>
    <chartFormat chart="14" format="34">
      <pivotArea type="data" outline="0" fieldPosition="0">
        <references count="2">
          <reference field="4294967294" count="1" selected="0">
            <x v="1"/>
          </reference>
          <reference field="6" count="1" selected="0">
            <x v="365"/>
          </reference>
        </references>
      </pivotArea>
    </chartFormat>
    <chartFormat chart="14" format="35">
      <pivotArea type="data" outline="0" fieldPosition="0">
        <references count="2">
          <reference field="4294967294" count="1" selected="0">
            <x v="1"/>
          </reference>
          <reference field="6" count="1" selected="0">
            <x v="346"/>
          </reference>
        </references>
      </pivotArea>
    </chartFormat>
    <chartFormat chart="14" format="36">
      <pivotArea type="data" outline="0" fieldPosition="0">
        <references count="2">
          <reference field="4294967294" count="1" selected="0">
            <x v="1"/>
          </reference>
          <reference field="6" count="1" selected="0">
            <x v="749"/>
          </reference>
        </references>
      </pivotArea>
    </chartFormat>
  </chart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CLIENTE_TOMADOR" xr10:uid="{DCF9D87E-FEF9-45F9-ADFE-7FD23FD55680}" sourceName="CLIENTE TOMADOR">
  <pivotTables>
    <pivotTable tabId="2" name="Tabela dinâmica1"/>
    <pivotTable tabId="12" name="Tabela dinâmica1"/>
  </pivotTables>
  <data>
    <tabular pivotCacheId="92520950">
      <items count="860">
        <i x="0" s="1"/>
        <i x="1" s="1"/>
        <i x="2" s="1"/>
        <i x="3" s="1"/>
        <i x="823" s="1" nd="1"/>
        <i x="768" s="1" nd="1"/>
        <i x="799" s="1" nd="1"/>
        <i x="548" s="1" nd="1"/>
        <i x="154" s="1" nd="1"/>
        <i x="191" s="1" nd="1"/>
        <i x="279" s="1" nd="1"/>
        <i x="15" s="1" nd="1"/>
        <i x="767" s="1" nd="1"/>
        <i x="399" s="1" nd="1"/>
        <i x="717" s="1" nd="1"/>
        <i x="302" s="1" nd="1"/>
        <i x="118" s="1" nd="1"/>
        <i x="277" s="1" nd="1"/>
        <i x="595" s="1" nd="1"/>
        <i x="330" s="1" nd="1"/>
        <i x="681" s="1" nd="1"/>
        <i x="508" s="1" nd="1"/>
        <i x="28" s="1" nd="1"/>
        <i x="586" s="1" nd="1"/>
        <i x="857" s="1" nd="1"/>
        <i x="24" s="1" nd="1"/>
        <i x="763" s="1" nd="1"/>
        <i x="117" s="1" nd="1"/>
        <i x="549" s="1" nd="1"/>
        <i x="833" s="1" nd="1"/>
        <i x="276" s="1" nd="1"/>
        <i x="485" s="1" nd="1"/>
        <i x="778" s="1" nd="1"/>
        <i x="272" s="1" nd="1"/>
        <i x="6" s="1" nd="1"/>
        <i x="350" s="1" nd="1"/>
        <i x="682" s="1" nd="1"/>
        <i x="806" s="1" nd="1"/>
        <i x="81" s="1" nd="1"/>
        <i x="52" s="1" nd="1"/>
        <i x="674" s="1" nd="1"/>
        <i x="666" s="1" nd="1"/>
        <i x="475" s="1" nd="1"/>
        <i x="49" s="1" nd="1"/>
        <i x="736" s="1" nd="1"/>
        <i x="696" s="1" nd="1"/>
        <i x="221" s="1" nd="1"/>
        <i x="482" s="1" nd="1"/>
        <i x="638" s="1" nd="1"/>
        <i x="452" s="1" nd="1"/>
        <i x="815" s="1" nd="1"/>
        <i x="673" s="1" nd="1"/>
        <i x="220" s="1" nd="1"/>
        <i x="136" s="1" nd="1"/>
        <i x="228" s="1" nd="1"/>
        <i x="163" s="1" nd="1"/>
        <i x="236" s="1" nd="1"/>
        <i x="114" s="1" nd="1"/>
        <i x="626" s="1" nd="1"/>
        <i x="146" s="1" nd="1"/>
        <i x="621" s="1" nd="1"/>
        <i x="327" s="1" nd="1"/>
        <i x="825" s="1" nd="1"/>
        <i x="328" s="1" nd="1"/>
        <i x="467" s="1" nd="1"/>
        <i x="558" s="1" nd="1"/>
        <i x="483" s="1" nd="1"/>
        <i x="250" s="1" nd="1"/>
        <i x="853" s="1" nd="1"/>
        <i x="837" s="1" nd="1"/>
        <i x="748" s="1" nd="1"/>
        <i x="246" s="1" nd="1"/>
        <i x="245" s="1" nd="1"/>
        <i x="468" s="1" nd="1"/>
        <i x="292" s="1" nd="1"/>
        <i x="554" s="1" nd="1"/>
        <i x="850" s="1" nd="1"/>
        <i x="451" s="1" nd="1"/>
        <i x="535" s="1" nd="1"/>
        <i x="671" s="1" nd="1"/>
        <i x="524" s="1" nd="1"/>
        <i x="797" s="1" nd="1"/>
        <i x="182" s="1" nd="1"/>
        <i x="63" s="1" nd="1"/>
        <i x="363" s="1" nd="1"/>
        <i x="692" s="1" nd="1"/>
        <i x="318" s="1" nd="1"/>
        <i x="141" s="1" nd="1"/>
        <i x="300" s="1" nd="1"/>
        <i x="606" s="1" nd="1"/>
        <i x="211" s="1" nd="1"/>
        <i x="680" s="1" nd="1"/>
        <i x="144" s="1" nd="1"/>
        <i x="695" s="1" nd="1"/>
        <i x="694" s="1" nd="1"/>
        <i x="459" s="1" nd="1"/>
        <i x="415" s="1" nd="1"/>
        <i x="521" s="1" nd="1"/>
        <i x="324" s="1" nd="1"/>
        <i x="596" s="1" nd="1"/>
        <i x="600" s="1" nd="1"/>
        <i x="738" s="1" nd="1"/>
        <i x="790" s="1" nd="1"/>
        <i x="187" s="1" nd="1"/>
        <i x="840" s="1" nd="1"/>
        <i x="716" s="1" nd="1"/>
        <i x="385" s="1" nd="1"/>
        <i x="212" s="1" nd="1"/>
        <i x="527" s="1" nd="1"/>
        <i x="469" s="1" nd="1"/>
        <i x="143" s="1" nd="1"/>
        <i x="667" s="1" nd="1"/>
        <i x="379" s="1" nd="1"/>
        <i x="159" s="1" nd="1"/>
        <i x="257" s="1" nd="1"/>
        <i x="633" s="1" nd="1"/>
        <i x="742" s="1" nd="1"/>
        <i x="428" s="1" nd="1"/>
        <i x="85" s="1" nd="1"/>
        <i x="703" s="1" nd="1"/>
        <i x="290" s="1" nd="1"/>
        <i x="851" s="1" nd="1"/>
        <i x="254" s="1" nd="1"/>
        <i x="769" s="1" nd="1"/>
        <i x="432" s="1" nd="1"/>
        <i x="442" s="1" nd="1"/>
        <i x="171" s="1" nd="1"/>
        <i x="547" s="1" nd="1"/>
        <i x="812" s="1" nd="1"/>
        <i x="625" s="1" nd="1"/>
        <i x="8" s="1" nd="1"/>
        <i x="776" s="1" nd="1"/>
        <i x="18" s="1" nd="1"/>
        <i x="745" s="1" nd="1"/>
        <i x="400" s="1" nd="1"/>
        <i x="282" s="1" nd="1"/>
        <i x="70" s="1" nd="1"/>
        <i x="190" s="1" nd="1"/>
        <i x="313" s="1" nd="1"/>
        <i x="181" s="1" nd="1"/>
        <i x="601" s="1" nd="1"/>
        <i x="176" s="1" nd="1"/>
        <i x="619" s="1" nd="1"/>
        <i x="773" s="1" nd="1"/>
        <i x="489" s="1" nd="1"/>
        <i x="57" s="1" nd="1"/>
        <i x="655" s="1" nd="1"/>
        <i x="476" s="1" nd="1"/>
        <i x="255" s="1" nd="1"/>
        <i x="334" s="1" nd="1"/>
        <i x="443" s="1" nd="1"/>
        <i x="359" s="1" nd="1"/>
        <i x="576" s="1" nd="1"/>
        <i x="572" s="1" nd="1"/>
        <i x="739" s="1" nd="1"/>
        <i x="761" s="1" nd="1"/>
        <i x="125" s="1" nd="1"/>
        <i x="397" s="1" nd="1"/>
        <i x="93" s="1" nd="1"/>
        <i x="389" s="1" nd="1"/>
        <i x="819" s="1" nd="1"/>
        <i x="403" s="1" nd="1"/>
        <i x="264" s="1" nd="1"/>
        <i x="384" s="1" nd="1"/>
        <i x="344" s="1" nd="1"/>
        <i x="854" s="1" nd="1"/>
        <i x="653" s="1" nd="1"/>
        <i x="858" s="1" nd="1"/>
        <i x="834" s="1" nd="1"/>
        <i x="111" s="1" nd="1"/>
        <i x="408" s="1" nd="1"/>
        <i x="119" s="1" nd="1"/>
        <i x="658" s="1" nd="1"/>
        <i x="662" s="1" nd="1"/>
        <i x="800" s="1" nd="1"/>
        <i x="702" s="1" nd="1"/>
        <i x="461" s="1" nd="1"/>
        <i x="388" s="1" nd="1"/>
        <i x="454" s="1" nd="1"/>
        <i x="164" s="1" nd="1"/>
        <i x="283" s="1" nd="1"/>
        <i x="208" s="1" nd="1"/>
        <i x="500" s="1" nd="1"/>
        <i x="295" s="1" nd="1"/>
        <i x="532" s="1" nd="1"/>
        <i x="263" s="1" nd="1"/>
        <i x="641" s="1" nd="1"/>
        <i x="413" s="1" nd="1"/>
        <i x="845" s="1" nd="1"/>
        <i x="463" s="1" nd="1"/>
        <i x="484" s="1" nd="1"/>
        <i x="756" s="1" nd="1"/>
        <i x="644" s="1" nd="1"/>
        <i x="58" s="1" nd="1"/>
        <i x="798" s="1" nd="1"/>
        <i x="722" s="1" nd="1"/>
        <i x="424" s="1" nd="1"/>
        <i x="740" s="1" nd="1"/>
        <i x="818" s="1" nd="1"/>
        <i x="566" s="1" nd="1"/>
        <i x="563" s="1" nd="1"/>
        <i x="435" s="1" nd="1"/>
        <i x="719" s="1" nd="1"/>
        <i x="511" s="1" nd="1"/>
        <i x="177" s="1" nd="1"/>
        <i x="632" s="1" nd="1"/>
        <i x="382" s="1" nd="1"/>
        <i x="813" s="1" nd="1"/>
        <i x="64" s="1" nd="1"/>
        <i x="636" s="1" nd="1"/>
        <i x="536" s="1" nd="1"/>
        <i x="301" s="1" nd="1"/>
        <i x="310" s="1" nd="1"/>
        <i x="178" s="1" nd="1"/>
        <i x="106" s="1" nd="1"/>
        <i x="75" s="1" nd="1"/>
        <i x="803" s="1" nd="1"/>
        <i x="583" s="1" nd="1"/>
        <i x="804" s="1" nd="1"/>
        <i x="36" s="1" nd="1"/>
        <i x="679" s="1" nd="1"/>
        <i x="293" s="1" nd="1"/>
        <i x="634" s="1" nd="1"/>
        <i x="271" s="1" nd="1"/>
        <i x="120" s="1" nd="1"/>
        <i x="340" s="1" nd="1"/>
        <i x="225" s="1" nd="1"/>
        <i x="515" s="1" nd="1"/>
        <i x="122" s="1" nd="1"/>
        <i x="542" s="1" nd="1"/>
        <i x="88" s="1" nd="1"/>
        <i x="607" s="1" nd="1"/>
        <i x="456" s="1" nd="1"/>
        <i x="356" s="1" nd="1"/>
        <i x="83" s="1" nd="1"/>
        <i x="587" s="1" nd="1"/>
        <i x="22" s="1" nd="1"/>
        <i x="165" s="1" nd="1"/>
        <i x="779" s="1" nd="1"/>
        <i x="584" s="1" nd="1"/>
        <i x="523" s="1" nd="1"/>
        <i x="802" s="1" nd="1"/>
        <i x="169" s="1" nd="1"/>
        <i x="831" s="1" nd="1"/>
        <i x="115" s="1" nd="1"/>
        <i x="429" s="1" nd="1"/>
        <i x="433" s="1" nd="1"/>
        <i x="13" s="1" nd="1"/>
        <i x="47" s="1" nd="1"/>
        <i x="20" s="1" nd="1"/>
        <i x="627" s="1" nd="1"/>
        <i x="561" s="1" nd="1"/>
        <i x="631" s="1" nd="1"/>
        <i x="352" s="1" nd="1"/>
        <i x="439" s="1" nd="1"/>
        <i x="215" s="1" nd="1"/>
        <i x="445" s="1" nd="1"/>
        <i x="107" s="1" nd="1"/>
        <i x="200" s="1" nd="1"/>
        <i x="836" s="1" nd="1"/>
        <i x="770" s="1" nd="1"/>
        <i x="514" s="1" nd="1"/>
        <i x="826" s="1" nd="1"/>
        <i x="348" s="1" nd="1"/>
        <i x="229" s="1" nd="1"/>
        <i x="337" s="1" nd="1"/>
        <i x="69" s="1" nd="1"/>
        <i x="640" s="1" nd="1"/>
        <i x="464" s="1" nd="1"/>
        <i x="795" s="1" nd="1"/>
        <i x="710" s="1" nd="1"/>
        <i x="240" s="1" nd="1"/>
        <i x="602" s="1" nd="1"/>
        <i x="48" s="1" nd="1"/>
        <i x="202" s="1" nd="1"/>
        <i x="848" s="1" nd="1"/>
        <i x="128" s="1" nd="1"/>
        <i x="273" s="1" nd="1"/>
        <i x="298" s="1" nd="1"/>
        <i x="361" s="1" nd="1"/>
        <i x="720" s="1" nd="1"/>
        <i x="103" s="1" nd="1"/>
        <i x="466" s="1" nd="1"/>
        <i x="585" s="1" nd="1"/>
        <i x="360" s="1" nd="1"/>
        <i x="108" s="1" nd="1"/>
        <i x="544" s="1" nd="1"/>
        <i x="213" s="1" nd="1"/>
        <i x="677" s="1" nd="1"/>
        <i x="492" s="1" nd="1"/>
        <i x="646" s="1" nd="1"/>
        <i x="611" s="1" nd="1"/>
        <i x="537" s="1" nd="1"/>
        <i x="568" s="1" nd="1"/>
        <i x="744" s="1" nd="1"/>
        <i x="522" s="1" nd="1"/>
        <i x="393" s="1" nd="1"/>
        <i x="550" s="1" nd="1"/>
        <i x="218" s="1" nd="1"/>
        <i x="422" s="1" nd="1"/>
        <i x="426" s="1" nd="1"/>
        <i x="808" s="1" nd="1"/>
        <i x="45" s="1" nd="1"/>
        <i x="811" s="1" nd="1"/>
        <i x="493" s="1" nd="1"/>
        <i x="449" s="1" nd="1"/>
        <i x="406" s="1" nd="1"/>
        <i x="613" s="1" nd="1"/>
        <i x="158" s="1" nd="1"/>
        <i x="19" s="1" nd="1"/>
        <i x="238" s="1" nd="1"/>
        <i x="247" s="1" nd="1"/>
        <i x="9" s="1" nd="1"/>
        <i x="395" s="1" nd="1"/>
        <i x="377" s="1" nd="1"/>
        <i x="620" s="1" nd="1"/>
        <i x="62" s="1" nd="1"/>
        <i x="713" s="1" nd="1"/>
        <i x="27" s="1" nd="1"/>
        <i x="40" s="1" nd="1"/>
        <i x="12" s="1" nd="1"/>
        <i x="425" s="1" nd="1"/>
        <i x="689" s="1" nd="1"/>
        <i x="291" s="1" nd="1"/>
        <i x="322" s="1" nd="1"/>
        <i x="387" s="1" nd="1"/>
        <i x="320" s="1" nd="1"/>
        <i x="777" s="1" nd="1"/>
        <i x="148" s="1" nd="1"/>
        <i x="672" s="1" nd="1"/>
        <i x="844" s="1" nd="1"/>
        <i x="42" s="1" nd="1"/>
        <i x="390" s="1" nd="1"/>
        <i x="594" s="1" nd="1"/>
        <i x="753" s="1" nd="1"/>
        <i x="275" s="1" nd="1"/>
        <i x="21" s="1" nd="1"/>
        <i x="643" s="1" nd="1"/>
        <i x="396" s="1" nd="1"/>
        <i x="486" s="1" nd="1"/>
        <i x="351" s="1" nd="1"/>
        <i x="743" s="1" nd="1"/>
        <i x="251" s="1" nd="1"/>
        <i x="267" s="1" nd="1"/>
        <i x="280" s="1" nd="1"/>
        <i x="827" s="1" nd="1"/>
        <i x="10" s="1" nd="1"/>
        <i x="357" s="1" nd="1"/>
        <i x="582" s="1" nd="1"/>
        <i x="321" s="1" nd="1"/>
        <i x="705" s="1" nd="1"/>
        <i x="338" s="1" nd="1"/>
        <i x="630" s="1" nd="1"/>
        <i x="546" s="1" nd="1"/>
        <i x="376" s="1" nd="1"/>
        <i x="342" s="1" nd="1"/>
        <i x="179" s="1" nd="1"/>
        <i x="427" s="1" nd="1"/>
        <i x="708" s="1" nd="1"/>
        <i x="704" s="1" nd="1"/>
        <i x="386" s="1" nd="1"/>
        <i x="355" s="1" nd="1"/>
        <i x="155" s="1" nd="1"/>
        <i x="765" s="1" nd="1"/>
        <i x="697" s="1" nd="1"/>
        <i x="25" s="1" nd="1"/>
        <i x="733" s="1" nd="1"/>
        <i x="645" s="1" nd="1"/>
        <i x="335" s="1" nd="1"/>
        <i x="375" s="1" nd="1"/>
        <i x="820" s="1" nd="1"/>
        <i x="782" s="1" nd="1"/>
        <i x="149" s="1" nd="1"/>
        <i x="504" s="1" nd="1"/>
        <i x="473" s="1" nd="1"/>
        <i x="145" s="1" nd="1"/>
        <i x="762" s="1" nd="1"/>
        <i x="153" s="1" nd="1"/>
        <i x="230" s="1" nd="1"/>
        <i x="726" s="1" nd="1"/>
        <i x="560" s="1" nd="1"/>
        <i x="121" s="1" nd="1"/>
        <i x="383" s="1" nd="1"/>
        <i x="724" s="1" nd="1"/>
        <i x="132" s="1" nd="1"/>
        <i x="37" s="1" nd="1"/>
        <i x="308" s="1" nd="1"/>
        <i x="553" s="1" nd="1"/>
        <i x="65" s="1" nd="1"/>
        <i x="458" s="1" nd="1"/>
        <i x="780" s="1" nd="1"/>
        <i x="491" s="1" nd="1"/>
        <i x="746" s="1" nd="1"/>
        <i x="460" s="1" nd="1"/>
        <i x="526" s="1" nd="1"/>
        <i x="166" s="1" nd="1"/>
        <i x="411" s="1" nd="1"/>
        <i x="747" s="1" nd="1"/>
        <i x="198" s="1" nd="1"/>
        <i x="752" s="1" nd="1"/>
        <i x="391" s="1" nd="1"/>
        <i x="142" s="1" nd="1"/>
        <i x="664" s="1" nd="1"/>
        <i x="436" s="1" nd="1"/>
        <i x="670" s="1" nd="1"/>
        <i x="499" s="1" nd="1"/>
        <i x="691" s="1" nd="1"/>
        <i x="333" s="1" nd="1"/>
        <i x="774" s="1" nd="1"/>
        <i x="810" s="1" nd="1"/>
        <i x="96" s="1" nd="1"/>
        <i x="577" s="1" nd="1"/>
        <i x="162" s="1" nd="1"/>
        <i x="565" s="1" nd="1"/>
        <i x="50" s="1" nd="1"/>
        <i x="729" s="1" nd="1"/>
        <i x="754" s="1" nd="1"/>
        <i x="749" s="1" nd="1"/>
        <i x="852" s="1" nd="1"/>
        <i x="129" s="1" nd="1"/>
        <i x="471" s="1" nd="1"/>
        <i x="707" s="1" nd="1"/>
        <i x="434" s="1" nd="1"/>
        <i x="370" s="1" nd="1"/>
        <i x="105" s="1" nd="1"/>
        <i x="487" s="1" nd="1"/>
        <i x="612" s="1" nd="1"/>
        <i x="721" s="1" nd="1"/>
        <i x="59" s="1" nd="1"/>
        <i x="304" s="1" nd="1"/>
        <i x="688" s="1" nd="1"/>
        <i x="140" s="1" nd="1"/>
        <i x="336" s="1" nd="1"/>
        <i x="541" s="1" nd="1"/>
        <i x="243" s="1" nd="1"/>
        <i x="562" s="1" nd="1"/>
        <i x="551" s="1" nd="1"/>
        <i x="855" s="1" nd="1"/>
        <i x="5" s="1" nd="1"/>
        <i x="278" s="1" nd="1"/>
        <i x="80" s="1" nd="1"/>
        <i x="135" s="1" nd="1"/>
        <i x="660" s="1" nd="1"/>
        <i x="727" s="1" nd="1"/>
        <i x="647" s="1" nd="1"/>
        <i x="237" s="1" nd="1"/>
        <i x="380" s="1" nd="1"/>
        <i x="741" s="1" nd="1"/>
        <i x="137" s="1" nd="1"/>
        <i x="91" s="1" nd="1"/>
        <i x="214" s="1" nd="1"/>
        <i x="687" s="1" nd="1"/>
        <i x="281" s="1" nd="1"/>
        <i x="478" s="1" nd="1"/>
        <i x="805" s="1" nd="1"/>
        <i x="46" s="1" nd="1"/>
        <i x="222" s="1" nd="1"/>
        <i x="832" s="1" nd="1"/>
        <i x="74" s="1" nd="1"/>
        <i x="123" s="1" nd="1"/>
        <i x="651" s="1" nd="1"/>
        <i x="418" s="1" nd="1"/>
        <i x="859" s="1" nd="1"/>
        <i x="438" s="1" nd="1"/>
        <i x="574" s="1" nd="1"/>
        <i x="494" s="1" nd="1"/>
        <i x="186" s="1" nd="1"/>
        <i x="381" s="1" nd="1"/>
        <i x="248" s="1" nd="1"/>
        <i x="345" s="1" nd="1"/>
        <i x="533" s="1" nd="1"/>
        <i x="430" s="1" nd="1"/>
        <i x="793" s="1" nd="1"/>
        <i x="307" s="1" nd="1"/>
        <i x="315" s="1" nd="1"/>
        <i x="374" s="1" nd="1"/>
        <i x="497" s="1" nd="1"/>
        <i x="668" s="1" nd="1"/>
        <i x="192" s="1" nd="1"/>
        <i x="665" s="1" nd="1"/>
        <i x="227" s="1" nd="1"/>
        <i x="455" s="1" nd="1"/>
        <i x="152" s="1" nd="1"/>
        <i x="369" s="1" nd="1"/>
        <i x="269" s="1" nd="1"/>
        <i x="297" s="1" nd="1"/>
        <i x="545" s="1" nd="1"/>
        <i x="608" s="1" nd="1"/>
        <i x="35" s="1" nd="1"/>
        <i x="274" s="1" nd="1"/>
        <i x="757" s="1" nd="1"/>
        <i x="378" s="1" nd="1"/>
        <i x="252" s="1" nd="1"/>
        <i x="405" s="1" nd="1"/>
        <i x="488" s="1" nd="1"/>
        <i x="346" s="1" nd="1"/>
        <i x="617" s="1" nd="1"/>
        <i x="678" s="1" nd="1"/>
        <i x="843" s="1" nd="1"/>
        <i x="55" s="1" nd="1"/>
        <i x="610" s="1" nd="1"/>
        <i x="89" s="1" nd="1"/>
        <i x="332" s="1" nd="1"/>
        <i x="38" s="1" nd="1"/>
        <i x="502" s="1" nd="1"/>
        <i x="512" s="1" nd="1"/>
        <i x="453" s="1" nd="1"/>
        <i x="170" s="1" nd="1"/>
        <i x="138" s="1" nd="1"/>
        <i x="258" s="1" nd="1"/>
        <i x="306" s="1" nd="1"/>
        <i x="824" s="1" nd="1"/>
        <i x="173" s="1" nd="1"/>
        <i x="714" s="1" nd="1"/>
        <i x="175" s="1" nd="1"/>
        <i x="591" s="1" nd="1"/>
        <i x="233" s="1" nd="1"/>
        <i x="398" s="1" nd="1"/>
        <i x="663" s="1" nd="1"/>
        <i x="316" s="1" nd="1"/>
        <i x="79" s="1" nd="1"/>
        <i x="675" s="1" nd="1"/>
        <i x="99" s="1" nd="1"/>
        <i x="446" s="1" nd="1"/>
        <i x="358" s="1" nd="1"/>
        <i x="789" s="1" nd="1"/>
        <i x="505" s="1" nd="1"/>
        <i x="66" s="1" nd="1"/>
        <i x="462" s="1" nd="1"/>
        <i x="87" s="1" nd="1"/>
        <i x="331" s="1" nd="1"/>
        <i x="172" s="1" nd="1"/>
        <i x="339" s="1" nd="1"/>
        <i x="569" s="1" nd="1"/>
        <i x="510" s="1" nd="1"/>
        <i x="234" s="1" nd="1"/>
        <i x="287" s="1" nd="1"/>
        <i x="98" s="1" nd="1"/>
        <i x="414" s="1" nd="1"/>
        <i x="326" s="1" nd="1"/>
        <i x="715" s="1" nd="1"/>
        <i x="540" s="1" nd="1"/>
        <i x="650" s="1" nd="1"/>
        <i x="614" s="1" nd="1"/>
        <i x="839" s="1" nd="1"/>
        <i x="792" s="1" nd="1"/>
        <i x="32" s="1" nd="1"/>
        <i x="787" s="1" nd="1"/>
        <i x="259" s="1" nd="1"/>
        <i x="481" s="1" nd="1"/>
        <i x="817" s="1" nd="1"/>
        <i x="470" s="1" nd="1"/>
        <i x="751" s="1" nd="1"/>
        <i x="654" s="1" nd="1"/>
        <i x="781" s="1" nd="1"/>
        <i x="76" s="1" nd="1"/>
        <i x="718" s="1" nd="1"/>
        <i x="578" s="1" nd="1"/>
        <i x="188" s="1" nd="1"/>
        <i x="723" s="1" nd="1"/>
        <i x="116" s="1" nd="1"/>
        <i x="260" s="1" nd="1"/>
        <i x="517" s="1" nd="1"/>
        <i x="100" s="1" nd="1"/>
        <i x="528" s="1" nd="1"/>
        <i x="794" s="1" nd="1"/>
        <i x="23" s="1" nd="1"/>
        <i x="543" s="1" nd="1"/>
        <i x="642" s="1" nd="1"/>
        <i x="580" s="1" nd="1"/>
        <i x="201" s="1" nd="1"/>
        <i x="579" s="1" nd="1"/>
        <i x="372" s="1" nd="1"/>
        <i x="828" s="1" nd="1"/>
        <i x="343" s="1" nd="1"/>
        <i x="529" s="1" nd="1"/>
        <i x="253" s="1" nd="1"/>
        <i x="14" s="1" nd="1"/>
        <i x="147" s="1" nd="1"/>
        <i x="657" s="1" nd="1"/>
        <i x="609" s="1" nd="1"/>
        <i x="447" s="1" nd="1"/>
        <i x="26" s="1" nd="1"/>
        <i x="599" s="1" nd="1"/>
        <i x="441" s="1" nd="1"/>
        <i x="72" s="1" nd="1"/>
        <i x="661" s="1" nd="1"/>
        <i x="683" s="1" nd="1"/>
        <i x="570" s="1" nd="1"/>
        <i x="520" s="1" nd="1"/>
        <i x="603" s="1" nd="1"/>
        <i x="323" s="1" nd="1"/>
        <i x="786" s="1" nd="1"/>
        <i x="490" s="1" nd="1"/>
        <i x="319" s="1" nd="1"/>
        <i x="354" s="1" nd="1"/>
        <i x="288" s="1" nd="1"/>
        <i x="329" s="1" nd="1"/>
        <i x="849" s="1" nd="1"/>
        <i x="365" s="1" nd="1"/>
        <i x="394" s="1" nd="1"/>
        <i x="77" s="1" nd="1"/>
        <i x="82" s="1" nd="1"/>
        <i x="534" s="1" nd="1"/>
        <i x="571" s="1" nd="1"/>
        <i x="693" s="1" nd="1"/>
        <i x="286" s="1" nd="1"/>
        <i x="530" s="1" nd="1"/>
        <i x="531" s="1" nd="1"/>
        <i x="41" s="1" nd="1"/>
        <i x="597" s="1" nd="1"/>
        <i x="807" s="1" nd="1"/>
        <i x="588" s="1" nd="1"/>
        <i x="755" s="1" nd="1"/>
        <i x="728" s="1" nd="1"/>
        <i x="538" s="1" nd="1"/>
        <i x="51" s="1" nd="1"/>
        <i x="559" s="1" nd="1"/>
        <i x="113" s="1" nd="1"/>
        <i x="241" s="1" nd="1"/>
        <i x="366" s="1" nd="1"/>
        <i x="266" s="1" nd="1"/>
        <i x="371" s="1" nd="1"/>
        <i x="507" s="1" nd="1"/>
        <i x="151" s="1" nd="1"/>
        <i x="174" s="1" nd="1"/>
        <i x="589" s="1" nd="1"/>
        <i x="809" s="1" nd="1"/>
        <i x="796" s="1" nd="1"/>
        <i x="205" s="1" nd="1"/>
        <i x="156" s="1" nd="1"/>
        <i x="242" s="1" nd="1"/>
        <i x="509" s="1" nd="1"/>
        <i x="791" s="1" nd="1"/>
        <i x="265" s="1" nd="1"/>
        <i x="758" s="1" nd="1"/>
        <i x="133" s="1" nd="1"/>
        <i x="216" s="1" nd="1"/>
        <i x="838" s="1" nd="1"/>
        <i x="590" s="1" nd="1"/>
        <i x="801" s="1" nd="1"/>
        <i x="732" s="1" nd="1"/>
        <i x="419" s="1" nd="1"/>
        <i x="29" s="1" nd="1"/>
        <i x="349" s="1" nd="1"/>
        <i x="496" s="1" nd="1"/>
        <i x="516" s="1" nd="1"/>
        <i x="775" s="1" nd="1"/>
        <i x="725" s="1" nd="1"/>
        <i x="766" s="1" nd="1"/>
        <i x="525" s="1" nd="1"/>
        <i x="648" s="1" nd="1"/>
        <i x="294" s="1" nd="1"/>
        <i x="184" s="1" nd="1"/>
        <i x="341" s="1" nd="1"/>
        <i x="822" s="1" nd="1"/>
        <i x="615" s="1" nd="1"/>
        <i x="592" s="1" nd="1"/>
        <i x="262" s="1" nd="1"/>
        <i x="555" s="1" nd="1"/>
        <i x="109" s="1" nd="1"/>
        <i x="92" s="1" nd="1"/>
        <i x="760" s="1" nd="1"/>
        <i x="160" s="1" nd="1"/>
        <i x="239" s="1" nd="1"/>
        <i x="244" s="1" nd="1"/>
        <i x="472" s="1" nd="1"/>
        <i x="624" s="1" nd="1"/>
        <i x="737" s="1" nd="1"/>
        <i x="477" s="1" nd="1"/>
        <i x="556" s="1" nd="1"/>
        <i x="270" s="1" nd="1"/>
        <i x="256" s="1" nd="1"/>
        <i x="637" s="1" nd="1"/>
        <i x="706" s="1" nd="1"/>
        <i x="364" s="1" nd="1"/>
        <i x="17" s="1" nd="1"/>
        <i x="231" s="1" nd="1"/>
        <i x="788" s="1" nd="1"/>
        <i x="730" s="1" nd="1"/>
        <i x="846" s="1" nd="1"/>
        <i x="450" s="1" nd="1"/>
        <i x="197" s="1" nd="1"/>
        <i x="312" s="1" nd="1"/>
        <i x="347" s="1" nd="1"/>
        <i x="101" s="1" nd="1"/>
        <i x="701" s="1" nd="1"/>
        <i x="311" s="1" nd="1"/>
        <i x="362" s="1" nd="1"/>
        <i x="409" s="1" nd="1"/>
        <i x="622" s="1" nd="1"/>
        <i x="618" s="1" nd="1"/>
        <i x="783" s="1" nd="1"/>
        <i x="401" s="1" nd="1"/>
        <i x="407" s="1" nd="1"/>
        <i x="711" s="1" nd="1"/>
        <i x="410" s="1" nd="1"/>
        <i x="835" s="1" nd="1"/>
        <i x="501" s="1" nd="1"/>
        <i x="402" s="1" nd="1"/>
        <i x="676" s="1" nd="1"/>
        <i x="189" s="1" nd="1"/>
        <i x="416" s="1" nd="1"/>
        <i x="480" s="1" nd="1"/>
        <i x="842" s="1" nd="1"/>
        <i x="130" s="1" nd="1"/>
        <i x="157" s="1" nd="1"/>
        <i x="598" s="1" nd="1"/>
        <i x="784" s="1" nd="1"/>
        <i x="616" s="1" nd="1"/>
        <i x="564" s="1" nd="1"/>
        <i x="314" s="1" nd="1"/>
        <i x="659" s="1" nd="1"/>
        <i x="731" s="1" nd="1"/>
        <i x="412" s="1" nd="1"/>
        <i x="750" s="1" nd="1"/>
        <i x="84" s="1" nd="1"/>
        <i x="56" s="1" nd="1"/>
        <i x="856" s="1" nd="1"/>
        <i x="33" s="1" nd="1"/>
        <i x="575" s="1" nd="1"/>
        <i x="518" s="1" nd="1"/>
        <i x="420" s="1" nd="1"/>
        <i x="709" s="1" nd="1"/>
        <i x="209" s="1" nd="1"/>
        <i x="649" s="1" nd="1"/>
        <i x="785" s="1" nd="1"/>
        <i x="474" s="1" nd="1"/>
        <i x="44" s="1" nd="1"/>
        <i x="700" s="1" nd="1"/>
        <i x="669" s="1" nd="1"/>
        <i x="814" s="1" nd="1"/>
        <i x="226" s="1" nd="1"/>
        <i x="821" s="1" nd="1"/>
        <i x="629" s="1" nd="1"/>
        <i x="465" s="1" nd="1"/>
        <i x="698" s="1" nd="1"/>
        <i x="139" s="1" nd="1"/>
        <i x="417" s="1" nd="1"/>
        <i x="699" s="1" nd="1"/>
        <i x="448" s="1" nd="1"/>
        <i x="368" s="1" nd="1"/>
        <i x="712" s="1" nd="1"/>
        <i x="309" s="1" nd="1"/>
        <i x="193" s="1" nd="1"/>
        <i x="686" s="1" nd="1"/>
        <i x="289" s="1" nd="1"/>
        <i x="224" s="1" nd="1"/>
        <i x="325" s="1" nd="1"/>
        <i x="261" s="1" nd="1"/>
        <i x="4" s="1" nd="1"/>
        <i x="196" s="1" nd="1"/>
        <i x="735" s="1" nd="1"/>
        <i x="392" s="1" nd="1"/>
        <i x="581" s="1" nd="1"/>
        <i x="367" s="1" nd="1"/>
        <i x="457" s="1" nd="1"/>
        <i x="519" s="1" nd="1"/>
        <i x="127" s="1" nd="1"/>
        <i x="652" s="1" nd="1"/>
        <i x="53" s="1" nd="1"/>
        <i x="423" s="1" nd="1"/>
        <i x="150" s="1" nd="1"/>
        <i x="734" s="1" nd="1"/>
        <i x="168" s="1" nd="1"/>
        <i x="353" s="1" nd="1"/>
        <i x="124" s="1" nd="1"/>
        <i x="296" s="1" nd="1"/>
        <i x="204" s="1" nd="1"/>
        <i x="210" s="1" nd="1"/>
        <i x="94" s="1" nd="1"/>
        <i x="31" s="1" nd="1"/>
        <i x="284" s="1" nd="1"/>
        <i x="513" s="1" nd="1"/>
        <i x="506" s="1" nd="1"/>
        <i x="73" s="1" nd="1"/>
        <i x="685" s="1" nd="1"/>
        <i x="86" s="1" nd="1"/>
        <i x="639" s="1" nd="1"/>
        <i x="71" s="1" nd="1"/>
        <i x="656" s="1" nd="1"/>
        <i x="495" s="1" nd="1"/>
        <i x="759" s="1" nd="1"/>
        <i x="167" s="1" nd="1"/>
        <i x="195" s="1" nd="1"/>
        <i x="684" s="1" nd="1"/>
        <i x="305" s="1" nd="1"/>
        <i x="593" s="1" nd="1"/>
        <i x="183" s="1" nd="1"/>
        <i x="628" s="1" nd="1"/>
        <i x="68" s="1" nd="1"/>
        <i x="431" s="1" nd="1"/>
        <i x="30" s="1" nd="1"/>
        <i x="771" s="1" nd="1"/>
        <i x="421" s="1" nd="1"/>
        <i x="557" s="1" nd="1"/>
        <i x="102" s="1" nd="1"/>
        <i x="90" s="1" nd="1"/>
        <i x="299" s="1" nd="1"/>
        <i x="199" s="1" nd="1"/>
        <i x="503" s="1" nd="1"/>
        <i x="268" s="1" nd="1"/>
        <i x="34" s="1" nd="1"/>
        <i x="110" s="1" nd="1"/>
        <i x="539" s="1" nd="1"/>
        <i x="303" s="1" nd="1"/>
        <i x="404" s="1" nd="1"/>
        <i x="235" s="1" nd="1"/>
        <i x="11" s="1" nd="1"/>
        <i x="479" s="1" nd="1"/>
        <i x="829" s="1" nd="1"/>
        <i x="39" s="1" nd="1"/>
        <i x="317" s="1" nd="1"/>
        <i x="830" s="1" nd="1"/>
        <i x="567" s="1" nd="1"/>
        <i x="67" s="1" nd="1"/>
        <i x="573" s="1" nd="1"/>
        <i x="437" s="1" nd="1"/>
        <i x="180" s="1" nd="1"/>
        <i x="373" s="1" nd="1"/>
        <i x="764" s="1" nd="1"/>
        <i x="605" s="1" nd="1"/>
        <i x="16" s="1" nd="1"/>
        <i x="97" s="1" nd="1"/>
        <i x="444" s="1" nd="1"/>
        <i x="440" s="1" nd="1"/>
        <i x="126" s="1" nd="1"/>
        <i x="635" s="1" nd="1"/>
        <i x="206" s="1" nd="1"/>
        <i x="161" s="1" nd="1"/>
        <i x="60" s="1" nd="1"/>
        <i x="552" s="1" nd="1"/>
        <i x="623" s="1" nd="1"/>
        <i x="104" s="1" nd="1"/>
        <i x="772" s="1" nd="1"/>
        <i x="131" s="1" nd="1"/>
        <i x="223" s="1" nd="1"/>
        <i x="816" s="1" nd="1"/>
        <i x="285" s="1" nd="1"/>
        <i x="112" s="1" nd="1"/>
        <i x="203" s="1" nd="1"/>
        <i x="219" s="1" nd="1"/>
        <i x="185" s="1" nd="1"/>
        <i x="78" s="1" nd="1"/>
        <i x="217" s="1" nd="1"/>
        <i x="604" s="1" nd="1"/>
        <i x="194" s="1" nd="1"/>
        <i x="232" s="1" nd="1"/>
        <i x="847" s="1" nd="1"/>
        <i x="841" s="1" nd="1"/>
        <i x="498" s="1" nd="1"/>
        <i x="690" s="1" nd="1"/>
        <i x="249" s="1" nd="1"/>
        <i x="61" s="1" nd="1"/>
        <i x="134" s="1" nd="1"/>
        <i x="7" s="1" nd="1"/>
        <i x="54" s="1" nd="1"/>
        <i x="95" s="1" nd="1"/>
        <i x="207" s="1" nd="1"/>
        <i x="43" s="1" nd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SERVICO" xr10:uid="{2CDCB96C-9C79-4692-AE5F-ED30CF88AE2F}" sourceName="SERVICO">
  <pivotTables>
    <pivotTable tabId="2" name="Tabela dinâmica1"/>
    <pivotTable tabId="12" name="Tabela dinâmica1"/>
  </pivotTables>
  <data>
    <tabular pivotCacheId="92520950">
      <items count="27">
        <i x="0" s="1"/>
        <i x="1" s="1"/>
        <i x="2" s="1"/>
        <i x="5" s="1" nd="1"/>
        <i x="15" s="1" nd="1"/>
        <i x="16" s="1" nd="1"/>
        <i x="24" s="1" nd="1"/>
        <i x="4" s="1" nd="1"/>
        <i x="7" s="1" nd="1"/>
        <i x="9" s="1" nd="1"/>
        <i x="13" s="1" nd="1"/>
        <i x="19" s="1" nd="1"/>
        <i x="20" s="1" nd="1"/>
        <i x="23" s="1" nd="1"/>
        <i x="6" s="1" nd="1"/>
        <i x="22" s="1" nd="1"/>
        <i x="12" s="1" nd="1"/>
        <i x="18" s="1" nd="1"/>
        <i x="21" s="1" nd="1"/>
        <i x="3" s="1" nd="1"/>
        <i x="25" s="1" nd="1"/>
        <i x="11" s="1" nd="1"/>
        <i x="14" s="1" nd="1"/>
        <i x="10" s="1" nd="1"/>
        <i x="8" s="1" nd="1"/>
        <i x="26" s="1" nd="1"/>
        <i x="17" s="1" nd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CLIENTE TOMADOR" xr10:uid="{C74BDAF1-C334-482E-AB8B-5CDF5EB3DCEE}" cache="SegmentaçãodeDados_CLIENTE_TOMADOR" caption="CLIENTE" style="SlicerStyleOther2" rowHeight="241300"/>
  <slicer name="SERVICO" xr10:uid="{03BDB1F5-4DD7-4BA5-982C-F49484038E0F}" cache="SegmentaçãodeDados_SERVICO" caption="SERVICO" style="SlicerStyleOther2" rowHeight="24130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Tabela2" displayName="Tabela2" ref="A1:AH90" totalsRowShown="0" headerRowDxfId="83" dataDxfId="81" headerRowBorderDxfId="82" tableBorderDxfId="80">
  <autoFilter ref="A1:AH90" xr:uid="{00000000-0009-0000-0100-000002000000}"/>
  <tableColumns count="34">
    <tableColumn id="1" xr3:uid="{00000000-0010-0000-0000-000001000000}" name="MINUTA" dataDxfId="79"/>
    <tableColumn id="2" xr3:uid="{00000000-0010-0000-0000-000002000000}" name="BASE" dataDxfId="78"/>
    <tableColumn id="3" xr3:uid="{00000000-0010-0000-0000-000003000000}" name="DATA COLETA" dataDxfId="77"/>
    <tableColumn id="4" xr3:uid="{00000000-0010-0000-0000-000004000000}" name="DATA" dataDxfId="76"/>
    <tableColumn id="5" xr3:uid="{00000000-0010-0000-0000-000005000000}" name="FAT" dataDxfId="75"/>
    <tableColumn id="6" xr3:uid="{00000000-0010-0000-0000-000006000000}" name="CT-E" dataDxfId="74"/>
    <tableColumn id="7" xr3:uid="{00000000-0010-0000-0000-000007000000}" name="CLIENTE TOMADOR" dataDxfId="73"/>
    <tableColumn id="8" xr3:uid="{00000000-0010-0000-0000-000008000000}" name="VENDEDOR" dataDxfId="72"/>
    <tableColumn id="9" xr3:uid="{00000000-0010-0000-0000-000009000000}" name="VALOR NF" dataDxfId="71"/>
    <tableColumn id="10" xr3:uid="{00000000-0010-0000-0000-00000A000000}" name="SERVICO" dataDxfId="70"/>
    <tableColumn id="11" xr3:uid="{00000000-0010-0000-0000-00000B000000}" name="TIPO CTE" dataDxfId="69"/>
    <tableColumn id="12" xr3:uid="{00000000-0010-0000-0000-00000C000000}" name="DESTINO" dataDxfId="68"/>
    <tableColumn id="13" xr3:uid="{00000000-0010-0000-0000-00000D000000}" name="FRETE" dataDxfId="67"/>
    <tableColumn id="14" xr3:uid="{00000000-0010-0000-0000-00000E000000}" name="VOLUMES" dataDxfId="66"/>
    <tableColumn id="15" xr3:uid="{00000000-0010-0000-0000-00000F000000}" name="PESO" dataDxfId="65"/>
    <tableColumn id="16" xr3:uid="{00000000-0010-0000-0000-000010000000}" name="RESP. COLETA" dataDxfId="64"/>
    <tableColumn id="17" xr3:uid="{00000000-0010-0000-0000-000011000000}" name="CUSTO COLETA" dataDxfId="63"/>
    <tableColumn id="18" xr3:uid="{00000000-0010-0000-0000-000012000000}" name="RESP. ENTREGA" dataDxfId="62"/>
    <tableColumn id="19" xr3:uid="{00000000-0010-0000-0000-000013000000}" name="CUSTO ENTREGA" dataDxfId="61"/>
    <tableColumn id="20" xr3:uid="{00000000-0010-0000-0000-000014000000}" name="RESP. TRANSF" dataDxfId="60"/>
    <tableColumn id="21" xr3:uid="{00000000-0010-0000-0000-000015000000}" name="CUSTO TRANSF" dataDxfId="59"/>
    <tableColumn id="22" xr3:uid="{00000000-0010-0000-0000-000016000000}" name="ICMS/ISS" dataDxfId="58"/>
    <tableColumn id="23" xr3:uid="{00000000-0010-0000-0000-000017000000}" name="DIFAL" dataDxfId="57"/>
    <tableColumn id="24" xr3:uid="{00000000-0010-0000-0000-000018000000}" name="C.DESPACHO" dataDxfId="56"/>
    <tableColumn id="25" xr3:uid="{00000000-0010-0000-0000-000019000000}" name="SEGURO" dataDxfId="55"/>
    <tableColumn id="26" xr3:uid="{00000000-0010-0000-0000-00001A000000}" name="OUTROS" dataDxfId="54"/>
    <tableColumn id="27" xr3:uid="{00000000-0010-0000-0000-00001B000000}" name="C.TOTAL" dataDxfId="53"/>
    <tableColumn id="28" xr3:uid="{00000000-0010-0000-0000-00001C000000}" name="RECEITA" dataDxfId="52"/>
    <tableColumn id="29" xr3:uid="{00000000-0010-0000-0000-00001D000000}" name="IMPOSTO" dataDxfId="51"/>
    <tableColumn id="30" xr3:uid="{00000000-0010-0000-0000-00001E000000}" name="RESULTADO" dataDxfId="50"/>
    <tableColumn id="31" xr3:uid="{00000000-0010-0000-0000-00001F000000}" name="COMIS" dataDxfId="49"/>
    <tableColumn id="32" xr3:uid="{00000000-0010-0000-0000-000020000000}" name="LUCRO LIQ" dataDxfId="48"/>
    <tableColumn id="33" xr3:uid="{00000000-0010-0000-0000-000021000000}" name="MARGEM" dataDxfId="47"/>
    <tableColumn id="34" xr3:uid="{00000000-0010-0000-0000-000022000000}" name="Coluna1" dataDxfId="46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FA82869-B324-4E0E-9D47-9CD950C7CAB6}" name="valor_target4" displayName="valor_target4" ref="A1:D178" totalsRowShown="0" headerRowDxfId="92" dataDxfId="90" headerRowBorderDxfId="91" tableBorderDxfId="89" totalsRowBorderDxfId="88">
  <autoFilter ref="A1:D178" xr:uid="{BFA82869-B324-4E0E-9D47-9CD950C7CAB6}"/>
  <sortState xmlns:xlrd2="http://schemas.microsoft.com/office/spreadsheetml/2017/richdata2" ref="A2:D1422">
    <sortCondition ref="A1:A1422"/>
  </sortState>
  <tableColumns count="4">
    <tableColumn id="1" xr3:uid="{B69972C5-05EE-4ACC-A94C-8F4EB78450A9}" name="TRECHO" dataDxfId="87"/>
    <tableColumn id="2" xr3:uid="{C8F99F79-5A55-473D-AC93-6D0495CB5C4D}" name="TIPO VEÍCULO" dataDxfId="86"/>
    <tableColumn id="3" xr3:uid="{AB983456-DD0D-4F79-818B-1138B2A03CB2}" name="CONCATENADO" dataDxfId="85"/>
    <tableColumn id="4" xr3:uid="{E1D144E3-26B1-427F-A78C-5607FDE10CB3}" name="VALOR" dataDxfId="84" dataCellStyle="Moeda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rinterSettings" Target="../printerSettings/printerSettings4.bin"/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179"/>
  <sheetViews>
    <sheetView showGridLines="0" zoomScale="115" zoomScaleNormal="115" workbookViewId="0">
      <selection activeCell="A14" sqref="A14"/>
    </sheetView>
  </sheetViews>
  <sheetFormatPr defaultRowHeight="14.4" customHeight="1" x14ac:dyDescent="0.3"/>
  <cols>
    <col min="1" max="1" width="11.109375" bestFit="1" customWidth="1"/>
    <col min="2" max="2" width="8.88671875" bestFit="1" customWidth="1"/>
    <col min="3" max="3" width="14.5546875" bestFit="1" customWidth="1"/>
    <col min="4" max="4" width="9.33203125" bestFit="1" customWidth="1"/>
    <col min="5" max="5" width="8" bestFit="1" customWidth="1"/>
    <col min="6" max="6" width="8.33203125" bestFit="1" customWidth="1"/>
    <col min="7" max="7" width="18.109375" bestFit="1" customWidth="1"/>
    <col min="8" max="8" width="24" bestFit="1" customWidth="1"/>
    <col min="9" max="9" width="12.109375" bestFit="1" customWidth="1"/>
    <col min="10" max="10" width="13.33203125" bestFit="1" customWidth="1"/>
    <col min="11" max="11" width="13.109375" bestFit="1" customWidth="1"/>
    <col min="12" max="12" width="18.109375" bestFit="1" customWidth="1"/>
    <col min="13" max="13" width="9.33203125" bestFit="1" customWidth="1"/>
    <col min="14" max="14" width="12.109375" bestFit="1" customWidth="1"/>
    <col min="15" max="15" width="11.6640625" bestFit="1" customWidth="1"/>
    <col min="16" max="16" width="14.44140625" bestFit="1" customWidth="1"/>
    <col min="17" max="17" width="15.109375" bestFit="1" customWidth="1"/>
    <col min="18" max="18" width="15.44140625" bestFit="1" customWidth="1"/>
    <col min="19" max="19" width="16.109375" bestFit="1" customWidth="1"/>
    <col min="20" max="20" width="14.44140625" bestFit="1" customWidth="1"/>
    <col min="21" max="21" width="15.109375" bestFit="1" customWidth="1"/>
    <col min="22" max="22" width="11.5546875" bestFit="1" customWidth="1"/>
    <col min="23" max="23" width="9.44140625" bestFit="1" customWidth="1"/>
    <col min="24" max="24" width="14" bestFit="1" customWidth="1"/>
    <col min="25" max="26" width="10.88671875" bestFit="1" customWidth="1"/>
    <col min="27" max="27" width="11" bestFit="1" customWidth="1"/>
    <col min="28" max="28" width="10.88671875" bestFit="1" customWidth="1"/>
    <col min="29" max="29" width="11.6640625" bestFit="1" customWidth="1"/>
    <col min="30" max="30" width="13.33203125" bestFit="1" customWidth="1"/>
    <col min="31" max="31" width="10" bestFit="1" customWidth="1"/>
    <col min="32" max="32" width="12.5546875" bestFit="1" customWidth="1"/>
    <col min="33" max="33" width="12" bestFit="1" customWidth="1"/>
  </cols>
  <sheetData>
    <row r="1" spans="1:34" s="1" customFormat="1" x14ac:dyDescent="0.3">
      <c r="A1" s="3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6" t="s">
        <v>12</v>
      </c>
      <c r="N1" s="2" t="s">
        <v>13</v>
      </c>
      <c r="O1" s="2" t="s">
        <v>14</v>
      </c>
      <c r="P1" s="2" t="s">
        <v>15</v>
      </c>
      <c r="Q1" s="6" t="s">
        <v>16</v>
      </c>
      <c r="R1" s="2" t="s">
        <v>17</v>
      </c>
      <c r="S1" s="6" t="s">
        <v>18</v>
      </c>
      <c r="T1" s="2" t="s">
        <v>19</v>
      </c>
      <c r="U1" s="6" t="s">
        <v>20</v>
      </c>
      <c r="V1" s="6" t="s">
        <v>21</v>
      </c>
      <c r="W1" s="2" t="s">
        <v>22</v>
      </c>
      <c r="X1" s="2" t="s">
        <v>23</v>
      </c>
      <c r="Y1" s="6" t="s">
        <v>24</v>
      </c>
      <c r="Z1" s="6" t="s">
        <v>25</v>
      </c>
      <c r="AA1" s="2" t="s">
        <v>26</v>
      </c>
      <c r="AB1" s="2" t="s">
        <v>27</v>
      </c>
      <c r="AC1" s="6" t="s">
        <v>28</v>
      </c>
      <c r="AD1" s="2" t="s">
        <v>29</v>
      </c>
      <c r="AE1" s="6" t="s">
        <v>30</v>
      </c>
      <c r="AF1" s="2" t="s">
        <v>31</v>
      </c>
      <c r="AG1" s="2" t="s">
        <v>32</v>
      </c>
      <c r="AH1" s="7" t="s">
        <v>33</v>
      </c>
    </row>
    <row r="2" spans="1:34" s="1" customFormat="1" ht="12" customHeight="1" x14ac:dyDescent="0.3">
      <c r="A2" s="21">
        <v>302534</v>
      </c>
      <c r="B2" s="20" t="s">
        <v>390</v>
      </c>
      <c r="C2" s="22">
        <v>46289</v>
      </c>
      <c r="D2" s="22">
        <v>46293</v>
      </c>
      <c r="E2" s="20"/>
      <c r="F2" s="23" t="s">
        <v>579</v>
      </c>
      <c r="G2" s="23" t="s">
        <v>391</v>
      </c>
      <c r="H2" s="23" t="s">
        <v>392</v>
      </c>
      <c r="I2" s="24">
        <v>12968.59</v>
      </c>
      <c r="J2" s="23" t="s">
        <v>393</v>
      </c>
      <c r="K2" s="23" t="s">
        <v>394</v>
      </c>
      <c r="L2" s="23" t="s">
        <v>580</v>
      </c>
      <c r="M2" s="24">
        <v>299.17</v>
      </c>
      <c r="N2" s="23">
        <v>12</v>
      </c>
      <c r="O2" s="24">
        <v>86.36</v>
      </c>
      <c r="P2" s="23" t="s">
        <v>390</v>
      </c>
      <c r="Q2" s="23">
        <v>89.58</v>
      </c>
      <c r="R2" s="23" t="s">
        <v>581</v>
      </c>
      <c r="S2" s="23">
        <v>104.71</v>
      </c>
      <c r="T2" s="23" t="s">
        <v>582</v>
      </c>
      <c r="U2" s="24">
        <v>40.82</v>
      </c>
      <c r="V2" s="23">
        <v>35.9</v>
      </c>
      <c r="W2" s="23">
        <v>0</v>
      </c>
      <c r="X2" s="23">
        <v>0</v>
      </c>
      <c r="Y2" s="23">
        <v>6.48</v>
      </c>
      <c r="Z2" s="23">
        <v>0</v>
      </c>
      <c r="AA2" s="24">
        <v>277.49</v>
      </c>
      <c r="AB2" s="24">
        <v>21.68</v>
      </c>
      <c r="AC2" s="24">
        <v>77.78</v>
      </c>
      <c r="AD2" s="23">
        <v>-56.1</v>
      </c>
      <c r="AE2" s="23">
        <v>0</v>
      </c>
      <c r="AF2" s="23">
        <v>-56.1</v>
      </c>
      <c r="AG2" s="25">
        <v>-0.1875</v>
      </c>
      <c r="AH2" s="23"/>
    </row>
    <row r="3" spans="1:34" s="1" customFormat="1" ht="12" customHeight="1" x14ac:dyDescent="0.3">
      <c r="A3" s="21">
        <v>302617</v>
      </c>
      <c r="B3" s="20" t="s">
        <v>390</v>
      </c>
      <c r="C3" s="22">
        <v>46289</v>
      </c>
      <c r="D3" s="22">
        <v>46293</v>
      </c>
      <c r="E3" s="20"/>
      <c r="F3" s="23" t="s">
        <v>583</v>
      </c>
      <c r="G3" s="23" t="s">
        <v>391</v>
      </c>
      <c r="H3" s="23" t="s">
        <v>392</v>
      </c>
      <c r="I3" s="24">
        <v>1905.4</v>
      </c>
      <c r="J3" s="23" t="s">
        <v>393</v>
      </c>
      <c r="K3" s="23" t="s">
        <v>394</v>
      </c>
      <c r="L3" s="23" t="s">
        <v>580</v>
      </c>
      <c r="M3" s="24">
        <v>145.78</v>
      </c>
      <c r="N3" s="23">
        <v>1</v>
      </c>
      <c r="O3" s="23">
        <v>6.62</v>
      </c>
      <c r="P3" s="23" t="s">
        <v>390</v>
      </c>
      <c r="Q3" s="23">
        <v>6.87</v>
      </c>
      <c r="R3" s="23" t="s">
        <v>581</v>
      </c>
      <c r="S3" s="23">
        <v>51.02</v>
      </c>
      <c r="T3" s="23" t="s">
        <v>582</v>
      </c>
      <c r="U3" s="23">
        <v>3.13</v>
      </c>
      <c r="V3" s="23">
        <v>17.489999999999998</v>
      </c>
      <c r="W3" s="23">
        <v>0</v>
      </c>
      <c r="X3" s="23">
        <v>0</v>
      </c>
      <c r="Y3" s="23">
        <v>0.95</v>
      </c>
      <c r="Z3" s="23">
        <v>0</v>
      </c>
      <c r="AA3" s="23">
        <v>79.459999999999994</v>
      </c>
      <c r="AB3" s="23">
        <v>66.319999999999993</v>
      </c>
      <c r="AC3" s="23">
        <v>37.9</v>
      </c>
      <c r="AD3" s="23">
        <v>28.42</v>
      </c>
      <c r="AE3" s="23">
        <v>0</v>
      </c>
      <c r="AF3" s="23">
        <v>28.42</v>
      </c>
      <c r="AG3" s="25">
        <v>0.19500000000000001</v>
      </c>
      <c r="AH3" s="23"/>
    </row>
    <row r="4" spans="1:34" s="1" customFormat="1" ht="12" customHeight="1" x14ac:dyDescent="0.3">
      <c r="A4" s="21">
        <v>302621</v>
      </c>
      <c r="B4" s="20" t="s">
        <v>390</v>
      </c>
      <c r="C4" s="22">
        <v>46289</v>
      </c>
      <c r="D4" s="22">
        <v>46293</v>
      </c>
      <c r="E4" s="20"/>
      <c r="F4" s="23" t="s">
        <v>584</v>
      </c>
      <c r="G4" s="23" t="s">
        <v>391</v>
      </c>
      <c r="H4" s="23" t="s">
        <v>392</v>
      </c>
      <c r="I4" s="24">
        <v>2258.5</v>
      </c>
      <c r="J4" s="23" t="s">
        <v>393</v>
      </c>
      <c r="K4" s="23" t="s">
        <v>394</v>
      </c>
      <c r="L4" s="23" t="s">
        <v>580</v>
      </c>
      <c r="M4" s="23">
        <v>145.78</v>
      </c>
      <c r="N4" s="23">
        <v>2</v>
      </c>
      <c r="O4" s="23">
        <v>10.82</v>
      </c>
      <c r="P4" s="23" t="s">
        <v>390</v>
      </c>
      <c r="Q4" s="23">
        <v>11.22</v>
      </c>
      <c r="R4" s="23" t="s">
        <v>581</v>
      </c>
      <c r="S4" s="23">
        <v>51.02</v>
      </c>
      <c r="T4" s="23" t="s">
        <v>582</v>
      </c>
      <c r="U4" s="23">
        <v>5.1100000000000003</v>
      </c>
      <c r="V4" s="23">
        <v>17.489999999999998</v>
      </c>
      <c r="W4" s="23">
        <v>0</v>
      </c>
      <c r="X4" s="23">
        <v>0</v>
      </c>
      <c r="Y4" s="23">
        <v>1.1299999999999999</v>
      </c>
      <c r="Z4" s="23">
        <v>0</v>
      </c>
      <c r="AA4" s="23">
        <v>85.97</v>
      </c>
      <c r="AB4" s="23">
        <v>59.81</v>
      </c>
      <c r="AC4" s="23">
        <v>37.9</v>
      </c>
      <c r="AD4" s="23">
        <v>21.91</v>
      </c>
      <c r="AE4" s="23">
        <v>0</v>
      </c>
      <c r="AF4" s="23">
        <v>21.91</v>
      </c>
      <c r="AG4" s="25">
        <v>0.15029999999999999</v>
      </c>
      <c r="AH4" s="23"/>
    </row>
    <row r="5" spans="1:34" s="1" customFormat="1" ht="12" customHeight="1" x14ac:dyDescent="0.3">
      <c r="A5" s="21">
        <v>302857</v>
      </c>
      <c r="B5" s="20" t="s">
        <v>390</v>
      </c>
      <c r="C5" s="22">
        <v>46293</v>
      </c>
      <c r="D5" s="22">
        <v>46293</v>
      </c>
      <c r="E5" s="20"/>
      <c r="F5" s="23" t="s">
        <v>585</v>
      </c>
      <c r="G5" s="23" t="s">
        <v>391</v>
      </c>
      <c r="H5" s="23" t="s">
        <v>392</v>
      </c>
      <c r="I5" s="24">
        <v>3726.37</v>
      </c>
      <c r="J5" s="23" t="s">
        <v>393</v>
      </c>
      <c r="K5" s="23" t="s">
        <v>394</v>
      </c>
      <c r="L5" s="23" t="s">
        <v>586</v>
      </c>
      <c r="M5" s="23">
        <v>115.39</v>
      </c>
      <c r="N5" s="23">
        <v>2</v>
      </c>
      <c r="O5" s="23">
        <v>13.25</v>
      </c>
      <c r="P5" s="23" t="s">
        <v>390</v>
      </c>
      <c r="Q5" s="23">
        <v>5.35</v>
      </c>
      <c r="R5" s="23" t="s">
        <v>587</v>
      </c>
      <c r="S5" s="23">
        <v>0.09</v>
      </c>
      <c r="T5" s="23" t="s">
        <v>582</v>
      </c>
      <c r="U5" s="23">
        <v>6.26</v>
      </c>
      <c r="V5" s="23">
        <v>13.85</v>
      </c>
      <c r="W5" s="23">
        <v>0</v>
      </c>
      <c r="X5" s="23">
        <v>0</v>
      </c>
      <c r="Y5" s="23">
        <v>1.86</v>
      </c>
      <c r="Z5" s="23">
        <v>0</v>
      </c>
      <c r="AA5" s="23">
        <v>27.41</v>
      </c>
      <c r="AB5" s="23">
        <v>87.98</v>
      </c>
      <c r="AC5" s="23">
        <v>30</v>
      </c>
      <c r="AD5" s="23">
        <v>57.98</v>
      </c>
      <c r="AE5" s="23">
        <v>0</v>
      </c>
      <c r="AF5" s="23">
        <v>57.98</v>
      </c>
      <c r="AG5" s="25">
        <v>0.50249999999999995</v>
      </c>
      <c r="AH5" s="23"/>
    </row>
    <row r="6" spans="1:34" s="1" customFormat="1" ht="12" customHeight="1" x14ac:dyDescent="0.3">
      <c r="A6" s="21">
        <v>302858</v>
      </c>
      <c r="B6" s="20" t="s">
        <v>390</v>
      </c>
      <c r="C6" s="22">
        <v>46293</v>
      </c>
      <c r="D6" s="22">
        <v>46293</v>
      </c>
      <c r="E6" s="20"/>
      <c r="F6" s="23" t="s">
        <v>588</v>
      </c>
      <c r="G6" s="23" t="s">
        <v>396</v>
      </c>
      <c r="H6" s="23" t="s">
        <v>392</v>
      </c>
      <c r="I6" s="24">
        <v>7602.95</v>
      </c>
      <c r="J6" s="23" t="s">
        <v>393</v>
      </c>
      <c r="K6" s="23" t="s">
        <v>394</v>
      </c>
      <c r="L6" s="23" t="s">
        <v>586</v>
      </c>
      <c r="M6" s="23">
        <v>166.74</v>
      </c>
      <c r="N6" s="23">
        <v>31</v>
      </c>
      <c r="O6" s="23">
        <v>49.6</v>
      </c>
      <c r="P6" s="23" t="s">
        <v>390</v>
      </c>
      <c r="Q6" s="23">
        <v>20.02</v>
      </c>
      <c r="R6" s="23" t="s">
        <v>587</v>
      </c>
      <c r="S6" s="23">
        <v>0.33</v>
      </c>
      <c r="T6" s="23" t="s">
        <v>582</v>
      </c>
      <c r="U6" s="23">
        <v>23.44</v>
      </c>
      <c r="V6" s="23">
        <v>20.010000000000002</v>
      </c>
      <c r="W6" s="23">
        <v>0</v>
      </c>
      <c r="X6" s="23">
        <v>0</v>
      </c>
      <c r="Y6" s="23">
        <v>3.8</v>
      </c>
      <c r="Z6" s="23">
        <v>0</v>
      </c>
      <c r="AA6" s="23">
        <v>67.599999999999994</v>
      </c>
      <c r="AB6" s="23">
        <v>99.14</v>
      </c>
      <c r="AC6" s="23">
        <v>43.35</v>
      </c>
      <c r="AD6" s="23">
        <v>55.79</v>
      </c>
      <c r="AE6" s="23">
        <v>0</v>
      </c>
      <c r="AF6" s="23">
        <v>55.79</v>
      </c>
      <c r="AG6" s="25">
        <v>0.33460000000000001</v>
      </c>
      <c r="AH6" s="23"/>
    </row>
    <row r="7" spans="1:34" s="1" customFormat="1" ht="12" customHeight="1" x14ac:dyDescent="0.3">
      <c r="A7" s="21">
        <v>302859</v>
      </c>
      <c r="B7" s="20" t="s">
        <v>390</v>
      </c>
      <c r="C7" s="22">
        <v>46293</v>
      </c>
      <c r="D7" s="22">
        <v>46293</v>
      </c>
      <c r="E7" s="20"/>
      <c r="F7" s="23" t="s">
        <v>589</v>
      </c>
      <c r="G7" s="23" t="s">
        <v>391</v>
      </c>
      <c r="H7" s="23" t="s">
        <v>392</v>
      </c>
      <c r="I7" s="24">
        <v>16768.66</v>
      </c>
      <c r="J7" s="23" t="s">
        <v>393</v>
      </c>
      <c r="K7" s="23" t="s">
        <v>394</v>
      </c>
      <c r="L7" s="23" t="s">
        <v>586</v>
      </c>
      <c r="M7" s="23">
        <v>367.76</v>
      </c>
      <c r="N7" s="23">
        <v>9</v>
      </c>
      <c r="O7" s="23">
        <v>59.62</v>
      </c>
      <c r="P7" s="23" t="s">
        <v>390</v>
      </c>
      <c r="Q7" s="23">
        <v>24.06</v>
      </c>
      <c r="R7" s="23" t="s">
        <v>587</v>
      </c>
      <c r="S7" s="23">
        <v>0.39</v>
      </c>
      <c r="T7" s="23" t="s">
        <v>582</v>
      </c>
      <c r="U7" s="23">
        <v>28.18</v>
      </c>
      <c r="V7" s="23">
        <v>44.13</v>
      </c>
      <c r="W7" s="23">
        <v>0</v>
      </c>
      <c r="X7" s="23">
        <v>0</v>
      </c>
      <c r="Y7" s="23">
        <v>8.3800000000000008</v>
      </c>
      <c r="Z7" s="23">
        <v>0</v>
      </c>
      <c r="AA7" s="23">
        <v>105.14</v>
      </c>
      <c r="AB7" s="23">
        <v>262.62</v>
      </c>
      <c r="AC7" s="23">
        <v>95.62</v>
      </c>
      <c r="AD7" s="23">
        <v>167</v>
      </c>
      <c r="AE7" s="23">
        <v>0</v>
      </c>
      <c r="AF7" s="23">
        <v>167</v>
      </c>
      <c r="AG7" s="25">
        <v>0.45409999999999995</v>
      </c>
      <c r="AH7" s="23"/>
    </row>
    <row r="8" spans="1:34" s="1" customFormat="1" ht="12" customHeight="1" x14ac:dyDescent="0.3">
      <c r="A8" s="21">
        <v>302860</v>
      </c>
      <c r="B8" s="20" t="s">
        <v>390</v>
      </c>
      <c r="C8" s="22">
        <v>46293</v>
      </c>
      <c r="D8" s="22">
        <v>46293</v>
      </c>
      <c r="E8" s="20"/>
      <c r="F8" s="23" t="s">
        <v>590</v>
      </c>
      <c r="G8" s="23" t="s">
        <v>391</v>
      </c>
      <c r="H8" s="23" t="s">
        <v>392</v>
      </c>
      <c r="I8" s="24">
        <v>3726.37</v>
      </c>
      <c r="J8" s="23" t="s">
        <v>393</v>
      </c>
      <c r="K8" s="23" t="s">
        <v>394</v>
      </c>
      <c r="L8" s="23" t="s">
        <v>586</v>
      </c>
      <c r="M8" s="23">
        <v>115.39</v>
      </c>
      <c r="N8" s="23">
        <v>2</v>
      </c>
      <c r="O8" s="23">
        <v>13.25</v>
      </c>
      <c r="P8" s="23" t="s">
        <v>390</v>
      </c>
      <c r="Q8" s="23">
        <v>5.35</v>
      </c>
      <c r="R8" s="23" t="s">
        <v>587</v>
      </c>
      <c r="S8" s="23">
        <v>0.09</v>
      </c>
      <c r="T8" s="23" t="s">
        <v>582</v>
      </c>
      <c r="U8" s="23">
        <v>6.26</v>
      </c>
      <c r="V8" s="23">
        <v>13.85</v>
      </c>
      <c r="W8" s="23">
        <v>0</v>
      </c>
      <c r="X8" s="23">
        <v>0</v>
      </c>
      <c r="Y8" s="23">
        <v>1.86</v>
      </c>
      <c r="Z8" s="23">
        <v>0</v>
      </c>
      <c r="AA8" s="23">
        <v>27.41</v>
      </c>
      <c r="AB8" s="23">
        <v>87.98</v>
      </c>
      <c r="AC8" s="23">
        <v>30</v>
      </c>
      <c r="AD8" s="23">
        <v>57.98</v>
      </c>
      <c r="AE8" s="23">
        <v>0</v>
      </c>
      <c r="AF8" s="23">
        <v>57.98</v>
      </c>
      <c r="AG8" s="25">
        <v>0.50249999999999995</v>
      </c>
      <c r="AH8" s="23"/>
    </row>
    <row r="9" spans="1:34" s="1" customFormat="1" ht="12" customHeight="1" x14ac:dyDescent="0.3">
      <c r="A9" s="21">
        <v>302861</v>
      </c>
      <c r="B9" s="20" t="s">
        <v>390</v>
      </c>
      <c r="C9" s="22">
        <v>46293</v>
      </c>
      <c r="D9" s="22">
        <v>46293</v>
      </c>
      <c r="E9" s="20"/>
      <c r="F9" s="23" t="s">
        <v>591</v>
      </c>
      <c r="G9" s="23" t="s">
        <v>391</v>
      </c>
      <c r="H9" s="23" t="s">
        <v>392</v>
      </c>
      <c r="I9" s="24">
        <v>11471.58</v>
      </c>
      <c r="J9" s="23" t="s">
        <v>393</v>
      </c>
      <c r="K9" s="23" t="s">
        <v>394</v>
      </c>
      <c r="L9" s="23" t="s">
        <v>592</v>
      </c>
      <c r="M9" s="23">
        <v>237.25</v>
      </c>
      <c r="N9" s="23">
        <v>5</v>
      </c>
      <c r="O9" s="23">
        <v>48.82</v>
      </c>
      <c r="P9" s="23" t="s">
        <v>390</v>
      </c>
      <c r="Q9" s="23">
        <v>19.7</v>
      </c>
      <c r="R9" s="23" t="s">
        <v>581</v>
      </c>
      <c r="S9" s="23">
        <v>83.04</v>
      </c>
      <c r="T9" s="23" t="s">
        <v>582</v>
      </c>
      <c r="U9" s="23">
        <v>23.08</v>
      </c>
      <c r="V9" s="23">
        <v>28.47</v>
      </c>
      <c r="W9" s="23">
        <v>0</v>
      </c>
      <c r="X9" s="23">
        <v>0</v>
      </c>
      <c r="Y9" s="23">
        <v>5.74</v>
      </c>
      <c r="Z9" s="23">
        <v>0</v>
      </c>
      <c r="AA9" s="23">
        <v>160.03</v>
      </c>
      <c r="AB9" s="23">
        <v>77.22</v>
      </c>
      <c r="AC9" s="23">
        <v>61.68</v>
      </c>
      <c r="AD9" s="23">
        <v>15.54</v>
      </c>
      <c r="AE9" s="23">
        <v>0</v>
      </c>
      <c r="AF9" s="23">
        <v>15.54</v>
      </c>
      <c r="AG9" s="25">
        <v>6.5500000000000003E-2</v>
      </c>
      <c r="AH9" s="23"/>
    </row>
    <row r="10" spans="1:34" s="1" customFormat="1" ht="12" customHeight="1" x14ac:dyDescent="0.3">
      <c r="A10" s="21">
        <v>302863</v>
      </c>
      <c r="B10" s="20" t="s">
        <v>390</v>
      </c>
      <c r="C10" s="22">
        <v>46293</v>
      </c>
      <c r="D10" s="22">
        <v>46293</v>
      </c>
      <c r="E10" s="20"/>
      <c r="F10" s="23" t="s">
        <v>593</v>
      </c>
      <c r="G10" s="23" t="s">
        <v>391</v>
      </c>
      <c r="H10" s="23" t="s">
        <v>392</v>
      </c>
      <c r="I10" s="24">
        <v>72120.399999999994</v>
      </c>
      <c r="J10" s="23" t="s">
        <v>393</v>
      </c>
      <c r="K10" s="23" t="s">
        <v>394</v>
      </c>
      <c r="L10" s="23" t="s">
        <v>594</v>
      </c>
      <c r="M10" s="23">
        <v>1581.73</v>
      </c>
      <c r="N10" s="23">
        <v>37</v>
      </c>
      <c r="O10" s="23">
        <v>358.28</v>
      </c>
      <c r="P10" s="23" t="s">
        <v>390</v>
      </c>
      <c r="Q10" s="23">
        <v>144.6</v>
      </c>
      <c r="R10" s="23" t="s">
        <v>595</v>
      </c>
      <c r="S10" s="23">
        <v>0</v>
      </c>
      <c r="T10" s="23" t="s">
        <v>582</v>
      </c>
      <c r="U10" s="23">
        <v>228.61</v>
      </c>
      <c r="V10" s="23">
        <v>189.81</v>
      </c>
      <c r="W10" s="23">
        <v>0</v>
      </c>
      <c r="X10" s="23">
        <v>0</v>
      </c>
      <c r="Y10" s="23">
        <v>36.06</v>
      </c>
      <c r="Z10" s="23">
        <v>0</v>
      </c>
      <c r="AA10" s="23">
        <v>599.08000000000004</v>
      </c>
      <c r="AB10" s="23">
        <v>982.65</v>
      </c>
      <c r="AC10" s="23">
        <v>411.25</v>
      </c>
      <c r="AD10" s="23">
        <v>571.4</v>
      </c>
      <c r="AE10" s="23">
        <v>0</v>
      </c>
      <c r="AF10" s="23">
        <v>571.4</v>
      </c>
      <c r="AG10" s="25">
        <v>0.36130000000000001</v>
      </c>
      <c r="AH10" s="23"/>
    </row>
    <row r="11" spans="1:34" s="1" customFormat="1" ht="12" customHeight="1" x14ac:dyDescent="0.3">
      <c r="A11" s="21">
        <v>302864</v>
      </c>
      <c r="B11" s="20" t="s">
        <v>390</v>
      </c>
      <c r="C11" s="22">
        <v>46293</v>
      </c>
      <c r="D11" s="22">
        <v>46293</v>
      </c>
      <c r="E11" s="20"/>
      <c r="F11" s="23" t="s">
        <v>596</v>
      </c>
      <c r="G11" s="23" t="s">
        <v>391</v>
      </c>
      <c r="H11" s="23" t="s">
        <v>392</v>
      </c>
      <c r="I11" s="24">
        <v>9315.92</v>
      </c>
      <c r="J11" s="23" t="s">
        <v>393</v>
      </c>
      <c r="K11" s="23" t="s">
        <v>394</v>
      </c>
      <c r="L11" s="23" t="s">
        <v>586</v>
      </c>
      <c r="M11" s="23">
        <v>204.32</v>
      </c>
      <c r="N11" s="23">
        <v>5</v>
      </c>
      <c r="O11" s="23">
        <v>33.119999999999997</v>
      </c>
      <c r="P11" s="23" t="s">
        <v>390</v>
      </c>
      <c r="Q11" s="23">
        <v>13.37</v>
      </c>
      <c r="R11" s="23" t="s">
        <v>587</v>
      </c>
      <c r="S11" s="23">
        <v>0.22</v>
      </c>
      <c r="T11" s="23" t="s">
        <v>582</v>
      </c>
      <c r="U11" s="23">
        <v>15.65</v>
      </c>
      <c r="V11" s="23">
        <v>24.52</v>
      </c>
      <c r="W11" s="23">
        <v>0</v>
      </c>
      <c r="X11" s="23">
        <v>0</v>
      </c>
      <c r="Y11" s="23">
        <v>4.66</v>
      </c>
      <c r="Z11" s="23">
        <v>0</v>
      </c>
      <c r="AA11" s="23">
        <v>58.42</v>
      </c>
      <c r="AB11" s="23">
        <v>145.9</v>
      </c>
      <c r="AC11" s="23">
        <v>53.12</v>
      </c>
      <c r="AD11" s="23">
        <v>92.78</v>
      </c>
      <c r="AE11" s="23">
        <v>0</v>
      </c>
      <c r="AF11" s="23">
        <v>92.78</v>
      </c>
      <c r="AG11" s="25">
        <v>0.45409999999999995</v>
      </c>
      <c r="AH11" s="23"/>
    </row>
    <row r="12" spans="1:34" s="1" customFormat="1" ht="12" customHeight="1" x14ac:dyDescent="0.3">
      <c r="A12" s="21">
        <v>302865</v>
      </c>
      <c r="B12" s="20" t="s">
        <v>390</v>
      </c>
      <c r="C12" s="22">
        <v>46293</v>
      </c>
      <c r="D12" s="22">
        <v>46293</v>
      </c>
      <c r="E12" s="20"/>
      <c r="F12" s="23" t="s">
        <v>597</v>
      </c>
      <c r="G12" s="23" t="s">
        <v>391</v>
      </c>
      <c r="H12" s="23" t="s">
        <v>392</v>
      </c>
      <c r="I12" s="23">
        <v>2861.89</v>
      </c>
      <c r="J12" s="23" t="s">
        <v>393</v>
      </c>
      <c r="K12" s="23" t="s">
        <v>394</v>
      </c>
      <c r="L12" s="23" t="s">
        <v>598</v>
      </c>
      <c r="M12" s="23">
        <v>145.78</v>
      </c>
      <c r="N12" s="23">
        <v>4</v>
      </c>
      <c r="O12" s="23">
        <v>32</v>
      </c>
      <c r="P12" s="23" t="s">
        <v>390</v>
      </c>
      <c r="Q12" s="23">
        <v>12.92</v>
      </c>
      <c r="R12" s="23" t="s">
        <v>587</v>
      </c>
      <c r="S12" s="23">
        <v>0.21</v>
      </c>
      <c r="T12" s="23" t="s">
        <v>582</v>
      </c>
      <c r="U12" s="23">
        <v>15.13</v>
      </c>
      <c r="V12" s="23">
        <v>17.489999999999998</v>
      </c>
      <c r="W12" s="23">
        <v>0</v>
      </c>
      <c r="X12" s="23">
        <v>0</v>
      </c>
      <c r="Y12" s="23">
        <v>1.43</v>
      </c>
      <c r="Z12" s="23">
        <v>0</v>
      </c>
      <c r="AA12" s="23">
        <v>47.18</v>
      </c>
      <c r="AB12" s="23">
        <v>98.6</v>
      </c>
      <c r="AC12" s="23">
        <v>37.9</v>
      </c>
      <c r="AD12" s="23">
        <v>60.7</v>
      </c>
      <c r="AE12" s="23">
        <v>0</v>
      </c>
      <c r="AF12" s="23">
        <v>60.7</v>
      </c>
      <c r="AG12" s="25">
        <v>0.41639999999999999</v>
      </c>
      <c r="AH12" s="23"/>
    </row>
    <row r="13" spans="1:34" s="1" customFormat="1" ht="12" customHeight="1" x14ac:dyDescent="0.3">
      <c r="A13" s="21">
        <v>302866</v>
      </c>
      <c r="B13" s="20" t="s">
        <v>390</v>
      </c>
      <c r="C13" s="22">
        <v>46293</v>
      </c>
      <c r="D13" s="22">
        <v>46293</v>
      </c>
      <c r="E13" s="20"/>
      <c r="F13" s="23" t="s">
        <v>599</v>
      </c>
      <c r="G13" s="23" t="s">
        <v>396</v>
      </c>
      <c r="H13" s="23" t="s">
        <v>392</v>
      </c>
      <c r="I13" s="23">
        <v>4432.33</v>
      </c>
      <c r="J13" s="23" t="s">
        <v>393</v>
      </c>
      <c r="K13" s="23" t="s">
        <v>394</v>
      </c>
      <c r="L13" s="23" t="s">
        <v>586</v>
      </c>
      <c r="M13" s="23">
        <v>115.39</v>
      </c>
      <c r="N13" s="23">
        <v>3</v>
      </c>
      <c r="O13" s="23">
        <v>20.399999999999999</v>
      </c>
      <c r="P13" s="23" t="s">
        <v>390</v>
      </c>
      <c r="Q13" s="23">
        <v>8.23</v>
      </c>
      <c r="R13" s="23" t="s">
        <v>587</v>
      </c>
      <c r="S13" s="23">
        <v>0.13</v>
      </c>
      <c r="T13" s="23" t="s">
        <v>582</v>
      </c>
      <c r="U13" s="23">
        <v>9.64</v>
      </c>
      <c r="V13" s="23">
        <v>13.85</v>
      </c>
      <c r="W13" s="23">
        <v>0</v>
      </c>
      <c r="X13" s="23">
        <v>0</v>
      </c>
      <c r="Y13" s="23">
        <v>2.2200000000000002</v>
      </c>
      <c r="Z13" s="23">
        <v>0</v>
      </c>
      <c r="AA13" s="23">
        <v>34.07</v>
      </c>
      <c r="AB13" s="23">
        <v>81.319999999999993</v>
      </c>
      <c r="AC13" s="23">
        <v>30</v>
      </c>
      <c r="AD13" s="23">
        <v>51.32</v>
      </c>
      <c r="AE13" s="23">
        <v>0</v>
      </c>
      <c r="AF13" s="23">
        <v>51.32</v>
      </c>
      <c r="AG13" s="25">
        <v>0.44479999999999997</v>
      </c>
      <c r="AH13" s="23"/>
    </row>
    <row r="14" spans="1:34" s="1" customFormat="1" ht="12" customHeight="1" x14ac:dyDescent="0.3">
      <c r="A14" s="21">
        <v>302867</v>
      </c>
      <c r="B14" s="20" t="s">
        <v>390</v>
      </c>
      <c r="C14" s="22">
        <v>46293</v>
      </c>
      <c r="D14" s="22">
        <v>46293</v>
      </c>
      <c r="E14" s="20"/>
      <c r="F14" s="23" t="s">
        <v>600</v>
      </c>
      <c r="G14" s="23" t="s">
        <v>391</v>
      </c>
      <c r="H14" s="23" t="s">
        <v>392</v>
      </c>
      <c r="I14" s="23">
        <v>7452.74</v>
      </c>
      <c r="J14" s="23" t="s">
        <v>393</v>
      </c>
      <c r="K14" s="23" t="s">
        <v>394</v>
      </c>
      <c r="L14" s="23" t="s">
        <v>586</v>
      </c>
      <c r="M14" s="23">
        <v>163.44</v>
      </c>
      <c r="N14" s="23">
        <v>4</v>
      </c>
      <c r="O14" s="23">
        <v>26.5</v>
      </c>
      <c r="P14" s="23" t="s">
        <v>390</v>
      </c>
      <c r="Q14" s="23">
        <v>10.7</v>
      </c>
      <c r="R14" s="23" t="s">
        <v>587</v>
      </c>
      <c r="S14" s="23">
        <v>0.17</v>
      </c>
      <c r="T14" s="23" t="s">
        <v>582</v>
      </c>
      <c r="U14" s="23">
        <v>12.53</v>
      </c>
      <c r="V14" s="23">
        <v>19.61</v>
      </c>
      <c r="W14" s="23">
        <v>0</v>
      </c>
      <c r="X14" s="23">
        <v>0</v>
      </c>
      <c r="Y14" s="23">
        <v>3.73</v>
      </c>
      <c r="Z14" s="23">
        <v>0</v>
      </c>
      <c r="AA14" s="23">
        <v>46.74</v>
      </c>
      <c r="AB14" s="23">
        <v>116.7</v>
      </c>
      <c r="AC14" s="23">
        <v>42.49</v>
      </c>
      <c r="AD14" s="23">
        <v>74.209999999999994</v>
      </c>
      <c r="AE14" s="23">
        <v>0</v>
      </c>
      <c r="AF14" s="23">
        <v>74.209999999999994</v>
      </c>
      <c r="AG14" s="25">
        <v>0.45409999999999995</v>
      </c>
      <c r="AH14" s="23"/>
    </row>
    <row r="15" spans="1:34" s="1" customFormat="1" ht="12" customHeight="1" x14ac:dyDescent="0.3">
      <c r="A15" s="21">
        <v>302868</v>
      </c>
      <c r="B15" s="20" t="s">
        <v>390</v>
      </c>
      <c r="C15" s="22">
        <v>46293</v>
      </c>
      <c r="D15" s="22">
        <v>46293</v>
      </c>
      <c r="E15" s="20"/>
      <c r="F15" s="23" t="s">
        <v>601</v>
      </c>
      <c r="G15" s="23" t="s">
        <v>391</v>
      </c>
      <c r="H15" s="23" t="s">
        <v>392</v>
      </c>
      <c r="I15" s="23">
        <v>16230.67</v>
      </c>
      <c r="J15" s="23" t="s">
        <v>393</v>
      </c>
      <c r="K15" s="23" t="s">
        <v>394</v>
      </c>
      <c r="L15" s="23" t="s">
        <v>586</v>
      </c>
      <c r="M15" s="23">
        <v>355.98</v>
      </c>
      <c r="N15" s="23">
        <v>8</v>
      </c>
      <c r="O15" s="23">
        <v>52.99</v>
      </c>
      <c r="P15" s="23" t="s">
        <v>390</v>
      </c>
      <c r="Q15" s="23">
        <v>21.39</v>
      </c>
      <c r="R15" s="23" t="s">
        <v>587</v>
      </c>
      <c r="S15" s="23">
        <v>0.35</v>
      </c>
      <c r="T15" s="23" t="s">
        <v>582</v>
      </c>
      <c r="U15" s="23">
        <v>25.05</v>
      </c>
      <c r="V15" s="23">
        <v>42.72</v>
      </c>
      <c r="W15" s="23">
        <v>0</v>
      </c>
      <c r="X15" s="23">
        <v>0</v>
      </c>
      <c r="Y15" s="23">
        <v>8.1199999999999992</v>
      </c>
      <c r="Z15" s="23">
        <v>0</v>
      </c>
      <c r="AA15" s="23">
        <v>97.63</v>
      </c>
      <c r="AB15" s="23">
        <v>258.35000000000002</v>
      </c>
      <c r="AC15" s="23">
        <v>92.55</v>
      </c>
      <c r="AD15" s="23">
        <v>165.8</v>
      </c>
      <c r="AE15" s="23">
        <v>0</v>
      </c>
      <c r="AF15" s="23">
        <v>165.8</v>
      </c>
      <c r="AG15" s="25">
        <v>0.46579999999999999</v>
      </c>
      <c r="AH15" s="23"/>
    </row>
    <row r="16" spans="1:34" s="1" customFormat="1" ht="12" customHeight="1" x14ac:dyDescent="0.3">
      <c r="A16" s="21">
        <v>302869</v>
      </c>
      <c r="B16" s="20" t="s">
        <v>390</v>
      </c>
      <c r="C16" s="22">
        <v>46293</v>
      </c>
      <c r="D16" s="22">
        <v>46293</v>
      </c>
      <c r="E16" s="20"/>
      <c r="F16" s="23" t="s">
        <v>602</v>
      </c>
      <c r="G16" s="23" t="s">
        <v>391</v>
      </c>
      <c r="H16" s="23" t="s">
        <v>392</v>
      </c>
      <c r="I16" s="23">
        <v>7452.74</v>
      </c>
      <c r="J16" s="23" t="s">
        <v>393</v>
      </c>
      <c r="K16" s="23" t="s">
        <v>394</v>
      </c>
      <c r="L16" s="23" t="s">
        <v>586</v>
      </c>
      <c r="M16" s="23">
        <v>163.44</v>
      </c>
      <c r="N16" s="23">
        <v>4</v>
      </c>
      <c r="O16" s="23">
        <v>26.5</v>
      </c>
      <c r="P16" s="23" t="s">
        <v>390</v>
      </c>
      <c r="Q16" s="23">
        <v>10.7</v>
      </c>
      <c r="R16" s="23" t="s">
        <v>587</v>
      </c>
      <c r="S16" s="23">
        <v>0.17</v>
      </c>
      <c r="T16" s="23" t="s">
        <v>582</v>
      </c>
      <c r="U16" s="23">
        <v>12.53</v>
      </c>
      <c r="V16" s="23">
        <v>19.61</v>
      </c>
      <c r="W16" s="23">
        <v>0</v>
      </c>
      <c r="X16" s="23">
        <v>0</v>
      </c>
      <c r="Y16" s="23">
        <v>3.73</v>
      </c>
      <c r="Z16" s="23">
        <v>0</v>
      </c>
      <c r="AA16" s="23">
        <v>46.74</v>
      </c>
      <c r="AB16" s="23">
        <v>116.7</v>
      </c>
      <c r="AC16" s="23">
        <v>42.49</v>
      </c>
      <c r="AD16" s="23">
        <v>74.209999999999994</v>
      </c>
      <c r="AE16" s="23">
        <v>0</v>
      </c>
      <c r="AF16" s="23">
        <v>74.209999999999994</v>
      </c>
      <c r="AG16" s="25">
        <v>0.45409999999999995</v>
      </c>
      <c r="AH16" s="23"/>
    </row>
    <row r="17" spans="1:34" s="1" customFormat="1" ht="12" customHeight="1" x14ac:dyDescent="0.3">
      <c r="A17" s="21">
        <v>302870</v>
      </c>
      <c r="B17" s="20" t="s">
        <v>390</v>
      </c>
      <c r="C17" s="22">
        <v>46293</v>
      </c>
      <c r="D17" s="22">
        <v>46293</v>
      </c>
      <c r="E17" s="20"/>
      <c r="F17" s="23" t="s">
        <v>603</v>
      </c>
      <c r="G17" s="23" t="s">
        <v>396</v>
      </c>
      <c r="H17" s="23" t="s">
        <v>392</v>
      </c>
      <c r="I17" s="23">
        <v>1974.43</v>
      </c>
      <c r="J17" s="23" t="s">
        <v>393</v>
      </c>
      <c r="K17" s="23" t="s">
        <v>394</v>
      </c>
      <c r="L17" s="23" t="s">
        <v>586</v>
      </c>
      <c r="M17" s="23">
        <v>115.39</v>
      </c>
      <c r="N17" s="23">
        <v>1</v>
      </c>
      <c r="O17" s="23">
        <v>2.1</v>
      </c>
      <c r="P17" s="23" t="s">
        <v>390</v>
      </c>
      <c r="Q17" s="23">
        <v>0.85</v>
      </c>
      <c r="R17" s="23" t="s">
        <v>587</v>
      </c>
      <c r="S17" s="23">
        <v>0.01</v>
      </c>
      <c r="T17" s="23" t="s">
        <v>582</v>
      </c>
      <c r="U17" s="23">
        <v>0.99</v>
      </c>
      <c r="V17" s="23">
        <v>13.85</v>
      </c>
      <c r="W17" s="23">
        <v>0</v>
      </c>
      <c r="X17" s="23">
        <v>0</v>
      </c>
      <c r="Y17" s="23">
        <v>0.99</v>
      </c>
      <c r="Z17" s="23">
        <v>0</v>
      </c>
      <c r="AA17" s="23">
        <v>16.690000000000001</v>
      </c>
      <c r="AB17" s="23">
        <v>98.7</v>
      </c>
      <c r="AC17" s="23">
        <v>30</v>
      </c>
      <c r="AD17" s="23">
        <v>68.7</v>
      </c>
      <c r="AE17" s="23">
        <v>0</v>
      </c>
      <c r="AF17" s="23">
        <v>68.7</v>
      </c>
      <c r="AG17" s="25">
        <v>0.59540000000000004</v>
      </c>
      <c r="AH17" s="23"/>
    </row>
    <row r="18" spans="1:34" s="1" customFormat="1" ht="12" customHeight="1" x14ac:dyDescent="0.3">
      <c r="A18" s="21">
        <v>302871</v>
      </c>
      <c r="B18" s="20" t="s">
        <v>390</v>
      </c>
      <c r="C18" s="22">
        <v>46293</v>
      </c>
      <c r="D18" s="22">
        <v>46293</v>
      </c>
      <c r="E18" s="20"/>
      <c r="F18" s="23" t="s">
        <v>604</v>
      </c>
      <c r="G18" s="23" t="s">
        <v>391</v>
      </c>
      <c r="H18" s="23" t="s">
        <v>392</v>
      </c>
      <c r="I18" s="23">
        <v>9315.92</v>
      </c>
      <c r="J18" s="23" t="s">
        <v>393</v>
      </c>
      <c r="K18" s="23" t="s">
        <v>394</v>
      </c>
      <c r="L18" s="23" t="s">
        <v>586</v>
      </c>
      <c r="M18" s="23">
        <v>204.32</v>
      </c>
      <c r="N18" s="23">
        <v>5</v>
      </c>
      <c r="O18" s="23">
        <v>33.119999999999997</v>
      </c>
      <c r="P18" s="23" t="s">
        <v>390</v>
      </c>
      <c r="Q18" s="23">
        <v>13.37</v>
      </c>
      <c r="R18" s="23" t="s">
        <v>587</v>
      </c>
      <c r="S18" s="23">
        <v>0.22</v>
      </c>
      <c r="T18" s="23" t="s">
        <v>582</v>
      </c>
      <c r="U18" s="23">
        <v>15.65</v>
      </c>
      <c r="V18" s="23">
        <v>24.52</v>
      </c>
      <c r="W18" s="23">
        <v>0</v>
      </c>
      <c r="X18" s="23">
        <v>0</v>
      </c>
      <c r="Y18" s="23">
        <v>4.66</v>
      </c>
      <c r="Z18" s="23">
        <v>0</v>
      </c>
      <c r="AA18" s="23">
        <v>58.42</v>
      </c>
      <c r="AB18" s="23">
        <v>145.9</v>
      </c>
      <c r="AC18" s="23">
        <v>53.12</v>
      </c>
      <c r="AD18" s="23">
        <v>92.78</v>
      </c>
      <c r="AE18" s="23">
        <v>0</v>
      </c>
      <c r="AF18" s="23">
        <v>92.78</v>
      </c>
      <c r="AG18" s="25">
        <v>0.45409999999999995</v>
      </c>
      <c r="AH18" s="23"/>
    </row>
    <row r="19" spans="1:34" s="1" customFormat="1" ht="12" customHeight="1" x14ac:dyDescent="0.3">
      <c r="A19" s="21">
        <v>302872</v>
      </c>
      <c r="B19" s="20" t="s">
        <v>390</v>
      </c>
      <c r="C19" s="22">
        <v>46293</v>
      </c>
      <c r="D19" s="22">
        <v>46293</v>
      </c>
      <c r="E19" s="20"/>
      <c r="F19" s="23" t="s">
        <v>605</v>
      </c>
      <c r="G19" s="23" t="s">
        <v>396</v>
      </c>
      <c r="H19" s="23" t="s">
        <v>392</v>
      </c>
      <c r="I19" s="24">
        <v>1974.43</v>
      </c>
      <c r="J19" s="23" t="s">
        <v>393</v>
      </c>
      <c r="K19" s="23" t="s">
        <v>394</v>
      </c>
      <c r="L19" s="23" t="s">
        <v>586</v>
      </c>
      <c r="M19" s="23">
        <v>115.39</v>
      </c>
      <c r="N19" s="23">
        <v>1</v>
      </c>
      <c r="O19" s="23">
        <v>2.1</v>
      </c>
      <c r="P19" s="23" t="s">
        <v>390</v>
      </c>
      <c r="Q19" s="23">
        <v>0.85</v>
      </c>
      <c r="R19" s="23" t="s">
        <v>587</v>
      </c>
      <c r="S19" s="23">
        <v>0.01</v>
      </c>
      <c r="T19" s="23" t="s">
        <v>582</v>
      </c>
      <c r="U19" s="23">
        <v>0.99</v>
      </c>
      <c r="V19" s="23">
        <v>13.85</v>
      </c>
      <c r="W19" s="23">
        <v>0</v>
      </c>
      <c r="X19" s="23">
        <v>0</v>
      </c>
      <c r="Y19" s="23">
        <v>0.99</v>
      </c>
      <c r="Z19" s="23">
        <v>0</v>
      </c>
      <c r="AA19" s="23">
        <v>16.690000000000001</v>
      </c>
      <c r="AB19" s="23">
        <v>98.7</v>
      </c>
      <c r="AC19" s="23">
        <v>30</v>
      </c>
      <c r="AD19" s="23">
        <v>68.7</v>
      </c>
      <c r="AE19" s="23">
        <v>0</v>
      </c>
      <c r="AF19" s="23">
        <v>68.7</v>
      </c>
      <c r="AG19" s="25">
        <v>0.59540000000000004</v>
      </c>
      <c r="AH19" s="23"/>
    </row>
    <row r="20" spans="1:34" s="1" customFormat="1" ht="12" customHeight="1" x14ac:dyDescent="0.3">
      <c r="A20" s="21">
        <v>302873</v>
      </c>
      <c r="B20" s="20" t="s">
        <v>390</v>
      </c>
      <c r="C20" s="22">
        <v>46293</v>
      </c>
      <c r="D20" s="22">
        <v>46293</v>
      </c>
      <c r="E20" s="20"/>
      <c r="F20" s="23" t="s">
        <v>606</v>
      </c>
      <c r="G20" s="23" t="s">
        <v>391</v>
      </c>
      <c r="H20" s="23" t="s">
        <v>392</v>
      </c>
      <c r="I20" s="24">
        <v>3439.05</v>
      </c>
      <c r="J20" s="23" t="s">
        <v>393</v>
      </c>
      <c r="K20" s="23" t="s">
        <v>394</v>
      </c>
      <c r="L20" s="23" t="s">
        <v>586</v>
      </c>
      <c r="M20" s="23">
        <v>115.39</v>
      </c>
      <c r="N20" s="23">
        <v>3</v>
      </c>
      <c r="O20" s="23">
        <v>35.29</v>
      </c>
      <c r="P20" s="23" t="s">
        <v>390</v>
      </c>
      <c r="Q20" s="23">
        <v>14.24</v>
      </c>
      <c r="R20" s="23" t="s">
        <v>587</v>
      </c>
      <c r="S20" s="23">
        <v>0.23</v>
      </c>
      <c r="T20" s="23" t="s">
        <v>582</v>
      </c>
      <c r="U20" s="23">
        <v>16.68</v>
      </c>
      <c r="V20" s="23">
        <v>13.85</v>
      </c>
      <c r="W20" s="23">
        <v>0</v>
      </c>
      <c r="X20" s="23">
        <v>0</v>
      </c>
      <c r="Y20" s="23">
        <v>1.72</v>
      </c>
      <c r="Z20" s="23">
        <v>0</v>
      </c>
      <c r="AA20" s="23">
        <v>46.72</v>
      </c>
      <c r="AB20" s="23">
        <v>68.67</v>
      </c>
      <c r="AC20" s="23">
        <v>30</v>
      </c>
      <c r="AD20" s="23">
        <v>38.67</v>
      </c>
      <c r="AE20" s="23">
        <v>0</v>
      </c>
      <c r="AF20" s="23">
        <v>38.67</v>
      </c>
      <c r="AG20" s="25">
        <v>0.33509999999999995</v>
      </c>
      <c r="AH20" s="23"/>
    </row>
    <row r="21" spans="1:34" s="1" customFormat="1" ht="12" customHeight="1" x14ac:dyDescent="0.3">
      <c r="A21" s="21">
        <v>302874</v>
      </c>
      <c r="B21" s="20" t="s">
        <v>390</v>
      </c>
      <c r="C21" s="22">
        <v>46293</v>
      </c>
      <c r="D21" s="22">
        <v>46293</v>
      </c>
      <c r="E21" s="20"/>
      <c r="F21" s="23" t="s">
        <v>607</v>
      </c>
      <c r="G21" s="23" t="s">
        <v>391</v>
      </c>
      <c r="H21" s="23" t="s">
        <v>392</v>
      </c>
      <c r="I21" s="23">
        <v>27098.99</v>
      </c>
      <c r="J21" s="23" t="s">
        <v>393</v>
      </c>
      <c r="K21" s="23" t="s">
        <v>394</v>
      </c>
      <c r="L21" s="23" t="s">
        <v>586</v>
      </c>
      <c r="M21" s="23">
        <v>594.33000000000004</v>
      </c>
      <c r="N21" s="23">
        <v>6</v>
      </c>
      <c r="O21" s="23">
        <v>57.02</v>
      </c>
      <c r="P21" s="23" t="s">
        <v>390</v>
      </c>
      <c r="Q21" s="23">
        <v>23.01</v>
      </c>
      <c r="R21" s="23" t="s">
        <v>587</v>
      </c>
      <c r="S21" s="23">
        <v>0.37</v>
      </c>
      <c r="T21" s="23" t="s">
        <v>582</v>
      </c>
      <c r="U21" s="23">
        <v>26.95</v>
      </c>
      <c r="V21" s="23">
        <v>71.319999999999993</v>
      </c>
      <c r="W21" s="23">
        <v>0</v>
      </c>
      <c r="X21" s="23">
        <v>0</v>
      </c>
      <c r="Y21" s="23">
        <v>13.55</v>
      </c>
      <c r="Z21" s="23">
        <v>0</v>
      </c>
      <c r="AA21" s="23">
        <v>135.19999999999999</v>
      </c>
      <c r="AB21" s="23">
        <v>459.13</v>
      </c>
      <c r="AC21" s="23">
        <v>154.53</v>
      </c>
      <c r="AD21" s="23">
        <v>304.60000000000002</v>
      </c>
      <c r="AE21" s="23">
        <v>0</v>
      </c>
      <c r="AF21" s="23">
        <v>304.60000000000002</v>
      </c>
      <c r="AG21" s="25">
        <v>0.51249999999999996</v>
      </c>
      <c r="AH21" s="23"/>
    </row>
    <row r="22" spans="1:34" s="1" customFormat="1" ht="12" customHeight="1" x14ac:dyDescent="0.3">
      <c r="A22" s="21">
        <v>302875</v>
      </c>
      <c r="B22" s="20" t="s">
        <v>390</v>
      </c>
      <c r="C22" s="22">
        <v>46293</v>
      </c>
      <c r="D22" s="22">
        <v>46293</v>
      </c>
      <c r="E22" s="20"/>
      <c r="F22" s="23" t="s">
        <v>608</v>
      </c>
      <c r="G22" s="23" t="s">
        <v>391</v>
      </c>
      <c r="H22" s="23" t="s">
        <v>392</v>
      </c>
      <c r="I22" s="24">
        <v>4589.0600000000004</v>
      </c>
      <c r="J22" s="23" t="s">
        <v>393</v>
      </c>
      <c r="K22" s="23" t="s">
        <v>394</v>
      </c>
      <c r="L22" s="23" t="s">
        <v>586</v>
      </c>
      <c r="M22" s="23">
        <v>115.39</v>
      </c>
      <c r="N22" s="23">
        <v>3</v>
      </c>
      <c r="O22" s="23">
        <v>34.369999999999997</v>
      </c>
      <c r="P22" s="23" t="s">
        <v>390</v>
      </c>
      <c r="Q22" s="23">
        <v>13.87</v>
      </c>
      <c r="R22" s="23" t="s">
        <v>587</v>
      </c>
      <c r="S22" s="23">
        <v>0.23</v>
      </c>
      <c r="T22" s="23" t="s">
        <v>582</v>
      </c>
      <c r="U22" s="23">
        <v>16.25</v>
      </c>
      <c r="V22" s="23">
        <v>13.85</v>
      </c>
      <c r="W22" s="23">
        <v>0</v>
      </c>
      <c r="X22" s="23">
        <v>0</v>
      </c>
      <c r="Y22" s="23">
        <v>2.29</v>
      </c>
      <c r="Z22" s="23">
        <v>0</v>
      </c>
      <c r="AA22" s="23">
        <v>46.49</v>
      </c>
      <c r="AB22" s="23">
        <v>68.900000000000006</v>
      </c>
      <c r="AC22" s="23">
        <v>30</v>
      </c>
      <c r="AD22" s="23">
        <v>38.9</v>
      </c>
      <c r="AE22" s="23">
        <v>0</v>
      </c>
      <c r="AF22" s="23">
        <v>38.9</v>
      </c>
      <c r="AG22" s="25">
        <v>0.33710000000000001</v>
      </c>
      <c r="AH22" s="23"/>
    </row>
    <row r="23" spans="1:34" s="1" customFormat="1" ht="12" customHeight="1" x14ac:dyDescent="0.3">
      <c r="A23" s="21">
        <v>302876</v>
      </c>
      <c r="B23" s="20" t="s">
        <v>390</v>
      </c>
      <c r="C23" s="22">
        <v>46293</v>
      </c>
      <c r="D23" s="22">
        <v>46293</v>
      </c>
      <c r="E23" s="20"/>
      <c r="F23" s="23" t="s">
        <v>609</v>
      </c>
      <c r="G23" s="23" t="s">
        <v>391</v>
      </c>
      <c r="H23" s="23" t="s">
        <v>392</v>
      </c>
      <c r="I23" s="24">
        <v>87817.4</v>
      </c>
      <c r="J23" s="23" t="s">
        <v>393</v>
      </c>
      <c r="K23" s="23" t="s">
        <v>394</v>
      </c>
      <c r="L23" s="23" t="s">
        <v>586</v>
      </c>
      <c r="M23" s="23">
        <v>1926</v>
      </c>
      <c r="N23" s="23">
        <v>22</v>
      </c>
      <c r="O23" s="23">
        <v>188.18</v>
      </c>
      <c r="P23" s="23" t="s">
        <v>390</v>
      </c>
      <c r="Q23" s="23">
        <v>75.95</v>
      </c>
      <c r="R23" s="23" t="s">
        <v>587</v>
      </c>
      <c r="S23" s="23">
        <v>1.23</v>
      </c>
      <c r="T23" s="23" t="s">
        <v>582</v>
      </c>
      <c r="U23" s="23">
        <v>88.94</v>
      </c>
      <c r="V23" s="23">
        <v>231.12</v>
      </c>
      <c r="W23" s="23">
        <v>0</v>
      </c>
      <c r="X23" s="23">
        <v>0</v>
      </c>
      <c r="Y23" s="23">
        <v>43.91</v>
      </c>
      <c r="Z23" s="23">
        <v>0</v>
      </c>
      <c r="AA23" s="23">
        <v>441.15</v>
      </c>
      <c r="AB23" s="23">
        <v>1484.85</v>
      </c>
      <c r="AC23" s="23">
        <v>500.76</v>
      </c>
      <c r="AD23" s="23">
        <v>984.09</v>
      </c>
      <c r="AE23" s="23">
        <v>0</v>
      </c>
      <c r="AF23" s="23">
        <v>984.09</v>
      </c>
      <c r="AG23" s="25">
        <v>0.51100000000000001</v>
      </c>
      <c r="AH23" s="23"/>
    </row>
    <row r="24" spans="1:34" s="1" customFormat="1" ht="12" customHeight="1" x14ac:dyDescent="0.3">
      <c r="A24" s="21">
        <v>302878</v>
      </c>
      <c r="B24" s="20" t="s">
        <v>390</v>
      </c>
      <c r="C24" s="22">
        <v>46293</v>
      </c>
      <c r="D24" s="22">
        <v>46293</v>
      </c>
      <c r="E24" s="20"/>
      <c r="F24" s="23" t="s">
        <v>610</v>
      </c>
      <c r="G24" s="23" t="s">
        <v>391</v>
      </c>
      <c r="H24" s="23" t="s">
        <v>392</v>
      </c>
      <c r="I24" s="24">
        <v>152644.21</v>
      </c>
      <c r="J24" s="23" t="s">
        <v>393</v>
      </c>
      <c r="K24" s="23" t="s">
        <v>394</v>
      </c>
      <c r="L24" s="23" t="s">
        <v>586</v>
      </c>
      <c r="M24" s="23">
        <v>3347.76</v>
      </c>
      <c r="N24" s="23">
        <v>164</v>
      </c>
      <c r="O24" s="23">
        <v>1294.78</v>
      </c>
      <c r="P24" s="23" t="s">
        <v>390</v>
      </c>
      <c r="Q24" s="23">
        <v>522.58000000000004</v>
      </c>
      <c r="R24" s="23" t="s">
        <v>587</v>
      </c>
      <c r="S24" s="23">
        <v>8.49</v>
      </c>
      <c r="T24" s="23" t="s">
        <v>582</v>
      </c>
      <c r="U24" s="23">
        <v>611.99</v>
      </c>
      <c r="V24" s="23">
        <v>401.73</v>
      </c>
      <c r="W24" s="23">
        <v>0</v>
      </c>
      <c r="X24" s="23">
        <v>0</v>
      </c>
      <c r="Y24" s="23">
        <v>76.319999999999993</v>
      </c>
      <c r="Z24" s="23">
        <v>0</v>
      </c>
      <c r="AA24" s="23">
        <v>1621.11</v>
      </c>
      <c r="AB24" s="23">
        <v>1726.65</v>
      </c>
      <c r="AC24" s="23">
        <v>870.42</v>
      </c>
      <c r="AD24" s="23">
        <v>856.23</v>
      </c>
      <c r="AE24" s="23">
        <v>0</v>
      </c>
      <c r="AF24" s="23">
        <v>856.23</v>
      </c>
      <c r="AG24" s="25">
        <v>0.25579999999999997</v>
      </c>
      <c r="AH24" s="23"/>
    </row>
    <row r="25" spans="1:34" s="1" customFormat="1" ht="12" customHeight="1" x14ac:dyDescent="0.3">
      <c r="A25" s="21">
        <v>302888</v>
      </c>
      <c r="B25" s="20" t="s">
        <v>390</v>
      </c>
      <c r="C25" s="22">
        <v>46293</v>
      </c>
      <c r="D25" s="22">
        <v>46293</v>
      </c>
      <c r="E25" s="20"/>
      <c r="F25" s="23" t="s">
        <v>611</v>
      </c>
      <c r="G25" s="23" t="s">
        <v>391</v>
      </c>
      <c r="H25" s="23" t="s">
        <v>392</v>
      </c>
      <c r="I25" s="24">
        <v>5116.0600000000004</v>
      </c>
      <c r="J25" s="23" t="s">
        <v>393</v>
      </c>
      <c r="K25" s="23" t="s">
        <v>394</v>
      </c>
      <c r="L25" s="23" t="s">
        <v>586</v>
      </c>
      <c r="M25" s="23">
        <v>115.39</v>
      </c>
      <c r="N25" s="23">
        <v>5</v>
      </c>
      <c r="O25" s="23">
        <v>151.27000000000001</v>
      </c>
      <c r="P25" s="23" t="s">
        <v>390</v>
      </c>
      <c r="Q25" s="23">
        <v>61.05</v>
      </c>
      <c r="R25" s="23" t="s">
        <v>587</v>
      </c>
      <c r="S25" s="23">
        <v>0.99</v>
      </c>
      <c r="T25" s="23" t="s">
        <v>582</v>
      </c>
      <c r="U25" s="23">
        <v>71.5</v>
      </c>
      <c r="V25" s="23">
        <v>13.85</v>
      </c>
      <c r="W25" s="23">
        <v>0</v>
      </c>
      <c r="X25" s="23">
        <v>0</v>
      </c>
      <c r="Y25" s="23">
        <v>2.56</v>
      </c>
      <c r="Z25" s="23">
        <v>0</v>
      </c>
      <c r="AA25" s="23">
        <v>149.94999999999999</v>
      </c>
      <c r="AB25" s="23">
        <v>-34.56</v>
      </c>
      <c r="AC25" s="23">
        <v>30</v>
      </c>
      <c r="AD25" s="23">
        <v>-64.56</v>
      </c>
      <c r="AE25" s="23">
        <v>0</v>
      </c>
      <c r="AF25" s="23">
        <v>-64.56</v>
      </c>
      <c r="AG25" s="25">
        <v>-0.5595</v>
      </c>
      <c r="AH25" s="23"/>
    </row>
    <row r="26" spans="1:34" s="1" customFormat="1" ht="12" customHeight="1" x14ac:dyDescent="0.3">
      <c r="A26" s="21">
        <v>302894</v>
      </c>
      <c r="B26" s="20" t="s">
        <v>390</v>
      </c>
      <c r="C26" s="22">
        <v>46293</v>
      </c>
      <c r="D26" s="22">
        <v>46293</v>
      </c>
      <c r="E26" s="20"/>
      <c r="F26" s="23" t="s">
        <v>612</v>
      </c>
      <c r="G26" s="23" t="s">
        <v>391</v>
      </c>
      <c r="H26" s="23" t="s">
        <v>392</v>
      </c>
      <c r="I26" s="24">
        <v>54197.99</v>
      </c>
      <c r="J26" s="23" t="s">
        <v>393</v>
      </c>
      <c r="K26" s="23" t="s">
        <v>394</v>
      </c>
      <c r="L26" s="23" t="s">
        <v>586</v>
      </c>
      <c r="M26" s="23">
        <v>1188.6600000000001</v>
      </c>
      <c r="N26" s="23">
        <v>12</v>
      </c>
      <c r="O26" s="23">
        <v>114.05</v>
      </c>
      <c r="P26" s="23" t="s">
        <v>390</v>
      </c>
      <c r="Q26" s="23">
        <v>46.03</v>
      </c>
      <c r="R26" s="23" t="s">
        <v>587</v>
      </c>
      <c r="S26" s="23">
        <v>0.75</v>
      </c>
      <c r="T26" s="23" t="s">
        <v>582</v>
      </c>
      <c r="U26" s="23">
        <v>53.91</v>
      </c>
      <c r="V26" s="23">
        <v>142.63999999999999</v>
      </c>
      <c r="W26" s="23">
        <v>0</v>
      </c>
      <c r="X26" s="23">
        <v>0</v>
      </c>
      <c r="Y26" s="23">
        <v>27.1</v>
      </c>
      <c r="Z26" s="23">
        <v>0</v>
      </c>
      <c r="AA26" s="23">
        <v>270.43</v>
      </c>
      <c r="AB26" s="23">
        <v>918.23</v>
      </c>
      <c r="AC26" s="23">
        <v>309.05</v>
      </c>
      <c r="AD26" s="23">
        <v>609.17999999999995</v>
      </c>
      <c r="AE26" s="23">
        <v>0</v>
      </c>
      <c r="AF26" s="23">
        <v>609.17999999999995</v>
      </c>
      <c r="AG26" s="25">
        <v>0.51249999999999996</v>
      </c>
      <c r="AH26" s="23"/>
    </row>
    <row r="27" spans="1:34" s="1" customFormat="1" ht="12" customHeight="1" x14ac:dyDescent="0.3">
      <c r="A27" s="21">
        <v>4280</v>
      </c>
      <c r="B27" s="20" t="s">
        <v>613</v>
      </c>
      <c r="C27" s="22">
        <v>46294</v>
      </c>
      <c r="D27" s="22">
        <v>46294</v>
      </c>
      <c r="E27" s="20"/>
      <c r="F27" s="23" t="s">
        <v>614</v>
      </c>
      <c r="G27" s="23" t="s">
        <v>615</v>
      </c>
      <c r="H27" s="23" t="s">
        <v>616</v>
      </c>
      <c r="I27" s="24">
        <v>6964.8</v>
      </c>
      <c r="J27" s="23" t="s">
        <v>617</v>
      </c>
      <c r="K27" s="23" t="s">
        <v>394</v>
      </c>
      <c r="L27" s="23" t="s">
        <v>618</v>
      </c>
      <c r="M27" s="23">
        <v>87.07</v>
      </c>
      <c r="N27" s="23">
        <v>10</v>
      </c>
      <c r="O27" s="23">
        <v>273</v>
      </c>
      <c r="P27" s="23" t="s">
        <v>613</v>
      </c>
      <c r="Q27" s="23">
        <v>0</v>
      </c>
      <c r="R27" s="23" t="s">
        <v>395</v>
      </c>
      <c r="S27" s="23">
        <v>0</v>
      </c>
      <c r="T27" s="23" t="s">
        <v>582</v>
      </c>
      <c r="U27" s="23">
        <v>33.5</v>
      </c>
      <c r="V27" s="23">
        <v>0</v>
      </c>
      <c r="W27" s="23">
        <v>0</v>
      </c>
      <c r="X27" s="23">
        <v>0</v>
      </c>
      <c r="Y27" s="23">
        <v>0</v>
      </c>
      <c r="Z27" s="23">
        <v>0</v>
      </c>
      <c r="AA27" s="23">
        <v>33.5</v>
      </c>
      <c r="AB27" s="23">
        <v>53.57</v>
      </c>
      <c r="AC27" s="23">
        <v>22.64</v>
      </c>
      <c r="AD27" s="23">
        <v>30.93</v>
      </c>
      <c r="AE27" s="23">
        <v>0.87</v>
      </c>
      <c r="AF27" s="23">
        <v>30.06</v>
      </c>
      <c r="AG27" s="25">
        <v>0.34520000000000001</v>
      </c>
      <c r="AH27" s="23"/>
    </row>
    <row r="28" spans="1:34" s="1" customFormat="1" ht="12" customHeight="1" x14ac:dyDescent="0.3">
      <c r="A28" s="21">
        <v>4281</v>
      </c>
      <c r="B28" s="20" t="s">
        <v>613</v>
      </c>
      <c r="C28" s="22">
        <v>46294</v>
      </c>
      <c r="D28" s="22">
        <v>46294</v>
      </c>
      <c r="E28" s="20"/>
      <c r="F28" s="23" t="s">
        <v>619</v>
      </c>
      <c r="G28" s="23" t="s">
        <v>615</v>
      </c>
      <c r="H28" s="23" t="s">
        <v>616</v>
      </c>
      <c r="I28" s="24">
        <v>9000</v>
      </c>
      <c r="J28" s="23" t="s">
        <v>617</v>
      </c>
      <c r="K28" s="23" t="s">
        <v>394</v>
      </c>
      <c r="L28" s="23" t="s">
        <v>618</v>
      </c>
      <c r="M28" s="23">
        <v>112.52</v>
      </c>
      <c r="N28" s="23">
        <v>10</v>
      </c>
      <c r="O28" s="23">
        <v>100</v>
      </c>
      <c r="P28" s="23" t="s">
        <v>613</v>
      </c>
      <c r="Q28" s="23">
        <v>0</v>
      </c>
      <c r="R28" s="23" t="s">
        <v>395</v>
      </c>
      <c r="S28" s="23">
        <v>0</v>
      </c>
      <c r="T28" s="23" t="s">
        <v>582</v>
      </c>
      <c r="U28" s="23">
        <v>43.3</v>
      </c>
      <c r="V28" s="23">
        <v>0</v>
      </c>
      <c r="W28" s="23">
        <v>0</v>
      </c>
      <c r="X28" s="23">
        <v>0</v>
      </c>
      <c r="Y28" s="23">
        <v>0</v>
      </c>
      <c r="Z28" s="23">
        <v>0</v>
      </c>
      <c r="AA28" s="23">
        <v>43.3</v>
      </c>
      <c r="AB28" s="23">
        <v>69.22</v>
      </c>
      <c r="AC28" s="23">
        <v>29.26</v>
      </c>
      <c r="AD28" s="23">
        <v>39.96</v>
      </c>
      <c r="AE28" s="23">
        <v>1.1299999999999999</v>
      </c>
      <c r="AF28" s="23">
        <v>38.83</v>
      </c>
      <c r="AG28" s="25">
        <v>0.34509999999999996</v>
      </c>
      <c r="AH28" s="23"/>
    </row>
    <row r="29" spans="1:34" s="1" customFormat="1" ht="12" customHeight="1" x14ac:dyDescent="0.3">
      <c r="A29" s="21">
        <v>4282</v>
      </c>
      <c r="B29" s="20" t="s">
        <v>613</v>
      </c>
      <c r="C29" s="22">
        <v>46294</v>
      </c>
      <c r="D29" s="22">
        <v>46294</v>
      </c>
      <c r="E29" s="20"/>
      <c r="F29" s="23" t="s">
        <v>620</v>
      </c>
      <c r="G29" s="23" t="s">
        <v>615</v>
      </c>
      <c r="H29" s="23" t="s">
        <v>616</v>
      </c>
      <c r="I29" s="23">
        <v>73200</v>
      </c>
      <c r="J29" s="23" t="s">
        <v>617</v>
      </c>
      <c r="K29" s="23" t="s">
        <v>394</v>
      </c>
      <c r="L29" s="23" t="s">
        <v>618</v>
      </c>
      <c r="M29" s="23">
        <v>915.12</v>
      </c>
      <c r="N29" s="23">
        <v>130</v>
      </c>
      <c r="O29" s="23">
        <v>600</v>
      </c>
      <c r="P29" s="23" t="s">
        <v>613</v>
      </c>
      <c r="Q29" s="23">
        <v>0</v>
      </c>
      <c r="R29" s="23" t="s">
        <v>395</v>
      </c>
      <c r="S29" s="23">
        <v>0</v>
      </c>
      <c r="T29" s="23" t="s">
        <v>582</v>
      </c>
      <c r="U29" s="23">
        <v>352.13</v>
      </c>
      <c r="V29" s="23">
        <v>0</v>
      </c>
      <c r="W29" s="23">
        <v>0</v>
      </c>
      <c r="X29" s="23">
        <v>0</v>
      </c>
      <c r="Y29" s="23">
        <v>0</v>
      </c>
      <c r="Z29" s="23">
        <v>0</v>
      </c>
      <c r="AA29" s="23">
        <v>352.13</v>
      </c>
      <c r="AB29" s="23">
        <v>562.99</v>
      </c>
      <c r="AC29" s="23">
        <v>237.93</v>
      </c>
      <c r="AD29" s="23">
        <v>325.06</v>
      </c>
      <c r="AE29" s="23">
        <v>9.15</v>
      </c>
      <c r="AF29" s="23">
        <v>315.91000000000003</v>
      </c>
      <c r="AG29" s="25">
        <v>0.34520000000000001</v>
      </c>
      <c r="AH29" s="23"/>
    </row>
    <row r="30" spans="1:34" s="1" customFormat="1" ht="12" customHeight="1" x14ac:dyDescent="0.3">
      <c r="A30" s="21">
        <v>4283</v>
      </c>
      <c r="B30" s="20" t="s">
        <v>613</v>
      </c>
      <c r="C30" s="22">
        <v>46294</v>
      </c>
      <c r="D30" s="22">
        <v>46294</v>
      </c>
      <c r="E30" s="20"/>
      <c r="F30" s="23" t="s">
        <v>621</v>
      </c>
      <c r="G30" s="23" t="s">
        <v>615</v>
      </c>
      <c r="H30" s="23" t="s">
        <v>616</v>
      </c>
      <c r="I30" s="24">
        <v>14415</v>
      </c>
      <c r="J30" s="23" t="s">
        <v>617</v>
      </c>
      <c r="K30" s="23" t="s">
        <v>394</v>
      </c>
      <c r="L30" s="23" t="s">
        <v>618</v>
      </c>
      <c r="M30" s="23">
        <v>180.21</v>
      </c>
      <c r="N30" s="23">
        <v>7</v>
      </c>
      <c r="O30" s="23">
        <v>84</v>
      </c>
      <c r="P30" s="23" t="s">
        <v>613</v>
      </c>
      <c r="Q30" s="23">
        <v>0</v>
      </c>
      <c r="R30" s="23" t="s">
        <v>395</v>
      </c>
      <c r="S30" s="23">
        <v>0</v>
      </c>
      <c r="T30" s="23" t="s">
        <v>582</v>
      </c>
      <c r="U30" s="23">
        <v>69.34</v>
      </c>
      <c r="V30" s="23">
        <v>0</v>
      </c>
      <c r="W30" s="23">
        <v>0</v>
      </c>
      <c r="X30" s="23">
        <v>0</v>
      </c>
      <c r="Y30" s="23">
        <v>0</v>
      </c>
      <c r="Z30" s="23">
        <v>0</v>
      </c>
      <c r="AA30" s="23">
        <v>69.34</v>
      </c>
      <c r="AB30" s="23">
        <v>110.87</v>
      </c>
      <c r="AC30" s="23">
        <v>46.85</v>
      </c>
      <c r="AD30" s="23">
        <v>64.02</v>
      </c>
      <c r="AE30" s="23">
        <v>1.8</v>
      </c>
      <c r="AF30" s="23">
        <v>62.22</v>
      </c>
      <c r="AG30" s="25">
        <v>0.3453</v>
      </c>
      <c r="AH30" s="23"/>
    </row>
    <row r="31" spans="1:34" s="1" customFormat="1" ht="12" customHeight="1" x14ac:dyDescent="0.3">
      <c r="A31" s="21">
        <v>4284</v>
      </c>
      <c r="B31" s="20" t="s">
        <v>613</v>
      </c>
      <c r="C31" s="22">
        <v>46294</v>
      </c>
      <c r="D31" s="22">
        <v>46294</v>
      </c>
      <c r="E31" s="20"/>
      <c r="F31" s="23" t="s">
        <v>622</v>
      </c>
      <c r="G31" s="23" t="s">
        <v>615</v>
      </c>
      <c r="H31" s="23" t="s">
        <v>616</v>
      </c>
      <c r="I31" s="24">
        <v>10752</v>
      </c>
      <c r="J31" s="23" t="s">
        <v>617</v>
      </c>
      <c r="K31" s="23" t="s">
        <v>394</v>
      </c>
      <c r="L31" s="23" t="s">
        <v>618</v>
      </c>
      <c r="M31" s="23">
        <v>134.41999999999999</v>
      </c>
      <c r="N31" s="23">
        <v>14</v>
      </c>
      <c r="O31" s="23">
        <v>449</v>
      </c>
      <c r="P31" s="23" t="s">
        <v>613</v>
      </c>
      <c r="Q31" s="23">
        <v>0</v>
      </c>
      <c r="R31" s="23" t="s">
        <v>395</v>
      </c>
      <c r="S31" s="23">
        <v>0</v>
      </c>
      <c r="T31" s="23" t="s">
        <v>582</v>
      </c>
      <c r="U31" s="23">
        <v>51.72</v>
      </c>
      <c r="V31" s="23">
        <v>0</v>
      </c>
      <c r="W31" s="23">
        <v>0</v>
      </c>
      <c r="X31" s="23">
        <v>0</v>
      </c>
      <c r="Y31" s="23">
        <v>0</v>
      </c>
      <c r="Z31" s="23">
        <v>0</v>
      </c>
      <c r="AA31" s="23">
        <v>51.72</v>
      </c>
      <c r="AB31" s="23">
        <v>82.7</v>
      </c>
      <c r="AC31" s="23">
        <v>34.950000000000003</v>
      </c>
      <c r="AD31" s="23">
        <v>47.75</v>
      </c>
      <c r="AE31" s="23">
        <v>1.34</v>
      </c>
      <c r="AF31" s="23">
        <v>46.41</v>
      </c>
      <c r="AG31" s="25">
        <v>0.3453</v>
      </c>
      <c r="AH31" s="23"/>
    </row>
    <row r="32" spans="1:34" s="1" customFormat="1" ht="12" customHeight="1" x14ac:dyDescent="0.3">
      <c r="A32" s="21"/>
      <c r="B32" s="20"/>
      <c r="C32" s="22"/>
      <c r="D32" s="22"/>
      <c r="E32" s="20"/>
      <c r="F32" s="23"/>
      <c r="G32" s="23"/>
      <c r="H32" s="23"/>
      <c r="I32" s="23"/>
      <c r="J32" s="23"/>
      <c r="K32" s="23"/>
      <c r="L32" s="23"/>
      <c r="M32" s="23"/>
      <c r="N32" s="23"/>
      <c r="O32" s="23"/>
      <c r="P32" s="23"/>
      <c r="Q32" s="23"/>
      <c r="R32" s="23"/>
      <c r="S32" s="23"/>
      <c r="T32" s="23"/>
      <c r="U32" s="23"/>
      <c r="V32" s="23"/>
      <c r="W32" s="23"/>
      <c r="X32" s="23"/>
      <c r="Y32" s="23"/>
      <c r="Z32" s="23"/>
      <c r="AA32" s="23"/>
      <c r="AB32" s="23"/>
      <c r="AC32" s="23"/>
      <c r="AD32" s="23"/>
      <c r="AE32" s="23"/>
      <c r="AF32" s="23"/>
      <c r="AG32" s="25"/>
      <c r="AH32" s="23"/>
    </row>
    <row r="33" spans="1:34" s="1" customFormat="1" ht="12" customHeight="1" x14ac:dyDescent="0.3">
      <c r="A33" s="21"/>
      <c r="B33" s="20"/>
      <c r="C33" s="22"/>
      <c r="D33" s="22"/>
      <c r="E33" s="20"/>
      <c r="F33" s="23"/>
      <c r="G33" s="23"/>
      <c r="H33" s="23"/>
      <c r="I33" s="23"/>
      <c r="J33" s="23"/>
      <c r="K33" s="23"/>
      <c r="L33" s="23"/>
      <c r="M33" s="23"/>
      <c r="N33" s="23"/>
      <c r="O33" s="23"/>
      <c r="P33" s="23"/>
      <c r="Q33" s="23"/>
      <c r="R33" s="23"/>
      <c r="S33" s="23"/>
      <c r="T33" s="23"/>
      <c r="U33" s="23"/>
      <c r="V33" s="23"/>
      <c r="W33" s="23"/>
      <c r="X33" s="23"/>
      <c r="Y33" s="23"/>
      <c r="Z33" s="23"/>
      <c r="AA33" s="23"/>
      <c r="AB33" s="23"/>
      <c r="AC33" s="23"/>
      <c r="AD33" s="23"/>
      <c r="AE33" s="23"/>
      <c r="AF33" s="23"/>
      <c r="AG33" s="25"/>
      <c r="AH33" s="23"/>
    </row>
    <row r="34" spans="1:34" s="1" customFormat="1" ht="12" customHeight="1" x14ac:dyDescent="0.3">
      <c r="A34" s="21"/>
      <c r="B34" s="20"/>
      <c r="C34" s="22"/>
      <c r="D34" s="22"/>
      <c r="E34" s="20"/>
      <c r="F34" s="23"/>
      <c r="G34" s="23"/>
      <c r="H34" s="23"/>
      <c r="I34" s="24"/>
      <c r="J34" s="23"/>
      <c r="K34" s="23"/>
      <c r="L34" s="23"/>
      <c r="M34" s="23"/>
      <c r="N34" s="23"/>
      <c r="O34" s="23"/>
      <c r="P34" s="23"/>
      <c r="Q34" s="23"/>
      <c r="R34" s="23"/>
      <c r="S34" s="23"/>
      <c r="T34" s="23"/>
      <c r="U34" s="23"/>
      <c r="V34" s="23"/>
      <c r="W34" s="23"/>
      <c r="X34" s="23"/>
      <c r="Y34" s="23"/>
      <c r="Z34" s="23"/>
      <c r="AA34" s="23"/>
      <c r="AB34" s="23"/>
      <c r="AC34" s="23"/>
      <c r="AD34" s="23"/>
      <c r="AE34" s="23"/>
      <c r="AF34" s="23"/>
      <c r="AG34" s="25"/>
      <c r="AH34" s="23"/>
    </row>
    <row r="35" spans="1:34" s="1" customFormat="1" ht="12" customHeight="1" x14ac:dyDescent="0.3">
      <c r="A35" s="21"/>
      <c r="B35" s="20"/>
      <c r="C35" s="22"/>
      <c r="D35" s="22"/>
      <c r="E35" s="20"/>
      <c r="F35" s="23"/>
      <c r="G35" s="23"/>
      <c r="H35" s="23"/>
      <c r="I35" s="23"/>
      <c r="J35" s="23"/>
      <c r="K35" s="23"/>
      <c r="L35" s="23"/>
      <c r="M35" s="23"/>
      <c r="N35" s="23"/>
      <c r="O35" s="23"/>
      <c r="P35" s="23"/>
      <c r="Q35" s="23"/>
      <c r="R35" s="23"/>
      <c r="S35" s="23"/>
      <c r="T35" s="23"/>
      <c r="U35" s="23"/>
      <c r="V35" s="23"/>
      <c r="W35" s="23"/>
      <c r="X35" s="23"/>
      <c r="Y35" s="23"/>
      <c r="Z35" s="23"/>
      <c r="AA35" s="23"/>
      <c r="AB35" s="23"/>
      <c r="AC35" s="23"/>
      <c r="AD35" s="23"/>
      <c r="AE35" s="23"/>
      <c r="AF35" s="23"/>
      <c r="AG35" s="25"/>
      <c r="AH35" s="23"/>
    </row>
    <row r="36" spans="1:34" s="1" customFormat="1" ht="12" customHeight="1" x14ac:dyDescent="0.3">
      <c r="A36" s="21"/>
      <c r="B36" s="20"/>
      <c r="C36" s="22"/>
      <c r="D36" s="22"/>
      <c r="E36" s="20"/>
      <c r="F36" s="23"/>
      <c r="G36" s="23"/>
      <c r="H36" s="23"/>
      <c r="I36" s="24"/>
      <c r="J36" s="23"/>
      <c r="K36" s="23"/>
      <c r="L36" s="23"/>
      <c r="M36" s="23"/>
      <c r="N36" s="23"/>
      <c r="O36" s="23"/>
      <c r="P36" s="23"/>
      <c r="Q36" s="23"/>
      <c r="R36" s="23"/>
      <c r="S36" s="23"/>
      <c r="T36" s="23"/>
      <c r="U36" s="23"/>
      <c r="V36" s="23"/>
      <c r="W36" s="23"/>
      <c r="X36" s="23"/>
      <c r="Y36" s="23"/>
      <c r="Z36" s="23"/>
      <c r="AA36" s="23"/>
      <c r="AB36" s="23"/>
      <c r="AC36" s="23"/>
      <c r="AD36" s="23"/>
      <c r="AE36" s="23"/>
      <c r="AF36" s="23"/>
      <c r="AG36" s="25"/>
      <c r="AH36" s="23"/>
    </row>
    <row r="37" spans="1:34" s="1" customFormat="1" ht="12" customHeight="1" x14ac:dyDescent="0.3">
      <c r="A37" s="21"/>
      <c r="B37" s="20"/>
      <c r="C37" s="22"/>
      <c r="D37" s="22"/>
      <c r="E37" s="20"/>
      <c r="F37" s="23"/>
      <c r="G37" s="23"/>
      <c r="H37" s="23"/>
      <c r="I37" s="24"/>
      <c r="J37" s="23"/>
      <c r="K37" s="23"/>
      <c r="L37" s="23"/>
      <c r="M37" s="23"/>
      <c r="N37" s="23"/>
      <c r="O37" s="23"/>
      <c r="P37" s="23"/>
      <c r="Q37" s="23"/>
      <c r="R37" s="23"/>
      <c r="S37" s="23"/>
      <c r="T37" s="23"/>
      <c r="U37" s="23"/>
      <c r="V37" s="23"/>
      <c r="W37" s="23"/>
      <c r="X37" s="23"/>
      <c r="Y37" s="23"/>
      <c r="Z37" s="23"/>
      <c r="AA37" s="23"/>
      <c r="AB37" s="23"/>
      <c r="AC37" s="23"/>
      <c r="AD37" s="23"/>
      <c r="AE37" s="23"/>
      <c r="AF37" s="23"/>
      <c r="AG37" s="25"/>
      <c r="AH37" s="23"/>
    </row>
    <row r="38" spans="1:34" s="1" customFormat="1" ht="12" customHeight="1" x14ac:dyDescent="0.3">
      <c r="A38" s="21"/>
      <c r="B38" s="20"/>
      <c r="C38" s="22"/>
      <c r="D38" s="22"/>
      <c r="E38" s="20"/>
      <c r="F38" s="23"/>
      <c r="G38" s="23"/>
      <c r="H38" s="23"/>
      <c r="I38" s="24"/>
      <c r="J38" s="23"/>
      <c r="K38" s="23"/>
      <c r="L38" s="23"/>
      <c r="M38" s="23"/>
      <c r="N38" s="23"/>
      <c r="O38" s="23"/>
      <c r="P38" s="23"/>
      <c r="Q38" s="23"/>
      <c r="R38" s="23"/>
      <c r="S38" s="23"/>
      <c r="T38" s="23"/>
      <c r="U38" s="23"/>
      <c r="V38" s="23"/>
      <c r="W38" s="23"/>
      <c r="X38" s="23"/>
      <c r="Y38" s="23"/>
      <c r="Z38" s="23"/>
      <c r="AA38" s="23"/>
      <c r="AB38" s="23"/>
      <c r="AC38" s="23"/>
      <c r="AD38" s="23"/>
      <c r="AE38" s="23"/>
      <c r="AF38" s="23"/>
      <c r="AG38" s="25"/>
      <c r="AH38" s="23"/>
    </row>
    <row r="39" spans="1:34" s="1" customFormat="1" ht="12" customHeight="1" x14ac:dyDescent="0.3">
      <c r="A39" s="21"/>
      <c r="B39" s="20"/>
      <c r="C39" s="22"/>
      <c r="D39" s="22"/>
      <c r="E39" s="20"/>
      <c r="F39" s="23"/>
      <c r="G39" s="23"/>
      <c r="H39" s="23"/>
      <c r="I39" s="24"/>
      <c r="J39" s="23"/>
      <c r="K39" s="23"/>
      <c r="L39" s="23"/>
      <c r="M39" s="23"/>
      <c r="N39" s="23"/>
      <c r="O39" s="23"/>
      <c r="P39" s="23"/>
      <c r="Q39" s="23"/>
      <c r="R39" s="23"/>
      <c r="S39" s="23"/>
      <c r="T39" s="23"/>
      <c r="U39" s="23"/>
      <c r="V39" s="23"/>
      <c r="W39" s="23"/>
      <c r="X39" s="23"/>
      <c r="Y39" s="23"/>
      <c r="Z39" s="23"/>
      <c r="AA39" s="23"/>
      <c r="AB39" s="23"/>
      <c r="AC39" s="23"/>
      <c r="AD39" s="23"/>
      <c r="AE39" s="23"/>
      <c r="AF39" s="23"/>
      <c r="AG39" s="25"/>
      <c r="AH39" s="23"/>
    </row>
    <row r="40" spans="1:34" s="1" customFormat="1" ht="12" customHeight="1" x14ac:dyDescent="0.3">
      <c r="A40" s="21"/>
      <c r="B40" s="20"/>
      <c r="C40" s="22"/>
      <c r="D40" s="22"/>
      <c r="E40" s="20"/>
      <c r="F40" s="23"/>
      <c r="G40" s="23"/>
      <c r="H40" s="23"/>
      <c r="I40" s="24"/>
      <c r="J40" s="23"/>
      <c r="K40" s="23"/>
      <c r="L40" s="23"/>
      <c r="M40" s="23"/>
      <c r="N40" s="23"/>
      <c r="O40" s="23"/>
      <c r="P40" s="23"/>
      <c r="Q40" s="23"/>
      <c r="R40" s="23"/>
      <c r="S40" s="23"/>
      <c r="T40" s="23"/>
      <c r="U40" s="23"/>
      <c r="V40" s="23"/>
      <c r="W40" s="23"/>
      <c r="X40" s="23"/>
      <c r="Y40" s="23"/>
      <c r="Z40" s="23"/>
      <c r="AA40" s="23"/>
      <c r="AB40" s="23"/>
      <c r="AC40" s="23"/>
      <c r="AD40" s="23"/>
      <c r="AE40" s="23"/>
      <c r="AF40" s="23"/>
      <c r="AG40" s="25"/>
      <c r="AH40" s="23"/>
    </row>
    <row r="41" spans="1:34" s="1" customFormat="1" ht="12" customHeight="1" x14ac:dyDescent="0.3">
      <c r="A41" s="21"/>
      <c r="B41" s="20"/>
      <c r="C41" s="22"/>
      <c r="D41" s="22"/>
      <c r="E41" s="20"/>
      <c r="F41" s="23"/>
      <c r="G41" s="23"/>
      <c r="H41" s="23"/>
      <c r="I41" s="24"/>
      <c r="J41" s="23"/>
      <c r="K41" s="23"/>
      <c r="L41" s="23"/>
      <c r="M41" s="23"/>
      <c r="N41" s="23"/>
      <c r="O41" s="23"/>
      <c r="P41" s="23"/>
      <c r="Q41" s="23"/>
      <c r="R41" s="23"/>
      <c r="S41" s="23"/>
      <c r="T41" s="23"/>
      <c r="U41" s="23"/>
      <c r="V41" s="23"/>
      <c r="W41" s="23"/>
      <c r="X41" s="23"/>
      <c r="Y41" s="23"/>
      <c r="Z41" s="23"/>
      <c r="AA41" s="23"/>
      <c r="AB41" s="23"/>
      <c r="AC41" s="23"/>
      <c r="AD41" s="23"/>
      <c r="AE41" s="23"/>
      <c r="AF41" s="23"/>
      <c r="AG41" s="25"/>
      <c r="AH41" s="23"/>
    </row>
    <row r="42" spans="1:34" s="1" customFormat="1" ht="12" customHeight="1" x14ac:dyDescent="0.3">
      <c r="A42" s="21"/>
      <c r="B42" s="20"/>
      <c r="C42" s="22"/>
      <c r="D42" s="22"/>
      <c r="E42" s="20"/>
      <c r="F42" s="23"/>
      <c r="G42" s="23"/>
      <c r="H42" s="23"/>
      <c r="I42" s="24"/>
      <c r="J42" s="23"/>
      <c r="K42" s="23"/>
      <c r="L42" s="23"/>
      <c r="M42" s="23"/>
      <c r="N42" s="23"/>
      <c r="O42" s="23"/>
      <c r="P42" s="23"/>
      <c r="Q42" s="23"/>
      <c r="R42" s="23"/>
      <c r="S42" s="23"/>
      <c r="T42" s="23"/>
      <c r="U42" s="23"/>
      <c r="V42" s="23"/>
      <c r="W42" s="23"/>
      <c r="X42" s="23"/>
      <c r="Y42" s="23"/>
      <c r="Z42" s="23"/>
      <c r="AA42" s="23"/>
      <c r="AB42" s="23"/>
      <c r="AC42" s="23"/>
      <c r="AD42" s="23"/>
      <c r="AE42" s="23"/>
      <c r="AF42" s="23"/>
      <c r="AG42" s="25"/>
      <c r="AH42" s="23"/>
    </row>
    <row r="43" spans="1:34" s="1" customFormat="1" ht="13.2" customHeight="1" x14ac:dyDescent="0.3">
      <c r="A43" s="21"/>
      <c r="B43" s="20"/>
      <c r="C43" s="22"/>
      <c r="D43" s="22"/>
      <c r="E43" s="20"/>
      <c r="F43" s="23"/>
      <c r="G43" s="23"/>
      <c r="H43" s="23"/>
      <c r="I43" s="24"/>
      <c r="J43" s="23"/>
      <c r="K43" s="23"/>
      <c r="L43" s="23"/>
      <c r="M43" s="23"/>
      <c r="N43" s="23"/>
      <c r="O43" s="23"/>
      <c r="P43" s="23"/>
      <c r="Q43" s="23"/>
      <c r="R43" s="23"/>
      <c r="S43" s="23"/>
      <c r="T43" s="23"/>
      <c r="U43" s="23"/>
      <c r="V43" s="23"/>
      <c r="W43" s="23"/>
      <c r="X43" s="23"/>
      <c r="Y43" s="23"/>
      <c r="Z43" s="23"/>
      <c r="AA43" s="23"/>
      <c r="AB43" s="23"/>
      <c r="AC43" s="23"/>
      <c r="AD43" s="23"/>
      <c r="AE43" s="23"/>
      <c r="AF43" s="23"/>
      <c r="AG43" s="25"/>
      <c r="AH43" s="23"/>
    </row>
    <row r="44" spans="1:34" s="1" customFormat="1" ht="13.2" customHeight="1" x14ac:dyDescent="0.3">
      <c r="A44" s="21"/>
      <c r="B44" s="20"/>
      <c r="C44" s="22"/>
      <c r="D44" s="22"/>
      <c r="E44" s="20"/>
      <c r="F44" s="23"/>
      <c r="G44" s="23"/>
      <c r="H44" s="23"/>
      <c r="I44" s="24"/>
      <c r="J44" s="23"/>
      <c r="K44" s="23"/>
      <c r="L44" s="23"/>
      <c r="M44" s="23"/>
      <c r="N44" s="23"/>
      <c r="O44" s="23"/>
      <c r="P44" s="23"/>
      <c r="Q44" s="23"/>
      <c r="R44" s="23"/>
      <c r="S44" s="23"/>
      <c r="T44" s="23"/>
      <c r="U44" s="23"/>
      <c r="V44" s="23"/>
      <c r="W44" s="23"/>
      <c r="X44" s="23"/>
      <c r="Y44" s="23"/>
      <c r="Z44" s="23"/>
      <c r="AA44" s="23"/>
      <c r="AB44" s="23"/>
      <c r="AC44" s="23"/>
      <c r="AD44" s="23"/>
      <c r="AE44" s="23"/>
      <c r="AF44" s="23"/>
      <c r="AG44" s="25"/>
      <c r="AH44" s="23"/>
    </row>
    <row r="45" spans="1:34" s="1" customFormat="1" ht="13.2" customHeight="1" x14ac:dyDescent="0.3">
      <c r="A45" s="21"/>
      <c r="B45" s="20"/>
      <c r="C45" s="22"/>
      <c r="D45" s="22"/>
      <c r="E45" s="20"/>
      <c r="F45" s="23"/>
      <c r="G45" s="23"/>
      <c r="H45" s="23"/>
      <c r="I45" s="24"/>
      <c r="J45" s="23"/>
      <c r="K45" s="23"/>
      <c r="L45" s="23"/>
      <c r="M45" s="23"/>
      <c r="N45" s="23"/>
      <c r="O45" s="23"/>
      <c r="P45" s="23"/>
      <c r="Q45" s="23"/>
      <c r="R45" s="23"/>
      <c r="S45" s="23"/>
      <c r="T45" s="23"/>
      <c r="U45" s="23"/>
      <c r="V45" s="23"/>
      <c r="W45" s="23"/>
      <c r="X45" s="23"/>
      <c r="Y45" s="23"/>
      <c r="Z45" s="23"/>
      <c r="AA45" s="23"/>
      <c r="AB45" s="23"/>
      <c r="AC45" s="23"/>
      <c r="AD45" s="23"/>
      <c r="AE45" s="23"/>
      <c r="AF45" s="23"/>
      <c r="AG45" s="25"/>
      <c r="AH45" s="23"/>
    </row>
    <row r="46" spans="1:34" s="1" customFormat="1" ht="13.2" customHeight="1" x14ac:dyDescent="0.3">
      <c r="A46" s="21"/>
      <c r="B46" s="20"/>
      <c r="C46" s="22"/>
      <c r="D46" s="22"/>
      <c r="E46" s="20"/>
      <c r="F46" s="23"/>
      <c r="G46" s="23"/>
      <c r="H46" s="23"/>
      <c r="I46" s="24"/>
      <c r="J46" s="23"/>
      <c r="K46" s="23"/>
      <c r="L46" s="23"/>
      <c r="M46" s="23"/>
      <c r="N46" s="23"/>
      <c r="O46" s="23"/>
      <c r="P46" s="23"/>
      <c r="Q46" s="23"/>
      <c r="R46" s="23"/>
      <c r="S46" s="23"/>
      <c r="T46" s="23"/>
      <c r="U46" s="23"/>
      <c r="V46" s="23"/>
      <c r="W46" s="23"/>
      <c r="X46" s="23"/>
      <c r="Y46" s="23"/>
      <c r="Z46" s="23"/>
      <c r="AA46" s="23"/>
      <c r="AB46" s="23"/>
      <c r="AC46" s="23"/>
      <c r="AD46" s="23"/>
      <c r="AE46" s="23"/>
      <c r="AF46" s="23"/>
      <c r="AG46" s="25"/>
      <c r="AH46" s="23"/>
    </row>
    <row r="47" spans="1:34" s="1" customFormat="1" ht="13.2" customHeight="1" x14ac:dyDescent="0.3">
      <c r="A47" s="21"/>
      <c r="B47" s="20"/>
      <c r="C47" s="22"/>
      <c r="D47" s="22"/>
      <c r="E47" s="20"/>
      <c r="F47" s="23"/>
      <c r="G47" s="23"/>
      <c r="H47" s="23"/>
      <c r="I47" s="24"/>
      <c r="J47" s="23"/>
      <c r="K47" s="23"/>
      <c r="L47" s="23"/>
      <c r="M47" s="23"/>
      <c r="N47" s="23"/>
      <c r="O47" s="23"/>
      <c r="P47" s="23"/>
      <c r="Q47" s="23"/>
      <c r="R47" s="23"/>
      <c r="S47" s="23"/>
      <c r="T47" s="23"/>
      <c r="U47" s="23"/>
      <c r="V47" s="23"/>
      <c r="W47" s="23"/>
      <c r="X47" s="23"/>
      <c r="Y47" s="23"/>
      <c r="Z47" s="23"/>
      <c r="AA47" s="23"/>
      <c r="AB47" s="23"/>
      <c r="AC47" s="23"/>
      <c r="AD47" s="23"/>
      <c r="AE47" s="23"/>
      <c r="AF47" s="23"/>
      <c r="AG47" s="25"/>
      <c r="AH47" s="23"/>
    </row>
    <row r="48" spans="1:34" s="1" customFormat="1" ht="13.2" customHeight="1" x14ac:dyDescent="0.3">
      <c r="A48" s="21"/>
      <c r="B48" s="20"/>
      <c r="C48" s="22"/>
      <c r="D48" s="22"/>
      <c r="E48" s="20"/>
      <c r="F48" s="23"/>
      <c r="G48" s="23"/>
      <c r="H48" s="23"/>
      <c r="I48" s="23"/>
      <c r="J48" s="23"/>
      <c r="K48" s="23"/>
      <c r="L48" s="23"/>
      <c r="M48" s="23"/>
      <c r="N48" s="23"/>
      <c r="O48" s="23"/>
      <c r="P48" s="23"/>
      <c r="Q48" s="23"/>
      <c r="R48" s="23"/>
      <c r="S48" s="23"/>
      <c r="T48" s="23"/>
      <c r="U48" s="23"/>
      <c r="V48" s="23"/>
      <c r="W48" s="23"/>
      <c r="X48" s="23"/>
      <c r="Y48" s="23"/>
      <c r="Z48" s="23"/>
      <c r="AA48" s="23"/>
      <c r="AB48" s="23"/>
      <c r="AC48" s="23"/>
      <c r="AD48" s="23"/>
      <c r="AE48" s="23"/>
      <c r="AF48" s="23"/>
      <c r="AG48" s="25"/>
      <c r="AH48" s="23"/>
    </row>
    <row r="49" spans="1:34" s="1" customFormat="1" ht="13.2" customHeight="1" x14ac:dyDescent="0.3">
      <c r="A49" s="21"/>
      <c r="B49" s="20"/>
      <c r="C49" s="22"/>
      <c r="D49" s="22"/>
      <c r="E49" s="20"/>
      <c r="F49" s="23"/>
      <c r="G49" s="23"/>
      <c r="H49" s="23"/>
      <c r="I49" s="24"/>
      <c r="J49" s="23"/>
      <c r="K49" s="23"/>
      <c r="L49" s="23"/>
      <c r="M49" s="23"/>
      <c r="N49" s="23"/>
      <c r="O49" s="23"/>
      <c r="P49" s="23"/>
      <c r="Q49" s="23"/>
      <c r="R49" s="23"/>
      <c r="S49" s="23"/>
      <c r="T49" s="23"/>
      <c r="U49" s="23"/>
      <c r="V49" s="23"/>
      <c r="W49" s="23"/>
      <c r="X49" s="23"/>
      <c r="Y49" s="23"/>
      <c r="Z49" s="23"/>
      <c r="AA49" s="23"/>
      <c r="AB49" s="23"/>
      <c r="AC49" s="23"/>
      <c r="AD49" s="23"/>
      <c r="AE49" s="23"/>
      <c r="AF49" s="23"/>
      <c r="AG49" s="25"/>
      <c r="AH49" s="23"/>
    </row>
    <row r="50" spans="1:34" s="1" customFormat="1" ht="13.2" customHeight="1" x14ac:dyDescent="0.3">
      <c r="A50" s="21"/>
      <c r="B50" s="20"/>
      <c r="C50" s="22"/>
      <c r="D50" s="22"/>
      <c r="E50" s="20"/>
      <c r="F50" s="23"/>
      <c r="G50" s="23"/>
      <c r="H50" s="23"/>
      <c r="I50" s="24"/>
      <c r="J50" s="23"/>
      <c r="K50" s="23"/>
      <c r="L50" s="23"/>
      <c r="M50" s="23"/>
      <c r="N50" s="23"/>
      <c r="O50" s="23"/>
      <c r="P50" s="23"/>
      <c r="Q50" s="23"/>
      <c r="R50" s="23"/>
      <c r="S50" s="23"/>
      <c r="T50" s="23"/>
      <c r="U50" s="23"/>
      <c r="V50" s="23"/>
      <c r="W50" s="23"/>
      <c r="X50" s="23"/>
      <c r="Y50" s="23"/>
      <c r="Z50" s="23"/>
      <c r="AA50" s="23"/>
      <c r="AB50" s="23"/>
      <c r="AC50" s="23"/>
      <c r="AD50" s="23"/>
      <c r="AE50" s="23"/>
      <c r="AF50" s="23"/>
      <c r="AG50" s="25"/>
      <c r="AH50" s="23"/>
    </row>
    <row r="51" spans="1:34" s="1" customFormat="1" ht="13.2" customHeight="1" x14ac:dyDescent="0.3">
      <c r="A51" s="21"/>
      <c r="B51" s="20"/>
      <c r="C51" s="22"/>
      <c r="D51" s="22"/>
      <c r="E51" s="20"/>
      <c r="F51" s="23"/>
      <c r="G51" s="23"/>
      <c r="H51" s="23"/>
      <c r="I51" s="24"/>
      <c r="J51" s="23"/>
      <c r="K51" s="23"/>
      <c r="L51" s="23"/>
      <c r="M51" s="23"/>
      <c r="N51" s="23"/>
      <c r="O51" s="23"/>
      <c r="P51" s="23"/>
      <c r="Q51" s="23"/>
      <c r="R51" s="23"/>
      <c r="S51" s="23"/>
      <c r="T51" s="23"/>
      <c r="U51" s="23"/>
      <c r="V51" s="23"/>
      <c r="W51" s="23"/>
      <c r="X51" s="23"/>
      <c r="Y51" s="23"/>
      <c r="Z51" s="23"/>
      <c r="AA51" s="23"/>
      <c r="AB51" s="23"/>
      <c r="AC51" s="23"/>
      <c r="AD51" s="23"/>
      <c r="AE51" s="23"/>
      <c r="AF51" s="23"/>
      <c r="AG51" s="25"/>
      <c r="AH51" s="23"/>
    </row>
    <row r="52" spans="1:34" s="1" customFormat="1" ht="13.2" customHeight="1" x14ac:dyDescent="0.3">
      <c r="A52" s="21"/>
      <c r="B52" s="20"/>
      <c r="C52" s="22"/>
      <c r="D52" s="22"/>
      <c r="E52" s="20"/>
      <c r="F52" s="23"/>
      <c r="G52" s="23"/>
      <c r="H52" s="23"/>
      <c r="I52" s="24"/>
      <c r="J52" s="23"/>
      <c r="K52" s="23"/>
      <c r="L52" s="23"/>
      <c r="M52" s="23"/>
      <c r="N52" s="23"/>
      <c r="O52" s="23"/>
      <c r="P52" s="23"/>
      <c r="Q52" s="23"/>
      <c r="R52" s="23"/>
      <c r="S52" s="23"/>
      <c r="T52" s="23"/>
      <c r="U52" s="23"/>
      <c r="V52" s="23"/>
      <c r="W52" s="23"/>
      <c r="X52" s="23"/>
      <c r="Y52" s="23"/>
      <c r="Z52" s="23"/>
      <c r="AA52" s="23"/>
      <c r="AB52" s="23"/>
      <c r="AC52" s="23"/>
      <c r="AD52" s="23"/>
      <c r="AE52" s="23"/>
      <c r="AF52" s="23"/>
      <c r="AG52" s="25"/>
      <c r="AH52" s="23"/>
    </row>
    <row r="53" spans="1:34" s="1" customFormat="1" ht="13.2" customHeight="1" x14ac:dyDescent="0.3">
      <c r="A53" s="21"/>
      <c r="B53" s="20"/>
      <c r="C53" s="22"/>
      <c r="D53" s="22"/>
      <c r="E53" s="20"/>
      <c r="F53" s="23"/>
      <c r="G53" s="23"/>
      <c r="H53" s="23"/>
      <c r="I53" s="24"/>
      <c r="J53" s="23"/>
      <c r="K53" s="23"/>
      <c r="L53" s="23"/>
      <c r="M53" s="23"/>
      <c r="N53" s="23"/>
      <c r="O53" s="23"/>
      <c r="P53" s="23"/>
      <c r="Q53" s="23"/>
      <c r="R53" s="23"/>
      <c r="S53" s="23"/>
      <c r="T53" s="23"/>
      <c r="U53" s="23"/>
      <c r="V53" s="23"/>
      <c r="W53" s="23"/>
      <c r="X53" s="23"/>
      <c r="Y53" s="23"/>
      <c r="Z53" s="23"/>
      <c r="AA53" s="23"/>
      <c r="AB53" s="23"/>
      <c r="AC53" s="23"/>
      <c r="AD53" s="23"/>
      <c r="AE53" s="23"/>
      <c r="AF53" s="23"/>
      <c r="AG53" s="25"/>
      <c r="AH53" s="23"/>
    </row>
    <row r="54" spans="1:34" s="1" customFormat="1" ht="13.2" customHeight="1" x14ac:dyDescent="0.3">
      <c r="A54" s="21"/>
      <c r="B54" s="20"/>
      <c r="C54" s="22"/>
      <c r="D54" s="22"/>
      <c r="E54" s="20"/>
      <c r="F54" s="23"/>
      <c r="G54" s="23"/>
      <c r="H54" s="23"/>
      <c r="I54" s="24"/>
      <c r="J54" s="23"/>
      <c r="K54" s="23"/>
      <c r="L54" s="23"/>
      <c r="M54" s="23"/>
      <c r="N54" s="23"/>
      <c r="O54" s="23"/>
      <c r="P54" s="23"/>
      <c r="Q54" s="23"/>
      <c r="R54" s="23"/>
      <c r="S54" s="23"/>
      <c r="T54" s="23"/>
      <c r="U54" s="23"/>
      <c r="V54" s="23"/>
      <c r="W54" s="23"/>
      <c r="X54" s="23"/>
      <c r="Y54" s="23"/>
      <c r="Z54" s="23"/>
      <c r="AA54" s="23"/>
      <c r="AB54" s="23"/>
      <c r="AC54" s="23"/>
      <c r="AD54" s="23"/>
      <c r="AE54" s="23"/>
      <c r="AF54" s="23"/>
      <c r="AG54" s="25"/>
      <c r="AH54" s="23"/>
    </row>
    <row r="55" spans="1:34" s="1" customFormat="1" ht="13.2" customHeight="1" x14ac:dyDescent="0.3">
      <c r="A55" s="21"/>
      <c r="B55" s="20"/>
      <c r="C55" s="22"/>
      <c r="D55" s="22"/>
      <c r="E55" s="20"/>
      <c r="F55" s="23"/>
      <c r="G55" s="23"/>
      <c r="H55" s="23"/>
      <c r="I55" s="24"/>
      <c r="J55" s="23"/>
      <c r="K55" s="23"/>
      <c r="L55" s="23"/>
      <c r="M55" s="23"/>
      <c r="N55" s="23"/>
      <c r="O55" s="23"/>
      <c r="P55" s="23"/>
      <c r="Q55" s="23"/>
      <c r="R55" s="23"/>
      <c r="S55" s="23"/>
      <c r="T55" s="23"/>
      <c r="U55" s="23"/>
      <c r="V55" s="23"/>
      <c r="W55" s="23"/>
      <c r="X55" s="23"/>
      <c r="Y55" s="23"/>
      <c r="Z55" s="23"/>
      <c r="AA55" s="23"/>
      <c r="AB55" s="23"/>
      <c r="AC55" s="23"/>
      <c r="AD55" s="23"/>
      <c r="AE55" s="23"/>
      <c r="AF55" s="23"/>
      <c r="AG55" s="25"/>
      <c r="AH55" s="23"/>
    </row>
    <row r="56" spans="1:34" s="1" customFormat="1" ht="13.2" customHeight="1" x14ac:dyDescent="0.3">
      <c r="A56" s="21"/>
      <c r="B56" s="20"/>
      <c r="C56" s="22"/>
      <c r="D56" s="22"/>
      <c r="E56" s="20"/>
      <c r="F56" s="23"/>
      <c r="G56" s="23"/>
      <c r="H56" s="23"/>
      <c r="I56" s="23"/>
      <c r="J56" s="23"/>
      <c r="K56" s="23"/>
      <c r="L56" s="23"/>
      <c r="M56" s="23"/>
      <c r="N56" s="23"/>
      <c r="O56" s="23"/>
      <c r="P56" s="23"/>
      <c r="Q56" s="23"/>
      <c r="R56" s="23"/>
      <c r="S56" s="23"/>
      <c r="T56" s="23"/>
      <c r="U56" s="23"/>
      <c r="V56" s="23"/>
      <c r="W56" s="23"/>
      <c r="X56" s="23"/>
      <c r="Y56" s="23"/>
      <c r="Z56" s="23"/>
      <c r="AA56" s="23"/>
      <c r="AB56" s="23"/>
      <c r="AC56" s="23"/>
      <c r="AD56" s="23"/>
      <c r="AE56" s="23"/>
      <c r="AF56" s="23"/>
      <c r="AG56" s="25"/>
      <c r="AH56" s="23"/>
    </row>
    <row r="57" spans="1:34" s="1" customFormat="1" ht="13.2" customHeight="1" x14ac:dyDescent="0.3">
      <c r="A57" s="21"/>
      <c r="B57" s="20"/>
      <c r="C57" s="22"/>
      <c r="D57" s="22"/>
      <c r="E57" s="20"/>
      <c r="F57" s="23"/>
      <c r="G57" s="23"/>
      <c r="H57" s="23"/>
      <c r="I57" s="24"/>
      <c r="J57" s="23"/>
      <c r="K57" s="23"/>
      <c r="L57" s="23"/>
      <c r="M57" s="23"/>
      <c r="N57" s="23"/>
      <c r="O57" s="23"/>
      <c r="P57" s="23"/>
      <c r="Q57" s="23"/>
      <c r="R57" s="23"/>
      <c r="S57" s="23"/>
      <c r="T57" s="23"/>
      <c r="U57" s="23"/>
      <c r="V57" s="23"/>
      <c r="W57" s="23"/>
      <c r="X57" s="23"/>
      <c r="Y57" s="23"/>
      <c r="Z57" s="23"/>
      <c r="AA57" s="23"/>
      <c r="AB57" s="23"/>
      <c r="AC57" s="23"/>
      <c r="AD57" s="23"/>
      <c r="AE57" s="23"/>
      <c r="AF57" s="23"/>
      <c r="AG57" s="25"/>
      <c r="AH57" s="23"/>
    </row>
    <row r="58" spans="1:34" s="1" customFormat="1" ht="13.2" customHeight="1" x14ac:dyDescent="0.3">
      <c r="A58" s="21"/>
      <c r="B58" s="20"/>
      <c r="C58" s="22"/>
      <c r="D58" s="22"/>
      <c r="E58" s="20"/>
      <c r="F58" s="23"/>
      <c r="G58" s="23"/>
      <c r="H58" s="23"/>
      <c r="I58" s="23"/>
      <c r="J58" s="23"/>
      <c r="K58" s="23"/>
      <c r="L58" s="23"/>
      <c r="M58" s="23"/>
      <c r="N58" s="23"/>
      <c r="O58" s="23"/>
      <c r="P58" s="23"/>
      <c r="Q58" s="23"/>
      <c r="R58" s="23"/>
      <c r="S58" s="23"/>
      <c r="T58" s="23"/>
      <c r="U58" s="23"/>
      <c r="V58" s="23"/>
      <c r="W58" s="23"/>
      <c r="X58" s="23"/>
      <c r="Y58" s="23"/>
      <c r="Z58" s="23"/>
      <c r="AA58" s="23"/>
      <c r="AB58" s="23"/>
      <c r="AC58" s="23"/>
      <c r="AD58" s="23"/>
      <c r="AE58" s="23"/>
      <c r="AF58" s="23"/>
      <c r="AG58" s="25"/>
      <c r="AH58" s="23"/>
    </row>
    <row r="59" spans="1:34" s="1" customFormat="1" ht="13.2" customHeight="1" x14ac:dyDescent="0.3">
      <c r="A59" s="21"/>
      <c r="B59" s="20"/>
      <c r="C59" s="22"/>
      <c r="D59" s="22"/>
      <c r="E59" s="20"/>
      <c r="F59" s="23"/>
      <c r="G59" s="23"/>
      <c r="H59" s="23"/>
      <c r="I59" s="23"/>
      <c r="J59" s="23"/>
      <c r="K59" s="23"/>
      <c r="L59" s="23"/>
      <c r="M59" s="23"/>
      <c r="N59" s="23"/>
      <c r="O59" s="23"/>
      <c r="P59" s="23"/>
      <c r="Q59" s="23"/>
      <c r="R59" s="23"/>
      <c r="S59" s="23"/>
      <c r="T59" s="23"/>
      <c r="U59" s="23"/>
      <c r="V59" s="23"/>
      <c r="W59" s="23"/>
      <c r="X59" s="23"/>
      <c r="Y59" s="23"/>
      <c r="Z59" s="23"/>
      <c r="AA59" s="23"/>
      <c r="AB59" s="23"/>
      <c r="AC59" s="23"/>
      <c r="AD59" s="23"/>
      <c r="AE59" s="23"/>
      <c r="AF59" s="23"/>
      <c r="AG59" s="25"/>
      <c r="AH59" s="23"/>
    </row>
    <row r="60" spans="1:34" s="1" customFormat="1" ht="13.2" customHeight="1" x14ac:dyDescent="0.3">
      <c r="A60" s="21"/>
      <c r="B60" s="20"/>
      <c r="C60" s="22"/>
      <c r="D60" s="22"/>
      <c r="E60" s="20"/>
      <c r="F60" s="23"/>
      <c r="G60" s="23"/>
      <c r="H60" s="23"/>
      <c r="I60" s="24"/>
      <c r="J60" s="23"/>
      <c r="K60" s="23"/>
      <c r="L60" s="23"/>
      <c r="M60" s="23"/>
      <c r="N60" s="23"/>
      <c r="O60" s="23"/>
      <c r="P60" s="23"/>
      <c r="Q60" s="23"/>
      <c r="R60" s="23"/>
      <c r="S60" s="23"/>
      <c r="T60" s="23"/>
      <c r="U60" s="23"/>
      <c r="V60" s="23"/>
      <c r="W60" s="23"/>
      <c r="X60" s="23"/>
      <c r="Y60" s="23"/>
      <c r="Z60" s="23"/>
      <c r="AA60" s="23"/>
      <c r="AB60" s="23"/>
      <c r="AC60" s="23"/>
      <c r="AD60" s="23"/>
      <c r="AE60" s="23"/>
      <c r="AF60" s="23"/>
      <c r="AG60" s="25"/>
      <c r="AH60" s="23"/>
    </row>
    <row r="61" spans="1:34" s="1" customFormat="1" ht="13.2" customHeight="1" x14ac:dyDescent="0.3">
      <c r="A61" s="21"/>
      <c r="B61" s="20"/>
      <c r="C61" s="22"/>
      <c r="D61" s="22"/>
      <c r="E61" s="20"/>
      <c r="F61" s="23"/>
      <c r="G61" s="23"/>
      <c r="H61" s="23"/>
      <c r="I61" s="23"/>
      <c r="J61" s="23"/>
      <c r="K61" s="23"/>
      <c r="L61" s="23"/>
      <c r="M61" s="23"/>
      <c r="N61" s="23"/>
      <c r="O61" s="23"/>
      <c r="P61" s="23"/>
      <c r="Q61" s="23"/>
      <c r="R61" s="23"/>
      <c r="S61" s="23"/>
      <c r="T61" s="23"/>
      <c r="U61" s="23"/>
      <c r="V61" s="23"/>
      <c r="W61" s="23"/>
      <c r="X61" s="23"/>
      <c r="Y61" s="23"/>
      <c r="Z61" s="23"/>
      <c r="AA61" s="23"/>
      <c r="AB61" s="23"/>
      <c r="AC61" s="23"/>
      <c r="AD61" s="23"/>
      <c r="AE61" s="23"/>
      <c r="AF61" s="23"/>
      <c r="AG61" s="25"/>
      <c r="AH61" s="23"/>
    </row>
    <row r="62" spans="1:34" s="1" customFormat="1" ht="13.2" customHeight="1" x14ac:dyDescent="0.3">
      <c r="A62" s="21"/>
      <c r="B62" s="20"/>
      <c r="C62" s="22"/>
      <c r="D62" s="22"/>
      <c r="E62" s="20"/>
      <c r="F62" s="23"/>
      <c r="G62" s="23"/>
      <c r="H62" s="23"/>
      <c r="I62" s="24"/>
      <c r="J62" s="23"/>
      <c r="K62" s="23"/>
      <c r="L62" s="23"/>
      <c r="M62" s="23"/>
      <c r="N62" s="23"/>
      <c r="O62" s="23"/>
      <c r="P62" s="23"/>
      <c r="Q62" s="23"/>
      <c r="R62" s="23"/>
      <c r="S62" s="23"/>
      <c r="T62" s="23"/>
      <c r="U62" s="23"/>
      <c r="V62" s="23"/>
      <c r="W62" s="23"/>
      <c r="X62" s="23"/>
      <c r="Y62" s="23"/>
      <c r="Z62" s="23"/>
      <c r="AA62" s="23"/>
      <c r="AB62" s="23"/>
      <c r="AC62" s="23"/>
      <c r="AD62" s="23"/>
      <c r="AE62" s="23"/>
      <c r="AF62" s="23"/>
      <c r="AG62" s="25"/>
      <c r="AH62" s="23"/>
    </row>
    <row r="63" spans="1:34" s="1" customFormat="1" ht="13.2" customHeight="1" x14ac:dyDescent="0.3">
      <c r="A63" s="21"/>
      <c r="B63" s="20"/>
      <c r="C63" s="22"/>
      <c r="D63" s="22"/>
      <c r="E63" s="20"/>
      <c r="F63" s="23"/>
      <c r="G63" s="23"/>
      <c r="H63" s="23"/>
      <c r="I63" s="24"/>
      <c r="J63" s="23"/>
      <c r="K63" s="23"/>
      <c r="L63" s="23"/>
      <c r="M63" s="23"/>
      <c r="N63" s="23"/>
      <c r="O63" s="23"/>
      <c r="P63" s="23"/>
      <c r="Q63" s="23"/>
      <c r="R63" s="23"/>
      <c r="S63" s="23"/>
      <c r="T63" s="23"/>
      <c r="U63" s="23"/>
      <c r="V63" s="23"/>
      <c r="W63" s="23"/>
      <c r="X63" s="23"/>
      <c r="Y63" s="23"/>
      <c r="Z63" s="23"/>
      <c r="AA63" s="23"/>
      <c r="AB63" s="23"/>
      <c r="AC63" s="23"/>
      <c r="AD63" s="23"/>
      <c r="AE63" s="23"/>
      <c r="AF63" s="23"/>
      <c r="AG63" s="25"/>
      <c r="AH63" s="23"/>
    </row>
    <row r="64" spans="1:34" s="1" customFormat="1" ht="13.2" customHeight="1" x14ac:dyDescent="0.3">
      <c r="A64" s="21"/>
      <c r="B64" s="20"/>
      <c r="C64" s="22"/>
      <c r="D64" s="22"/>
      <c r="E64" s="20"/>
      <c r="F64" s="23"/>
      <c r="G64" s="23"/>
      <c r="H64" s="23"/>
      <c r="I64" s="23"/>
      <c r="J64" s="23"/>
      <c r="K64" s="23"/>
      <c r="L64" s="23"/>
      <c r="M64" s="23"/>
      <c r="N64" s="23"/>
      <c r="O64" s="23"/>
      <c r="P64" s="23"/>
      <c r="Q64" s="23"/>
      <c r="R64" s="23"/>
      <c r="S64" s="23"/>
      <c r="T64" s="23"/>
      <c r="U64" s="23"/>
      <c r="V64" s="23"/>
      <c r="W64" s="23"/>
      <c r="X64" s="23"/>
      <c r="Y64" s="23"/>
      <c r="Z64" s="23"/>
      <c r="AA64" s="23"/>
      <c r="AB64" s="23"/>
      <c r="AC64" s="23"/>
      <c r="AD64" s="23"/>
      <c r="AE64" s="23"/>
      <c r="AF64" s="23"/>
      <c r="AG64" s="25"/>
      <c r="AH64" s="23"/>
    </row>
    <row r="65" spans="1:34" s="1" customFormat="1" ht="13.2" customHeight="1" x14ac:dyDescent="0.3">
      <c r="A65" s="21"/>
      <c r="B65" s="20"/>
      <c r="C65" s="22"/>
      <c r="D65" s="22"/>
      <c r="E65" s="20"/>
      <c r="F65" s="23"/>
      <c r="G65" s="23"/>
      <c r="H65" s="23"/>
      <c r="I65" s="24"/>
      <c r="J65" s="23"/>
      <c r="K65" s="23"/>
      <c r="L65" s="23"/>
      <c r="M65" s="23"/>
      <c r="N65" s="23"/>
      <c r="O65" s="23"/>
      <c r="P65" s="23"/>
      <c r="Q65" s="23"/>
      <c r="R65" s="23"/>
      <c r="S65" s="23"/>
      <c r="T65" s="23"/>
      <c r="U65" s="23"/>
      <c r="V65" s="23"/>
      <c r="W65" s="23"/>
      <c r="X65" s="23"/>
      <c r="Y65" s="23"/>
      <c r="Z65" s="23"/>
      <c r="AA65" s="23"/>
      <c r="AB65" s="23"/>
      <c r="AC65" s="23"/>
      <c r="AD65" s="23"/>
      <c r="AE65" s="23"/>
      <c r="AF65" s="23"/>
      <c r="AG65" s="25"/>
      <c r="AH65" s="23"/>
    </row>
    <row r="66" spans="1:34" s="1" customFormat="1" ht="13.2" customHeight="1" x14ac:dyDescent="0.3">
      <c r="A66" s="21"/>
      <c r="B66" s="20"/>
      <c r="C66" s="22"/>
      <c r="D66" s="22"/>
      <c r="E66" s="20"/>
      <c r="F66" s="23"/>
      <c r="G66" s="23"/>
      <c r="H66" s="23"/>
      <c r="I66" s="24"/>
      <c r="J66" s="23"/>
      <c r="K66" s="23"/>
      <c r="L66" s="23"/>
      <c r="M66" s="23"/>
      <c r="N66" s="23"/>
      <c r="O66" s="23"/>
      <c r="P66" s="23"/>
      <c r="Q66" s="23"/>
      <c r="R66" s="23"/>
      <c r="S66" s="23"/>
      <c r="T66" s="23"/>
      <c r="U66" s="23"/>
      <c r="V66" s="23"/>
      <c r="W66" s="23"/>
      <c r="X66" s="23"/>
      <c r="Y66" s="23"/>
      <c r="Z66" s="23"/>
      <c r="AA66" s="23"/>
      <c r="AB66" s="23"/>
      <c r="AC66" s="23"/>
      <c r="AD66" s="23"/>
      <c r="AE66" s="23"/>
      <c r="AF66" s="23"/>
      <c r="AG66" s="25"/>
      <c r="AH66" s="23"/>
    </row>
    <row r="67" spans="1:34" s="1" customFormat="1" ht="13.2" customHeight="1" x14ac:dyDescent="0.3">
      <c r="A67" s="21"/>
      <c r="B67" s="20"/>
      <c r="C67" s="22"/>
      <c r="D67" s="22"/>
      <c r="E67" s="20"/>
      <c r="F67" s="23"/>
      <c r="G67" s="23"/>
      <c r="H67" s="23"/>
      <c r="I67" s="24"/>
      <c r="J67" s="23"/>
      <c r="K67" s="23"/>
      <c r="L67" s="23"/>
      <c r="M67" s="23"/>
      <c r="N67" s="23"/>
      <c r="O67" s="23"/>
      <c r="P67" s="23"/>
      <c r="Q67" s="23"/>
      <c r="R67" s="23"/>
      <c r="S67" s="23"/>
      <c r="T67" s="23"/>
      <c r="U67" s="23"/>
      <c r="V67" s="23"/>
      <c r="W67" s="23"/>
      <c r="X67" s="23"/>
      <c r="Y67" s="23"/>
      <c r="Z67" s="23"/>
      <c r="AA67" s="23"/>
      <c r="AB67" s="23"/>
      <c r="AC67" s="23"/>
      <c r="AD67" s="23"/>
      <c r="AE67" s="23"/>
      <c r="AF67" s="23"/>
      <c r="AG67" s="25"/>
      <c r="AH67" s="23"/>
    </row>
    <row r="68" spans="1:34" s="1" customFormat="1" ht="13.2" customHeight="1" x14ac:dyDescent="0.3">
      <c r="A68" s="21"/>
      <c r="B68" s="20"/>
      <c r="C68" s="22"/>
      <c r="D68" s="22"/>
      <c r="E68" s="20"/>
      <c r="F68" s="23"/>
      <c r="G68" s="23"/>
      <c r="H68" s="23"/>
      <c r="I68" s="24"/>
      <c r="J68" s="23"/>
      <c r="K68" s="23"/>
      <c r="L68" s="23"/>
      <c r="M68" s="23"/>
      <c r="N68" s="23"/>
      <c r="O68" s="23"/>
      <c r="P68" s="23"/>
      <c r="Q68" s="23"/>
      <c r="R68" s="23"/>
      <c r="S68" s="23"/>
      <c r="T68" s="23"/>
      <c r="U68" s="23"/>
      <c r="V68" s="23"/>
      <c r="W68" s="23"/>
      <c r="X68" s="23"/>
      <c r="Y68" s="23"/>
      <c r="Z68" s="23"/>
      <c r="AA68" s="23"/>
      <c r="AB68" s="23"/>
      <c r="AC68" s="23"/>
      <c r="AD68" s="23"/>
      <c r="AE68" s="23"/>
      <c r="AF68" s="23"/>
      <c r="AG68" s="25"/>
      <c r="AH68" s="23"/>
    </row>
    <row r="69" spans="1:34" s="1" customFormat="1" ht="13.2" customHeight="1" x14ac:dyDescent="0.3">
      <c r="A69" s="21"/>
      <c r="B69" s="20"/>
      <c r="C69" s="22"/>
      <c r="D69" s="22"/>
      <c r="E69" s="20"/>
      <c r="F69" s="23"/>
      <c r="G69" s="23"/>
      <c r="H69" s="23"/>
      <c r="I69" s="23"/>
      <c r="J69" s="23"/>
      <c r="K69" s="23"/>
      <c r="L69" s="23"/>
      <c r="M69" s="23"/>
      <c r="N69" s="23"/>
      <c r="O69" s="23"/>
      <c r="P69" s="23"/>
      <c r="Q69" s="23"/>
      <c r="R69" s="23"/>
      <c r="S69" s="23"/>
      <c r="T69" s="23"/>
      <c r="U69" s="23"/>
      <c r="V69" s="23"/>
      <c r="W69" s="23"/>
      <c r="X69" s="23"/>
      <c r="Y69" s="23"/>
      <c r="Z69" s="23"/>
      <c r="AA69" s="23"/>
      <c r="AB69" s="23"/>
      <c r="AC69" s="23"/>
      <c r="AD69" s="23"/>
      <c r="AE69" s="23"/>
      <c r="AF69" s="23"/>
      <c r="AG69" s="25"/>
      <c r="AH69" s="23"/>
    </row>
    <row r="70" spans="1:34" s="1" customFormat="1" ht="13.2" customHeight="1" x14ac:dyDescent="0.3">
      <c r="A70" s="21"/>
      <c r="B70" s="20"/>
      <c r="C70" s="22"/>
      <c r="D70" s="22"/>
      <c r="E70" s="20"/>
      <c r="F70" s="23"/>
      <c r="G70" s="23"/>
      <c r="H70" s="23"/>
      <c r="I70" s="23"/>
      <c r="J70" s="23"/>
      <c r="K70" s="23"/>
      <c r="L70" s="23"/>
      <c r="M70" s="23"/>
      <c r="N70" s="23"/>
      <c r="O70" s="23"/>
      <c r="P70" s="23"/>
      <c r="Q70" s="23"/>
      <c r="R70" s="23"/>
      <c r="S70" s="23"/>
      <c r="T70" s="23"/>
      <c r="U70" s="23"/>
      <c r="V70" s="23"/>
      <c r="W70" s="23"/>
      <c r="X70" s="23"/>
      <c r="Y70" s="23"/>
      <c r="Z70" s="23"/>
      <c r="AA70" s="23"/>
      <c r="AB70" s="23"/>
      <c r="AC70" s="23"/>
      <c r="AD70" s="23"/>
      <c r="AE70" s="23"/>
      <c r="AF70" s="23"/>
      <c r="AG70" s="25"/>
      <c r="AH70" s="23"/>
    </row>
    <row r="71" spans="1:34" s="1" customFormat="1" ht="13.2" customHeight="1" x14ac:dyDescent="0.3">
      <c r="A71" s="21"/>
      <c r="B71" s="20"/>
      <c r="C71" s="22"/>
      <c r="D71" s="22"/>
      <c r="E71" s="20"/>
      <c r="F71" s="23"/>
      <c r="G71" s="23"/>
      <c r="H71" s="23"/>
      <c r="I71" s="24"/>
      <c r="J71" s="23"/>
      <c r="K71" s="23"/>
      <c r="L71" s="23"/>
      <c r="M71" s="23"/>
      <c r="N71" s="23"/>
      <c r="O71" s="23"/>
      <c r="P71" s="23"/>
      <c r="Q71" s="23"/>
      <c r="R71" s="23"/>
      <c r="S71" s="23"/>
      <c r="T71" s="23"/>
      <c r="U71" s="23"/>
      <c r="V71" s="23"/>
      <c r="W71" s="23"/>
      <c r="X71" s="23"/>
      <c r="Y71" s="23"/>
      <c r="Z71" s="23"/>
      <c r="AA71" s="23"/>
      <c r="AB71" s="23"/>
      <c r="AC71" s="23"/>
      <c r="AD71" s="23"/>
      <c r="AE71" s="23"/>
      <c r="AF71" s="23"/>
      <c r="AG71" s="25"/>
      <c r="AH71" s="23"/>
    </row>
    <row r="72" spans="1:34" s="1" customFormat="1" ht="13.2" customHeight="1" x14ac:dyDescent="0.3">
      <c r="A72" s="26"/>
      <c r="B72" s="27"/>
      <c r="C72" s="28"/>
      <c r="D72" s="28"/>
      <c r="E72" s="27"/>
      <c r="F72" s="29"/>
      <c r="G72" s="29"/>
      <c r="H72" s="29"/>
      <c r="I72" s="30"/>
      <c r="J72" s="29"/>
      <c r="K72" s="29"/>
      <c r="L72" s="29"/>
      <c r="M72" s="30"/>
      <c r="N72" s="29"/>
      <c r="O72" s="30"/>
      <c r="P72" s="29"/>
      <c r="Q72" s="30"/>
      <c r="R72" s="29"/>
      <c r="S72" s="30"/>
      <c r="T72" s="29"/>
      <c r="U72" s="30"/>
      <c r="V72" s="30"/>
      <c r="W72" s="30"/>
      <c r="X72" s="29"/>
      <c r="Y72" s="30"/>
      <c r="Z72" s="30"/>
      <c r="AA72" s="30"/>
      <c r="AB72" s="30"/>
      <c r="AC72" s="30"/>
      <c r="AD72" s="30"/>
      <c r="AE72" s="29"/>
      <c r="AF72" s="30"/>
      <c r="AG72" s="31"/>
      <c r="AH72" s="30"/>
    </row>
    <row r="73" spans="1:34" s="1" customFormat="1" ht="13.2" customHeight="1" x14ac:dyDescent="0.3">
      <c r="A73" s="26"/>
      <c r="B73" s="27"/>
      <c r="C73" s="28"/>
      <c r="D73" s="28"/>
      <c r="E73" s="27"/>
      <c r="F73" s="29"/>
      <c r="G73" s="29"/>
      <c r="H73" s="29"/>
      <c r="I73" s="30"/>
      <c r="J73" s="29"/>
      <c r="K73" s="29"/>
      <c r="L73" s="29"/>
      <c r="M73" s="30"/>
      <c r="N73" s="29"/>
      <c r="O73" s="30"/>
      <c r="P73" s="29"/>
      <c r="Q73" s="30"/>
      <c r="R73" s="29"/>
      <c r="S73" s="30"/>
      <c r="T73" s="29"/>
      <c r="U73" s="30"/>
      <c r="V73" s="30"/>
      <c r="W73" s="30"/>
      <c r="X73" s="29"/>
      <c r="Y73" s="30"/>
      <c r="Z73" s="30"/>
      <c r="AA73" s="30"/>
      <c r="AB73" s="30"/>
      <c r="AC73" s="30"/>
      <c r="AD73" s="30"/>
      <c r="AE73" s="29"/>
      <c r="AF73" s="30"/>
      <c r="AG73" s="31"/>
      <c r="AH73" s="30"/>
    </row>
    <row r="74" spans="1:34" s="1" customFormat="1" ht="13.2" customHeight="1" x14ac:dyDescent="0.3">
      <c r="A74" s="26"/>
      <c r="B74" s="27"/>
      <c r="C74" s="28"/>
      <c r="D74" s="28"/>
      <c r="E74" s="27"/>
      <c r="F74" s="29"/>
      <c r="G74" s="29"/>
      <c r="H74" s="29"/>
      <c r="I74" s="30"/>
      <c r="J74" s="29"/>
      <c r="K74" s="29"/>
      <c r="L74" s="29"/>
      <c r="M74" s="30"/>
      <c r="N74" s="29"/>
      <c r="O74" s="30"/>
      <c r="P74" s="29"/>
      <c r="Q74" s="30"/>
      <c r="R74" s="29"/>
      <c r="S74" s="30"/>
      <c r="T74" s="29"/>
      <c r="U74" s="30"/>
      <c r="V74" s="30"/>
      <c r="W74" s="30"/>
      <c r="X74" s="29"/>
      <c r="Y74" s="30"/>
      <c r="Z74" s="30"/>
      <c r="AA74" s="30"/>
      <c r="AB74" s="30"/>
      <c r="AC74" s="30"/>
      <c r="AD74" s="30"/>
      <c r="AE74" s="29"/>
      <c r="AF74" s="30"/>
      <c r="AG74" s="31"/>
      <c r="AH74" s="30"/>
    </row>
    <row r="75" spans="1:34" s="1" customFormat="1" ht="13.2" customHeight="1" x14ac:dyDescent="0.3">
      <c r="A75" s="26"/>
      <c r="B75" s="27"/>
      <c r="C75" s="28"/>
      <c r="D75" s="28"/>
      <c r="E75" s="27"/>
      <c r="F75" s="29"/>
      <c r="G75" s="29"/>
      <c r="H75" s="29"/>
      <c r="I75" s="30"/>
      <c r="J75" s="29"/>
      <c r="K75" s="29"/>
      <c r="L75" s="29"/>
      <c r="M75" s="30"/>
      <c r="N75" s="29"/>
      <c r="O75" s="30"/>
      <c r="P75" s="29"/>
      <c r="Q75" s="30"/>
      <c r="R75" s="29"/>
      <c r="S75" s="30"/>
      <c r="T75" s="29"/>
      <c r="U75" s="30"/>
      <c r="V75" s="30"/>
      <c r="W75" s="30"/>
      <c r="X75" s="29"/>
      <c r="Y75" s="30"/>
      <c r="Z75" s="30"/>
      <c r="AA75" s="30"/>
      <c r="AB75" s="30"/>
      <c r="AC75" s="30"/>
      <c r="AD75" s="30"/>
      <c r="AE75" s="29"/>
      <c r="AF75" s="30"/>
      <c r="AG75" s="31"/>
      <c r="AH75" s="30"/>
    </row>
    <row r="76" spans="1:34" s="1" customFormat="1" ht="13.2" customHeight="1" x14ac:dyDescent="0.3">
      <c r="A76" s="26"/>
      <c r="B76" s="27"/>
      <c r="C76" s="28"/>
      <c r="D76" s="28"/>
      <c r="E76" s="27"/>
      <c r="F76" s="29"/>
      <c r="G76" s="29"/>
      <c r="H76" s="29"/>
      <c r="I76" s="30"/>
      <c r="J76" s="29"/>
      <c r="K76" s="29"/>
      <c r="L76" s="29"/>
      <c r="M76" s="30"/>
      <c r="N76" s="29"/>
      <c r="O76" s="30"/>
      <c r="P76" s="29"/>
      <c r="Q76" s="30"/>
      <c r="R76" s="29"/>
      <c r="S76" s="30"/>
      <c r="T76" s="29"/>
      <c r="U76" s="30"/>
      <c r="V76" s="30"/>
      <c r="W76" s="30"/>
      <c r="X76" s="29"/>
      <c r="Y76" s="30"/>
      <c r="Z76" s="30"/>
      <c r="AA76" s="30"/>
      <c r="AB76" s="30"/>
      <c r="AC76" s="30"/>
      <c r="AD76" s="30"/>
      <c r="AE76" s="29"/>
      <c r="AF76" s="30"/>
      <c r="AG76" s="31"/>
      <c r="AH76" s="30"/>
    </row>
    <row r="77" spans="1:34" s="1" customFormat="1" ht="13.2" customHeight="1" x14ac:dyDescent="0.3">
      <c r="A77" s="26"/>
      <c r="B77" s="27"/>
      <c r="C77" s="28"/>
      <c r="D77" s="28"/>
      <c r="E77" s="27"/>
      <c r="F77" s="29"/>
      <c r="G77" s="29"/>
      <c r="H77" s="29"/>
      <c r="I77" s="30"/>
      <c r="J77" s="29"/>
      <c r="K77" s="29"/>
      <c r="L77" s="29"/>
      <c r="M77" s="30"/>
      <c r="N77" s="29"/>
      <c r="O77" s="30"/>
      <c r="P77" s="29"/>
      <c r="Q77" s="30"/>
      <c r="R77" s="29"/>
      <c r="S77" s="30"/>
      <c r="T77" s="29"/>
      <c r="U77" s="30"/>
      <c r="V77" s="30"/>
      <c r="W77" s="30"/>
      <c r="X77" s="29"/>
      <c r="Y77" s="30"/>
      <c r="Z77" s="30"/>
      <c r="AA77" s="30"/>
      <c r="AB77" s="30"/>
      <c r="AC77" s="30"/>
      <c r="AD77" s="30"/>
      <c r="AE77" s="29"/>
      <c r="AF77" s="30"/>
      <c r="AG77" s="31"/>
      <c r="AH77" s="30"/>
    </row>
    <row r="78" spans="1:34" s="1" customFormat="1" ht="13.2" customHeight="1" x14ac:dyDescent="0.3">
      <c r="A78" s="26"/>
      <c r="B78" s="27"/>
      <c r="C78" s="28"/>
      <c r="D78" s="28"/>
      <c r="E78" s="27"/>
      <c r="F78" s="29"/>
      <c r="G78" s="29"/>
      <c r="H78" s="29"/>
      <c r="I78" s="30"/>
      <c r="J78" s="29"/>
      <c r="K78" s="29"/>
      <c r="L78" s="29"/>
      <c r="M78" s="30"/>
      <c r="N78" s="29"/>
      <c r="O78" s="30"/>
      <c r="P78" s="29"/>
      <c r="Q78" s="30"/>
      <c r="R78" s="29"/>
      <c r="S78" s="30"/>
      <c r="T78" s="29"/>
      <c r="U78" s="30"/>
      <c r="V78" s="30"/>
      <c r="W78" s="30"/>
      <c r="X78" s="29"/>
      <c r="Y78" s="30"/>
      <c r="Z78" s="30"/>
      <c r="AA78" s="30"/>
      <c r="AB78" s="30"/>
      <c r="AC78" s="30"/>
      <c r="AD78" s="30"/>
      <c r="AE78" s="29"/>
      <c r="AF78" s="30"/>
      <c r="AG78" s="31"/>
      <c r="AH78" s="30"/>
    </row>
    <row r="79" spans="1:34" s="1" customFormat="1" ht="13.2" customHeight="1" x14ac:dyDescent="0.3">
      <c r="A79" s="26"/>
      <c r="B79" s="27"/>
      <c r="C79" s="28"/>
      <c r="D79" s="28"/>
      <c r="E79" s="27"/>
      <c r="F79" s="29"/>
      <c r="G79" s="29"/>
      <c r="H79" s="29"/>
      <c r="I79" s="30"/>
      <c r="J79" s="29"/>
      <c r="K79" s="29"/>
      <c r="L79" s="29"/>
      <c r="M79" s="30"/>
      <c r="N79" s="29"/>
      <c r="O79" s="30"/>
      <c r="P79" s="29"/>
      <c r="Q79" s="30"/>
      <c r="R79" s="29"/>
      <c r="S79" s="30"/>
      <c r="T79" s="29"/>
      <c r="U79" s="30"/>
      <c r="V79" s="30"/>
      <c r="W79" s="30"/>
      <c r="X79" s="29"/>
      <c r="Y79" s="30"/>
      <c r="Z79" s="30"/>
      <c r="AA79" s="30"/>
      <c r="AB79" s="30"/>
      <c r="AC79" s="30"/>
      <c r="AD79" s="30"/>
      <c r="AE79" s="29"/>
      <c r="AF79" s="30"/>
      <c r="AG79" s="31"/>
      <c r="AH79" s="30"/>
    </row>
    <row r="80" spans="1:34" s="1" customFormat="1" ht="13.2" customHeight="1" x14ac:dyDescent="0.3">
      <c r="A80" s="59"/>
      <c r="B80" s="60"/>
      <c r="C80" s="64"/>
      <c r="D80" s="64"/>
      <c r="E80" s="60"/>
      <c r="F80" s="62"/>
      <c r="G80" s="62"/>
      <c r="H80" s="62"/>
      <c r="I80" s="61"/>
      <c r="J80" s="62"/>
      <c r="K80" s="62"/>
      <c r="L80" s="62"/>
      <c r="M80" s="61"/>
      <c r="N80" s="62"/>
      <c r="O80" s="61"/>
      <c r="P80" s="62"/>
      <c r="Q80" s="61"/>
      <c r="R80" s="62"/>
      <c r="S80" s="61"/>
      <c r="T80" s="62"/>
      <c r="U80" s="61"/>
      <c r="V80" s="61"/>
      <c r="W80" s="61"/>
      <c r="X80" s="62"/>
      <c r="Y80" s="61"/>
      <c r="Z80" s="61"/>
      <c r="AA80" s="61"/>
      <c r="AB80" s="61"/>
      <c r="AC80" s="61"/>
      <c r="AD80" s="61"/>
      <c r="AE80" s="62"/>
      <c r="AF80" s="61"/>
      <c r="AG80" s="63"/>
      <c r="AH80" s="61"/>
    </row>
    <row r="81" spans="1:34" s="1" customFormat="1" ht="13.2" customHeight="1" x14ac:dyDescent="0.3">
      <c r="A81" s="59"/>
      <c r="B81" s="60"/>
      <c r="C81" s="64"/>
      <c r="D81" s="64"/>
      <c r="E81" s="60"/>
      <c r="F81" s="62"/>
      <c r="G81" s="62"/>
      <c r="H81" s="62"/>
      <c r="I81" s="61"/>
      <c r="J81" s="62"/>
      <c r="K81" s="62"/>
      <c r="L81" s="62"/>
      <c r="M81" s="61"/>
      <c r="N81" s="62"/>
      <c r="O81" s="61"/>
      <c r="P81" s="62"/>
      <c r="Q81" s="61"/>
      <c r="R81" s="62"/>
      <c r="S81" s="61"/>
      <c r="T81" s="62"/>
      <c r="U81" s="61"/>
      <c r="V81" s="61"/>
      <c r="W81" s="61"/>
      <c r="X81" s="62"/>
      <c r="Y81" s="61"/>
      <c r="Z81" s="61"/>
      <c r="AA81" s="61"/>
      <c r="AB81" s="61"/>
      <c r="AC81" s="61"/>
      <c r="AD81" s="61"/>
      <c r="AE81" s="62"/>
      <c r="AF81" s="61"/>
      <c r="AG81" s="63"/>
      <c r="AH81" s="61"/>
    </row>
    <row r="82" spans="1:34" s="1" customFormat="1" ht="13.2" customHeight="1" x14ac:dyDescent="0.3">
      <c r="A82" s="59"/>
      <c r="B82" s="60"/>
      <c r="C82" s="64"/>
      <c r="D82" s="64"/>
      <c r="E82" s="60"/>
      <c r="F82" s="62"/>
      <c r="G82" s="62"/>
      <c r="H82" s="62"/>
      <c r="I82" s="61"/>
      <c r="J82" s="62"/>
      <c r="K82" s="62"/>
      <c r="L82" s="62"/>
      <c r="M82" s="61"/>
      <c r="N82" s="62"/>
      <c r="O82" s="61"/>
      <c r="P82" s="62"/>
      <c r="Q82" s="61"/>
      <c r="R82" s="62"/>
      <c r="S82" s="61"/>
      <c r="T82" s="62"/>
      <c r="U82" s="61"/>
      <c r="V82" s="61"/>
      <c r="W82" s="61"/>
      <c r="X82" s="62"/>
      <c r="Y82" s="61"/>
      <c r="Z82" s="61"/>
      <c r="AA82" s="61"/>
      <c r="AB82" s="61"/>
      <c r="AC82" s="61"/>
      <c r="AD82" s="61"/>
      <c r="AE82" s="62"/>
      <c r="AF82" s="61"/>
      <c r="AG82" s="63"/>
      <c r="AH82" s="61"/>
    </row>
    <row r="83" spans="1:34" s="1" customFormat="1" ht="13.2" customHeight="1" x14ac:dyDescent="0.3">
      <c r="A83" s="26"/>
      <c r="B83" s="27"/>
      <c r="C83" s="28"/>
      <c r="D83" s="28"/>
      <c r="E83" s="27"/>
      <c r="F83" s="29"/>
      <c r="G83" s="29"/>
      <c r="H83" s="29"/>
      <c r="I83" s="30"/>
      <c r="J83" s="29"/>
      <c r="K83" s="29"/>
      <c r="L83" s="29"/>
      <c r="M83" s="30"/>
      <c r="N83" s="29"/>
      <c r="O83" s="30"/>
      <c r="P83" s="29"/>
      <c r="Q83" s="30"/>
      <c r="R83" s="29"/>
      <c r="S83" s="30"/>
      <c r="T83" s="29"/>
      <c r="U83" s="30"/>
      <c r="V83" s="30"/>
      <c r="W83" s="30"/>
      <c r="X83" s="29"/>
      <c r="Y83" s="30"/>
      <c r="Z83" s="30"/>
      <c r="AA83" s="30"/>
      <c r="AB83" s="30"/>
      <c r="AC83" s="30"/>
      <c r="AD83" s="30"/>
      <c r="AE83" s="29"/>
      <c r="AF83" s="30"/>
      <c r="AG83" s="31"/>
      <c r="AH83" s="30"/>
    </row>
    <row r="84" spans="1:34" s="1" customFormat="1" ht="13.2" customHeight="1" x14ac:dyDescent="0.3">
      <c r="A84" s="26"/>
      <c r="B84" s="27"/>
      <c r="C84" s="28"/>
      <c r="D84" s="28"/>
      <c r="E84" s="27"/>
      <c r="F84" s="29"/>
      <c r="G84" s="29"/>
      <c r="H84" s="29"/>
      <c r="I84" s="30"/>
      <c r="J84" s="29"/>
      <c r="K84" s="29"/>
      <c r="L84" s="29"/>
      <c r="M84" s="30"/>
      <c r="N84" s="29"/>
      <c r="O84" s="30"/>
      <c r="P84" s="29"/>
      <c r="Q84" s="30"/>
      <c r="R84" s="29"/>
      <c r="S84" s="30"/>
      <c r="T84" s="29"/>
      <c r="U84" s="30"/>
      <c r="V84" s="30"/>
      <c r="W84" s="30"/>
      <c r="X84" s="29"/>
      <c r="Y84" s="30"/>
      <c r="Z84" s="30"/>
      <c r="AA84" s="30"/>
      <c r="AB84" s="30"/>
      <c r="AC84" s="30"/>
      <c r="AD84" s="30"/>
      <c r="AE84" s="29"/>
      <c r="AF84" s="30"/>
      <c r="AG84" s="31"/>
      <c r="AH84" s="30"/>
    </row>
    <row r="85" spans="1:34" s="1" customFormat="1" ht="13.2" customHeight="1" x14ac:dyDescent="0.3">
      <c r="A85" s="26"/>
      <c r="B85" s="27"/>
      <c r="C85" s="28"/>
      <c r="D85" s="28"/>
      <c r="E85" s="27"/>
      <c r="F85" s="29"/>
      <c r="G85" s="29"/>
      <c r="H85" s="29"/>
      <c r="I85" s="30"/>
      <c r="J85" s="29"/>
      <c r="K85" s="29"/>
      <c r="L85" s="29"/>
      <c r="M85" s="30"/>
      <c r="N85" s="29"/>
      <c r="O85" s="30"/>
      <c r="P85" s="29"/>
      <c r="Q85" s="30"/>
      <c r="R85" s="29"/>
      <c r="S85" s="30"/>
      <c r="T85" s="29"/>
      <c r="U85" s="30"/>
      <c r="V85" s="30"/>
      <c r="W85" s="30"/>
      <c r="X85" s="29"/>
      <c r="Y85" s="30"/>
      <c r="Z85" s="30"/>
      <c r="AA85" s="30"/>
      <c r="AB85" s="30"/>
      <c r="AC85" s="30"/>
      <c r="AD85" s="30"/>
      <c r="AE85" s="29"/>
      <c r="AF85" s="30"/>
      <c r="AG85" s="31"/>
      <c r="AH85" s="30"/>
    </row>
    <row r="86" spans="1:34" s="1" customFormat="1" ht="13.2" customHeight="1" x14ac:dyDescent="0.3">
      <c r="A86" s="26"/>
      <c r="B86" s="27"/>
      <c r="C86" s="28"/>
      <c r="D86" s="28"/>
      <c r="E86" s="27"/>
      <c r="F86" s="29"/>
      <c r="G86" s="29"/>
      <c r="H86" s="29"/>
      <c r="I86" s="30"/>
      <c r="J86" s="29"/>
      <c r="K86" s="29"/>
      <c r="L86" s="29"/>
      <c r="M86" s="30"/>
      <c r="N86" s="29"/>
      <c r="O86" s="30"/>
      <c r="P86" s="29"/>
      <c r="Q86" s="30"/>
      <c r="R86" s="29"/>
      <c r="S86" s="30"/>
      <c r="T86" s="29"/>
      <c r="U86" s="30"/>
      <c r="V86" s="30"/>
      <c r="W86" s="30"/>
      <c r="X86" s="29"/>
      <c r="Y86" s="30"/>
      <c r="Z86" s="30"/>
      <c r="AA86" s="30"/>
      <c r="AB86" s="30"/>
      <c r="AC86" s="30"/>
      <c r="AD86" s="30"/>
      <c r="AE86" s="29"/>
      <c r="AF86" s="30"/>
      <c r="AG86" s="31"/>
      <c r="AH86" s="30"/>
    </row>
    <row r="87" spans="1:34" s="1" customFormat="1" ht="13.2" customHeight="1" x14ac:dyDescent="0.3">
      <c r="A87" s="26"/>
      <c r="B87" s="27"/>
      <c r="C87" s="28"/>
      <c r="D87" s="28"/>
      <c r="E87" s="27"/>
      <c r="F87" s="29"/>
      <c r="G87" s="29"/>
      <c r="H87" s="29"/>
      <c r="I87" s="30"/>
      <c r="J87" s="29"/>
      <c r="K87" s="29"/>
      <c r="L87" s="29"/>
      <c r="M87" s="30"/>
      <c r="N87" s="29"/>
      <c r="O87" s="30"/>
      <c r="P87" s="29"/>
      <c r="Q87" s="30"/>
      <c r="R87" s="29"/>
      <c r="S87" s="30"/>
      <c r="T87" s="29"/>
      <c r="U87" s="30"/>
      <c r="V87" s="30"/>
      <c r="W87" s="30"/>
      <c r="X87" s="29"/>
      <c r="Y87" s="30"/>
      <c r="Z87" s="30"/>
      <c r="AA87" s="30"/>
      <c r="AB87" s="30"/>
      <c r="AC87" s="30"/>
      <c r="AD87" s="30"/>
      <c r="AE87" s="29"/>
      <c r="AF87" s="30"/>
      <c r="AG87" s="31"/>
      <c r="AH87" s="30"/>
    </row>
    <row r="88" spans="1:34" s="1" customFormat="1" ht="13.2" customHeight="1" x14ac:dyDescent="0.3">
      <c r="A88" s="26"/>
      <c r="B88" s="27"/>
      <c r="C88" s="28"/>
      <c r="D88" s="28"/>
      <c r="E88" s="27"/>
      <c r="F88" s="29"/>
      <c r="G88" s="29"/>
      <c r="H88" s="29"/>
      <c r="I88" s="30"/>
      <c r="J88" s="29"/>
      <c r="K88" s="29"/>
      <c r="L88" s="29"/>
      <c r="M88" s="30"/>
      <c r="N88" s="29"/>
      <c r="O88" s="30"/>
      <c r="P88" s="29"/>
      <c r="Q88" s="30"/>
      <c r="R88" s="29"/>
      <c r="S88" s="30"/>
      <c r="T88" s="29"/>
      <c r="U88" s="30"/>
      <c r="V88" s="30"/>
      <c r="W88" s="30"/>
      <c r="X88" s="29"/>
      <c r="Y88" s="30"/>
      <c r="Z88" s="30"/>
      <c r="AA88" s="30"/>
      <c r="AB88" s="30"/>
      <c r="AC88" s="30"/>
      <c r="AD88" s="30"/>
      <c r="AE88" s="29"/>
      <c r="AF88" s="30"/>
      <c r="AG88" s="31"/>
      <c r="AH88" s="30"/>
    </row>
    <row r="89" spans="1:34" s="1" customFormat="1" ht="13.2" customHeight="1" x14ac:dyDescent="0.3">
      <c r="A89" s="59"/>
      <c r="B89" s="60"/>
      <c r="C89" s="64"/>
      <c r="D89" s="64"/>
      <c r="E89" s="60"/>
      <c r="F89" s="62"/>
      <c r="G89" s="62"/>
      <c r="H89" s="62"/>
      <c r="I89" s="61"/>
      <c r="J89" s="62"/>
      <c r="K89" s="62"/>
      <c r="L89" s="62"/>
      <c r="M89" s="61"/>
      <c r="N89" s="62"/>
      <c r="O89" s="61"/>
      <c r="P89" s="62"/>
      <c r="Q89" s="61"/>
      <c r="R89" s="62"/>
      <c r="S89" s="61"/>
      <c r="T89" s="62"/>
      <c r="U89" s="61"/>
      <c r="V89" s="61"/>
      <c r="W89" s="61"/>
      <c r="X89" s="62"/>
      <c r="Y89" s="61"/>
      <c r="Z89" s="61"/>
      <c r="AA89" s="61"/>
      <c r="AB89" s="61"/>
      <c r="AC89" s="61"/>
      <c r="AD89" s="61"/>
      <c r="AE89" s="62"/>
      <c r="AF89" s="61"/>
      <c r="AG89" s="63"/>
      <c r="AH89" s="61"/>
    </row>
    <row r="90" spans="1:34" s="1" customFormat="1" ht="13.2" customHeight="1" x14ac:dyDescent="0.3">
      <c r="A90" s="59"/>
      <c r="B90" s="60"/>
      <c r="C90" s="64"/>
      <c r="D90" s="64"/>
      <c r="E90" s="60"/>
      <c r="F90" s="62"/>
      <c r="G90" s="62"/>
      <c r="H90" s="62"/>
      <c r="I90" s="61"/>
      <c r="J90" s="62"/>
      <c r="K90" s="62"/>
      <c r="L90" s="62"/>
      <c r="M90" s="61"/>
      <c r="N90" s="62"/>
      <c r="O90" s="61"/>
      <c r="P90" s="62"/>
      <c r="Q90" s="61"/>
      <c r="R90" s="62"/>
      <c r="S90" s="61"/>
      <c r="T90" s="62"/>
      <c r="U90" s="61"/>
      <c r="V90" s="61"/>
      <c r="W90" s="61"/>
      <c r="X90" s="62"/>
      <c r="Y90" s="61"/>
      <c r="Z90" s="61"/>
      <c r="AA90" s="61"/>
      <c r="AB90" s="61"/>
      <c r="AC90" s="61"/>
      <c r="AD90" s="61"/>
      <c r="AE90" s="62"/>
      <c r="AF90" s="61"/>
      <c r="AG90" s="63"/>
      <c r="AH90" s="61"/>
    </row>
    <row r="91" spans="1:34" s="1" customFormat="1" ht="13.2" customHeight="1" x14ac:dyDescent="0.3">
      <c r="A91" s="26"/>
      <c r="B91" s="27"/>
      <c r="C91" s="28"/>
      <c r="D91" s="28"/>
      <c r="E91" s="27"/>
      <c r="F91" s="29"/>
      <c r="G91" s="29"/>
      <c r="H91" s="29"/>
      <c r="I91" s="30"/>
      <c r="J91" s="29"/>
      <c r="K91" s="29"/>
      <c r="L91" s="29"/>
      <c r="M91" s="29"/>
      <c r="N91" s="29"/>
      <c r="O91" s="29"/>
      <c r="P91" s="29"/>
      <c r="Q91" s="29"/>
      <c r="R91" s="29"/>
      <c r="S91" s="29"/>
      <c r="T91" s="29"/>
      <c r="U91" s="29"/>
      <c r="V91" s="29"/>
      <c r="W91" s="29"/>
      <c r="X91" s="29"/>
      <c r="Y91" s="29"/>
      <c r="Z91" s="29"/>
      <c r="AA91" s="29"/>
      <c r="AB91" s="29"/>
      <c r="AC91" s="29"/>
      <c r="AD91" s="29"/>
      <c r="AE91" s="29"/>
      <c r="AF91" s="29"/>
      <c r="AG91" s="31"/>
      <c r="AH91" s="29"/>
    </row>
    <row r="92" spans="1:34" s="1" customFormat="1" ht="13.2" customHeight="1" x14ac:dyDescent="0.3">
      <c r="A92" s="21"/>
      <c r="B92" s="20"/>
      <c r="C92" s="22"/>
      <c r="D92" s="22"/>
      <c r="E92" s="20"/>
      <c r="F92" s="23"/>
      <c r="G92" s="23"/>
      <c r="H92" s="23"/>
      <c r="I92" s="24"/>
      <c r="J92" s="23"/>
      <c r="K92" s="23"/>
      <c r="L92" s="23"/>
      <c r="M92" s="23"/>
      <c r="N92" s="23"/>
      <c r="O92" s="23"/>
      <c r="P92" s="23"/>
      <c r="Q92" s="23"/>
      <c r="R92" s="23"/>
      <c r="S92" s="23"/>
      <c r="T92" s="23"/>
      <c r="U92" s="23"/>
      <c r="V92" s="23"/>
      <c r="W92" s="23"/>
      <c r="X92" s="23"/>
      <c r="Y92" s="23"/>
      <c r="Z92" s="23"/>
      <c r="AA92" s="23"/>
      <c r="AB92" s="23"/>
      <c r="AC92" s="23"/>
      <c r="AD92" s="23"/>
      <c r="AE92" s="23"/>
      <c r="AF92" s="23"/>
      <c r="AG92" s="25"/>
      <c r="AH92" s="23"/>
    </row>
    <row r="93" spans="1:34" s="1" customFormat="1" ht="13.2" customHeight="1" x14ac:dyDescent="0.3">
      <c r="A93" s="21"/>
      <c r="B93" s="32"/>
      <c r="C93" s="28"/>
      <c r="D93" s="28"/>
      <c r="E93" s="27"/>
      <c r="F93" s="29"/>
      <c r="G93" s="29"/>
      <c r="H93" s="33"/>
      <c r="I93" s="24"/>
      <c r="J93" s="34"/>
      <c r="K93" s="29"/>
      <c r="L93" s="33"/>
      <c r="M93" s="24"/>
      <c r="N93" s="23"/>
      <c r="O93" s="23"/>
      <c r="P93" s="23"/>
      <c r="Q93" s="23"/>
      <c r="R93" s="23"/>
      <c r="S93" s="23"/>
      <c r="T93" s="23"/>
      <c r="U93" s="23"/>
      <c r="V93" s="23"/>
      <c r="W93" s="23"/>
      <c r="X93" s="23"/>
      <c r="Y93" s="23"/>
      <c r="Z93" s="23"/>
      <c r="AA93" s="23"/>
      <c r="AB93" s="23"/>
      <c r="AC93" s="23"/>
      <c r="AD93" s="23"/>
      <c r="AE93" s="23"/>
      <c r="AF93" s="23"/>
      <c r="AG93" s="25"/>
      <c r="AH93" s="23"/>
    </row>
    <row r="94" spans="1:34" s="1" customFormat="1" ht="13.2" customHeight="1" x14ac:dyDescent="0.3">
      <c r="A94" s="26"/>
      <c r="B94" s="27"/>
      <c r="C94" s="28"/>
      <c r="D94" s="28"/>
      <c r="E94" s="27"/>
      <c r="F94" s="29"/>
      <c r="G94" s="29"/>
      <c r="H94" s="29"/>
      <c r="I94" s="30"/>
      <c r="J94" s="29"/>
      <c r="K94" s="29"/>
      <c r="L94" s="29"/>
      <c r="M94" s="30"/>
      <c r="N94" s="29"/>
      <c r="O94" s="29"/>
      <c r="P94" s="29"/>
      <c r="Q94" s="29"/>
      <c r="R94" s="29"/>
      <c r="S94" s="29"/>
      <c r="T94" s="29"/>
      <c r="U94" s="29"/>
      <c r="V94" s="29"/>
      <c r="W94" s="29"/>
      <c r="X94" s="29"/>
      <c r="Y94" s="29"/>
      <c r="Z94" s="29"/>
      <c r="AA94" s="29"/>
      <c r="AB94" s="29"/>
      <c r="AC94" s="29"/>
      <c r="AD94" s="29"/>
      <c r="AE94" s="29"/>
      <c r="AF94" s="29"/>
      <c r="AG94" s="31"/>
      <c r="AH94" s="29"/>
    </row>
    <row r="95" spans="1:34" s="1" customFormat="1" ht="13.2" customHeight="1" x14ac:dyDescent="0.3">
      <c r="A95" s="26"/>
      <c r="B95" s="27"/>
      <c r="C95" s="28"/>
      <c r="D95" s="28"/>
      <c r="E95" s="27"/>
      <c r="F95" s="29"/>
      <c r="G95" s="29"/>
      <c r="H95" s="29"/>
      <c r="I95" s="30"/>
      <c r="J95" s="29"/>
      <c r="K95" s="29"/>
      <c r="L95" s="29"/>
      <c r="M95" s="29"/>
      <c r="N95" s="29"/>
      <c r="O95" s="29"/>
      <c r="P95" s="29"/>
      <c r="Q95" s="29"/>
      <c r="R95" s="29"/>
      <c r="S95" s="29"/>
      <c r="T95" s="29"/>
      <c r="U95" s="29"/>
      <c r="V95" s="29"/>
      <c r="W95" s="29"/>
      <c r="X95" s="29"/>
      <c r="Y95" s="29"/>
      <c r="Z95" s="29"/>
      <c r="AA95" s="29"/>
      <c r="AB95" s="29"/>
      <c r="AC95" s="29"/>
      <c r="AD95" s="29"/>
      <c r="AE95" s="29"/>
      <c r="AF95" s="29"/>
      <c r="AG95" s="31"/>
      <c r="AH95" s="29"/>
    </row>
    <row r="96" spans="1:34" s="1" customFormat="1" ht="13.2" customHeight="1" x14ac:dyDescent="0.3">
      <c r="A96" s="21"/>
      <c r="B96" s="20"/>
      <c r="C96" s="22"/>
      <c r="D96" s="22"/>
      <c r="E96" s="20"/>
      <c r="F96" s="23"/>
      <c r="G96" s="23"/>
      <c r="H96" s="23"/>
      <c r="I96" s="23"/>
      <c r="J96" s="23"/>
      <c r="K96" s="23"/>
      <c r="L96" s="23"/>
      <c r="M96" s="23"/>
      <c r="N96" s="23"/>
      <c r="O96" s="23"/>
      <c r="P96" s="23"/>
      <c r="Q96" s="23"/>
      <c r="R96" s="23"/>
      <c r="S96" s="23"/>
      <c r="T96" s="23"/>
      <c r="U96" s="23"/>
      <c r="V96" s="23"/>
      <c r="W96" s="23"/>
      <c r="X96" s="23"/>
      <c r="Y96" s="23"/>
      <c r="Z96" s="23"/>
      <c r="AA96" s="23"/>
      <c r="AB96" s="23"/>
      <c r="AC96" s="23"/>
      <c r="AD96" s="23"/>
      <c r="AE96" s="23"/>
      <c r="AF96" s="23"/>
      <c r="AG96" s="25"/>
      <c r="AH96" s="23"/>
    </row>
    <row r="97" spans="1:34" s="1" customFormat="1" ht="13.2" customHeight="1" x14ac:dyDescent="0.3">
      <c r="A97" s="21"/>
      <c r="B97" s="20"/>
      <c r="C97" s="22"/>
      <c r="D97" s="22"/>
      <c r="E97" s="20"/>
      <c r="F97" s="23"/>
      <c r="G97" s="23"/>
      <c r="H97" s="23"/>
      <c r="I97" s="24"/>
      <c r="J97" s="23"/>
      <c r="K97" s="23"/>
      <c r="L97" s="23"/>
      <c r="M97" s="23"/>
      <c r="N97" s="23"/>
      <c r="O97" s="23"/>
      <c r="P97" s="23"/>
      <c r="Q97" s="23"/>
      <c r="R97" s="23"/>
      <c r="S97" s="23"/>
      <c r="T97" s="23"/>
      <c r="U97" s="23"/>
      <c r="V97" s="23"/>
      <c r="W97" s="23"/>
      <c r="X97" s="23"/>
      <c r="Y97" s="23"/>
      <c r="Z97" s="23"/>
      <c r="AA97" s="23"/>
      <c r="AB97" s="23"/>
      <c r="AC97" s="23"/>
      <c r="AD97" s="23"/>
      <c r="AE97" s="23"/>
      <c r="AF97" s="23"/>
      <c r="AG97" s="25"/>
      <c r="AH97" s="23"/>
    </row>
    <row r="98" spans="1:34" s="1" customFormat="1" ht="13.2" customHeight="1" x14ac:dyDescent="0.3">
      <c r="A98" s="21"/>
      <c r="B98" s="20"/>
      <c r="C98" s="22"/>
      <c r="D98" s="22"/>
      <c r="E98" s="20"/>
      <c r="F98" s="23"/>
      <c r="G98" s="23"/>
      <c r="H98" s="23"/>
      <c r="I98" s="24"/>
      <c r="J98" s="23"/>
      <c r="K98" s="23"/>
      <c r="L98" s="23"/>
      <c r="M98" s="23"/>
      <c r="N98" s="23"/>
      <c r="O98" s="23"/>
      <c r="P98" s="23"/>
      <c r="Q98" s="23"/>
      <c r="R98" s="23"/>
      <c r="S98" s="23"/>
      <c r="T98" s="23"/>
      <c r="U98" s="23"/>
      <c r="V98" s="23"/>
      <c r="W98" s="23"/>
      <c r="X98" s="23"/>
      <c r="Y98" s="23"/>
      <c r="Z98" s="23"/>
      <c r="AA98" s="23"/>
      <c r="AB98" s="23"/>
      <c r="AC98" s="23"/>
      <c r="AD98" s="23"/>
      <c r="AE98" s="23"/>
      <c r="AF98" s="23"/>
      <c r="AG98" s="25"/>
      <c r="AH98" s="23"/>
    </row>
    <row r="99" spans="1:34" s="1" customFormat="1" ht="13.2" customHeight="1" x14ac:dyDescent="0.3">
      <c r="A99" s="21"/>
      <c r="B99" s="20"/>
      <c r="C99" s="22"/>
      <c r="D99" s="22"/>
      <c r="E99" s="20"/>
      <c r="F99" s="23"/>
      <c r="G99" s="23"/>
      <c r="H99" s="23"/>
      <c r="I99" s="24"/>
      <c r="J99" s="23"/>
      <c r="K99" s="23"/>
      <c r="L99" s="23"/>
      <c r="M99" s="23"/>
      <c r="N99" s="23"/>
      <c r="O99" s="23"/>
      <c r="P99" s="23"/>
      <c r="Q99" s="23"/>
      <c r="R99" s="23"/>
      <c r="S99" s="23"/>
      <c r="T99" s="23"/>
      <c r="U99" s="23"/>
      <c r="V99" s="23"/>
      <c r="W99" s="23"/>
      <c r="X99" s="23"/>
      <c r="Y99" s="23"/>
      <c r="Z99" s="23"/>
      <c r="AA99" s="23"/>
      <c r="AB99" s="23"/>
      <c r="AC99" s="23"/>
      <c r="AD99" s="23"/>
      <c r="AE99" s="23"/>
      <c r="AF99" s="23"/>
      <c r="AG99" s="25"/>
      <c r="AH99" s="23"/>
    </row>
    <row r="100" spans="1:34" s="1" customFormat="1" ht="13.2" customHeight="1" x14ac:dyDescent="0.3">
      <c r="A100" s="21"/>
      <c r="B100" s="32"/>
      <c r="C100" s="28"/>
      <c r="D100" s="28"/>
      <c r="E100" s="27"/>
      <c r="F100" s="29"/>
      <c r="G100" s="29"/>
      <c r="H100" s="33"/>
      <c r="I100" s="24"/>
      <c r="J100" s="34"/>
      <c r="K100" s="29"/>
      <c r="L100" s="33"/>
      <c r="M100" s="23"/>
      <c r="N100" s="23"/>
      <c r="O100" s="23"/>
      <c r="P100" s="23"/>
      <c r="Q100" s="23"/>
      <c r="R100" s="23"/>
      <c r="S100" s="23"/>
      <c r="T100" s="23"/>
      <c r="U100" s="23"/>
      <c r="V100" s="23"/>
      <c r="W100" s="23"/>
      <c r="X100" s="23"/>
      <c r="Y100" s="23"/>
      <c r="Z100" s="23"/>
      <c r="AA100" s="23"/>
      <c r="AB100" s="23"/>
      <c r="AC100" s="23"/>
      <c r="AD100" s="23"/>
      <c r="AE100" s="23"/>
      <c r="AF100" s="23"/>
      <c r="AG100" s="25"/>
      <c r="AH100" s="23"/>
    </row>
    <row r="101" spans="1:34" s="1" customFormat="1" ht="13.2" customHeight="1" x14ac:dyDescent="0.3">
      <c r="A101" s="26"/>
      <c r="B101" s="27"/>
      <c r="C101" s="28"/>
      <c r="D101" s="28"/>
      <c r="E101" s="27"/>
      <c r="F101" s="29"/>
      <c r="G101" s="29"/>
      <c r="H101" s="29"/>
      <c r="I101" s="30"/>
      <c r="J101" s="29"/>
      <c r="K101" s="29"/>
      <c r="L101" s="29"/>
      <c r="M101" s="29"/>
      <c r="N101" s="29"/>
      <c r="O101" s="29"/>
      <c r="P101" s="29"/>
      <c r="Q101" s="29"/>
      <c r="R101" s="29"/>
      <c r="S101" s="29"/>
      <c r="T101" s="29"/>
      <c r="U101" s="29"/>
      <c r="V101" s="29"/>
      <c r="W101" s="29"/>
      <c r="X101" s="29"/>
      <c r="Y101" s="29"/>
      <c r="Z101" s="29"/>
      <c r="AA101" s="29"/>
      <c r="AB101" s="29"/>
      <c r="AC101" s="29"/>
      <c r="AD101" s="29"/>
      <c r="AE101" s="29"/>
      <c r="AF101" s="29"/>
      <c r="AG101" s="31"/>
      <c r="AH101" s="29"/>
    </row>
    <row r="102" spans="1:34" s="1" customFormat="1" ht="13.2" customHeight="1" x14ac:dyDescent="0.3">
      <c r="A102" s="26"/>
      <c r="B102" s="27"/>
      <c r="C102" s="28"/>
      <c r="D102" s="28"/>
      <c r="E102" s="27"/>
      <c r="F102" s="29"/>
      <c r="G102" s="29"/>
      <c r="H102" s="29"/>
      <c r="I102" s="30"/>
      <c r="J102" s="29"/>
      <c r="K102" s="29"/>
      <c r="L102" s="29"/>
      <c r="M102" s="29"/>
      <c r="N102" s="29"/>
      <c r="O102" s="29"/>
      <c r="P102" s="29"/>
      <c r="Q102" s="29"/>
      <c r="R102" s="29"/>
      <c r="S102" s="29"/>
      <c r="T102" s="29"/>
      <c r="U102" s="29"/>
      <c r="V102" s="29"/>
      <c r="W102" s="29"/>
      <c r="X102" s="29"/>
      <c r="Y102" s="29"/>
      <c r="Z102" s="29"/>
      <c r="AA102" s="29"/>
      <c r="AB102" s="29"/>
      <c r="AC102" s="29"/>
      <c r="AD102" s="29"/>
      <c r="AE102" s="29"/>
      <c r="AF102" s="29"/>
      <c r="AG102" s="31"/>
      <c r="AH102" s="29"/>
    </row>
    <row r="103" spans="1:34" s="1" customFormat="1" ht="13.2" customHeight="1" x14ac:dyDescent="0.3">
      <c r="A103" s="21"/>
      <c r="B103" s="20"/>
      <c r="C103" s="22"/>
      <c r="D103" s="22"/>
      <c r="E103" s="20"/>
      <c r="F103" s="23"/>
      <c r="G103" s="23"/>
      <c r="H103" s="23"/>
      <c r="I103" s="24"/>
      <c r="J103" s="23"/>
      <c r="K103" s="23"/>
      <c r="L103" s="23"/>
      <c r="M103" s="23"/>
      <c r="N103" s="23"/>
      <c r="O103" s="23"/>
      <c r="P103" s="23"/>
      <c r="Q103" s="23"/>
      <c r="R103" s="23"/>
      <c r="S103" s="23"/>
      <c r="T103" s="23"/>
      <c r="U103" s="23"/>
      <c r="V103" s="23"/>
      <c r="W103" s="23"/>
      <c r="X103" s="23"/>
      <c r="Y103" s="23"/>
      <c r="Z103" s="23"/>
      <c r="AA103" s="23"/>
      <c r="AB103" s="23"/>
      <c r="AC103" s="23"/>
      <c r="AD103" s="23"/>
      <c r="AE103" s="23"/>
      <c r="AF103" s="23"/>
      <c r="AG103" s="25"/>
      <c r="AH103" s="23"/>
    </row>
    <row r="104" spans="1:34" s="1" customFormat="1" ht="13.2" customHeight="1" x14ac:dyDescent="0.3">
      <c r="A104" s="21"/>
      <c r="B104" s="20"/>
      <c r="C104" s="22"/>
      <c r="D104" s="22"/>
      <c r="E104" s="20"/>
      <c r="F104" s="23"/>
      <c r="G104" s="23"/>
      <c r="H104" s="23"/>
      <c r="I104" s="24"/>
      <c r="J104" s="23"/>
      <c r="K104" s="23"/>
      <c r="L104" s="23"/>
      <c r="M104" s="23"/>
      <c r="N104" s="23"/>
      <c r="O104" s="23"/>
      <c r="P104" s="23"/>
      <c r="Q104" s="23"/>
      <c r="R104" s="23"/>
      <c r="S104" s="23"/>
      <c r="T104" s="23"/>
      <c r="U104" s="23"/>
      <c r="V104" s="23"/>
      <c r="W104" s="23"/>
      <c r="X104" s="23"/>
      <c r="Y104" s="23"/>
      <c r="Z104" s="23"/>
      <c r="AA104" s="23"/>
      <c r="AB104" s="23"/>
      <c r="AC104" s="23"/>
      <c r="AD104" s="23"/>
      <c r="AE104" s="23"/>
      <c r="AF104" s="23"/>
      <c r="AG104" s="25"/>
      <c r="AH104" s="23"/>
    </row>
    <row r="105" spans="1:34" s="1" customFormat="1" ht="13.2" customHeight="1" x14ac:dyDescent="0.3">
      <c r="A105" s="21"/>
      <c r="B105" s="20"/>
      <c r="C105" s="22"/>
      <c r="D105" s="22"/>
      <c r="E105" s="20"/>
      <c r="F105" s="23"/>
      <c r="G105" s="23"/>
      <c r="H105" s="23"/>
      <c r="I105" s="24"/>
      <c r="J105" s="23"/>
      <c r="K105" s="23"/>
      <c r="L105" s="23"/>
      <c r="M105" s="23"/>
      <c r="N105" s="23"/>
      <c r="O105" s="23"/>
      <c r="P105" s="23"/>
      <c r="Q105" s="23"/>
      <c r="R105" s="23"/>
      <c r="S105" s="23"/>
      <c r="T105" s="23"/>
      <c r="U105" s="23"/>
      <c r="V105" s="23"/>
      <c r="W105" s="23"/>
      <c r="X105" s="23"/>
      <c r="Y105" s="23"/>
      <c r="Z105" s="23"/>
      <c r="AA105" s="23"/>
      <c r="AB105" s="23"/>
      <c r="AC105" s="23"/>
      <c r="AD105" s="23"/>
      <c r="AE105" s="23"/>
      <c r="AF105" s="23"/>
      <c r="AG105" s="25"/>
      <c r="AH105" s="23"/>
    </row>
    <row r="106" spans="1:34" s="1" customFormat="1" ht="13.2" customHeight="1" x14ac:dyDescent="0.3">
      <c r="A106" s="21"/>
      <c r="B106" s="20"/>
      <c r="C106" s="22"/>
      <c r="D106" s="22"/>
      <c r="E106" s="20"/>
      <c r="F106" s="23"/>
      <c r="G106" s="23"/>
      <c r="H106" s="23"/>
      <c r="I106" s="24"/>
      <c r="J106" s="23"/>
      <c r="K106" s="23"/>
      <c r="L106" s="23"/>
      <c r="M106" s="23"/>
      <c r="N106" s="23"/>
      <c r="O106" s="23"/>
      <c r="P106" s="23"/>
      <c r="Q106" s="23"/>
      <c r="R106" s="23"/>
      <c r="S106" s="23"/>
      <c r="T106" s="23"/>
      <c r="U106" s="23"/>
      <c r="V106" s="23"/>
      <c r="W106" s="23"/>
      <c r="X106" s="23"/>
      <c r="Y106" s="23"/>
      <c r="Z106" s="23"/>
      <c r="AA106" s="23"/>
      <c r="AB106" s="23"/>
      <c r="AC106" s="23"/>
      <c r="AD106" s="23"/>
      <c r="AE106" s="23"/>
      <c r="AF106" s="23"/>
      <c r="AG106" s="25"/>
      <c r="AH106" s="23"/>
    </row>
    <row r="107" spans="1:34" s="1" customFormat="1" ht="13.2" customHeight="1" x14ac:dyDescent="0.3">
      <c r="A107" s="21"/>
      <c r="B107" s="20"/>
      <c r="C107" s="22"/>
      <c r="D107" s="22"/>
      <c r="E107" s="20"/>
      <c r="F107" s="23"/>
      <c r="G107" s="23"/>
      <c r="H107" s="23"/>
      <c r="I107" s="24"/>
      <c r="J107" s="23"/>
      <c r="K107" s="23"/>
      <c r="L107" s="23"/>
      <c r="M107" s="23"/>
      <c r="N107" s="23"/>
      <c r="O107" s="23"/>
      <c r="P107" s="23"/>
      <c r="Q107" s="23"/>
      <c r="R107" s="23"/>
      <c r="S107" s="23"/>
      <c r="T107" s="23"/>
      <c r="U107" s="23"/>
      <c r="V107" s="23"/>
      <c r="W107" s="23"/>
      <c r="X107" s="23"/>
      <c r="Y107" s="23"/>
      <c r="Z107" s="23"/>
      <c r="AA107" s="23"/>
      <c r="AB107" s="23"/>
      <c r="AC107" s="23"/>
      <c r="AD107" s="23"/>
      <c r="AE107" s="23"/>
      <c r="AF107" s="23"/>
      <c r="AG107" s="25"/>
      <c r="AH107" s="23"/>
    </row>
    <row r="108" spans="1:34" s="1" customFormat="1" ht="13.2" customHeight="1" x14ac:dyDescent="0.3">
      <c r="A108" s="21"/>
      <c r="B108" s="20"/>
      <c r="C108" s="22"/>
      <c r="D108" s="22"/>
      <c r="E108" s="20"/>
      <c r="F108" s="23"/>
      <c r="G108" s="23"/>
      <c r="H108" s="23"/>
      <c r="I108" s="24"/>
      <c r="J108" s="23"/>
      <c r="K108" s="23"/>
      <c r="L108" s="23"/>
      <c r="M108" s="23"/>
      <c r="N108" s="23"/>
      <c r="O108" s="23"/>
      <c r="P108" s="23"/>
      <c r="Q108" s="23"/>
      <c r="R108" s="23"/>
      <c r="S108" s="23"/>
      <c r="T108" s="23"/>
      <c r="U108" s="23"/>
      <c r="V108" s="23"/>
      <c r="W108" s="23"/>
      <c r="X108" s="23"/>
      <c r="Y108" s="23"/>
      <c r="Z108" s="23"/>
      <c r="AA108" s="23"/>
      <c r="AB108" s="23"/>
      <c r="AC108" s="23"/>
      <c r="AD108" s="23"/>
      <c r="AE108" s="23"/>
      <c r="AF108" s="23"/>
      <c r="AG108" s="25"/>
      <c r="AH108" s="23"/>
    </row>
    <row r="109" spans="1:34" s="1" customFormat="1" ht="13.2" customHeight="1" x14ac:dyDescent="0.3">
      <c r="A109" s="21"/>
      <c r="B109" s="20"/>
      <c r="C109" s="22"/>
      <c r="D109" s="22"/>
      <c r="E109" s="20"/>
      <c r="F109" s="23"/>
      <c r="G109" s="23"/>
      <c r="H109" s="23"/>
      <c r="I109" s="24"/>
      <c r="J109" s="23"/>
      <c r="K109" s="23"/>
      <c r="L109" s="23"/>
      <c r="M109" s="23"/>
      <c r="N109" s="23"/>
      <c r="O109" s="23"/>
      <c r="P109" s="23"/>
      <c r="Q109" s="23"/>
      <c r="R109" s="23"/>
      <c r="S109" s="23"/>
      <c r="T109" s="23"/>
      <c r="U109" s="23"/>
      <c r="V109" s="23"/>
      <c r="W109" s="23"/>
      <c r="X109" s="23"/>
      <c r="Y109" s="23"/>
      <c r="Z109" s="23"/>
      <c r="AA109" s="23"/>
      <c r="AB109" s="23"/>
      <c r="AC109" s="23"/>
      <c r="AD109" s="23"/>
      <c r="AE109" s="23"/>
      <c r="AF109" s="23"/>
      <c r="AG109" s="25"/>
      <c r="AH109" s="23"/>
    </row>
    <row r="110" spans="1:34" s="1" customFormat="1" ht="13.2" customHeight="1" x14ac:dyDescent="0.3">
      <c r="A110" s="21"/>
      <c r="B110" s="20"/>
      <c r="C110" s="22"/>
      <c r="D110" s="22"/>
      <c r="E110" s="20"/>
      <c r="F110" s="23"/>
      <c r="G110" s="23"/>
      <c r="H110" s="23"/>
      <c r="I110" s="24"/>
      <c r="J110" s="23"/>
      <c r="K110" s="23"/>
      <c r="L110" s="23"/>
      <c r="M110" s="23"/>
      <c r="N110" s="23"/>
      <c r="O110" s="23"/>
      <c r="P110" s="23"/>
      <c r="Q110" s="23"/>
      <c r="R110" s="23"/>
      <c r="S110" s="23"/>
      <c r="T110" s="23"/>
      <c r="U110" s="23"/>
      <c r="V110" s="23"/>
      <c r="W110" s="23"/>
      <c r="X110" s="23"/>
      <c r="Y110" s="23"/>
      <c r="Z110" s="23"/>
      <c r="AA110" s="23"/>
      <c r="AB110" s="23"/>
      <c r="AC110" s="23"/>
      <c r="AD110" s="23"/>
      <c r="AE110" s="23"/>
      <c r="AF110" s="23"/>
      <c r="AG110" s="25"/>
      <c r="AH110" s="23"/>
    </row>
    <row r="111" spans="1:34" s="1" customFormat="1" ht="13.2" customHeight="1" x14ac:dyDescent="0.3">
      <c r="A111" s="21"/>
      <c r="B111" s="20"/>
      <c r="C111" s="22"/>
      <c r="D111" s="22"/>
      <c r="E111" s="20"/>
      <c r="F111" s="23"/>
      <c r="G111" s="23"/>
      <c r="H111" s="23"/>
      <c r="I111" s="24"/>
      <c r="J111" s="23"/>
      <c r="K111" s="23"/>
      <c r="L111" s="23"/>
      <c r="M111" s="23"/>
      <c r="N111" s="23"/>
      <c r="O111" s="23"/>
      <c r="P111" s="23"/>
      <c r="Q111" s="23"/>
      <c r="R111" s="23"/>
      <c r="S111" s="23"/>
      <c r="T111" s="23"/>
      <c r="U111" s="23"/>
      <c r="V111" s="23"/>
      <c r="W111" s="23"/>
      <c r="X111" s="23"/>
      <c r="Y111" s="23"/>
      <c r="Z111" s="23"/>
      <c r="AA111" s="23"/>
      <c r="AB111" s="23"/>
      <c r="AC111" s="23"/>
      <c r="AD111" s="23"/>
      <c r="AE111" s="23"/>
      <c r="AF111" s="23"/>
      <c r="AG111" s="25"/>
      <c r="AH111" s="23"/>
    </row>
    <row r="112" spans="1:34" s="1" customFormat="1" ht="13.2" customHeight="1" x14ac:dyDescent="0.3">
      <c r="A112" s="21"/>
      <c r="B112" s="20"/>
      <c r="C112" s="22"/>
      <c r="D112" s="22"/>
      <c r="E112" s="20"/>
      <c r="F112" s="23"/>
      <c r="G112" s="23"/>
      <c r="H112" s="23"/>
      <c r="I112" s="24"/>
      <c r="J112" s="23"/>
      <c r="K112" s="23"/>
      <c r="L112" s="23"/>
      <c r="M112" s="23"/>
      <c r="N112" s="23"/>
      <c r="O112" s="23"/>
      <c r="P112" s="23"/>
      <c r="Q112" s="23"/>
      <c r="R112" s="23"/>
      <c r="S112" s="23"/>
      <c r="T112" s="23"/>
      <c r="U112" s="23"/>
      <c r="V112" s="23"/>
      <c r="W112" s="23"/>
      <c r="X112" s="23"/>
      <c r="Y112" s="23"/>
      <c r="Z112" s="23"/>
      <c r="AA112" s="23"/>
      <c r="AB112" s="23"/>
      <c r="AC112" s="23"/>
      <c r="AD112" s="23"/>
      <c r="AE112" s="23"/>
      <c r="AF112" s="23"/>
      <c r="AG112" s="25"/>
      <c r="AH112" s="23"/>
    </row>
    <row r="113" spans="1:34" s="1" customFormat="1" x14ac:dyDescent="0.3">
      <c r="A113" s="26"/>
      <c r="B113" s="27"/>
      <c r="C113" s="28"/>
      <c r="D113" s="28"/>
      <c r="E113" s="27"/>
      <c r="F113" s="29"/>
      <c r="G113" s="29"/>
      <c r="H113" s="29"/>
      <c r="I113" s="30"/>
      <c r="J113" s="29"/>
      <c r="K113" s="29"/>
      <c r="L113" s="29"/>
      <c r="M113" s="29"/>
      <c r="N113" s="29"/>
      <c r="O113" s="29"/>
      <c r="P113" s="29"/>
      <c r="Q113" s="29"/>
      <c r="R113" s="29"/>
      <c r="S113" s="29"/>
      <c r="T113" s="29"/>
      <c r="U113" s="29"/>
      <c r="V113" s="29"/>
      <c r="W113" s="29"/>
      <c r="X113" s="29"/>
      <c r="Y113" s="29"/>
      <c r="Z113" s="29"/>
      <c r="AA113" s="29"/>
      <c r="AB113" s="29"/>
      <c r="AC113" s="29"/>
      <c r="AD113" s="29"/>
      <c r="AE113" s="29"/>
      <c r="AF113" s="29"/>
      <c r="AG113" s="31"/>
      <c r="AH113" s="29"/>
    </row>
    <row r="114" spans="1:34" s="1" customFormat="1" ht="13.2" customHeight="1" x14ac:dyDescent="0.3">
      <c r="A114" s="21"/>
      <c r="B114" s="20"/>
      <c r="C114" s="22"/>
      <c r="D114" s="22"/>
      <c r="E114" s="20"/>
      <c r="F114" s="23"/>
      <c r="G114" s="23"/>
      <c r="H114" s="23"/>
      <c r="I114" s="24"/>
      <c r="J114" s="23"/>
      <c r="K114" s="23"/>
      <c r="L114" s="23"/>
      <c r="M114" s="23"/>
      <c r="N114" s="23"/>
      <c r="O114" s="23"/>
      <c r="P114" s="23"/>
      <c r="Q114" s="23"/>
      <c r="R114" s="23"/>
      <c r="S114" s="23"/>
      <c r="T114" s="23"/>
      <c r="U114" s="23"/>
      <c r="V114" s="23"/>
      <c r="W114" s="23"/>
      <c r="X114" s="23"/>
      <c r="Y114" s="23"/>
      <c r="Z114" s="23"/>
      <c r="AA114" s="23"/>
      <c r="AB114" s="23"/>
      <c r="AC114" s="23"/>
      <c r="AD114" s="23"/>
      <c r="AE114" s="23"/>
      <c r="AF114" s="23"/>
      <c r="AG114" s="25"/>
      <c r="AH114" s="23"/>
    </row>
    <row r="115" spans="1:34" s="1" customFormat="1" ht="13.2" customHeight="1" x14ac:dyDescent="0.3">
      <c r="A115" s="21"/>
      <c r="B115" s="20"/>
      <c r="C115" s="22"/>
      <c r="D115" s="22"/>
      <c r="E115" s="20"/>
      <c r="F115" s="23"/>
      <c r="G115" s="23"/>
      <c r="H115" s="23"/>
      <c r="I115" s="24"/>
      <c r="J115" s="23"/>
      <c r="K115" s="23"/>
      <c r="L115" s="23"/>
      <c r="M115" s="23"/>
      <c r="N115" s="23"/>
      <c r="O115" s="23"/>
      <c r="P115" s="23"/>
      <c r="Q115" s="23"/>
      <c r="R115" s="23"/>
      <c r="S115" s="23"/>
      <c r="T115" s="23"/>
      <c r="U115" s="23"/>
      <c r="V115" s="23"/>
      <c r="W115" s="23"/>
      <c r="X115" s="23"/>
      <c r="Y115" s="23"/>
      <c r="Z115" s="23"/>
      <c r="AA115" s="23"/>
      <c r="AB115" s="23"/>
      <c r="AC115" s="23"/>
      <c r="AD115" s="23"/>
      <c r="AE115" s="23"/>
      <c r="AF115" s="23"/>
      <c r="AG115" s="25"/>
      <c r="AH115" s="23"/>
    </row>
    <row r="116" spans="1:34" s="1" customFormat="1" ht="13.2" customHeight="1" x14ac:dyDescent="0.3">
      <c r="A116" s="21"/>
      <c r="B116" s="20"/>
      <c r="C116" s="22"/>
      <c r="D116" s="22"/>
      <c r="E116" s="20"/>
      <c r="F116" s="23"/>
      <c r="G116" s="23"/>
      <c r="H116" s="23"/>
      <c r="I116" s="23"/>
      <c r="J116" s="23"/>
      <c r="K116" s="23"/>
      <c r="L116" s="23"/>
      <c r="M116" s="23"/>
      <c r="N116" s="23"/>
      <c r="O116" s="23"/>
      <c r="P116" s="23"/>
      <c r="Q116" s="23"/>
      <c r="R116" s="23"/>
      <c r="S116" s="23"/>
      <c r="T116" s="23"/>
      <c r="U116" s="23"/>
      <c r="V116" s="23"/>
      <c r="W116" s="23"/>
      <c r="X116" s="23"/>
      <c r="Y116" s="23"/>
      <c r="Z116" s="23"/>
      <c r="AA116" s="23"/>
      <c r="AB116" s="35"/>
      <c r="AC116" s="23"/>
      <c r="AD116" s="23"/>
      <c r="AE116" s="23"/>
      <c r="AF116" s="23"/>
      <c r="AG116" s="25"/>
      <c r="AH116" s="23"/>
    </row>
    <row r="117" spans="1:34" s="1" customFormat="1" ht="13.2" customHeight="1" x14ac:dyDescent="0.3">
      <c r="A117" s="21"/>
      <c r="B117" s="20"/>
      <c r="C117" s="22"/>
      <c r="D117" s="22"/>
      <c r="E117" s="20"/>
      <c r="F117" s="23"/>
      <c r="G117" s="23"/>
      <c r="H117" s="23"/>
      <c r="I117" s="24"/>
      <c r="J117" s="23"/>
      <c r="K117" s="23"/>
      <c r="L117" s="23"/>
      <c r="M117" s="23"/>
      <c r="N117" s="23"/>
      <c r="O117" s="23"/>
      <c r="P117" s="23"/>
      <c r="Q117" s="23"/>
      <c r="R117" s="23"/>
      <c r="S117" s="23"/>
      <c r="T117" s="23"/>
      <c r="U117" s="23"/>
      <c r="V117" s="23"/>
      <c r="W117" s="23"/>
      <c r="X117" s="23"/>
      <c r="Y117" s="23"/>
      <c r="Z117" s="23"/>
      <c r="AA117" s="23"/>
      <c r="AB117" s="23"/>
      <c r="AC117" s="23"/>
      <c r="AD117" s="23"/>
      <c r="AE117" s="23"/>
      <c r="AF117" s="23"/>
      <c r="AG117" s="25"/>
      <c r="AH117" s="23"/>
    </row>
    <row r="118" spans="1:34" s="1" customFormat="1" ht="13.2" customHeight="1" x14ac:dyDescent="0.3">
      <c r="A118" s="21"/>
      <c r="B118" s="20"/>
      <c r="C118" s="22"/>
      <c r="D118" s="22"/>
      <c r="E118" s="20"/>
      <c r="F118" s="23"/>
      <c r="G118" s="23"/>
      <c r="H118" s="23"/>
      <c r="I118" s="24"/>
      <c r="J118" s="23"/>
      <c r="K118" s="23"/>
      <c r="L118" s="23"/>
      <c r="M118" s="23"/>
      <c r="N118" s="23"/>
      <c r="O118" s="23"/>
      <c r="P118" s="23"/>
      <c r="Q118" s="23"/>
      <c r="R118" s="23"/>
      <c r="S118" s="23"/>
      <c r="T118" s="23"/>
      <c r="U118" s="23"/>
      <c r="V118" s="23"/>
      <c r="W118" s="23"/>
      <c r="X118" s="23"/>
      <c r="Y118" s="23"/>
      <c r="Z118" s="23"/>
      <c r="AA118" s="23"/>
      <c r="AB118" s="23"/>
      <c r="AC118" s="23"/>
      <c r="AD118" s="23"/>
      <c r="AE118" s="23"/>
      <c r="AF118" s="23"/>
      <c r="AG118" s="25"/>
      <c r="AH118" s="23"/>
    </row>
    <row r="119" spans="1:34" s="1" customFormat="1" ht="13.2" customHeight="1" x14ac:dyDescent="0.3">
      <c r="A119" s="21"/>
      <c r="B119" s="20"/>
      <c r="C119" s="22"/>
      <c r="D119" s="22"/>
      <c r="E119" s="20"/>
      <c r="F119" s="23"/>
      <c r="G119" s="23"/>
      <c r="H119" s="23"/>
      <c r="I119" s="24"/>
      <c r="J119" s="23"/>
      <c r="K119" s="23"/>
      <c r="L119" s="23"/>
      <c r="M119" s="23"/>
      <c r="N119" s="23"/>
      <c r="O119" s="23"/>
      <c r="P119" s="23"/>
      <c r="Q119" s="23"/>
      <c r="R119" s="23"/>
      <c r="S119" s="23"/>
      <c r="T119" s="23"/>
      <c r="U119" s="23"/>
      <c r="V119" s="23"/>
      <c r="W119" s="23"/>
      <c r="X119" s="23"/>
      <c r="Y119" s="23"/>
      <c r="Z119" s="23"/>
      <c r="AA119" s="23"/>
      <c r="AB119" s="23"/>
      <c r="AC119" s="23"/>
      <c r="AD119" s="23"/>
      <c r="AE119" s="23"/>
      <c r="AF119" s="23"/>
      <c r="AG119" s="25"/>
      <c r="AH119" s="23"/>
    </row>
    <row r="120" spans="1:34" s="1" customFormat="1" ht="13.2" customHeight="1" x14ac:dyDescent="0.3">
      <c r="A120" s="21"/>
      <c r="B120" s="20"/>
      <c r="C120" s="22"/>
      <c r="D120" s="22"/>
      <c r="E120" s="20"/>
      <c r="F120" s="23"/>
      <c r="G120" s="23"/>
      <c r="H120" s="23"/>
      <c r="I120" s="24"/>
      <c r="J120" s="23"/>
      <c r="K120" s="23"/>
      <c r="L120" s="23"/>
      <c r="M120" s="23"/>
      <c r="N120" s="23"/>
      <c r="O120" s="23"/>
      <c r="P120" s="23"/>
      <c r="Q120" s="23"/>
      <c r="R120" s="23"/>
      <c r="S120" s="23"/>
      <c r="T120" s="23"/>
      <c r="U120" s="23"/>
      <c r="V120" s="23"/>
      <c r="W120" s="23"/>
      <c r="X120" s="23"/>
      <c r="Y120" s="23"/>
      <c r="Z120" s="23"/>
      <c r="AA120" s="23"/>
      <c r="AB120" s="23"/>
      <c r="AC120" s="23"/>
      <c r="AD120" s="23"/>
      <c r="AE120" s="23"/>
      <c r="AF120" s="23"/>
      <c r="AG120" s="25"/>
      <c r="AH120" s="23"/>
    </row>
    <row r="121" spans="1:34" s="1" customFormat="1" ht="13.2" customHeight="1" x14ac:dyDescent="0.3">
      <c r="A121" s="21"/>
      <c r="B121" s="20"/>
      <c r="C121" s="22"/>
      <c r="D121" s="22"/>
      <c r="E121" s="20"/>
      <c r="F121" s="23"/>
      <c r="G121" s="23"/>
      <c r="H121" s="23"/>
      <c r="I121" s="24"/>
      <c r="J121" s="23"/>
      <c r="K121" s="23"/>
      <c r="L121" s="23"/>
      <c r="M121" s="23"/>
      <c r="N121" s="23"/>
      <c r="O121" s="23"/>
      <c r="P121" s="23"/>
      <c r="Q121" s="23"/>
      <c r="R121" s="23"/>
      <c r="S121" s="23"/>
      <c r="T121" s="23"/>
      <c r="U121" s="23"/>
      <c r="V121" s="23"/>
      <c r="W121" s="23"/>
      <c r="X121" s="23"/>
      <c r="Y121" s="23"/>
      <c r="Z121" s="23"/>
      <c r="AA121" s="23"/>
      <c r="AB121" s="23"/>
      <c r="AC121" s="23"/>
      <c r="AD121" s="23"/>
      <c r="AE121" s="23"/>
      <c r="AF121" s="23"/>
      <c r="AG121" s="25"/>
      <c r="AH121" s="23"/>
    </row>
    <row r="122" spans="1:34" s="1" customFormat="1" ht="13.2" customHeight="1" x14ac:dyDescent="0.3">
      <c r="A122" s="21"/>
      <c r="B122" s="20"/>
      <c r="C122" s="22"/>
      <c r="D122" s="22"/>
      <c r="E122" s="20"/>
      <c r="F122" s="23"/>
      <c r="G122" s="23"/>
      <c r="H122" s="23"/>
      <c r="I122" s="24"/>
      <c r="J122" s="23"/>
      <c r="K122" s="23"/>
      <c r="L122" s="23"/>
      <c r="M122" s="23"/>
      <c r="N122" s="23"/>
      <c r="O122" s="23"/>
      <c r="P122" s="23"/>
      <c r="Q122" s="23"/>
      <c r="R122" s="23"/>
      <c r="S122" s="23"/>
      <c r="T122" s="23"/>
      <c r="U122" s="23"/>
      <c r="V122" s="23"/>
      <c r="W122" s="23"/>
      <c r="X122" s="23"/>
      <c r="Y122" s="23"/>
      <c r="Z122" s="23"/>
      <c r="AA122" s="23"/>
      <c r="AB122" s="23"/>
      <c r="AC122" s="23"/>
      <c r="AD122" s="23"/>
      <c r="AE122" s="23"/>
      <c r="AF122" s="23"/>
      <c r="AG122" s="25"/>
      <c r="AH122" s="23"/>
    </row>
    <row r="123" spans="1:34" s="1" customFormat="1" ht="13.2" customHeight="1" x14ac:dyDescent="0.3">
      <c r="A123" s="21"/>
      <c r="B123" s="20"/>
      <c r="C123" s="22"/>
      <c r="D123" s="22"/>
      <c r="E123" s="20"/>
      <c r="F123" s="23"/>
      <c r="G123" s="23"/>
      <c r="H123" s="23"/>
      <c r="I123" s="24"/>
      <c r="J123" s="23"/>
      <c r="K123" s="23"/>
      <c r="L123" s="23"/>
      <c r="M123" s="23"/>
      <c r="N123" s="23"/>
      <c r="O123" s="23"/>
      <c r="P123" s="23"/>
      <c r="Q123" s="23"/>
      <c r="R123" s="23"/>
      <c r="S123" s="23"/>
      <c r="T123" s="23"/>
      <c r="U123" s="23"/>
      <c r="V123" s="23"/>
      <c r="W123" s="23"/>
      <c r="X123" s="23"/>
      <c r="Y123" s="23"/>
      <c r="Z123" s="23"/>
      <c r="AA123" s="23"/>
      <c r="AB123" s="23"/>
      <c r="AC123" s="23"/>
      <c r="AD123" s="23"/>
      <c r="AE123" s="23"/>
      <c r="AF123" s="23"/>
      <c r="AG123" s="25"/>
      <c r="AH123" s="23"/>
    </row>
    <row r="124" spans="1:34" s="1" customFormat="1" ht="13.2" customHeight="1" x14ac:dyDescent="0.3">
      <c r="A124" s="21"/>
      <c r="B124" s="20"/>
      <c r="C124" s="22"/>
      <c r="D124" s="22"/>
      <c r="E124" s="20"/>
      <c r="F124" s="23"/>
      <c r="G124" s="23"/>
      <c r="H124" s="23"/>
      <c r="I124" s="23"/>
      <c r="J124" s="23"/>
      <c r="K124" s="23"/>
      <c r="L124" s="23"/>
      <c r="M124" s="23"/>
      <c r="N124" s="23"/>
      <c r="O124" s="23"/>
      <c r="P124" s="23"/>
      <c r="Q124" s="23"/>
      <c r="R124" s="23"/>
      <c r="S124" s="23"/>
      <c r="T124" s="23"/>
      <c r="U124" s="23"/>
      <c r="V124" s="23"/>
      <c r="W124" s="23"/>
      <c r="X124" s="23"/>
      <c r="Y124" s="23"/>
      <c r="Z124" s="23"/>
      <c r="AA124" s="23"/>
      <c r="AB124" s="23"/>
      <c r="AC124" s="23"/>
      <c r="AD124" s="23"/>
      <c r="AE124" s="23"/>
      <c r="AF124" s="23"/>
      <c r="AG124" s="25"/>
      <c r="AH124" s="23"/>
    </row>
    <row r="125" spans="1:34" s="1" customFormat="1" ht="17.399999999999999" customHeight="1" x14ac:dyDescent="0.3">
      <c r="A125" s="21"/>
      <c r="B125" s="32"/>
      <c r="C125" s="28"/>
      <c r="D125" s="28"/>
      <c r="E125" s="27"/>
      <c r="F125" s="29"/>
      <c r="G125" s="29"/>
      <c r="H125" s="33"/>
      <c r="I125" s="24"/>
      <c r="J125" s="34"/>
      <c r="K125" s="29"/>
      <c r="L125" s="33"/>
      <c r="M125" s="23"/>
      <c r="N125" s="23"/>
      <c r="O125" s="23"/>
      <c r="P125" s="23"/>
      <c r="Q125" s="23"/>
      <c r="R125" s="23"/>
      <c r="S125" s="23"/>
      <c r="T125" s="23"/>
      <c r="U125" s="23"/>
      <c r="V125" s="23"/>
      <c r="W125" s="23"/>
      <c r="X125" s="23"/>
      <c r="Y125" s="23"/>
      <c r="Z125" s="23"/>
      <c r="AA125" s="23"/>
      <c r="AB125" s="23"/>
      <c r="AC125" s="23"/>
      <c r="AD125" s="23"/>
      <c r="AE125" s="23"/>
      <c r="AF125" s="23"/>
      <c r="AG125" s="25"/>
      <c r="AH125" s="23"/>
    </row>
    <row r="126" spans="1:34" s="1" customFormat="1" ht="13.2" customHeight="1" x14ac:dyDescent="0.3">
      <c r="A126" s="26"/>
      <c r="B126" s="27"/>
      <c r="C126" s="28"/>
      <c r="D126" s="28"/>
      <c r="E126" s="27"/>
      <c r="F126" s="29"/>
      <c r="G126" s="29"/>
      <c r="H126" s="29"/>
      <c r="I126" s="30"/>
      <c r="J126" s="29"/>
      <c r="K126" s="29"/>
      <c r="L126" s="29"/>
      <c r="M126" s="29"/>
      <c r="N126" s="29"/>
      <c r="O126" s="29"/>
      <c r="P126" s="29"/>
      <c r="Q126" s="29"/>
      <c r="R126" s="29"/>
      <c r="S126" s="29"/>
      <c r="T126" s="29"/>
      <c r="U126" s="29"/>
      <c r="V126" s="29"/>
      <c r="W126" s="29"/>
      <c r="X126" s="29"/>
      <c r="Y126" s="29"/>
      <c r="Z126" s="29"/>
      <c r="AA126" s="29"/>
      <c r="AB126" s="29"/>
      <c r="AC126" s="29"/>
      <c r="AD126" s="29"/>
      <c r="AE126" s="29"/>
      <c r="AF126" s="29"/>
      <c r="AG126" s="31"/>
      <c r="AH126" s="29"/>
    </row>
    <row r="127" spans="1:34" s="1" customFormat="1" x14ac:dyDescent="0.3">
      <c r="A127" s="26"/>
      <c r="B127" s="27"/>
      <c r="C127" s="28"/>
      <c r="D127" s="28"/>
      <c r="E127" s="27"/>
      <c r="F127" s="29"/>
      <c r="G127" s="29"/>
      <c r="H127" s="29"/>
      <c r="I127" s="30"/>
      <c r="J127" s="29"/>
      <c r="K127" s="29"/>
      <c r="L127" s="29"/>
      <c r="M127" s="29"/>
      <c r="N127" s="29"/>
      <c r="O127" s="29"/>
      <c r="P127" s="29"/>
      <c r="Q127" s="29"/>
      <c r="R127" s="29"/>
      <c r="S127" s="29"/>
      <c r="T127" s="29"/>
      <c r="U127" s="29"/>
      <c r="V127" s="29"/>
      <c r="W127" s="29"/>
      <c r="X127" s="29"/>
      <c r="Y127" s="29"/>
      <c r="Z127" s="29"/>
      <c r="AA127" s="29"/>
      <c r="AB127" s="36"/>
      <c r="AC127" s="29"/>
      <c r="AD127" s="29"/>
      <c r="AE127" s="29"/>
      <c r="AF127" s="29"/>
      <c r="AG127" s="31"/>
      <c r="AH127" s="29"/>
    </row>
    <row r="128" spans="1:34" s="1" customFormat="1" ht="13.2" customHeight="1" x14ac:dyDescent="0.3">
      <c r="A128" s="21"/>
      <c r="B128" s="20"/>
      <c r="C128" s="22"/>
      <c r="D128" s="22"/>
      <c r="E128" s="20"/>
      <c r="F128" s="23"/>
      <c r="G128" s="23"/>
      <c r="H128" s="23"/>
      <c r="I128" s="24"/>
      <c r="J128" s="23"/>
      <c r="K128" s="23"/>
      <c r="L128" s="23"/>
      <c r="M128" s="23"/>
      <c r="N128" s="23"/>
      <c r="O128" s="23"/>
      <c r="P128" s="23"/>
      <c r="Q128" s="23"/>
      <c r="R128" s="23"/>
      <c r="S128" s="23"/>
      <c r="T128" s="23"/>
      <c r="U128" s="23"/>
      <c r="V128" s="23"/>
      <c r="W128" s="23"/>
      <c r="X128" s="23"/>
      <c r="Y128" s="23"/>
      <c r="Z128" s="23"/>
      <c r="AA128" s="23"/>
      <c r="AB128" s="23"/>
      <c r="AC128" s="23"/>
      <c r="AD128" s="23"/>
      <c r="AE128" s="23"/>
      <c r="AF128" s="23"/>
      <c r="AG128" s="25"/>
      <c r="AH128" s="23"/>
    </row>
    <row r="129" spans="1:34" s="1" customFormat="1" ht="17.399999999999999" customHeight="1" x14ac:dyDescent="0.3">
      <c r="A129" s="21"/>
      <c r="B129" s="32"/>
      <c r="C129" s="28"/>
      <c r="D129" s="28"/>
      <c r="E129" s="27"/>
      <c r="F129" s="29"/>
      <c r="G129" s="29"/>
      <c r="H129" s="33"/>
      <c r="I129" s="23"/>
      <c r="J129" s="34"/>
      <c r="K129" s="29"/>
      <c r="L129" s="33"/>
      <c r="M129" s="23"/>
      <c r="N129" s="23"/>
      <c r="O129" s="23"/>
      <c r="P129" s="23"/>
      <c r="Q129" s="23"/>
      <c r="R129" s="23"/>
      <c r="S129" s="23"/>
      <c r="T129" s="23"/>
      <c r="U129" s="23"/>
      <c r="V129" s="23"/>
      <c r="W129" s="23"/>
      <c r="X129" s="23"/>
      <c r="Y129" s="23"/>
      <c r="Z129" s="23"/>
      <c r="AA129" s="23"/>
      <c r="AB129" s="23"/>
      <c r="AC129" s="23"/>
      <c r="AD129" s="23"/>
      <c r="AE129" s="23"/>
      <c r="AF129" s="23"/>
      <c r="AG129" s="25"/>
      <c r="AH129" s="23"/>
    </row>
    <row r="130" spans="1:34" s="1" customFormat="1" ht="13.2" customHeight="1" x14ac:dyDescent="0.3">
      <c r="A130" s="26"/>
      <c r="B130" s="27"/>
      <c r="C130" s="28"/>
      <c r="D130" s="28"/>
      <c r="E130" s="27"/>
      <c r="F130" s="29"/>
      <c r="G130" s="29"/>
      <c r="H130" s="29"/>
      <c r="I130" s="30"/>
      <c r="J130" s="29"/>
      <c r="K130" s="29"/>
      <c r="L130" s="29"/>
      <c r="M130" s="29"/>
      <c r="N130" s="29"/>
      <c r="O130" s="29"/>
      <c r="P130" s="29"/>
      <c r="Q130" s="29"/>
      <c r="R130" s="29"/>
      <c r="S130" s="29"/>
      <c r="T130" s="29"/>
      <c r="U130" s="29"/>
      <c r="V130" s="29"/>
      <c r="W130" s="29"/>
      <c r="X130" s="29"/>
      <c r="Y130" s="29"/>
      <c r="Z130" s="29"/>
      <c r="AA130" s="29"/>
      <c r="AB130" s="29"/>
      <c r="AC130" s="29"/>
      <c r="AD130" s="29"/>
      <c r="AE130" s="29"/>
      <c r="AF130" s="29"/>
      <c r="AG130" s="31"/>
      <c r="AH130" s="29"/>
    </row>
    <row r="131" spans="1:34" s="1" customFormat="1" x14ac:dyDescent="0.3">
      <c r="A131" s="26"/>
      <c r="B131" s="27"/>
      <c r="C131" s="28"/>
      <c r="D131" s="28"/>
      <c r="E131" s="27"/>
      <c r="F131" s="29"/>
      <c r="G131" s="29"/>
      <c r="H131" s="29"/>
      <c r="I131" s="30"/>
      <c r="J131" s="29"/>
      <c r="K131" s="29"/>
      <c r="L131" s="29"/>
      <c r="M131" s="29"/>
      <c r="N131" s="29"/>
      <c r="O131" s="29"/>
      <c r="P131" s="29"/>
      <c r="Q131" s="29"/>
      <c r="R131" s="29"/>
      <c r="S131" s="29"/>
      <c r="T131" s="29"/>
      <c r="U131" s="29"/>
      <c r="V131" s="29"/>
      <c r="W131" s="29"/>
      <c r="X131" s="29"/>
      <c r="Y131" s="29"/>
      <c r="Z131" s="29"/>
      <c r="AA131" s="29"/>
      <c r="AB131" s="29"/>
      <c r="AC131" s="29"/>
      <c r="AD131" s="29"/>
      <c r="AE131" s="29"/>
      <c r="AF131" s="29"/>
      <c r="AG131" s="31"/>
      <c r="AH131" s="29"/>
    </row>
    <row r="132" spans="1:34" s="1" customFormat="1" ht="13.2" customHeight="1" x14ac:dyDescent="0.3">
      <c r="A132" s="21"/>
      <c r="B132" s="20"/>
      <c r="C132" s="22"/>
      <c r="D132" s="22"/>
      <c r="E132" s="20"/>
      <c r="F132" s="23"/>
      <c r="G132" s="23"/>
      <c r="H132" s="23"/>
      <c r="I132" s="24"/>
      <c r="J132" s="23"/>
      <c r="K132" s="23"/>
      <c r="L132" s="23"/>
      <c r="M132" s="23"/>
      <c r="N132" s="23"/>
      <c r="O132" s="23"/>
      <c r="P132" s="23"/>
      <c r="Q132" s="23"/>
      <c r="R132" s="23"/>
      <c r="S132" s="23"/>
      <c r="T132" s="23"/>
      <c r="U132" s="23"/>
      <c r="V132" s="23"/>
      <c r="W132" s="23"/>
      <c r="X132" s="23"/>
      <c r="Y132" s="23"/>
      <c r="Z132" s="23"/>
      <c r="AA132" s="23"/>
      <c r="AB132" s="23"/>
      <c r="AC132" s="23"/>
      <c r="AD132" s="23"/>
      <c r="AE132" s="23"/>
      <c r="AF132" s="23"/>
      <c r="AG132" s="25"/>
      <c r="AH132" s="23"/>
    </row>
    <row r="133" spans="1:34" s="1" customFormat="1" ht="13.2" customHeight="1" x14ac:dyDescent="0.3">
      <c r="A133" s="21"/>
      <c r="B133" s="20"/>
      <c r="C133" s="22"/>
      <c r="D133" s="22"/>
      <c r="E133" s="20"/>
      <c r="F133" s="23"/>
      <c r="G133" s="23"/>
      <c r="H133" s="23"/>
      <c r="I133" s="23"/>
      <c r="J133" s="23"/>
      <c r="K133" s="23"/>
      <c r="L133" s="23"/>
      <c r="M133" s="23"/>
      <c r="N133" s="23"/>
      <c r="O133" s="23"/>
      <c r="P133" s="23"/>
      <c r="Q133" s="23"/>
      <c r="R133" s="23"/>
      <c r="S133" s="23"/>
      <c r="T133" s="23"/>
      <c r="U133" s="23"/>
      <c r="V133" s="23"/>
      <c r="W133" s="23"/>
      <c r="X133" s="23"/>
      <c r="Y133" s="23"/>
      <c r="Z133" s="23"/>
      <c r="AA133" s="23"/>
      <c r="AB133" s="23"/>
      <c r="AC133" s="23"/>
      <c r="AD133" s="23"/>
      <c r="AE133" s="23"/>
      <c r="AF133" s="23"/>
      <c r="AG133" s="25"/>
      <c r="AH133" s="23"/>
    </row>
    <row r="134" spans="1:34" s="1" customFormat="1" ht="13.2" customHeight="1" x14ac:dyDescent="0.3">
      <c r="A134" s="21"/>
      <c r="B134" s="20"/>
      <c r="C134" s="22"/>
      <c r="D134" s="22"/>
      <c r="E134" s="20"/>
      <c r="F134" s="23"/>
      <c r="G134" s="23"/>
      <c r="H134" s="23"/>
      <c r="I134" s="24"/>
      <c r="J134" s="23"/>
      <c r="K134" s="23"/>
      <c r="L134" s="23"/>
      <c r="M134" s="23"/>
      <c r="N134" s="23"/>
      <c r="O134" s="23"/>
      <c r="P134" s="23"/>
      <c r="Q134" s="23"/>
      <c r="R134" s="23"/>
      <c r="S134" s="23"/>
      <c r="T134" s="23"/>
      <c r="U134" s="23"/>
      <c r="V134" s="23"/>
      <c r="W134" s="23"/>
      <c r="X134" s="23"/>
      <c r="Y134" s="23"/>
      <c r="Z134" s="23"/>
      <c r="AA134" s="23"/>
      <c r="AB134" s="23"/>
      <c r="AC134" s="23"/>
      <c r="AD134" s="23"/>
      <c r="AE134" s="23"/>
      <c r="AF134" s="23"/>
      <c r="AG134" s="25"/>
      <c r="AH134" s="23"/>
    </row>
    <row r="135" spans="1:34" s="1" customFormat="1" ht="13.2" customHeight="1" x14ac:dyDescent="0.3">
      <c r="A135" s="21"/>
      <c r="B135" s="20"/>
      <c r="C135" s="22"/>
      <c r="D135" s="22"/>
      <c r="E135" s="20"/>
      <c r="F135" s="23"/>
      <c r="G135" s="23"/>
      <c r="H135" s="23"/>
      <c r="I135" s="23"/>
      <c r="J135" s="23"/>
      <c r="K135" s="23"/>
      <c r="L135" s="23"/>
      <c r="M135" s="23"/>
      <c r="N135" s="23"/>
      <c r="O135" s="23"/>
      <c r="P135" s="23"/>
      <c r="Q135" s="23"/>
      <c r="R135" s="23"/>
      <c r="S135" s="23"/>
      <c r="T135" s="23"/>
      <c r="U135" s="23"/>
      <c r="V135" s="23"/>
      <c r="W135" s="23"/>
      <c r="X135" s="23"/>
      <c r="Y135" s="23"/>
      <c r="Z135" s="23"/>
      <c r="AA135" s="23"/>
      <c r="AB135" s="23"/>
      <c r="AC135" s="23"/>
      <c r="AD135" s="23"/>
      <c r="AE135" s="23"/>
      <c r="AF135" s="23"/>
      <c r="AG135" s="25"/>
      <c r="AH135" s="23"/>
    </row>
    <row r="136" spans="1:34" s="1" customFormat="1" ht="13.2" customHeight="1" x14ac:dyDescent="0.3">
      <c r="A136" s="21"/>
      <c r="B136" s="20"/>
      <c r="C136" s="22"/>
      <c r="D136" s="22"/>
      <c r="E136" s="20"/>
      <c r="F136" s="23"/>
      <c r="G136" s="23"/>
      <c r="H136" s="23"/>
      <c r="I136" s="24"/>
      <c r="J136" s="23"/>
      <c r="K136" s="23"/>
      <c r="L136" s="23"/>
      <c r="M136" s="23"/>
      <c r="N136" s="23"/>
      <c r="O136" s="23"/>
      <c r="P136" s="23"/>
      <c r="Q136" s="23"/>
      <c r="R136" s="23"/>
      <c r="S136" s="23"/>
      <c r="T136" s="23"/>
      <c r="U136" s="23"/>
      <c r="V136" s="23"/>
      <c r="W136" s="23"/>
      <c r="X136" s="23"/>
      <c r="Y136" s="23"/>
      <c r="Z136" s="23"/>
      <c r="AA136" s="23"/>
      <c r="AB136" s="23"/>
      <c r="AC136" s="23"/>
      <c r="AD136" s="23"/>
      <c r="AE136" s="23"/>
      <c r="AF136" s="23"/>
      <c r="AG136" s="25"/>
      <c r="AH136" s="23"/>
    </row>
    <row r="137" spans="1:34" s="1" customFormat="1" ht="13.2" customHeight="1" x14ac:dyDescent="0.3">
      <c r="A137" s="21"/>
      <c r="B137" s="20"/>
      <c r="C137" s="22"/>
      <c r="D137" s="22"/>
      <c r="E137" s="20"/>
      <c r="F137" s="23"/>
      <c r="G137" s="23"/>
      <c r="H137" s="23"/>
      <c r="I137" s="24"/>
      <c r="J137" s="23"/>
      <c r="K137" s="23"/>
      <c r="L137" s="23"/>
      <c r="M137" s="23"/>
      <c r="N137" s="23"/>
      <c r="O137" s="23"/>
      <c r="P137" s="23"/>
      <c r="Q137" s="23"/>
      <c r="R137" s="23"/>
      <c r="S137" s="23"/>
      <c r="T137" s="23"/>
      <c r="U137" s="23"/>
      <c r="V137" s="23"/>
      <c r="W137" s="23"/>
      <c r="X137" s="23"/>
      <c r="Y137" s="23"/>
      <c r="Z137" s="23"/>
      <c r="AA137" s="23"/>
      <c r="AB137" s="23"/>
      <c r="AC137" s="23"/>
      <c r="AD137" s="23"/>
      <c r="AE137" s="23"/>
      <c r="AF137" s="23"/>
      <c r="AG137" s="25"/>
      <c r="AH137" s="23"/>
    </row>
    <row r="138" spans="1:34" s="1" customFormat="1" ht="13.2" customHeight="1" x14ac:dyDescent="0.3">
      <c r="A138" s="21"/>
      <c r="B138" s="20"/>
      <c r="C138" s="22"/>
      <c r="D138" s="22"/>
      <c r="E138" s="20"/>
      <c r="F138" s="23"/>
      <c r="G138" s="23"/>
      <c r="H138" s="23"/>
      <c r="I138" s="24"/>
      <c r="J138" s="23"/>
      <c r="K138" s="23"/>
      <c r="L138" s="23"/>
      <c r="M138" s="23"/>
      <c r="N138" s="23"/>
      <c r="O138" s="23"/>
      <c r="P138" s="23"/>
      <c r="Q138" s="23"/>
      <c r="R138" s="23"/>
      <c r="S138" s="23"/>
      <c r="T138" s="23"/>
      <c r="U138" s="23"/>
      <c r="V138" s="23"/>
      <c r="W138" s="23"/>
      <c r="X138" s="23"/>
      <c r="Y138" s="23"/>
      <c r="Z138" s="23"/>
      <c r="AA138" s="23"/>
      <c r="AB138" s="23"/>
      <c r="AC138" s="23"/>
      <c r="AD138" s="23"/>
      <c r="AE138" s="23"/>
      <c r="AF138" s="23"/>
      <c r="AG138" s="25"/>
      <c r="AH138" s="23"/>
    </row>
    <row r="139" spans="1:34" s="1" customFormat="1" ht="13.2" customHeight="1" x14ac:dyDescent="0.3">
      <c r="A139" s="21"/>
      <c r="B139" s="20"/>
      <c r="C139" s="22"/>
      <c r="D139" s="22"/>
      <c r="E139" s="20"/>
      <c r="F139" s="23"/>
      <c r="G139" s="23"/>
      <c r="H139" s="23"/>
      <c r="I139" s="24"/>
      <c r="J139" s="23"/>
      <c r="K139" s="23"/>
      <c r="L139" s="23"/>
      <c r="M139" s="23"/>
      <c r="N139" s="23"/>
      <c r="O139" s="23"/>
      <c r="P139" s="23"/>
      <c r="Q139" s="23"/>
      <c r="R139" s="23"/>
      <c r="S139" s="23"/>
      <c r="T139" s="23"/>
      <c r="U139" s="23"/>
      <c r="V139" s="23"/>
      <c r="W139" s="23"/>
      <c r="X139" s="23"/>
      <c r="Y139" s="23"/>
      <c r="Z139" s="23"/>
      <c r="AA139" s="23"/>
      <c r="AB139" s="23"/>
      <c r="AC139" s="23"/>
      <c r="AD139" s="23"/>
      <c r="AE139" s="23"/>
      <c r="AF139" s="23"/>
      <c r="AG139" s="25"/>
      <c r="AH139" s="23"/>
    </row>
    <row r="140" spans="1:34" s="1" customFormat="1" ht="13.2" customHeight="1" x14ac:dyDescent="0.3">
      <c r="A140" s="21"/>
      <c r="B140" s="20"/>
      <c r="C140" s="22"/>
      <c r="D140" s="22"/>
      <c r="E140" s="20"/>
      <c r="F140" s="23"/>
      <c r="G140" s="23"/>
      <c r="H140" s="23"/>
      <c r="I140" s="24"/>
      <c r="J140" s="23"/>
      <c r="K140" s="23"/>
      <c r="L140" s="23"/>
      <c r="M140" s="23"/>
      <c r="N140" s="23"/>
      <c r="O140" s="23"/>
      <c r="P140" s="23"/>
      <c r="Q140" s="23"/>
      <c r="R140" s="23"/>
      <c r="S140" s="23"/>
      <c r="T140" s="23"/>
      <c r="U140" s="23"/>
      <c r="V140" s="23"/>
      <c r="W140" s="23"/>
      <c r="X140" s="23"/>
      <c r="Y140" s="23"/>
      <c r="Z140" s="23"/>
      <c r="AA140" s="23"/>
      <c r="AB140" s="23"/>
      <c r="AC140" s="23"/>
      <c r="AD140" s="23"/>
      <c r="AE140" s="23"/>
      <c r="AF140" s="23"/>
      <c r="AG140" s="25"/>
      <c r="AH140" s="23"/>
    </row>
    <row r="141" spans="1:34" s="1" customFormat="1" ht="13.2" customHeight="1" x14ac:dyDescent="0.3">
      <c r="A141" s="21"/>
      <c r="B141" s="20"/>
      <c r="C141" s="22"/>
      <c r="D141" s="22"/>
      <c r="E141" s="20"/>
      <c r="F141" s="23"/>
      <c r="G141" s="23"/>
      <c r="H141" s="23"/>
      <c r="I141" s="23"/>
      <c r="J141" s="23"/>
      <c r="K141" s="23"/>
      <c r="L141" s="23"/>
      <c r="M141" s="23"/>
      <c r="N141" s="23"/>
      <c r="O141" s="23"/>
      <c r="P141" s="23"/>
      <c r="Q141" s="23"/>
      <c r="R141" s="23"/>
      <c r="S141" s="23"/>
      <c r="T141" s="23"/>
      <c r="U141" s="23"/>
      <c r="V141" s="23"/>
      <c r="W141" s="23"/>
      <c r="X141" s="23"/>
      <c r="Y141" s="23"/>
      <c r="Z141" s="23"/>
      <c r="AA141" s="23"/>
      <c r="AB141" s="23"/>
      <c r="AC141" s="23"/>
      <c r="AD141" s="23"/>
      <c r="AE141" s="23"/>
      <c r="AF141" s="23"/>
      <c r="AG141" s="25"/>
      <c r="AH141" s="23"/>
    </row>
    <row r="142" spans="1:34" s="1" customFormat="1" ht="13.2" customHeight="1" x14ac:dyDescent="0.3">
      <c r="A142" s="21"/>
      <c r="B142" s="20"/>
      <c r="C142" s="22"/>
      <c r="D142" s="22"/>
      <c r="E142" s="20"/>
      <c r="F142" s="23"/>
      <c r="G142" s="23"/>
      <c r="H142" s="23"/>
      <c r="I142" s="24"/>
      <c r="J142" s="23"/>
      <c r="K142" s="23"/>
      <c r="L142" s="23"/>
      <c r="M142" s="23"/>
      <c r="N142" s="23"/>
      <c r="O142" s="23"/>
      <c r="P142" s="23"/>
      <c r="Q142" s="23"/>
      <c r="R142" s="23"/>
      <c r="S142" s="23"/>
      <c r="T142" s="23"/>
      <c r="U142" s="23"/>
      <c r="V142" s="23"/>
      <c r="W142" s="23"/>
      <c r="X142" s="23"/>
      <c r="Y142" s="23"/>
      <c r="Z142" s="23"/>
      <c r="AA142" s="23"/>
      <c r="AB142" s="23"/>
      <c r="AC142" s="23"/>
      <c r="AD142" s="23"/>
      <c r="AE142" s="23"/>
      <c r="AF142" s="23"/>
      <c r="AG142" s="25"/>
      <c r="AH142" s="23"/>
    </row>
    <row r="143" spans="1:34" s="1" customFormat="1" ht="13.2" customHeight="1" x14ac:dyDescent="0.3">
      <c r="A143" s="21"/>
      <c r="B143" s="20"/>
      <c r="C143" s="22"/>
      <c r="D143" s="22"/>
      <c r="E143" s="20"/>
      <c r="F143" s="23"/>
      <c r="G143" s="23"/>
      <c r="H143" s="23"/>
      <c r="I143" s="24"/>
      <c r="J143" s="23"/>
      <c r="K143" s="23"/>
      <c r="L143" s="23"/>
      <c r="M143" s="23"/>
      <c r="N143" s="23"/>
      <c r="O143" s="23"/>
      <c r="P143" s="23"/>
      <c r="Q143" s="23"/>
      <c r="R143" s="23"/>
      <c r="S143" s="23"/>
      <c r="T143" s="23"/>
      <c r="U143" s="23"/>
      <c r="V143" s="23"/>
      <c r="W143" s="23"/>
      <c r="X143" s="23"/>
      <c r="Y143" s="23"/>
      <c r="Z143" s="23"/>
      <c r="AA143" s="23"/>
      <c r="AB143" s="23"/>
      <c r="AC143" s="23"/>
      <c r="AD143" s="23"/>
      <c r="AE143" s="23"/>
      <c r="AF143" s="23"/>
      <c r="AG143" s="25"/>
      <c r="AH143" s="23"/>
    </row>
    <row r="144" spans="1:34" s="1" customFormat="1" ht="13.2" customHeight="1" x14ac:dyDescent="0.3">
      <c r="A144" s="21"/>
      <c r="B144" s="20"/>
      <c r="C144" s="22"/>
      <c r="D144" s="22"/>
      <c r="E144" s="20"/>
      <c r="F144" s="23"/>
      <c r="G144" s="23"/>
      <c r="H144" s="23"/>
      <c r="I144" s="24"/>
      <c r="J144" s="23"/>
      <c r="K144" s="23"/>
      <c r="L144" s="23"/>
      <c r="M144" s="23"/>
      <c r="N144" s="23"/>
      <c r="O144" s="23"/>
      <c r="P144" s="23"/>
      <c r="Q144" s="23"/>
      <c r="R144" s="23"/>
      <c r="S144" s="23"/>
      <c r="T144" s="23"/>
      <c r="U144" s="23"/>
      <c r="V144" s="23"/>
      <c r="W144" s="23"/>
      <c r="X144" s="23"/>
      <c r="Y144" s="23"/>
      <c r="Z144" s="23"/>
      <c r="AA144" s="23"/>
      <c r="AB144" s="23"/>
      <c r="AC144" s="23"/>
      <c r="AD144" s="23"/>
      <c r="AE144" s="23"/>
      <c r="AF144" s="23"/>
      <c r="AG144" s="25"/>
      <c r="AH144" s="23"/>
    </row>
    <row r="145" spans="1:34" s="1" customFormat="1" ht="13.2" customHeight="1" x14ac:dyDescent="0.3">
      <c r="A145" s="21"/>
      <c r="B145" s="20"/>
      <c r="C145" s="22"/>
      <c r="D145" s="22"/>
      <c r="E145" s="20"/>
      <c r="F145" s="23"/>
      <c r="G145" s="23"/>
      <c r="H145" s="23"/>
      <c r="I145" s="24"/>
      <c r="J145" s="23"/>
      <c r="K145" s="23"/>
      <c r="L145" s="23"/>
      <c r="M145" s="23"/>
      <c r="N145" s="23"/>
      <c r="O145" s="23"/>
      <c r="P145" s="23"/>
      <c r="Q145" s="23"/>
      <c r="R145" s="23"/>
      <c r="S145" s="23"/>
      <c r="T145" s="23"/>
      <c r="U145" s="23"/>
      <c r="V145" s="23"/>
      <c r="W145" s="23"/>
      <c r="X145" s="23"/>
      <c r="Y145" s="23"/>
      <c r="Z145" s="23"/>
      <c r="AA145" s="23"/>
      <c r="AB145" s="23"/>
      <c r="AC145" s="23"/>
      <c r="AD145" s="23"/>
      <c r="AE145" s="23"/>
      <c r="AF145" s="23"/>
      <c r="AG145" s="25"/>
      <c r="AH145" s="23"/>
    </row>
    <row r="146" spans="1:34" s="1" customFormat="1" ht="13.2" customHeight="1" x14ac:dyDescent="0.3">
      <c r="A146" s="21"/>
      <c r="B146" s="20"/>
      <c r="C146" s="22"/>
      <c r="D146" s="22"/>
      <c r="E146" s="20"/>
      <c r="F146" s="23"/>
      <c r="G146" s="23"/>
      <c r="H146" s="23"/>
      <c r="I146" s="24"/>
      <c r="J146" s="23"/>
      <c r="K146" s="23"/>
      <c r="L146" s="23"/>
      <c r="M146" s="23"/>
      <c r="N146" s="23"/>
      <c r="O146" s="23"/>
      <c r="P146" s="23"/>
      <c r="Q146" s="23"/>
      <c r="R146" s="23"/>
      <c r="S146" s="23"/>
      <c r="T146" s="23"/>
      <c r="U146" s="23"/>
      <c r="V146" s="23"/>
      <c r="W146" s="23"/>
      <c r="X146" s="23"/>
      <c r="Y146" s="23"/>
      <c r="Z146" s="23"/>
      <c r="AA146" s="23"/>
      <c r="AB146" s="23"/>
      <c r="AC146" s="23"/>
      <c r="AD146" s="23"/>
      <c r="AE146" s="23"/>
      <c r="AF146" s="23"/>
      <c r="AG146" s="25"/>
      <c r="AH146" s="23"/>
    </row>
    <row r="147" spans="1:34" s="1" customFormat="1" ht="13.2" customHeight="1" x14ac:dyDescent="0.3">
      <c r="A147" s="21"/>
      <c r="B147" s="20"/>
      <c r="C147" s="22"/>
      <c r="D147" s="22"/>
      <c r="E147" s="20"/>
      <c r="F147" s="23"/>
      <c r="G147" s="23"/>
      <c r="H147" s="23"/>
      <c r="I147" s="24"/>
      <c r="J147" s="23"/>
      <c r="K147" s="23"/>
      <c r="L147" s="23"/>
      <c r="M147" s="23"/>
      <c r="N147" s="23"/>
      <c r="O147" s="23"/>
      <c r="P147" s="23"/>
      <c r="Q147" s="23"/>
      <c r="R147" s="23"/>
      <c r="S147" s="23"/>
      <c r="T147" s="23"/>
      <c r="U147" s="23"/>
      <c r="V147" s="23"/>
      <c r="W147" s="23"/>
      <c r="X147" s="23"/>
      <c r="Y147" s="23"/>
      <c r="Z147" s="23"/>
      <c r="AA147" s="23"/>
      <c r="AB147" s="23"/>
      <c r="AC147" s="23"/>
      <c r="AD147" s="23"/>
      <c r="AE147" s="23"/>
      <c r="AF147" s="23"/>
      <c r="AG147" s="25"/>
      <c r="AH147" s="23"/>
    </row>
    <row r="148" spans="1:34" s="1" customFormat="1" ht="13.2" customHeight="1" x14ac:dyDescent="0.3">
      <c r="A148" s="21"/>
      <c r="B148" s="20"/>
      <c r="C148" s="22"/>
      <c r="D148" s="22"/>
      <c r="E148" s="20"/>
      <c r="F148" s="23"/>
      <c r="G148" s="23"/>
      <c r="H148" s="23"/>
      <c r="I148" s="24"/>
      <c r="J148" s="23"/>
      <c r="K148" s="23"/>
      <c r="L148" s="23"/>
      <c r="M148" s="23"/>
      <c r="N148" s="23"/>
      <c r="O148" s="23"/>
      <c r="P148" s="23"/>
      <c r="Q148" s="23"/>
      <c r="R148" s="23"/>
      <c r="S148" s="23"/>
      <c r="T148" s="23"/>
      <c r="U148" s="23"/>
      <c r="V148" s="23"/>
      <c r="W148" s="23"/>
      <c r="X148" s="23"/>
      <c r="Y148" s="23"/>
      <c r="Z148" s="23"/>
      <c r="AA148" s="23"/>
      <c r="AB148" s="23"/>
      <c r="AC148" s="23"/>
      <c r="AD148" s="23"/>
      <c r="AE148" s="23"/>
      <c r="AF148" s="23"/>
      <c r="AG148" s="25"/>
      <c r="AH148" s="23"/>
    </row>
    <row r="149" spans="1:34" s="1" customFormat="1" ht="13.2" customHeight="1" x14ac:dyDescent="0.3">
      <c r="A149" s="21"/>
      <c r="B149" s="20"/>
      <c r="C149" s="22"/>
      <c r="D149" s="22"/>
      <c r="E149" s="20"/>
      <c r="F149" s="23"/>
      <c r="G149" s="23"/>
      <c r="H149" s="23"/>
      <c r="I149" s="24"/>
      <c r="J149" s="23"/>
      <c r="K149" s="23"/>
      <c r="L149" s="23"/>
      <c r="M149" s="23"/>
      <c r="N149" s="23"/>
      <c r="O149" s="23"/>
      <c r="P149" s="23"/>
      <c r="Q149" s="23"/>
      <c r="R149" s="23"/>
      <c r="S149" s="23"/>
      <c r="T149" s="23"/>
      <c r="U149" s="23"/>
      <c r="V149" s="23"/>
      <c r="W149" s="23"/>
      <c r="X149" s="23"/>
      <c r="Y149" s="23"/>
      <c r="Z149" s="23"/>
      <c r="AA149" s="23"/>
      <c r="AB149" s="23"/>
      <c r="AC149" s="23"/>
      <c r="AD149" s="23"/>
      <c r="AE149" s="23"/>
      <c r="AF149" s="23"/>
      <c r="AG149" s="25"/>
      <c r="AH149" s="23"/>
    </row>
    <row r="150" spans="1:34" s="1" customFormat="1" ht="13.2" customHeight="1" x14ac:dyDescent="0.3">
      <c r="A150" s="21"/>
      <c r="B150" s="20"/>
      <c r="C150" s="22"/>
      <c r="D150" s="22"/>
      <c r="E150" s="20"/>
      <c r="F150" s="23"/>
      <c r="G150" s="23"/>
      <c r="H150" s="23"/>
      <c r="I150" s="24"/>
      <c r="J150" s="23"/>
      <c r="K150" s="23"/>
      <c r="L150" s="23"/>
      <c r="M150" s="23"/>
      <c r="N150" s="23"/>
      <c r="O150" s="23"/>
      <c r="P150" s="23"/>
      <c r="Q150" s="23"/>
      <c r="R150" s="23"/>
      <c r="S150" s="23"/>
      <c r="T150" s="23"/>
      <c r="U150" s="23"/>
      <c r="V150" s="23"/>
      <c r="W150" s="23"/>
      <c r="X150" s="23"/>
      <c r="Y150" s="23"/>
      <c r="Z150" s="23"/>
      <c r="AA150" s="23"/>
      <c r="AB150" s="23"/>
      <c r="AC150" s="23"/>
      <c r="AD150" s="23"/>
      <c r="AE150" s="23"/>
      <c r="AF150" s="23"/>
      <c r="AG150" s="25"/>
      <c r="AH150" s="23"/>
    </row>
    <row r="151" spans="1:34" s="1" customFormat="1" ht="13.2" customHeight="1" x14ac:dyDescent="0.3">
      <c r="A151" s="21"/>
      <c r="B151" s="20"/>
      <c r="C151" s="22"/>
      <c r="D151" s="22"/>
      <c r="E151" s="20"/>
      <c r="F151" s="23"/>
      <c r="G151" s="23"/>
      <c r="H151" s="23"/>
      <c r="I151" s="24"/>
      <c r="J151" s="23"/>
      <c r="K151" s="23"/>
      <c r="L151" s="23"/>
      <c r="M151" s="23"/>
      <c r="N151" s="23"/>
      <c r="O151" s="23"/>
      <c r="P151" s="23"/>
      <c r="Q151" s="23"/>
      <c r="R151" s="23"/>
      <c r="S151" s="23"/>
      <c r="T151" s="23"/>
      <c r="U151" s="23"/>
      <c r="V151" s="23"/>
      <c r="W151" s="23"/>
      <c r="X151" s="23"/>
      <c r="Y151" s="23"/>
      <c r="Z151" s="23"/>
      <c r="AA151" s="23"/>
      <c r="AB151" s="23"/>
      <c r="AC151" s="23"/>
      <c r="AD151" s="23"/>
      <c r="AE151" s="23"/>
      <c r="AF151" s="23"/>
      <c r="AG151" s="25"/>
      <c r="AH151" s="23"/>
    </row>
    <row r="152" spans="1:34" s="1" customFormat="1" ht="13.2" customHeight="1" x14ac:dyDescent="0.3">
      <c r="A152" s="21"/>
      <c r="B152" s="20"/>
      <c r="C152" s="22"/>
      <c r="D152" s="22"/>
      <c r="E152" s="20"/>
      <c r="F152" s="23"/>
      <c r="G152" s="23"/>
      <c r="H152" s="23"/>
      <c r="I152" s="24"/>
      <c r="J152" s="23"/>
      <c r="K152" s="23"/>
      <c r="L152" s="23"/>
      <c r="M152" s="23"/>
      <c r="N152" s="23"/>
      <c r="O152" s="23"/>
      <c r="P152" s="23"/>
      <c r="Q152" s="23"/>
      <c r="R152" s="23"/>
      <c r="S152" s="23"/>
      <c r="T152" s="23"/>
      <c r="U152" s="23"/>
      <c r="V152" s="23"/>
      <c r="W152" s="23"/>
      <c r="X152" s="23"/>
      <c r="Y152" s="23"/>
      <c r="Z152" s="23"/>
      <c r="AA152" s="23"/>
      <c r="AB152" s="23"/>
      <c r="AC152" s="23"/>
      <c r="AD152" s="23"/>
      <c r="AE152" s="23"/>
      <c r="AF152" s="23"/>
      <c r="AG152" s="25"/>
      <c r="AH152" s="23"/>
    </row>
    <row r="153" spans="1:34" s="1" customFormat="1" ht="13.2" customHeight="1" x14ac:dyDescent="0.3">
      <c r="A153" s="21"/>
      <c r="B153" s="20"/>
      <c r="C153" s="22"/>
      <c r="D153" s="22"/>
      <c r="E153" s="20"/>
      <c r="F153" s="23"/>
      <c r="G153" s="23"/>
      <c r="H153" s="23"/>
      <c r="I153" s="24"/>
      <c r="J153" s="23"/>
      <c r="K153" s="23"/>
      <c r="L153" s="23"/>
      <c r="M153" s="23"/>
      <c r="N153" s="23"/>
      <c r="O153" s="23"/>
      <c r="P153" s="23"/>
      <c r="Q153" s="23"/>
      <c r="R153" s="23"/>
      <c r="S153" s="23"/>
      <c r="T153" s="23"/>
      <c r="U153" s="23"/>
      <c r="V153" s="23"/>
      <c r="W153" s="23"/>
      <c r="X153" s="23"/>
      <c r="Y153" s="23"/>
      <c r="Z153" s="23"/>
      <c r="AA153" s="23"/>
      <c r="AB153" s="23"/>
      <c r="AC153" s="23"/>
      <c r="AD153" s="23"/>
      <c r="AE153" s="23"/>
      <c r="AF153" s="23"/>
      <c r="AG153" s="25"/>
      <c r="AH153" s="23"/>
    </row>
    <row r="154" spans="1:34" s="1" customFormat="1" ht="13.2" customHeight="1" x14ac:dyDescent="0.3">
      <c r="A154" s="21"/>
      <c r="B154" s="20"/>
      <c r="C154" s="22"/>
      <c r="D154" s="22"/>
      <c r="E154" s="20"/>
      <c r="F154" s="23"/>
      <c r="G154" s="23"/>
      <c r="H154" s="23"/>
      <c r="I154" s="24"/>
      <c r="J154" s="23"/>
      <c r="K154" s="23"/>
      <c r="L154" s="23"/>
      <c r="M154" s="23"/>
      <c r="N154" s="23"/>
      <c r="O154" s="23"/>
      <c r="P154" s="23"/>
      <c r="Q154" s="23"/>
      <c r="R154" s="23"/>
      <c r="S154" s="23"/>
      <c r="T154" s="23"/>
      <c r="U154" s="23"/>
      <c r="V154" s="23"/>
      <c r="W154" s="23"/>
      <c r="X154" s="23"/>
      <c r="Y154" s="23"/>
      <c r="Z154" s="23"/>
      <c r="AA154" s="23"/>
      <c r="AB154" s="23"/>
      <c r="AC154" s="23"/>
      <c r="AD154" s="23"/>
      <c r="AE154" s="23"/>
      <c r="AF154" s="23"/>
      <c r="AG154" s="25"/>
      <c r="AH154" s="23"/>
    </row>
    <row r="155" spans="1:34" s="1" customFormat="1" ht="13.2" customHeight="1" x14ac:dyDescent="0.3">
      <c r="A155" s="21"/>
      <c r="B155" s="20"/>
      <c r="C155" s="22"/>
      <c r="D155" s="22"/>
      <c r="E155" s="20"/>
      <c r="F155" s="23"/>
      <c r="G155" s="23"/>
      <c r="H155" s="23"/>
      <c r="I155" s="24"/>
      <c r="J155" s="23"/>
      <c r="K155" s="23"/>
      <c r="L155" s="23"/>
      <c r="M155" s="23"/>
      <c r="N155" s="23"/>
      <c r="O155" s="23"/>
      <c r="P155" s="23"/>
      <c r="Q155" s="23"/>
      <c r="R155" s="23"/>
      <c r="S155" s="23"/>
      <c r="T155" s="23"/>
      <c r="U155" s="23"/>
      <c r="V155" s="23"/>
      <c r="W155" s="23"/>
      <c r="X155" s="23"/>
      <c r="Y155" s="23"/>
      <c r="Z155" s="23"/>
      <c r="AA155" s="23"/>
      <c r="AB155" s="23"/>
      <c r="AC155" s="23"/>
      <c r="AD155" s="23"/>
      <c r="AE155" s="23"/>
      <c r="AF155" s="23"/>
      <c r="AG155" s="25"/>
      <c r="AH155" s="23"/>
    </row>
    <row r="156" spans="1:34" s="1" customFormat="1" ht="13.2" customHeight="1" x14ac:dyDescent="0.3">
      <c r="A156" s="21"/>
      <c r="B156" s="20"/>
      <c r="C156" s="22"/>
      <c r="D156" s="22"/>
      <c r="E156" s="20"/>
      <c r="F156" s="23"/>
      <c r="G156" s="23"/>
      <c r="H156" s="23"/>
      <c r="I156" s="24"/>
      <c r="J156" s="23"/>
      <c r="K156" s="23"/>
      <c r="L156" s="23"/>
      <c r="M156" s="23"/>
      <c r="N156" s="23"/>
      <c r="O156" s="23"/>
      <c r="P156" s="23"/>
      <c r="Q156" s="23"/>
      <c r="R156" s="23"/>
      <c r="S156" s="23"/>
      <c r="T156" s="23"/>
      <c r="U156" s="23"/>
      <c r="V156" s="23"/>
      <c r="W156" s="23"/>
      <c r="X156" s="23"/>
      <c r="Y156" s="23"/>
      <c r="Z156" s="23"/>
      <c r="AA156" s="23"/>
      <c r="AB156" s="23"/>
      <c r="AC156" s="23"/>
      <c r="AD156" s="23"/>
      <c r="AE156" s="23"/>
      <c r="AF156" s="23"/>
      <c r="AG156" s="25"/>
      <c r="AH156" s="23"/>
    </row>
    <row r="157" spans="1:34" s="1" customFormat="1" ht="13.2" customHeight="1" x14ac:dyDescent="0.3">
      <c r="A157" s="21"/>
      <c r="B157" s="20"/>
      <c r="C157" s="22"/>
      <c r="D157" s="22"/>
      <c r="E157" s="20"/>
      <c r="F157" s="23"/>
      <c r="G157" s="23"/>
      <c r="H157" s="23"/>
      <c r="I157" s="24"/>
      <c r="J157" s="23"/>
      <c r="K157" s="23"/>
      <c r="L157" s="23"/>
      <c r="M157" s="23"/>
      <c r="N157" s="23"/>
      <c r="O157" s="23"/>
      <c r="P157" s="23"/>
      <c r="Q157" s="23"/>
      <c r="R157" s="23"/>
      <c r="S157" s="23"/>
      <c r="T157" s="23"/>
      <c r="U157" s="23"/>
      <c r="V157" s="23"/>
      <c r="W157" s="23"/>
      <c r="X157" s="23"/>
      <c r="Y157" s="23"/>
      <c r="Z157" s="23"/>
      <c r="AA157" s="23"/>
      <c r="AB157" s="23"/>
      <c r="AC157" s="23"/>
      <c r="AD157" s="23"/>
      <c r="AE157" s="23"/>
      <c r="AF157" s="23"/>
      <c r="AG157" s="25"/>
      <c r="AH157" s="23"/>
    </row>
    <row r="158" spans="1:34" s="1" customFormat="1" ht="13.2" customHeight="1" x14ac:dyDescent="0.3">
      <c r="A158" s="21"/>
      <c r="B158" s="20"/>
      <c r="C158" s="22"/>
      <c r="D158" s="22"/>
      <c r="E158" s="20"/>
      <c r="F158" s="23"/>
      <c r="G158" s="23"/>
      <c r="H158" s="23"/>
      <c r="I158" s="24"/>
      <c r="J158" s="23"/>
      <c r="K158" s="23"/>
      <c r="L158" s="23"/>
      <c r="M158" s="23"/>
      <c r="N158" s="23"/>
      <c r="O158" s="23"/>
      <c r="P158" s="23"/>
      <c r="Q158" s="23"/>
      <c r="R158" s="23"/>
      <c r="S158" s="23"/>
      <c r="T158" s="23"/>
      <c r="U158" s="23"/>
      <c r="V158" s="23"/>
      <c r="W158" s="23"/>
      <c r="X158" s="23"/>
      <c r="Y158" s="23"/>
      <c r="Z158" s="23"/>
      <c r="AA158" s="23"/>
      <c r="AB158" s="23"/>
      <c r="AC158" s="23"/>
      <c r="AD158" s="23"/>
      <c r="AE158" s="23"/>
      <c r="AF158" s="23"/>
      <c r="AG158" s="25"/>
      <c r="AH158" s="23"/>
    </row>
    <row r="159" spans="1:34" s="1" customFormat="1" ht="13.2" customHeight="1" x14ac:dyDescent="0.3">
      <c r="A159" s="21"/>
      <c r="B159" s="20"/>
      <c r="C159" s="22"/>
      <c r="D159" s="22"/>
      <c r="E159" s="20"/>
      <c r="F159" s="23"/>
      <c r="G159" s="23"/>
      <c r="H159" s="23"/>
      <c r="I159" s="24"/>
      <c r="J159" s="23"/>
      <c r="K159" s="23"/>
      <c r="L159" s="23"/>
      <c r="M159" s="23"/>
      <c r="N159" s="23"/>
      <c r="O159" s="23"/>
      <c r="P159" s="23"/>
      <c r="Q159" s="23"/>
      <c r="R159" s="23"/>
      <c r="S159" s="23"/>
      <c r="T159" s="23"/>
      <c r="U159" s="23"/>
      <c r="V159" s="23"/>
      <c r="W159" s="23"/>
      <c r="X159" s="23"/>
      <c r="Y159" s="23"/>
      <c r="Z159" s="23"/>
      <c r="AA159" s="23"/>
      <c r="AB159" s="23"/>
      <c r="AC159" s="23"/>
      <c r="AD159" s="23"/>
      <c r="AE159" s="23"/>
      <c r="AF159" s="23"/>
      <c r="AG159" s="25"/>
      <c r="AH159" s="23"/>
    </row>
    <row r="160" spans="1:34" s="1" customFormat="1" ht="13.2" customHeight="1" x14ac:dyDescent="0.3">
      <c r="A160" s="21"/>
      <c r="B160" s="20"/>
      <c r="C160" s="22"/>
      <c r="D160" s="22"/>
      <c r="E160" s="20"/>
      <c r="F160" s="23"/>
      <c r="G160" s="23"/>
      <c r="H160" s="23"/>
      <c r="I160" s="23"/>
      <c r="J160" s="23"/>
      <c r="K160" s="23"/>
      <c r="L160" s="23"/>
      <c r="M160" s="23"/>
      <c r="N160" s="23"/>
      <c r="O160" s="23"/>
      <c r="P160" s="23"/>
      <c r="Q160" s="23"/>
      <c r="R160" s="23"/>
      <c r="S160" s="23"/>
      <c r="T160" s="23"/>
      <c r="U160" s="23"/>
      <c r="V160" s="23"/>
      <c r="W160" s="23"/>
      <c r="X160" s="23"/>
      <c r="Y160" s="23"/>
      <c r="Z160" s="23"/>
      <c r="AA160" s="23"/>
      <c r="AB160" s="35"/>
      <c r="AC160" s="23"/>
      <c r="AD160" s="23"/>
      <c r="AE160" s="23"/>
      <c r="AF160" s="23"/>
      <c r="AG160" s="25"/>
      <c r="AH160" s="23"/>
    </row>
    <row r="161" spans="1:34" s="1" customFormat="1" ht="13.2" customHeight="1" x14ac:dyDescent="0.3">
      <c r="A161" s="21"/>
      <c r="B161" s="20"/>
      <c r="C161" s="22"/>
      <c r="D161" s="22"/>
      <c r="E161" s="20"/>
      <c r="F161" s="23"/>
      <c r="G161" s="23"/>
      <c r="H161" s="23"/>
      <c r="I161" s="23"/>
      <c r="J161" s="23"/>
      <c r="K161" s="23"/>
      <c r="L161" s="23"/>
      <c r="M161" s="23"/>
      <c r="N161" s="23"/>
      <c r="O161" s="23"/>
      <c r="P161" s="23"/>
      <c r="Q161" s="23"/>
      <c r="R161" s="23"/>
      <c r="S161" s="23"/>
      <c r="T161" s="23"/>
      <c r="U161" s="23"/>
      <c r="V161" s="23"/>
      <c r="W161" s="23"/>
      <c r="X161" s="23"/>
      <c r="Y161" s="23"/>
      <c r="Z161" s="23"/>
      <c r="AA161" s="23"/>
      <c r="AB161" s="23"/>
      <c r="AC161" s="23"/>
      <c r="AD161" s="23"/>
      <c r="AE161" s="23"/>
      <c r="AF161" s="23"/>
      <c r="AG161" s="25"/>
      <c r="AH161" s="23"/>
    </row>
    <row r="162" spans="1:34" s="1" customFormat="1" x14ac:dyDescent="0.3">
      <c r="A162" s="26"/>
      <c r="B162" s="27"/>
      <c r="C162" s="28"/>
      <c r="D162" s="28"/>
      <c r="E162" s="27"/>
      <c r="F162" s="29"/>
      <c r="G162" s="29"/>
      <c r="H162" s="29"/>
      <c r="I162" s="30"/>
      <c r="J162" s="29"/>
      <c r="K162" s="29"/>
      <c r="L162" s="29"/>
      <c r="M162" s="29"/>
      <c r="N162" s="29"/>
      <c r="O162" s="29"/>
      <c r="P162" s="29"/>
      <c r="Q162" s="29"/>
      <c r="R162" s="29"/>
      <c r="S162" s="29"/>
      <c r="T162" s="29"/>
      <c r="U162" s="29"/>
      <c r="V162" s="29"/>
      <c r="W162" s="29"/>
      <c r="X162" s="29"/>
      <c r="Y162" s="29"/>
      <c r="Z162" s="29"/>
      <c r="AA162" s="29"/>
      <c r="AB162" s="29"/>
      <c r="AC162" s="29"/>
      <c r="AD162" s="29"/>
      <c r="AE162" s="29"/>
      <c r="AF162" s="29"/>
      <c r="AG162" s="31"/>
      <c r="AH162" s="29"/>
    </row>
    <row r="163" spans="1:34" s="1" customFormat="1" ht="13.2" customHeight="1" x14ac:dyDescent="0.3">
      <c r="A163" s="21"/>
      <c r="B163" s="20"/>
      <c r="C163" s="22"/>
      <c r="D163" s="22"/>
      <c r="E163" s="20"/>
      <c r="F163" s="23"/>
      <c r="G163" s="23"/>
      <c r="H163" s="23"/>
      <c r="I163" s="24"/>
      <c r="J163" s="23"/>
      <c r="K163" s="23"/>
      <c r="L163" s="23"/>
      <c r="M163" s="23"/>
      <c r="N163" s="23"/>
      <c r="O163" s="23"/>
      <c r="P163" s="23"/>
      <c r="Q163" s="23"/>
      <c r="R163" s="23"/>
      <c r="S163" s="23"/>
      <c r="T163" s="23"/>
      <c r="U163" s="23"/>
      <c r="V163" s="23"/>
      <c r="W163" s="23"/>
      <c r="X163" s="23"/>
      <c r="Y163" s="23"/>
      <c r="Z163" s="23"/>
      <c r="AA163" s="23"/>
      <c r="AB163" s="23"/>
      <c r="AC163" s="23"/>
      <c r="AD163" s="23"/>
      <c r="AE163" s="23"/>
      <c r="AF163" s="23"/>
      <c r="AG163" s="25"/>
      <c r="AH163" s="23"/>
    </row>
    <row r="164" spans="1:34" s="1" customFormat="1" ht="17.399999999999999" customHeight="1" x14ac:dyDescent="0.3">
      <c r="A164" s="21"/>
      <c r="B164" s="32"/>
      <c r="C164" s="28"/>
      <c r="D164" s="28"/>
      <c r="E164" s="27"/>
      <c r="F164" s="29"/>
      <c r="G164" s="29"/>
      <c r="H164" s="33"/>
      <c r="I164" s="24"/>
      <c r="J164" s="34"/>
      <c r="K164" s="29"/>
      <c r="L164" s="33"/>
      <c r="M164" s="23"/>
      <c r="N164" s="23"/>
      <c r="O164" s="23"/>
      <c r="P164" s="23"/>
      <c r="Q164" s="23"/>
      <c r="R164" s="23"/>
      <c r="S164" s="23"/>
      <c r="T164" s="23"/>
      <c r="U164" s="23"/>
      <c r="V164" s="23"/>
      <c r="W164" s="23"/>
      <c r="X164" s="23"/>
      <c r="Y164" s="23"/>
      <c r="Z164" s="23"/>
      <c r="AA164" s="23"/>
      <c r="AB164" s="23"/>
      <c r="AC164" s="23"/>
      <c r="AD164" s="23"/>
      <c r="AE164" s="23"/>
      <c r="AF164" s="23"/>
      <c r="AG164" s="25"/>
      <c r="AH164" s="23"/>
    </row>
    <row r="165" spans="1:34" s="1" customFormat="1" ht="13.2" customHeight="1" x14ac:dyDescent="0.3">
      <c r="A165" s="26"/>
      <c r="B165" s="27"/>
      <c r="C165" s="28"/>
      <c r="D165" s="28"/>
      <c r="E165" s="27"/>
      <c r="F165" s="29"/>
      <c r="G165" s="29"/>
      <c r="H165" s="29"/>
      <c r="I165" s="30"/>
      <c r="J165" s="29"/>
      <c r="K165" s="29"/>
      <c r="L165" s="29"/>
      <c r="M165" s="29"/>
      <c r="N165" s="29"/>
      <c r="O165" s="29"/>
      <c r="P165" s="29"/>
      <c r="Q165" s="29"/>
      <c r="R165" s="29"/>
      <c r="S165" s="29"/>
      <c r="T165" s="29"/>
      <c r="U165" s="29"/>
      <c r="V165" s="29"/>
      <c r="W165" s="29"/>
      <c r="X165" s="29"/>
      <c r="Y165" s="29"/>
      <c r="Z165" s="29"/>
      <c r="AA165" s="29"/>
      <c r="AB165" s="29"/>
      <c r="AC165" s="29"/>
      <c r="AD165" s="29"/>
      <c r="AE165" s="29"/>
      <c r="AF165" s="29"/>
      <c r="AG165" s="31"/>
      <c r="AH165" s="29"/>
    </row>
    <row r="166" spans="1:34" s="1" customFormat="1" x14ac:dyDescent="0.3">
      <c r="A166" s="26"/>
      <c r="B166" s="27"/>
      <c r="C166" s="28"/>
      <c r="D166" s="28"/>
      <c r="E166" s="27"/>
      <c r="F166" s="29"/>
      <c r="G166" s="29"/>
      <c r="H166" s="29"/>
      <c r="I166" s="29"/>
      <c r="J166" s="29"/>
      <c r="K166" s="29"/>
      <c r="L166" s="29"/>
      <c r="M166" s="29"/>
      <c r="N166" s="29"/>
      <c r="O166" s="29"/>
      <c r="P166" s="29"/>
      <c r="Q166" s="29"/>
      <c r="R166" s="29"/>
      <c r="S166" s="29"/>
      <c r="T166" s="29"/>
      <c r="U166" s="29"/>
      <c r="V166" s="29"/>
      <c r="W166" s="29"/>
      <c r="X166" s="29"/>
      <c r="Y166" s="29"/>
      <c r="Z166" s="29"/>
      <c r="AA166" s="29"/>
      <c r="AB166" s="29"/>
      <c r="AC166" s="29"/>
      <c r="AD166" s="29"/>
      <c r="AE166" s="29"/>
      <c r="AF166" s="29"/>
      <c r="AG166" s="31"/>
      <c r="AH166" s="29"/>
    </row>
    <row r="167" spans="1:34" s="1" customFormat="1" ht="13.2" customHeight="1" x14ac:dyDescent="0.3">
      <c r="A167" s="21"/>
      <c r="B167" s="20"/>
      <c r="C167" s="22"/>
      <c r="D167" s="22"/>
      <c r="E167" s="20"/>
      <c r="F167" s="23"/>
      <c r="G167" s="23"/>
      <c r="H167" s="23"/>
      <c r="I167" s="24"/>
      <c r="J167" s="23"/>
      <c r="K167" s="23"/>
      <c r="L167" s="23"/>
      <c r="M167" s="23"/>
      <c r="N167" s="23"/>
      <c r="O167" s="23"/>
      <c r="P167" s="23"/>
      <c r="Q167" s="23"/>
      <c r="R167" s="23"/>
      <c r="S167" s="23"/>
      <c r="T167" s="23"/>
      <c r="U167" s="23"/>
      <c r="V167" s="23"/>
      <c r="W167" s="23"/>
      <c r="X167" s="23"/>
      <c r="Y167" s="23"/>
      <c r="Z167" s="23"/>
      <c r="AA167" s="23"/>
      <c r="AB167" s="23"/>
      <c r="AC167" s="23"/>
      <c r="AD167" s="23"/>
      <c r="AE167" s="23"/>
      <c r="AF167" s="23"/>
      <c r="AG167" s="25"/>
      <c r="AH167" s="23"/>
    </row>
    <row r="168" spans="1:34" s="1" customFormat="1" ht="17.399999999999999" customHeight="1" x14ac:dyDescent="0.3">
      <c r="A168" s="21"/>
      <c r="B168" s="32"/>
      <c r="C168" s="28"/>
      <c r="D168" s="28"/>
      <c r="E168" s="27"/>
      <c r="F168" s="29"/>
      <c r="G168" s="29"/>
      <c r="H168" s="33"/>
      <c r="I168" s="23"/>
      <c r="J168" s="34"/>
      <c r="K168" s="29"/>
      <c r="L168" s="33"/>
      <c r="M168" s="23"/>
      <c r="N168" s="23"/>
      <c r="O168" s="23"/>
      <c r="P168" s="23"/>
      <c r="Q168" s="23"/>
      <c r="R168" s="23"/>
      <c r="S168" s="23"/>
      <c r="T168" s="23"/>
      <c r="U168" s="23"/>
      <c r="V168" s="23"/>
      <c r="W168" s="23"/>
      <c r="X168" s="23"/>
      <c r="Y168" s="23"/>
      <c r="Z168" s="23"/>
      <c r="AA168" s="23"/>
      <c r="AB168" s="23"/>
      <c r="AC168" s="23"/>
      <c r="AD168" s="23"/>
      <c r="AE168" s="23"/>
      <c r="AF168" s="23"/>
      <c r="AG168" s="25"/>
      <c r="AH168" s="23"/>
    </row>
    <row r="169" spans="1:34" s="1" customFormat="1" ht="13.2" customHeight="1" x14ac:dyDescent="0.3">
      <c r="A169" s="26"/>
      <c r="B169" s="27"/>
      <c r="C169" s="28"/>
      <c r="D169" s="28"/>
      <c r="E169" s="27"/>
      <c r="F169" s="29"/>
      <c r="G169" s="29"/>
      <c r="H169" s="29"/>
      <c r="I169" s="30"/>
      <c r="J169" s="29"/>
      <c r="K169" s="29"/>
      <c r="L169" s="29"/>
      <c r="M169" s="29"/>
      <c r="N169" s="29"/>
      <c r="O169" s="29"/>
      <c r="P169" s="29"/>
      <c r="Q169" s="29"/>
      <c r="R169" s="29"/>
      <c r="S169" s="29"/>
      <c r="T169" s="29"/>
      <c r="U169" s="29"/>
      <c r="V169" s="29"/>
      <c r="W169" s="29"/>
      <c r="X169" s="29"/>
      <c r="Y169" s="29"/>
      <c r="Z169" s="29"/>
      <c r="AA169" s="29"/>
      <c r="AB169" s="29"/>
      <c r="AC169" s="29"/>
      <c r="AD169" s="29"/>
      <c r="AE169" s="29"/>
      <c r="AF169" s="29"/>
      <c r="AG169" s="31"/>
      <c r="AH169" s="29"/>
    </row>
    <row r="170" spans="1:34" s="1" customFormat="1" x14ac:dyDescent="0.3">
      <c r="A170" s="26"/>
      <c r="B170" s="27"/>
      <c r="C170" s="28"/>
      <c r="D170" s="28"/>
      <c r="E170" s="27"/>
      <c r="F170" s="29"/>
      <c r="G170" s="29"/>
      <c r="H170" s="29"/>
      <c r="I170" s="30"/>
      <c r="J170" s="29"/>
      <c r="K170" s="29"/>
      <c r="L170" s="29"/>
      <c r="M170" s="29"/>
      <c r="N170" s="29"/>
      <c r="O170" s="29"/>
      <c r="P170" s="29"/>
      <c r="Q170" s="29"/>
      <c r="R170" s="29"/>
      <c r="S170" s="29"/>
      <c r="T170" s="29"/>
      <c r="U170" s="29"/>
      <c r="V170" s="29"/>
      <c r="W170" s="29"/>
      <c r="X170" s="29"/>
      <c r="Y170" s="29"/>
      <c r="Z170" s="29"/>
      <c r="AA170" s="29"/>
      <c r="AB170" s="29"/>
      <c r="AC170" s="29"/>
      <c r="AD170" s="29"/>
      <c r="AE170" s="29"/>
      <c r="AF170" s="29"/>
      <c r="AG170" s="31"/>
      <c r="AH170" s="29"/>
    </row>
    <row r="171" spans="1:34" s="1" customFormat="1" ht="13.2" customHeight="1" x14ac:dyDescent="0.3">
      <c r="A171" s="21"/>
      <c r="B171" s="20"/>
      <c r="C171" s="22"/>
      <c r="D171" s="22"/>
      <c r="E171" s="20"/>
      <c r="F171" s="23"/>
      <c r="G171" s="23"/>
      <c r="H171" s="23"/>
      <c r="I171" s="24"/>
      <c r="J171" s="23"/>
      <c r="K171" s="23"/>
      <c r="L171" s="23"/>
      <c r="M171" s="23"/>
      <c r="N171" s="23"/>
      <c r="O171" s="23"/>
      <c r="P171" s="23"/>
      <c r="Q171" s="23"/>
      <c r="R171" s="23"/>
      <c r="S171" s="23"/>
      <c r="T171" s="23"/>
      <c r="U171" s="23"/>
      <c r="V171" s="23"/>
      <c r="W171" s="23"/>
      <c r="X171" s="23"/>
      <c r="Y171" s="23"/>
      <c r="Z171" s="23"/>
      <c r="AA171" s="23"/>
      <c r="AB171" s="23"/>
      <c r="AC171" s="23"/>
      <c r="AD171" s="23"/>
      <c r="AE171" s="23"/>
      <c r="AF171" s="23"/>
      <c r="AG171" s="25"/>
      <c r="AH171" s="23"/>
    </row>
    <row r="172" spans="1:34" s="1" customFormat="1" ht="13.2" customHeight="1" x14ac:dyDescent="0.3">
      <c r="A172" s="21"/>
      <c r="B172" s="20"/>
      <c r="C172" s="22"/>
      <c r="D172" s="22"/>
      <c r="E172" s="20"/>
      <c r="F172" s="23"/>
      <c r="G172" s="23"/>
      <c r="H172" s="23"/>
      <c r="I172" s="24"/>
      <c r="J172" s="23"/>
      <c r="K172" s="23"/>
      <c r="L172" s="23"/>
      <c r="M172" s="23"/>
      <c r="N172" s="23"/>
      <c r="O172" s="24"/>
      <c r="P172" s="23"/>
      <c r="Q172" s="23"/>
      <c r="R172" s="23"/>
      <c r="S172" s="23"/>
      <c r="T172" s="23"/>
      <c r="U172" s="23"/>
      <c r="V172" s="23"/>
      <c r="W172" s="23"/>
      <c r="X172" s="23"/>
      <c r="Y172" s="23"/>
      <c r="Z172" s="23"/>
      <c r="AA172" s="23"/>
      <c r="AB172" s="23"/>
      <c r="AC172" s="23"/>
      <c r="AD172" s="23"/>
      <c r="AE172" s="23"/>
      <c r="AF172" s="23"/>
      <c r="AG172" s="25"/>
      <c r="AH172" s="23"/>
    </row>
    <row r="173" spans="1:34" s="1" customFormat="1" ht="17.399999999999999" customHeight="1" x14ac:dyDescent="0.3">
      <c r="A173" s="21"/>
      <c r="B173" s="32"/>
      <c r="C173" s="28"/>
      <c r="D173" s="28"/>
      <c r="E173" s="27"/>
      <c r="F173" s="29"/>
      <c r="G173" s="29"/>
      <c r="H173" s="33"/>
      <c r="I173" s="24"/>
      <c r="J173" s="34"/>
      <c r="K173" s="29"/>
      <c r="L173" s="33"/>
      <c r="M173" s="23"/>
      <c r="N173" s="23"/>
      <c r="O173" s="24"/>
      <c r="P173" s="23"/>
      <c r="Q173" s="23"/>
      <c r="R173" s="23"/>
      <c r="S173" s="23"/>
      <c r="T173" s="23"/>
      <c r="U173" s="23"/>
      <c r="V173" s="23"/>
      <c r="W173" s="23"/>
      <c r="X173" s="23"/>
      <c r="Y173" s="23"/>
      <c r="Z173" s="23"/>
      <c r="AA173" s="23"/>
      <c r="AB173" s="23"/>
      <c r="AC173" s="23"/>
      <c r="AD173" s="23"/>
      <c r="AE173" s="23"/>
      <c r="AF173" s="23"/>
      <c r="AG173" s="25"/>
      <c r="AH173" s="23"/>
    </row>
    <row r="174" spans="1:34" s="1" customFormat="1" ht="13.2" customHeight="1" x14ac:dyDescent="0.3">
      <c r="A174" s="26"/>
      <c r="B174" s="27"/>
      <c r="C174" s="28"/>
      <c r="D174" s="28"/>
      <c r="E174" s="27"/>
      <c r="F174" s="29"/>
      <c r="G174" s="29"/>
      <c r="H174" s="29"/>
      <c r="I174" s="30"/>
      <c r="J174" s="29"/>
      <c r="K174" s="29"/>
      <c r="L174" s="29"/>
      <c r="M174" s="29"/>
      <c r="N174" s="29"/>
      <c r="O174" s="29"/>
      <c r="P174" s="29"/>
      <c r="Q174" s="29"/>
      <c r="R174" s="29"/>
      <c r="S174" s="29"/>
      <c r="T174" s="29"/>
      <c r="U174" s="29"/>
      <c r="V174" s="29"/>
      <c r="W174" s="29"/>
      <c r="X174" s="29"/>
      <c r="Y174" s="29"/>
      <c r="Z174" s="29"/>
      <c r="AA174" s="29"/>
      <c r="AB174" s="29"/>
      <c r="AC174" s="29"/>
      <c r="AD174" s="29"/>
      <c r="AE174" s="29"/>
      <c r="AF174" s="29"/>
      <c r="AG174" s="31"/>
      <c r="AH174" s="29"/>
    </row>
    <row r="175" spans="1:34" s="1" customFormat="1" x14ac:dyDescent="0.3">
      <c r="A175" s="26"/>
      <c r="B175" s="27"/>
      <c r="C175" s="28"/>
      <c r="D175" s="28"/>
      <c r="E175" s="27"/>
      <c r="F175" s="29"/>
      <c r="G175" s="29"/>
      <c r="H175" s="29"/>
      <c r="I175" s="30"/>
      <c r="J175" s="29"/>
      <c r="K175" s="29"/>
      <c r="L175" s="29"/>
      <c r="M175" s="29"/>
      <c r="N175" s="29"/>
      <c r="O175" s="29"/>
      <c r="P175" s="29"/>
      <c r="Q175" s="29"/>
      <c r="R175" s="29"/>
      <c r="S175" s="29"/>
      <c r="T175" s="29"/>
      <c r="U175" s="29"/>
      <c r="V175" s="29"/>
      <c r="W175" s="29"/>
      <c r="X175" s="29"/>
      <c r="Y175" s="29"/>
      <c r="Z175" s="29"/>
      <c r="AA175" s="29"/>
      <c r="AB175" s="29"/>
      <c r="AC175" s="29"/>
      <c r="AD175" s="29"/>
      <c r="AE175" s="29"/>
      <c r="AF175" s="29"/>
      <c r="AG175" s="31"/>
      <c r="AH175" s="29"/>
    </row>
    <row r="176" spans="1:34" s="1" customFormat="1" ht="13.2" customHeight="1" x14ac:dyDescent="0.3">
      <c r="A176" s="21"/>
      <c r="B176" s="20"/>
      <c r="C176" s="22"/>
      <c r="D176" s="22"/>
      <c r="E176" s="20"/>
      <c r="F176" s="23"/>
      <c r="G176" s="23"/>
      <c r="H176" s="23"/>
      <c r="I176" s="24"/>
      <c r="J176" s="23"/>
      <c r="K176" s="23"/>
      <c r="L176" s="23"/>
      <c r="M176" s="23"/>
      <c r="N176" s="23"/>
      <c r="O176" s="23"/>
      <c r="P176" s="23"/>
      <c r="Q176" s="23"/>
      <c r="R176" s="23"/>
      <c r="S176" s="23"/>
      <c r="T176" s="23"/>
      <c r="U176" s="23"/>
      <c r="V176" s="23"/>
      <c r="W176" s="23"/>
      <c r="X176" s="23"/>
      <c r="Y176" s="23"/>
      <c r="Z176" s="23"/>
      <c r="AA176" s="23"/>
      <c r="AB176" s="35"/>
      <c r="AC176" s="23"/>
      <c r="AD176" s="23"/>
      <c r="AE176" s="23"/>
      <c r="AF176" s="23"/>
      <c r="AG176" s="25"/>
      <c r="AH176" s="23"/>
    </row>
    <row r="177" spans="1:34" s="1" customFormat="1" ht="13.2" customHeight="1" x14ac:dyDescent="0.3">
      <c r="A177" s="21"/>
      <c r="B177" s="20"/>
      <c r="C177" s="22"/>
      <c r="D177" s="22"/>
      <c r="E177" s="20"/>
      <c r="F177" s="23"/>
      <c r="G177" s="23"/>
      <c r="H177" s="23"/>
      <c r="I177" s="24"/>
      <c r="J177" s="23"/>
      <c r="K177" s="23"/>
      <c r="L177" s="23"/>
      <c r="M177" s="23"/>
      <c r="N177" s="23"/>
      <c r="O177" s="23"/>
      <c r="P177" s="23"/>
      <c r="Q177" s="23"/>
      <c r="R177" s="23"/>
      <c r="S177" s="23"/>
      <c r="T177" s="23"/>
      <c r="U177" s="23"/>
      <c r="V177" s="23"/>
      <c r="W177" s="23"/>
      <c r="X177" s="23"/>
      <c r="Y177" s="23"/>
      <c r="Z177" s="23"/>
      <c r="AA177" s="23"/>
      <c r="AB177" s="23"/>
      <c r="AC177" s="23"/>
      <c r="AD177" s="23"/>
      <c r="AE177" s="23"/>
      <c r="AF177" s="23"/>
      <c r="AG177" s="25"/>
      <c r="AH177" s="23"/>
    </row>
    <row r="178" spans="1:34" s="1" customFormat="1" ht="13.2" customHeight="1" x14ac:dyDescent="0.3">
      <c r="A178" s="21"/>
      <c r="B178" s="20"/>
      <c r="C178" s="22"/>
      <c r="D178" s="22"/>
      <c r="E178" s="20"/>
      <c r="F178" s="23"/>
      <c r="G178" s="23"/>
      <c r="H178" s="23"/>
      <c r="I178" s="24"/>
      <c r="J178" s="23"/>
      <c r="K178" s="23"/>
      <c r="L178" s="23"/>
      <c r="M178" s="23"/>
      <c r="N178" s="23"/>
      <c r="O178" s="23"/>
      <c r="P178" s="23"/>
      <c r="Q178" s="23"/>
      <c r="R178" s="23"/>
      <c r="S178" s="23"/>
      <c r="T178" s="23"/>
      <c r="U178" s="23"/>
      <c r="V178" s="23"/>
      <c r="W178" s="23"/>
      <c r="X178" s="23"/>
      <c r="Y178" s="23"/>
      <c r="Z178" s="23"/>
      <c r="AA178" s="23"/>
      <c r="AB178" s="23"/>
      <c r="AC178" s="23"/>
      <c r="AD178" s="23"/>
      <c r="AE178" s="23"/>
      <c r="AF178" s="23"/>
      <c r="AG178" s="25"/>
      <c r="AH178" s="23"/>
    </row>
    <row r="179" spans="1:34" s="1" customFormat="1" ht="16.2" customHeight="1" x14ac:dyDescent="0.3">
      <c r="A179" s="21"/>
      <c r="B179" s="20"/>
      <c r="C179" s="22"/>
      <c r="D179" s="22"/>
      <c r="E179" s="20"/>
      <c r="F179" s="23"/>
      <c r="G179" s="23"/>
      <c r="H179" s="23"/>
      <c r="I179" s="24"/>
      <c r="J179" s="23"/>
      <c r="K179" s="23"/>
      <c r="L179" s="23"/>
      <c r="M179" s="23"/>
      <c r="N179" s="23"/>
      <c r="O179" s="23"/>
      <c r="P179" s="23"/>
      <c r="Q179" s="23"/>
      <c r="R179" s="23"/>
      <c r="S179" s="23"/>
      <c r="T179" s="23"/>
      <c r="U179" s="23"/>
      <c r="V179" s="23"/>
      <c r="W179" s="23"/>
      <c r="X179" s="23"/>
      <c r="Y179" s="23"/>
      <c r="Z179" s="23"/>
      <c r="AA179" s="23"/>
      <c r="AB179" s="23"/>
      <c r="AC179" s="23"/>
      <c r="AD179" s="23"/>
      <c r="AE179" s="23"/>
      <c r="AF179" s="23"/>
      <c r="AG179" s="25"/>
      <c r="AH179" s="23"/>
    </row>
  </sheetData>
  <phoneticPr fontId="1" type="noConversion"/>
  <pageMargins left="0.78740157499999996" right="0.78740157499999996" top="0.984251969" bottom="0.984251969" header="0.4921259845" footer="0.4921259845"/>
  <pageSetup paperSize="9" orientation="portrait" verticalDpi="0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9C805E-1991-4282-9456-E755A132076F}">
  <dimension ref="D1:XFC27"/>
  <sheetViews>
    <sheetView showGridLines="0" zoomScaleNormal="100" workbookViewId="0">
      <selection activeCell="K8" sqref="K8"/>
    </sheetView>
  </sheetViews>
  <sheetFormatPr defaultColWidth="0" defaultRowHeight="14.4" x14ac:dyDescent="0.3"/>
  <cols>
    <col min="1" max="3" width="9.109375" customWidth="1"/>
    <col min="4" max="4" width="2.33203125" customWidth="1"/>
    <col min="5" max="6" width="9.109375" style="9" customWidth="1"/>
    <col min="7" max="7" width="1.33203125" style="9" customWidth="1"/>
    <col min="8" max="8" width="9.109375" style="9" customWidth="1"/>
    <col min="9" max="9" width="11.6640625" style="9" customWidth="1"/>
    <col min="10" max="10" width="1.109375" style="9" customWidth="1"/>
    <col min="11" max="12" width="9.109375" style="9" customWidth="1"/>
    <col min="13" max="13" width="1.109375" style="9" customWidth="1"/>
    <col min="14" max="15" width="9.109375" style="9" customWidth="1"/>
    <col min="16" max="16" width="1.109375" style="9" customWidth="1"/>
    <col min="17" max="17" width="9.109375" style="9" customWidth="1"/>
    <col min="18" max="18" width="12.109375" style="9" customWidth="1"/>
    <col min="19" max="19" width="1.109375" style="9" customWidth="1"/>
    <col min="20" max="20" width="9.109375" style="9" customWidth="1"/>
    <col min="21" max="21" width="9.5546875" style="9" customWidth="1"/>
    <col min="22" max="22" width="2.33203125" customWidth="1"/>
    <col min="23" max="25" width="9.109375" customWidth="1"/>
    <col min="26" max="16383" width="9.109375" hidden="1"/>
    <col min="16384" max="16384" width="143.6640625" customWidth="1"/>
  </cols>
  <sheetData>
    <row r="1" spans="4:25" ht="15" thickBot="1" x14ac:dyDescent="0.35">
      <c r="D1" s="41"/>
      <c r="E1" s="93" t="s">
        <v>34</v>
      </c>
      <c r="F1" s="94"/>
      <c r="G1" s="94"/>
      <c r="H1" s="94"/>
      <c r="I1" s="94"/>
      <c r="J1" s="94"/>
      <c r="K1" s="94"/>
      <c r="L1" s="94"/>
      <c r="M1" s="94"/>
      <c r="N1" s="94"/>
      <c r="O1" s="94"/>
      <c r="P1" s="94"/>
      <c r="Q1" s="94"/>
      <c r="R1" s="94"/>
      <c r="S1" s="94"/>
      <c r="T1" s="94"/>
      <c r="U1" s="95"/>
      <c r="V1" s="42"/>
    </row>
    <row r="2" spans="4:25" ht="15" thickBot="1" x14ac:dyDescent="0.35">
      <c r="D2" s="43"/>
      <c r="E2" s="93" t="s">
        <v>35</v>
      </c>
      <c r="F2" s="94"/>
      <c r="G2" s="95"/>
      <c r="H2" s="93" t="s">
        <v>36</v>
      </c>
      <c r="I2" s="94"/>
      <c r="J2" s="93" t="s">
        <v>37</v>
      </c>
      <c r="K2" s="94"/>
      <c r="L2" s="95"/>
      <c r="M2" s="93" t="s">
        <v>38</v>
      </c>
      <c r="N2" s="94"/>
      <c r="O2" s="95"/>
      <c r="P2" s="93" t="s">
        <v>39</v>
      </c>
      <c r="Q2" s="94"/>
      <c r="R2" s="95"/>
      <c r="S2" s="93" t="s">
        <v>40</v>
      </c>
      <c r="T2" s="94"/>
      <c r="U2" s="95"/>
      <c r="V2" s="44"/>
    </row>
    <row r="3" spans="4:25" ht="15" thickBot="1" x14ac:dyDescent="0.35">
      <c r="D3" s="43"/>
      <c r="E3" s="96">
        <f>'Resumo Detalhado'!B2</f>
        <v>13590.699999999999</v>
      </c>
      <c r="F3" s="97"/>
      <c r="G3" s="98"/>
      <c r="H3" s="99">
        <f>'Resumo Detalhado'!C2</f>
        <v>4256.41</v>
      </c>
      <c r="I3" s="100"/>
      <c r="J3" s="101">
        <f>E3/H3</f>
        <v>3.192995975481685</v>
      </c>
      <c r="K3" s="102"/>
      <c r="L3" s="103"/>
      <c r="M3" s="137" t="s">
        <v>41</v>
      </c>
      <c r="N3" s="97"/>
      <c r="O3" s="98"/>
      <c r="P3" s="138">
        <v>22000</v>
      </c>
      <c r="Q3" s="139"/>
      <c r="R3" s="140"/>
      <c r="S3" s="107">
        <f>MIN(H3/P3,1)</f>
        <v>0.19347318181818182</v>
      </c>
      <c r="T3" s="108"/>
      <c r="U3" s="109"/>
      <c r="V3" s="44"/>
    </row>
    <row r="4" spans="4:25" ht="15" thickBot="1" x14ac:dyDescent="0.35">
      <c r="D4" s="43"/>
      <c r="V4" s="44"/>
      <c r="W4" s="40"/>
    </row>
    <row r="5" spans="4:25" ht="15" thickBot="1" x14ac:dyDescent="0.35">
      <c r="D5" s="43"/>
      <c r="E5" s="93" t="s">
        <v>42</v>
      </c>
      <c r="F5" s="94"/>
      <c r="G5" s="94"/>
      <c r="H5" s="94"/>
      <c r="I5" s="94"/>
      <c r="J5" s="94"/>
      <c r="K5" s="94"/>
      <c r="L5" s="94"/>
      <c r="M5" s="94"/>
      <c r="N5" s="94"/>
      <c r="O5" s="94"/>
      <c r="P5" s="94"/>
      <c r="Q5" s="94"/>
      <c r="R5" s="94"/>
      <c r="S5" s="94"/>
      <c r="T5" s="94"/>
      <c r="U5" s="95"/>
      <c r="V5" s="44"/>
    </row>
    <row r="6" spans="4:25" ht="15" thickBot="1" x14ac:dyDescent="0.35">
      <c r="D6" s="43"/>
      <c r="E6" s="92" t="s">
        <v>43</v>
      </c>
      <c r="F6" s="92"/>
      <c r="G6" s="92"/>
      <c r="H6" s="92"/>
      <c r="I6" s="92"/>
      <c r="J6" s="92" t="s">
        <v>44</v>
      </c>
      <c r="K6" s="92"/>
      <c r="L6" s="92"/>
      <c r="M6" s="92" t="s">
        <v>45</v>
      </c>
      <c r="N6" s="92"/>
      <c r="O6" s="92"/>
      <c r="P6" s="92" t="s">
        <v>46</v>
      </c>
      <c r="Q6" s="92"/>
      <c r="R6" s="92"/>
      <c r="S6" s="92" t="s">
        <v>47</v>
      </c>
      <c r="T6" s="92"/>
      <c r="U6" s="92"/>
      <c r="V6" s="44"/>
    </row>
    <row r="7" spans="4:25" ht="15" thickBot="1" x14ac:dyDescent="0.35">
      <c r="D7" s="43"/>
      <c r="E7" s="113">
        <f>E11+K11+Q11</f>
        <v>3330.33</v>
      </c>
      <c r="F7" s="113"/>
      <c r="G7" s="113"/>
      <c r="H7" s="113"/>
      <c r="I7" s="113"/>
      <c r="J7" s="113">
        <f>E7/H3</f>
        <v>0.78242697484499846</v>
      </c>
      <c r="K7" s="113"/>
      <c r="L7" s="113"/>
      <c r="M7" s="114">
        <f>E7/E3</f>
        <v>0.24504477326407029</v>
      </c>
      <c r="N7" s="114"/>
      <c r="O7" s="114"/>
      <c r="P7" s="113">
        <f>E11+K11+Q11+E15+K15+Q15+E19+H19+K19</f>
        <v>8601.7800000000007</v>
      </c>
      <c r="Q7" s="113"/>
      <c r="R7" s="113"/>
      <c r="S7" s="113">
        <f>P7/J3</f>
        <v>2693.9526595245284</v>
      </c>
      <c r="T7" s="113"/>
      <c r="U7" s="113"/>
      <c r="V7" s="44"/>
    </row>
    <row r="8" spans="4:25" ht="15" thickBot="1" x14ac:dyDescent="0.35">
      <c r="D8" s="43"/>
      <c r="V8" s="44"/>
    </row>
    <row r="9" spans="4:25" ht="15" thickBot="1" x14ac:dyDescent="0.35">
      <c r="D9" s="43"/>
      <c r="E9" s="93" t="s">
        <v>48</v>
      </c>
      <c r="F9" s="94"/>
      <c r="G9" s="94"/>
      <c r="H9" s="94"/>
      <c r="I9" s="94"/>
      <c r="J9" s="94"/>
      <c r="K9" s="94"/>
      <c r="L9" s="94"/>
      <c r="M9" s="94"/>
      <c r="N9" s="94"/>
      <c r="O9" s="94"/>
      <c r="P9" s="94"/>
      <c r="Q9" s="94"/>
      <c r="R9" s="94"/>
      <c r="S9" s="94"/>
      <c r="T9" s="94"/>
      <c r="U9" s="95"/>
      <c r="V9" s="44"/>
    </row>
    <row r="10" spans="4:25" ht="15" thickBot="1" x14ac:dyDescent="0.35">
      <c r="D10" s="43"/>
      <c r="E10" s="104" t="s">
        <v>49</v>
      </c>
      <c r="F10" s="106"/>
      <c r="H10" s="104" t="s">
        <v>50</v>
      </c>
      <c r="I10" s="106"/>
      <c r="K10" s="104" t="s">
        <v>51</v>
      </c>
      <c r="L10" s="106"/>
      <c r="N10" s="104" t="s">
        <v>52</v>
      </c>
      <c r="O10" s="106"/>
      <c r="Q10" s="104" t="s">
        <v>53</v>
      </c>
      <c r="R10" s="106"/>
      <c r="T10" s="104" t="s">
        <v>54</v>
      </c>
      <c r="U10" s="106"/>
      <c r="V10" s="44"/>
    </row>
    <row r="11" spans="4:25" ht="15" thickBot="1" x14ac:dyDescent="0.35">
      <c r="D11" s="43"/>
      <c r="E11" s="127">
        <v>1850</v>
      </c>
      <c r="F11" s="98"/>
      <c r="G11" s="46"/>
      <c r="H11" s="96">
        <f>E11/H3</f>
        <v>0.43463858039991449</v>
      </c>
      <c r="I11" s="98"/>
      <c r="J11" s="46"/>
      <c r="K11" s="96">
        <f>'Resumo Detalhado'!E2</f>
        <v>304.47000000000014</v>
      </c>
      <c r="L11" s="98"/>
      <c r="M11" s="46"/>
      <c r="N11" s="96">
        <f>K11/H3</f>
        <v>7.1532112742898391E-2</v>
      </c>
      <c r="O11" s="98"/>
      <c r="P11" s="46"/>
      <c r="Q11" s="96">
        <f>'Resumo Detalhado'!D2</f>
        <v>1175.8599999999997</v>
      </c>
      <c r="R11" s="98"/>
      <c r="S11" s="46"/>
      <c r="T11" s="96">
        <f>Q11/H3</f>
        <v>0.27625628170218558</v>
      </c>
      <c r="U11" s="98"/>
      <c r="V11" s="44"/>
      <c r="W11" s="56" t="s">
        <v>55</v>
      </c>
      <c r="X11" s="57"/>
      <c r="Y11" s="50" t="s">
        <v>56</v>
      </c>
    </row>
    <row r="12" spans="4:25" ht="15" thickBot="1" x14ac:dyDescent="0.35">
      <c r="D12" s="43"/>
      <c r="V12" s="44"/>
      <c r="W12" s="41" t="s">
        <v>41</v>
      </c>
      <c r="X12" s="51"/>
      <c r="Y12" s="53">
        <v>22000</v>
      </c>
    </row>
    <row r="13" spans="4:25" ht="15" thickBot="1" x14ac:dyDescent="0.35">
      <c r="D13" s="43"/>
      <c r="E13" s="93" t="s">
        <v>57</v>
      </c>
      <c r="F13" s="94"/>
      <c r="G13" s="94"/>
      <c r="H13" s="94"/>
      <c r="I13" s="94"/>
      <c r="J13" s="94"/>
      <c r="K13" s="94"/>
      <c r="L13" s="94"/>
      <c r="M13" s="94"/>
      <c r="N13" s="94"/>
      <c r="O13" s="94"/>
      <c r="P13" s="94"/>
      <c r="Q13" s="94"/>
      <c r="R13" s="94"/>
      <c r="S13" s="94"/>
      <c r="T13" s="94"/>
      <c r="U13" s="95"/>
      <c r="V13" s="44"/>
      <c r="W13" s="43" t="s">
        <v>58</v>
      </c>
      <c r="Y13" s="54">
        <v>11000</v>
      </c>
    </row>
    <row r="14" spans="4:25" ht="15" thickBot="1" x14ac:dyDescent="0.35">
      <c r="D14" s="43"/>
      <c r="E14" s="104" t="s">
        <v>59</v>
      </c>
      <c r="F14" s="105"/>
      <c r="G14" s="105"/>
      <c r="H14" s="105"/>
      <c r="I14" s="115"/>
      <c r="K14" s="119" t="s">
        <v>60</v>
      </c>
      <c r="L14" s="105"/>
      <c r="M14" s="105"/>
      <c r="N14" s="105"/>
      <c r="O14" s="115"/>
      <c r="Q14" s="119"/>
      <c r="R14" s="105"/>
      <c r="S14" s="105"/>
      <c r="T14" s="105"/>
      <c r="U14" s="106"/>
      <c r="V14" s="44"/>
      <c r="W14" s="43" t="s">
        <v>61</v>
      </c>
      <c r="Y14" s="54">
        <v>6000</v>
      </c>
    </row>
    <row r="15" spans="4:25" ht="15" thickBot="1" x14ac:dyDescent="0.35">
      <c r="D15" s="43"/>
      <c r="E15" s="116">
        <f>'Resumo Detalhado'!H2</f>
        <v>1459.3799999999999</v>
      </c>
      <c r="F15" s="117"/>
      <c r="G15" s="117"/>
      <c r="H15" s="117"/>
      <c r="I15" s="118"/>
      <c r="J15" s="46"/>
      <c r="K15" s="120">
        <f>'Resumo Detalhado'!K2</f>
        <v>3533.5399999999995</v>
      </c>
      <c r="L15" s="117"/>
      <c r="M15" s="117"/>
      <c r="N15" s="117"/>
      <c r="O15" s="118"/>
      <c r="P15" s="46"/>
      <c r="Q15" s="120"/>
      <c r="R15" s="117"/>
      <c r="S15" s="117"/>
      <c r="T15" s="117"/>
      <c r="U15" s="121"/>
      <c r="V15" s="44"/>
      <c r="W15" s="43" t="s">
        <v>62</v>
      </c>
      <c r="Y15" s="54">
        <v>3500</v>
      </c>
    </row>
    <row r="16" spans="4:25" ht="15" thickBot="1" x14ac:dyDescent="0.35">
      <c r="D16" s="43"/>
      <c r="V16" s="44"/>
      <c r="W16" s="45" t="s">
        <v>63</v>
      </c>
      <c r="X16" s="52"/>
      <c r="Y16" s="55">
        <v>1200</v>
      </c>
    </row>
    <row r="17" spans="4:25" ht="15" thickBot="1" x14ac:dyDescent="0.35">
      <c r="D17" s="43"/>
      <c r="E17" s="93" t="s">
        <v>64</v>
      </c>
      <c r="F17" s="94"/>
      <c r="G17" s="94"/>
      <c r="H17" s="94"/>
      <c r="I17" s="94"/>
      <c r="J17" s="94"/>
      <c r="K17" s="94"/>
      <c r="L17" s="94"/>
      <c r="M17" s="58"/>
      <c r="N17" s="58"/>
      <c r="O17" s="94" t="s">
        <v>65</v>
      </c>
      <c r="P17" s="94"/>
      <c r="Q17" s="94"/>
      <c r="R17" s="94"/>
      <c r="S17" s="94"/>
      <c r="T17" s="94"/>
      <c r="U17" s="95"/>
      <c r="V17" s="44"/>
    </row>
    <row r="18" spans="4:25" ht="15" thickBot="1" x14ac:dyDescent="0.35">
      <c r="D18" s="43"/>
      <c r="E18" s="122" t="s">
        <v>66</v>
      </c>
      <c r="F18" s="123"/>
      <c r="H18" s="122" t="s">
        <v>67</v>
      </c>
      <c r="I18" s="123"/>
      <c r="K18" s="122" t="s">
        <v>68</v>
      </c>
      <c r="L18" s="123"/>
      <c r="N18" s="124" t="s">
        <v>69</v>
      </c>
      <c r="O18" s="125"/>
      <c r="P18" s="125"/>
      <c r="Q18" s="125"/>
      <c r="R18" s="126"/>
      <c r="S18" s="124" t="s">
        <v>70</v>
      </c>
      <c r="T18" s="125"/>
      <c r="U18" s="126"/>
      <c r="V18" s="44"/>
      <c r="W18" s="96" t="s">
        <v>71</v>
      </c>
      <c r="X18" s="97"/>
      <c r="Y18" s="98"/>
    </row>
    <row r="19" spans="4:25" ht="15" thickBot="1" x14ac:dyDescent="0.35">
      <c r="D19" s="43"/>
      <c r="E19" s="116">
        <f>'Resumo Detalhado'!I2</f>
        <v>264.24000000000007</v>
      </c>
      <c r="F19" s="121"/>
      <c r="G19" s="46"/>
      <c r="H19" s="110">
        <f>'Resumo Detalhado'!J2</f>
        <v>0</v>
      </c>
      <c r="I19" s="112"/>
      <c r="J19" s="46"/>
      <c r="K19" s="110">
        <f>'Resumo Detalhado'!L2</f>
        <v>14.290000000000001</v>
      </c>
      <c r="L19" s="112"/>
      <c r="M19" s="46"/>
      <c r="N19" s="116" t="s">
        <v>623</v>
      </c>
      <c r="O19" s="117"/>
      <c r="P19" s="117"/>
      <c r="Q19" s="117"/>
      <c r="R19" s="121"/>
      <c r="S19" s="116">
        <v>1850</v>
      </c>
      <c r="T19" s="117"/>
      <c r="U19" s="121"/>
      <c r="V19" s="44"/>
      <c r="W19" s="128" t="str">
        <f>IF(E11=S19,"NO TARGET",IF(E11&lt;S19,"ABAIXO DO TARGET",IF(E11&gt;S19,"FORA DO TARGET")))</f>
        <v>NO TARGET</v>
      </c>
      <c r="X19" s="129"/>
      <c r="Y19" s="130"/>
    </row>
    <row r="20" spans="4:25" ht="15" thickBot="1" x14ac:dyDescent="0.35">
      <c r="D20" s="43"/>
      <c r="V20" s="44"/>
      <c r="W20" s="131"/>
      <c r="X20" s="132"/>
      <c r="Y20" s="133"/>
    </row>
    <row r="21" spans="4:25" ht="15" thickBot="1" x14ac:dyDescent="0.35">
      <c r="D21" s="43"/>
      <c r="E21" s="93" t="s">
        <v>29</v>
      </c>
      <c r="F21" s="94"/>
      <c r="G21" s="94"/>
      <c r="H21" s="94"/>
      <c r="I21" s="94"/>
      <c r="J21" s="94"/>
      <c r="K21" s="94"/>
      <c r="L21" s="94"/>
      <c r="M21" s="94"/>
      <c r="N21" s="94"/>
      <c r="O21" s="94"/>
      <c r="P21" s="94"/>
      <c r="Q21" s="94"/>
      <c r="R21" s="94"/>
      <c r="S21" s="94"/>
      <c r="T21" s="94"/>
      <c r="U21" s="95"/>
      <c r="V21" s="44"/>
      <c r="W21" s="131"/>
      <c r="X21" s="132"/>
      <c r="Y21" s="133"/>
    </row>
    <row r="22" spans="4:25" ht="15" thickBot="1" x14ac:dyDescent="0.35">
      <c r="D22" s="43"/>
      <c r="E22" s="104" t="s">
        <v>72</v>
      </c>
      <c r="F22" s="105"/>
      <c r="G22" s="105"/>
      <c r="H22" s="105"/>
      <c r="I22" s="105"/>
      <c r="J22" s="105"/>
      <c r="K22" s="105"/>
      <c r="L22" s="106"/>
      <c r="N22" s="104" t="s">
        <v>73</v>
      </c>
      <c r="O22" s="105"/>
      <c r="P22" s="105"/>
      <c r="Q22" s="105"/>
      <c r="R22" s="105"/>
      <c r="S22" s="105"/>
      <c r="T22" s="105"/>
      <c r="U22" s="106"/>
      <c r="V22" s="44"/>
      <c r="W22" s="131"/>
      <c r="X22" s="132"/>
      <c r="Y22" s="133"/>
    </row>
    <row r="23" spans="4:25" ht="15" thickBot="1" x14ac:dyDescent="0.35">
      <c r="D23" s="43"/>
      <c r="E23" s="110">
        <f>'Resumo Detalhado'!M2</f>
        <v>4929.6600000000008</v>
      </c>
      <c r="F23" s="111"/>
      <c r="G23" s="111"/>
      <c r="H23" s="111"/>
      <c r="I23" s="111"/>
      <c r="J23" s="111"/>
      <c r="K23" s="111"/>
      <c r="L23" s="112"/>
      <c r="M23" s="46"/>
      <c r="N23" s="107">
        <f>E23/E3</f>
        <v>0.36272303854841925</v>
      </c>
      <c r="O23" s="108"/>
      <c r="P23" s="108"/>
      <c r="Q23" s="108"/>
      <c r="R23" s="108"/>
      <c r="S23" s="108"/>
      <c r="T23" s="108"/>
      <c r="U23" s="109"/>
      <c r="V23" s="44"/>
      <c r="W23" s="134"/>
      <c r="X23" s="135"/>
      <c r="Y23" s="136"/>
    </row>
    <row r="24" spans="4:25" x14ac:dyDescent="0.3">
      <c r="D24" s="43"/>
      <c r="N24" s="48"/>
      <c r="Q24" s="49"/>
      <c r="V24" s="44"/>
    </row>
    <row r="25" spans="4:25" x14ac:dyDescent="0.3">
      <c r="D25" s="43"/>
      <c r="V25" s="44"/>
    </row>
    <row r="26" spans="4:25" x14ac:dyDescent="0.3">
      <c r="D26" s="43"/>
      <c r="V26" s="44"/>
    </row>
    <row r="27" spans="4:25" ht="15" thickBot="1" x14ac:dyDescent="0.35">
      <c r="D27" s="45"/>
      <c r="E27" s="46"/>
      <c r="F27" s="46"/>
      <c r="G27" s="46"/>
      <c r="H27" s="46"/>
      <c r="I27" s="46"/>
      <c r="J27" s="46"/>
      <c r="K27" s="46"/>
      <c r="L27" s="46"/>
      <c r="M27" s="46"/>
      <c r="N27" s="46"/>
      <c r="O27" s="46"/>
      <c r="P27" s="46"/>
      <c r="Q27" s="46"/>
      <c r="R27" s="46"/>
      <c r="S27" s="46"/>
      <c r="T27" s="46"/>
      <c r="U27" s="46"/>
      <c r="V27" s="47"/>
    </row>
  </sheetData>
  <mergeCells count="63">
    <mergeCell ref="W18:Y18"/>
    <mergeCell ref="E17:L17"/>
    <mergeCell ref="O17:U17"/>
    <mergeCell ref="W19:Y23"/>
    <mergeCell ref="S2:U2"/>
    <mergeCell ref="S3:U3"/>
    <mergeCell ref="M2:O2"/>
    <mergeCell ref="M3:O3"/>
    <mergeCell ref="P2:R2"/>
    <mergeCell ref="P3:R3"/>
    <mergeCell ref="E13:U13"/>
    <mergeCell ref="E9:U9"/>
    <mergeCell ref="E5:U5"/>
    <mergeCell ref="N10:O10"/>
    <mergeCell ref="N11:O11"/>
    <mergeCell ref="Q10:R10"/>
    <mergeCell ref="Q11:R11"/>
    <mergeCell ref="T11:U11"/>
    <mergeCell ref="E10:F10"/>
    <mergeCell ref="H10:I10"/>
    <mergeCell ref="K10:L10"/>
    <mergeCell ref="E11:F11"/>
    <mergeCell ref="H11:I11"/>
    <mergeCell ref="K11:L11"/>
    <mergeCell ref="E7:I7"/>
    <mergeCell ref="K15:O15"/>
    <mergeCell ref="Q14:U14"/>
    <mergeCell ref="Q15:U15"/>
    <mergeCell ref="E21:U21"/>
    <mergeCell ref="E19:F19"/>
    <mergeCell ref="H19:I19"/>
    <mergeCell ref="K19:L19"/>
    <mergeCell ref="E18:F18"/>
    <mergeCell ref="H18:I18"/>
    <mergeCell ref="K18:L18"/>
    <mergeCell ref="S18:U18"/>
    <mergeCell ref="S19:U19"/>
    <mergeCell ref="N18:R18"/>
    <mergeCell ref="N19:R19"/>
    <mergeCell ref="T10:U10"/>
    <mergeCell ref="E1:U1"/>
    <mergeCell ref="N22:U22"/>
    <mergeCell ref="N23:U23"/>
    <mergeCell ref="E22:L22"/>
    <mergeCell ref="E23:L23"/>
    <mergeCell ref="S6:U6"/>
    <mergeCell ref="S7:U7"/>
    <mergeCell ref="P6:R6"/>
    <mergeCell ref="P7:R7"/>
    <mergeCell ref="M6:O6"/>
    <mergeCell ref="M7:O7"/>
    <mergeCell ref="E14:I14"/>
    <mergeCell ref="E15:I15"/>
    <mergeCell ref="K14:O14"/>
    <mergeCell ref="J7:L7"/>
    <mergeCell ref="E6:I6"/>
    <mergeCell ref="J6:L6"/>
    <mergeCell ref="E2:G2"/>
    <mergeCell ref="E3:G3"/>
    <mergeCell ref="H2:I2"/>
    <mergeCell ref="H3:I3"/>
    <mergeCell ref="J2:L2"/>
    <mergeCell ref="J3:L3"/>
  </mergeCells>
  <conditionalFormatting sqref="N22:U23">
    <cfRule type="cellIs" dxfId="8" priority="10" operator="between">
      <formula>0.1001</formula>
      <formula>100</formula>
    </cfRule>
    <cfRule type="cellIs" dxfId="7" priority="11" operator="between">
      <formula>0.07</formula>
      <formula>0.1</formula>
    </cfRule>
    <cfRule type="cellIs" dxfId="6" priority="12" operator="between">
      <formula>-100000%</formula>
      <formula>0.0699</formula>
    </cfRule>
  </conditionalFormatting>
  <conditionalFormatting sqref="S3:U3">
    <cfRule type="cellIs" dxfId="5" priority="4" operator="between">
      <formula>0.801</formula>
      <formula>1</formula>
    </cfRule>
    <cfRule type="cellIs" dxfId="4" priority="5" operator="between">
      <formula>0.501</formula>
      <formula>0.8</formula>
    </cfRule>
    <cfRule type="cellIs" dxfId="3" priority="6" operator="between">
      <formula>0</formula>
      <formula>0.5</formula>
    </cfRule>
  </conditionalFormatting>
  <conditionalFormatting sqref="W19:Y23">
    <cfRule type="cellIs" dxfId="2" priority="1" operator="equal">
      <formula>"NO TARGET"</formula>
    </cfRule>
    <cfRule type="cellIs" dxfId="1" priority="2" operator="equal">
      <formula>"FORA DO TARGET"</formula>
    </cfRule>
    <cfRule type="cellIs" dxfId="0" priority="3" operator="equal">
      <formula>"ABAIXO DO TARGET"</formula>
    </cfRule>
  </conditionalFormatting>
  <dataValidations count="1">
    <dataValidation type="list" allowBlank="1" showInputMessage="1" showErrorMessage="1" sqref="M3" xr:uid="{CDBCC86F-73BF-453D-B0A5-43123EA95EFB}">
      <formula1>$W$12:$W$16</formula1>
    </dataValidation>
  </dataValidations>
  <pageMargins left="0.511811024" right="0.511811024" top="0.78740157499999996" bottom="0.78740157499999996" header="0.31496062000000002" footer="0.31496062000000002"/>
  <pageSetup paperSize="9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6421418-F849-4090-8D4B-E8930A1B6D04}">
          <x14:formula1>
            <xm:f>Target!$C$2:$C$1253</xm:f>
          </x14:formula1>
          <xm:sqref>N19</xm:sqref>
        </x14:dataValidation>
      </x14:dataValidations>
    </ex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7208"/>
  <sheetViews>
    <sheetView showGridLines="0" zoomScale="95" zoomScaleNormal="100" workbookViewId="0">
      <pane xSplit="3" ySplit="4" topLeftCell="D29" activePane="bottomRight" state="frozen"/>
      <selection pane="topRight" activeCell="D1" sqref="D1"/>
      <selection pane="bottomLeft" activeCell="A5" sqref="A5"/>
      <selection pane="bottomRight" activeCell="C24" sqref="C24"/>
    </sheetView>
  </sheetViews>
  <sheetFormatPr defaultRowHeight="14.4" x14ac:dyDescent="0.3"/>
  <cols>
    <col min="1" max="1" width="18.77734375" bestFit="1" customWidth="1"/>
    <col min="2" max="2" width="14.33203125" bestFit="1" customWidth="1"/>
    <col min="3" max="3" width="12" style="5" bestFit="1" customWidth="1"/>
    <col min="4" max="4" width="10.5546875" style="5" bestFit="1" customWidth="1"/>
    <col min="5" max="5" width="10.5546875" style="4" bestFit="1" customWidth="1"/>
    <col min="6" max="6" width="12" bestFit="1" customWidth="1"/>
    <col min="7" max="7" width="16.6640625" style="4" bestFit="1" customWidth="1"/>
    <col min="8" max="8" width="10.5546875" bestFit="1" customWidth="1"/>
    <col min="9" max="9" width="10.5546875" style="4" bestFit="1" customWidth="1"/>
    <col min="10" max="10" width="9.77734375" bestFit="1" customWidth="1"/>
    <col min="11" max="11" width="12" bestFit="1" customWidth="1"/>
    <col min="12" max="12" width="8.44140625" bestFit="1" customWidth="1"/>
    <col min="13" max="13" width="14.77734375" bestFit="1" customWidth="1"/>
    <col min="14" max="14" width="16" bestFit="1" customWidth="1"/>
    <col min="15" max="16" width="15.5546875" bestFit="1" customWidth="1"/>
    <col min="17" max="17" width="15.33203125" style="4" bestFit="1" customWidth="1"/>
    <col min="18" max="19" width="15.33203125" bestFit="1" customWidth="1"/>
    <col min="20" max="20" width="17.109375" bestFit="1" customWidth="1"/>
  </cols>
  <sheetData>
    <row r="1" spans="1:18" x14ac:dyDescent="0.3">
      <c r="A1" s="8" t="s">
        <v>9</v>
      </c>
      <c r="B1" t="s">
        <v>167</v>
      </c>
    </row>
    <row r="2" spans="1:18" x14ac:dyDescent="0.3">
      <c r="B2" s="37">
        <f>SUM(B6:B5000)</f>
        <v>13590.699999999999</v>
      </c>
      <c r="C2" s="37">
        <f>SUM(C6:C5000)</f>
        <v>4256.41</v>
      </c>
      <c r="D2" s="37">
        <f>SUM(D6:D5000)</f>
        <v>1175.8599999999997</v>
      </c>
      <c r="E2" s="37">
        <f>SUM(E6:E5000)</f>
        <v>304.47000000000014</v>
      </c>
      <c r="F2" s="37">
        <f>SUM(F6:F5000)</f>
        <v>1909.2600000000002</v>
      </c>
      <c r="G2" s="37"/>
      <c r="H2" s="37">
        <f t="shared" ref="H2:M2" si="0">SUM(H6:H5000)</f>
        <v>1459.3799999999999</v>
      </c>
      <c r="I2" s="37">
        <f t="shared" si="0"/>
        <v>264.24000000000007</v>
      </c>
      <c r="J2" s="37">
        <f t="shared" si="0"/>
        <v>0</v>
      </c>
      <c r="K2" s="37">
        <f t="shared" si="0"/>
        <v>3533.5399999999995</v>
      </c>
      <c r="L2" s="37">
        <f t="shared" si="0"/>
        <v>14.290000000000001</v>
      </c>
      <c r="M2" s="37">
        <f t="shared" si="0"/>
        <v>4929.6600000000008</v>
      </c>
      <c r="N2" s="37"/>
      <c r="O2" s="37"/>
      <c r="P2" s="37"/>
      <c r="Q2" s="38"/>
      <c r="R2" s="38"/>
    </row>
    <row r="3" spans="1:18" x14ac:dyDescent="0.3">
      <c r="B3" s="8" t="s">
        <v>74</v>
      </c>
      <c r="C3"/>
      <c r="D3"/>
      <c r="E3"/>
      <c r="G3"/>
      <c r="I3"/>
      <c r="Q3"/>
    </row>
    <row r="4" spans="1:18" x14ac:dyDescent="0.3">
      <c r="A4" s="8" t="s">
        <v>75</v>
      </c>
      <c r="B4" s="9" t="s">
        <v>34</v>
      </c>
      <c r="C4" s="10" t="s">
        <v>76</v>
      </c>
      <c r="D4" s="9" t="s">
        <v>77</v>
      </c>
      <c r="E4" s="9" t="s">
        <v>78</v>
      </c>
      <c r="F4" s="9" t="s">
        <v>79</v>
      </c>
      <c r="G4" s="11" t="s">
        <v>80</v>
      </c>
      <c r="H4" s="9" t="s">
        <v>81</v>
      </c>
      <c r="I4" s="9" t="s">
        <v>82</v>
      </c>
      <c r="J4" s="9" t="s">
        <v>83</v>
      </c>
      <c r="K4" t="s">
        <v>84</v>
      </c>
      <c r="L4" s="9" t="s">
        <v>85</v>
      </c>
      <c r="M4" s="9" t="s">
        <v>86</v>
      </c>
      <c r="N4" s="11" t="s">
        <v>87</v>
      </c>
      <c r="Q4"/>
    </row>
    <row r="5" spans="1:18" x14ac:dyDescent="0.3">
      <c r="A5" s="76" t="s">
        <v>391</v>
      </c>
      <c r="B5" s="13"/>
      <c r="C5" s="14"/>
      <c r="D5" s="13"/>
      <c r="E5" s="13"/>
      <c r="F5" s="13"/>
      <c r="G5" s="15"/>
      <c r="H5" s="13"/>
      <c r="I5" s="13"/>
      <c r="J5" s="13"/>
      <c r="K5" s="13"/>
      <c r="L5" s="13"/>
      <c r="M5" s="13"/>
      <c r="N5" s="15"/>
      <c r="Q5"/>
    </row>
    <row r="6" spans="1:18" x14ac:dyDescent="0.3">
      <c r="A6" s="19">
        <v>302534</v>
      </c>
      <c r="B6" s="141">
        <v>299.17</v>
      </c>
      <c r="C6" s="142">
        <v>86.36</v>
      </c>
      <c r="D6" s="141">
        <v>89.58</v>
      </c>
      <c r="E6" s="141">
        <v>104.71</v>
      </c>
      <c r="F6" s="141">
        <v>40.82</v>
      </c>
      <c r="G6" s="143">
        <v>0.78587425209746953</v>
      </c>
      <c r="H6" s="141">
        <v>35.9</v>
      </c>
      <c r="I6" s="141">
        <v>6.48</v>
      </c>
      <c r="J6" s="141">
        <v>0</v>
      </c>
      <c r="K6" s="141">
        <v>77.78</v>
      </c>
      <c r="L6" s="141">
        <v>0</v>
      </c>
      <c r="M6" s="141">
        <v>-56.099999999999966</v>
      </c>
      <c r="N6" s="143">
        <v>-0.18751880201891888</v>
      </c>
      <c r="Q6"/>
    </row>
    <row r="7" spans="1:18" s="39" customFormat="1" x14ac:dyDescent="0.3">
      <c r="A7" s="19">
        <v>302617</v>
      </c>
      <c r="B7" s="141">
        <v>145.78</v>
      </c>
      <c r="C7" s="142">
        <v>6.62</v>
      </c>
      <c r="D7" s="141">
        <v>6.87</v>
      </c>
      <c r="E7" s="141">
        <v>51.02</v>
      </c>
      <c r="F7" s="141">
        <v>3.13</v>
      </c>
      <c r="G7" s="143">
        <v>0.41857593634243384</v>
      </c>
      <c r="H7" s="141">
        <v>17.489999999999998</v>
      </c>
      <c r="I7" s="141">
        <v>0.95</v>
      </c>
      <c r="J7" s="141">
        <v>0</v>
      </c>
      <c r="K7" s="141">
        <v>37.9</v>
      </c>
      <c r="L7" s="141">
        <v>0</v>
      </c>
      <c r="M7" s="141">
        <v>28.419999999999995</v>
      </c>
      <c r="N7" s="143">
        <v>0.19495129647413909</v>
      </c>
      <c r="O7"/>
      <c r="P7"/>
    </row>
    <row r="8" spans="1:18" s="39" customFormat="1" x14ac:dyDescent="0.3">
      <c r="A8" s="19">
        <v>302621</v>
      </c>
      <c r="B8" s="141">
        <v>145.78</v>
      </c>
      <c r="C8" s="142">
        <v>10.82</v>
      </c>
      <c r="D8" s="141">
        <v>11.22</v>
      </c>
      <c r="E8" s="141">
        <v>51.02</v>
      </c>
      <c r="F8" s="141">
        <v>5.1100000000000003</v>
      </c>
      <c r="G8" s="143">
        <v>0.46199753052544934</v>
      </c>
      <c r="H8" s="141">
        <v>17.489999999999998</v>
      </c>
      <c r="I8" s="141">
        <v>1.1299999999999999</v>
      </c>
      <c r="J8" s="141">
        <v>0</v>
      </c>
      <c r="K8" s="141">
        <v>37.9</v>
      </c>
      <c r="L8" s="141">
        <v>0</v>
      </c>
      <c r="M8" s="141">
        <v>21.909999999999997</v>
      </c>
      <c r="N8" s="143">
        <v>0.15029496501577719</v>
      </c>
      <c r="O8"/>
      <c r="P8"/>
    </row>
    <row r="9" spans="1:18" s="39" customFormat="1" x14ac:dyDescent="0.3">
      <c r="A9" s="19">
        <v>302857</v>
      </c>
      <c r="B9" s="141">
        <v>115.39</v>
      </c>
      <c r="C9" s="142">
        <v>13.25</v>
      </c>
      <c r="D9" s="141">
        <v>5.35</v>
      </c>
      <c r="E9" s="141">
        <v>0.09</v>
      </c>
      <c r="F9" s="141">
        <v>6.26</v>
      </c>
      <c r="G9" s="143">
        <v>0.10139526822081636</v>
      </c>
      <c r="H9" s="141">
        <v>13.85</v>
      </c>
      <c r="I9" s="141">
        <v>1.86</v>
      </c>
      <c r="J9" s="141">
        <v>0</v>
      </c>
      <c r="K9" s="141">
        <v>30</v>
      </c>
      <c r="L9" s="141">
        <v>0</v>
      </c>
      <c r="M9" s="141">
        <v>57.980000000000004</v>
      </c>
      <c r="N9" s="143">
        <v>0.50246988473871224</v>
      </c>
      <c r="O9"/>
      <c r="P9"/>
    </row>
    <row r="10" spans="1:18" s="39" customFormat="1" x14ac:dyDescent="0.3">
      <c r="A10" s="19">
        <v>302859</v>
      </c>
      <c r="B10" s="141">
        <v>367.76</v>
      </c>
      <c r="C10" s="142">
        <v>59.62</v>
      </c>
      <c r="D10" s="141">
        <v>24.06</v>
      </c>
      <c r="E10" s="141">
        <v>0.39</v>
      </c>
      <c r="F10" s="141">
        <v>28.18</v>
      </c>
      <c r="G10" s="143">
        <v>0.14310963671959973</v>
      </c>
      <c r="H10" s="141">
        <v>44.13</v>
      </c>
      <c r="I10" s="141">
        <v>8.3800000000000008</v>
      </c>
      <c r="J10" s="141">
        <v>0</v>
      </c>
      <c r="K10" s="141">
        <v>95.62</v>
      </c>
      <c r="L10" s="141">
        <v>0</v>
      </c>
      <c r="M10" s="141">
        <v>167</v>
      </c>
      <c r="N10" s="143">
        <v>0.45410050032629978</v>
      </c>
      <c r="O10"/>
      <c r="P10"/>
    </row>
    <row r="11" spans="1:18" s="39" customFormat="1" x14ac:dyDescent="0.3">
      <c r="A11" s="19">
        <v>302860</v>
      </c>
      <c r="B11" s="141">
        <v>115.39</v>
      </c>
      <c r="C11" s="142">
        <v>13.25</v>
      </c>
      <c r="D11" s="141">
        <v>5.35</v>
      </c>
      <c r="E11" s="141">
        <v>0.09</v>
      </c>
      <c r="F11" s="141">
        <v>6.26</v>
      </c>
      <c r="G11" s="143">
        <v>0.10139526822081636</v>
      </c>
      <c r="H11" s="141">
        <v>13.85</v>
      </c>
      <c r="I11" s="141">
        <v>1.86</v>
      </c>
      <c r="J11" s="141">
        <v>0</v>
      </c>
      <c r="K11" s="141">
        <v>30</v>
      </c>
      <c r="L11" s="141">
        <v>0</v>
      </c>
      <c r="M11" s="141">
        <v>57.980000000000004</v>
      </c>
      <c r="N11" s="143">
        <v>0.50246988473871224</v>
      </c>
      <c r="O11"/>
      <c r="P11"/>
    </row>
    <row r="12" spans="1:18" s="39" customFormat="1" x14ac:dyDescent="0.3">
      <c r="A12" s="19">
        <v>302861</v>
      </c>
      <c r="B12" s="141">
        <v>237.25</v>
      </c>
      <c r="C12" s="142">
        <v>48.82</v>
      </c>
      <c r="D12" s="141">
        <v>19.7</v>
      </c>
      <c r="E12" s="141">
        <v>83.04</v>
      </c>
      <c r="F12" s="141">
        <v>23.08</v>
      </c>
      <c r="G12" s="143">
        <v>0.5303266596417282</v>
      </c>
      <c r="H12" s="141">
        <v>28.47</v>
      </c>
      <c r="I12" s="141">
        <v>5.74</v>
      </c>
      <c r="J12" s="141">
        <v>0</v>
      </c>
      <c r="K12" s="141">
        <v>61.68</v>
      </c>
      <c r="L12" s="141">
        <v>0</v>
      </c>
      <c r="M12" s="141">
        <v>15.54</v>
      </c>
      <c r="N12" s="143">
        <v>6.5500526870389875E-2</v>
      </c>
      <c r="O12"/>
      <c r="P12"/>
    </row>
    <row r="13" spans="1:18" s="39" customFormat="1" x14ac:dyDescent="0.3">
      <c r="A13" s="19">
        <v>302863</v>
      </c>
      <c r="B13" s="141">
        <v>1581.73</v>
      </c>
      <c r="C13" s="142">
        <v>358.28</v>
      </c>
      <c r="D13" s="141">
        <v>144.6</v>
      </c>
      <c r="E13" s="141">
        <v>0</v>
      </c>
      <c r="F13" s="141">
        <v>228.61</v>
      </c>
      <c r="G13" s="143">
        <v>0.23595050988474647</v>
      </c>
      <c r="H13" s="141">
        <v>189.81</v>
      </c>
      <c r="I13" s="141">
        <v>36.06</v>
      </c>
      <c r="J13" s="141">
        <v>0</v>
      </c>
      <c r="K13" s="141">
        <v>411.25</v>
      </c>
      <c r="L13" s="141">
        <v>0</v>
      </c>
      <c r="M13" s="141">
        <v>571.40000000000009</v>
      </c>
      <c r="N13" s="143">
        <v>0.36125002370821829</v>
      </c>
      <c r="O13"/>
      <c r="P13"/>
    </row>
    <row r="14" spans="1:18" s="39" customFormat="1" x14ac:dyDescent="0.3">
      <c r="A14" s="19">
        <v>302864</v>
      </c>
      <c r="B14" s="141">
        <v>204.32</v>
      </c>
      <c r="C14" s="142">
        <v>33.119999999999997</v>
      </c>
      <c r="D14" s="141">
        <v>13.37</v>
      </c>
      <c r="E14" s="141">
        <v>0.22</v>
      </c>
      <c r="F14" s="141">
        <v>15.65</v>
      </c>
      <c r="G14" s="143">
        <v>0.14310884886452624</v>
      </c>
      <c r="H14" s="141">
        <v>24.52</v>
      </c>
      <c r="I14" s="141">
        <v>4.66</v>
      </c>
      <c r="J14" s="141">
        <v>0</v>
      </c>
      <c r="K14" s="141">
        <v>53.12</v>
      </c>
      <c r="L14" s="141">
        <v>0</v>
      </c>
      <c r="M14" s="141">
        <v>92.779999999999973</v>
      </c>
      <c r="N14" s="143">
        <v>0.45409162098668743</v>
      </c>
      <c r="O14"/>
      <c r="P14"/>
    </row>
    <row r="15" spans="1:18" s="39" customFormat="1" x14ac:dyDescent="0.3">
      <c r="A15" s="19">
        <v>302865</v>
      </c>
      <c r="B15" s="141">
        <v>145.78</v>
      </c>
      <c r="C15" s="142">
        <v>32</v>
      </c>
      <c r="D15" s="141">
        <v>12.92</v>
      </c>
      <c r="E15" s="141">
        <v>0.21</v>
      </c>
      <c r="F15" s="141">
        <v>15.13</v>
      </c>
      <c r="G15" s="143">
        <v>0.19385375222938675</v>
      </c>
      <c r="H15" s="141">
        <v>17.489999999999998</v>
      </c>
      <c r="I15" s="141">
        <v>1.43</v>
      </c>
      <c r="J15" s="141">
        <v>0</v>
      </c>
      <c r="K15" s="141">
        <v>37.9</v>
      </c>
      <c r="L15" s="141">
        <v>0</v>
      </c>
      <c r="M15" s="141">
        <v>60.70000000000001</v>
      </c>
      <c r="N15" s="143">
        <v>0.41638084785292911</v>
      </c>
      <c r="O15"/>
      <c r="P15"/>
    </row>
    <row r="16" spans="1:18" s="39" customFormat="1" x14ac:dyDescent="0.3">
      <c r="A16" s="19">
        <v>302867</v>
      </c>
      <c r="B16" s="141">
        <v>163.44</v>
      </c>
      <c r="C16" s="142">
        <v>26.5</v>
      </c>
      <c r="D16" s="141">
        <v>10.7</v>
      </c>
      <c r="E16" s="141">
        <v>0.17</v>
      </c>
      <c r="F16" s="141">
        <v>12.53</v>
      </c>
      <c r="G16" s="143">
        <v>0.14317180616740088</v>
      </c>
      <c r="H16" s="141">
        <v>19.61</v>
      </c>
      <c r="I16" s="141">
        <v>3.73</v>
      </c>
      <c r="J16" s="141">
        <v>0</v>
      </c>
      <c r="K16" s="141">
        <v>42.49</v>
      </c>
      <c r="L16" s="141">
        <v>0</v>
      </c>
      <c r="M16" s="141">
        <v>74.210000000000008</v>
      </c>
      <c r="N16" s="143">
        <v>0.45405041605482138</v>
      </c>
      <c r="O16"/>
      <c r="P16"/>
    </row>
    <row r="17" spans="1:16" s="39" customFormat="1" x14ac:dyDescent="0.3">
      <c r="A17" s="19">
        <v>302868</v>
      </c>
      <c r="B17" s="141">
        <v>355.98</v>
      </c>
      <c r="C17" s="142">
        <v>52.99</v>
      </c>
      <c r="D17" s="141">
        <v>21.39</v>
      </c>
      <c r="E17" s="141">
        <v>0.35</v>
      </c>
      <c r="F17" s="141">
        <v>25.05</v>
      </c>
      <c r="G17" s="143">
        <v>0.13143996853755829</v>
      </c>
      <c r="H17" s="141">
        <v>42.72</v>
      </c>
      <c r="I17" s="141">
        <v>8.1199999999999992</v>
      </c>
      <c r="J17" s="141">
        <v>0</v>
      </c>
      <c r="K17" s="141">
        <v>92.55</v>
      </c>
      <c r="L17" s="141">
        <v>0</v>
      </c>
      <c r="M17" s="141">
        <v>165.8</v>
      </c>
      <c r="N17" s="143">
        <v>0.46575650317433565</v>
      </c>
      <c r="O17"/>
      <c r="P17"/>
    </row>
    <row r="18" spans="1:16" s="39" customFormat="1" x14ac:dyDescent="0.3">
      <c r="A18" s="19">
        <v>302869</v>
      </c>
      <c r="B18" s="141">
        <v>163.44</v>
      </c>
      <c r="C18" s="142">
        <v>26.5</v>
      </c>
      <c r="D18" s="141">
        <v>10.7</v>
      </c>
      <c r="E18" s="141">
        <v>0.17</v>
      </c>
      <c r="F18" s="141">
        <v>12.53</v>
      </c>
      <c r="G18" s="143">
        <v>0.14317180616740088</v>
      </c>
      <c r="H18" s="141">
        <v>19.61</v>
      </c>
      <c r="I18" s="141">
        <v>3.73</v>
      </c>
      <c r="J18" s="141">
        <v>0</v>
      </c>
      <c r="K18" s="141">
        <v>42.49</v>
      </c>
      <c r="L18" s="141">
        <v>0</v>
      </c>
      <c r="M18" s="141">
        <v>74.210000000000008</v>
      </c>
      <c r="N18" s="143">
        <v>0.45405041605482138</v>
      </c>
      <c r="O18"/>
      <c r="P18"/>
    </row>
    <row r="19" spans="1:16" s="39" customFormat="1" x14ac:dyDescent="0.3">
      <c r="A19" s="19">
        <v>302871</v>
      </c>
      <c r="B19" s="141">
        <v>204.32</v>
      </c>
      <c r="C19" s="142">
        <v>33.119999999999997</v>
      </c>
      <c r="D19" s="141">
        <v>13.37</v>
      </c>
      <c r="E19" s="141">
        <v>0.22</v>
      </c>
      <c r="F19" s="141">
        <v>15.65</v>
      </c>
      <c r="G19" s="143">
        <v>0.14310884886452624</v>
      </c>
      <c r="H19" s="141">
        <v>24.52</v>
      </c>
      <c r="I19" s="141">
        <v>4.66</v>
      </c>
      <c r="J19" s="141">
        <v>0</v>
      </c>
      <c r="K19" s="141">
        <v>53.12</v>
      </c>
      <c r="L19" s="141">
        <v>0</v>
      </c>
      <c r="M19" s="141">
        <v>92.779999999999973</v>
      </c>
      <c r="N19" s="143">
        <v>0.45409162098668743</v>
      </c>
      <c r="O19"/>
      <c r="P19"/>
    </row>
    <row r="20" spans="1:16" s="39" customFormat="1" x14ac:dyDescent="0.3">
      <c r="A20" s="19">
        <v>302873</v>
      </c>
      <c r="B20" s="141">
        <v>115.39</v>
      </c>
      <c r="C20" s="142">
        <v>35.29</v>
      </c>
      <c r="D20" s="141">
        <v>14.24</v>
      </c>
      <c r="E20" s="141">
        <v>0.23</v>
      </c>
      <c r="F20" s="141">
        <v>16.68</v>
      </c>
      <c r="G20" s="143">
        <v>0.26995406881012218</v>
      </c>
      <c r="H20" s="141">
        <v>13.85</v>
      </c>
      <c r="I20" s="141">
        <v>1.72</v>
      </c>
      <c r="J20" s="141">
        <v>0</v>
      </c>
      <c r="K20" s="141">
        <v>30</v>
      </c>
      <c r="L20" s="141">
        <v>0</v>
      </c>
      <c r="M20" s="141">
        <v>38.670000000000016</v>
      </c>
      <c r="N20" s="143">
        <v>0.33512436086315983</v>
      </c>
      <c r="O20"/>
      <c r="P20"/>
    </row>
    <row r="21" spans="1:16" s="39" customFormat="1" x14ac:dyDescent="0.3">
      <c r="A21" s="19">
        <v>302874</v>
      </c>
      <c r="B21" s="141">
        <v>594.33000000000004</v>
      </c>
      <c r="C21" s="142">
        <v>57.02</v>
      </c>
      <c r="D21" s="141">
        <v>23.01</v>
      </c>
      <c r="E21" s="141">
        <v>0.37</v>
      </c>
      <c r="F21" s="141">
        <v>26.95</v>
      </c>
      <c r="G21" s="143">
        <v>8.4683593289923101E-2</v>
      </c>
      <c r="H21" s="141">
        <v>71.319999999999993</v>
      </c>
      <c r="I21" s="141">
        <v>13.55</v>
      </c>
      <c r="J21" s="141">
        <v>0</v>
      </c>
      <c r="K21" s="141">
        <v>154.53</v>
      </c>
      <c r="L21" s="141">
        <v>0</v>
      </c>
      <c r="M21" s="141">
        <v>304.60000000000002</v>
      </c>
      <c r="N21" s="143">
        <v>0.51250988508067907</v>
      </c>
      <c r="O21"/>
      <c r="P21"/>
    </row>
    <row r="22" spans="1:16" s="39" customFormat="1" x14ac:dyDescent="0.3">
      <c r="A22" s="19">
        <v>302875</v>
      </c>
      <c r="B22" s="141">
        <v>115.39</v>
      </c>
      <c r="C22" s="142">
        <v>34.369999999999997</v>
      </c>
      <c r="D22" s="141">
        <v>13.87</v>
      </c>
      <c r="E22" s="141">
        <v>0.23</v>
      </c>
      <c r="F22" s="141">
        <v>16.25</v>
      </c>
      <c r="G22" s="143">
        <v>0.26302105901724587</v>
      </c>
      <c r="H22" s="141">
        <v>13.85</v>
      </c>
      <c r="I22" s="141">
        <v>2.29</v>
      </c>
      <c r="J22" s="141">
        <v>0</v>
      </c>
      <c r="K22" s="141">
        <v>30</v>
      </c>
      <c r="L22" s="141">
        <v>0</v>
      </c>
      <c r="M22" s="141">
        <v>38.899999999999991</v>
      </c>
      <c r="N22" s="143">
        <v>0.33711760117861161</v>
      </c>
      <c r="O22"/>
      <c r="P22"/>
    </row>
    <row r="23" spans="1:16" s="39" customFormat="1" x14ac:dyDescent="0.3">
      <c r="A23" s="19">
        <v>302876</v>
      </c>
      <c r="B23" s="141">
        <v>1926</v>
      </c>
      <c r="C23" s="142">
        <v>188.18</v>
      </c>
      <c r="D23" s="141">
        <v>75.95</v>
      </c>
      <c r="E23" s="141">
        <v>1.23</v>
      </c>
      <c r="F23" s="141">
        <v>88.94</v>
      </c>
      <c r="G23" s="143">
        <v>8.6251298026998963E-2</v>
      </c>
      <c r="H23" s="141">
        <v>231.12</v>
      </c>
      <c r="I23" s="141">
        <v>43.91</v>
      </c>
      <c r="J23" s="141">
        <v>0</v>
      </c>
      <c r="K23" s="141">
        <v>500.76</v>
      </c>
      <c r="L23" s="141">
        <v>0</v>
      </c>
      <c r="M23" s="141">
        <v>984.08999999999969</v>
      </c>
      <c r="N23" s="143">
        <v>0.51095015576323977</v>
      </c>
      <c r="O23"/>
      <c r="P23"/>
    </row>
    <row r="24" spans="1:16" s="39" customFormat="1" x14ac:dyDescent="0.3">
      <c r="A24" s="19">
        <v>302878</v>
      </c>
      <c r="B24" s="141">
        <v>3347.76</v>
      </c>
      <c r="C24" s="142">
        <v>1294.78</v>
      </c>
      <c r="D24" s="141">
        <v>522.58000000000004</v>
      </c>
      <c r="E24" s="141">
        <v>8.49</v>
      </c>
      <c r="F24" s="141">
        <v>611.99</v>
      </c>
      <c r="G24" s="143">
        <v>0.34144024661266037</v>
      </c>
      <c r="H24" s="141">
        <v>401.73</v>
      </c>
      <c r="I24" s="141">
        <v>76.319999999999993</v>
      </c>
      <c r="J24" s="141">
        <v>0</v>
      </c>
      <c r="K24" s="141">
        <v>870.42</v>
      </c>
      <c r="L24" s="141">
        <v>0</v>
      </c>
      <c r="M24" s="141">
        <v>856.23000000000081</v>
      </c>
      <c r="N24" s="143">
        <v>0.25576206179654476</v>
      </c>
      <c r="O24"/>
      <c r="P24"/>
    </row>
    <row r="25" spans="1:16" s="39" customFormat="1" x14ac:dyDescent="0.3">
      <c r="A25" s="19">
        <v>302888</v>
      </c>
      <c r="B25" s="141">
        <v>115.39</v>
      </c>
      <c r="C25" s="142">
        <v>151.27000000000001</v>
      </c>
      <c r="D25" s="141">
        <v>61.05</v>
      </c>
      <c r="E25" s="141">
        <v>0.99</v>
      </c>
      <c r="F25" s="141">
        <v>71.5</v>
      </c>
      <c r="G25" s="143">
        <v>1.1572926596758817</v>
      </c>
      <c r="H25" s="141">
        <v>13.85</v>
      </c>
      <c r="I25" s="141">
        <v>2.56</v>
      </c>
      <c r="J25" s="141">
        <v>0</v>
      </c>
      <c r="K25" s="141">
        <v>30</v>
      </c>
      <c r="L25" s="141">
        <v>0</v>
      </c>
      <c r="M25" s="141">
        <v>-64.56</v>
      </c>
      <c r="N25" s="143">
        <v>-0.55949389028512009</v>
      </c>
      <c r="O25"/>
      <c r="P25"/>
    </row>
    <row r="26" spans="1:16" s="39" customFormat="1" x14ac:dyDescent="0.3">
      <c r="A26" s="19">
        <v>302894</v>
      </c>
      <c r="B26" s="141">
        <v>1188.6600000000001</v>
      </c>
      <c r="C26" s="142">
        <v>114.05</v>
      </c>
      <c r="D26" s="141">
        <v>46.03</v>
      </c>
      <c r="E26" s="141">
        <v>0.75</v>
      </c>
      <c r="F26" s="141">
        <v>53.91</v>
      </c>
      <c r="G26" s="143">
        <v>8.4708831793784592E-2</v>
      </c>
      <c r="H26" s="141">
        <v>142.63999999999999</v>
      </c>
      <c r="I26" s="141">
        <v>27.1</v>
      </c>
      <c r="J26" s="141">
        <v>0</v>
      </c>
      <c r="K26" s="141">
        <v>309.05</v>
      </c>
      <c r="L26" s="141">
        <v>0</v>
      </c>
      <c r="M26" s="141">
        <v>609.18000000000006</v>
      </c>
      <c r="N26" s="143">
        <v>0.51249305941143808</v>
      </c>
      <c r="O26"/>
      <c r="P26"/>
    </row>
    <row r="27" spans="1:16" s="39" customFormat="1" x14ac:dyDescent="0.3">
      <c r="A27" s="76" t="s">
        <v>396</v>
      </c>
      <c r="B27" s="141"/>
      <c r="C27" s="142"/>
      <c r="D27" s="141"/>
      <c r="E27" s="141"/>
      <c r="F27" s="141"/>
      <c r="G27" s="143"/>
      <c r="H27" s="141"/>
      <c r="I27" s="141"/>
      <c r="J27" s="141"/>
      <c r="K27" s="141"/>
      <c r="L27" s="141"/>
      <c r="M27" s="141"/>
      <c r="N27" s="143"/>
      <c r="O27"/>
      <c r="P27"/>
    </row>
    <row r="28" spans="1:16" s="39" customFormat="1" x14ac:dyDescent="0.3">
      <c r="A28" s="19">
        <v>302858</v>
      </c>
      <c r="B28" s="141">
        <v>166.74</v>
      </c>
      <c r="C28" s="142">
        <v>49.6</v>
      </c>
      <c r="D28" s="141">
        <v>20.02</v>
      </c>
      <c r="E28" s="141">
        <v>0.33</v>
      </c>
      <c r="F28" s="141">
        <v>23.44</v>
      </c>
      <c r="G28" s="143">
        <v>0.26262444524409256</v>
      </c>
      <c r="H28" s="141">
        <v>20.010000000000002</v>
      </c>
      <c r="I28" s="141">
        <v>3.8</v>
      </c>
      <c r="J28" s="141">
        <v>0</v>
      </c>
      <c r="K28" s="141">
        <v>43.35</v>
      </c>
      <c r="L28" s="141">
        <v>0</v>
      </c>
      <c r="M28" s="141">
        <v>55.789999999999985</v>
      </c>
      <c r="N28" s="143">
        <v>0.33459277917716196</v>
      </c>
      <c r="O28"/>
      <c r="P28"/>
    </row>
    <row r="29" spans="1:16" s="39" customFormat="1" x14ac:dyDescent="0.3">
      <c r="A29" s="19">
        <v>302866</v>
      </c>
      <c r="B29" s="141">
        <v>115.39</v>
      </c>
      <c r="C29" s="142">
        <v>20.399999999999999</v>
      </c>
      <c r="D29" s="141">
        <v>8.23</v>
      </c>
      <c r="E29" s="141">
        <v>0.13</v>
      </c>
      <c r="F29" s="141">
        <v>9.64</v>
      </c>
      <c r="G29" s="143">
        <v>0.15599272033971748</v>
      </c>
      <c r="H29" s="141">
        <v>13.85</v>
      </c>
      <c r="I29" s="141">
        <v>2.2200000000000002</v>
      </c>
      <c r="J29" s="141">
        <v>0</v>
      </c>
      <c r="K29" s="141">
        <v>30</v>
      </c>
      <c r="L29" s="141">
        <v>0</v>
      </c>
      <c r="M29" s="141">
        <v>51.320000000000007</v>
      </c>
      <c r="N29" s="143">
        <v>0.44475257821301678</v>
      </c>
      <c r="O29"/>
      <c r="P29"/>
    </row>
    <row r="30" spans="1:16" s="39" customFormat="1" x14ac:dyDescent="0.3">
      <c r="A30" s="19">
        <v>302870</v>
      </c>
      <c r="B30" s="141">
        <v>115.39</v>
      </c>
      <c r="C30" s="142">
        <v>2.1</v>
      </c>
      <c r="D30" s="141">
        <v>0.85</v>
      </c>
      <c r="E30" s="141">
        <v>0.01</v>
      </c>
      <c r="F30" s="141">
        <v>0.99</v>
      </c>
      <c r="G30" s="143">
        <v>1.6032585146026519E-2</v>
      </c>
      <c r="H30" s="141">
        <v>13.85</v>
      </c>
      <c r="I30" s="141">
        <v>0.99</v>
      </c>
      <c r="J30" s="141">
        <v>0</v>
      </c>
      <c r="K30" s="141">
        <v>30</v>
      </c>
      <c r="L30" s="141">
        <v>0</v>
      </c>
      <c r="M30" s="141">
        <v>68.700000000000017</v>
      </c>
      <c r="N30" s="143">
        <v>0.59537221596325518</v>
      </c>
      <c r="O30"/>
      <c r="P30"/>
    </row>
    <row r="31" spans="1:16" s="39" customFormat="1" x14ac:dyDescent="0.3">
      <c r="A31" s="19">
        <v>302872</v>
      </c>
      <c r="B31" s="141">
        <v>115.39</v>
      </c>
      <c r="C31" s="142">
        <v>2.1</v>
      </c>
      <c r="D31" s="141">
        <v>0.85</v>
      </c>
      <c r="E31" s="141">
        <v>0.01</v>
      </c>
      <c r="F31" s="141">
        <v>0.99</v>
      </c>
      <c r="G31" s="143">
        <v>1.6032585146026519E-2</v>
      </c>
      <c r="H31" s="141">
        <v>13.85</v>
      </c>
      <c r="I31" s="141">
        <v>0.99</v>
      </c>
      <c r="J31" s="141">
        <v>0</v>
      </c>
      <c r="K31" s="141">
        <v>30</v>
      </c>
      <c r="L31" s="141">
        <v>0</v>
      </c>
      <c r="M31" s="141">
        <v>68.700000000000017</v>
      </c>
      <c r="N31" s="143">
        <v>0.59537221596325518</v>
      </c>
      <c r="O31"/>
      <c r="P31"/>
    </row>
    <row r="32" spans="1:16" s="39" customFormat="1" x14ac:dyDescent="0.3">
      <c r="A32" s="12" t="s">
        <v>615</v>
      </c>
      <c r="B32" s="141"/>
      <c r="C32" s="142"/>
      <c r="D32" s="141"/>
      <c r="E32" s="141"/>
      <c r="F32" s="141"/>
      <c r="G32" s="143"/>
      <c r="H32" s="141"/>
      <c r="I32" s="141"/>
      <c r="J32" s="141"/>
      <c r="K32" s="141"/>
      <c r="L32" s="141"/>
      <c r="M32" s="141"/>
      <c r="N32" s="143"/>
      <c r="O32"/>
      <c r="P32"/>
    </row>
    <row r="33" spans="1:16" s="39" customFormat="1" x14ac:dyDescent="0.3">
      <c r="A33" s="19">
        <v>4280</v>
      </c>
      <c r="B33" s="141">
        <v>87.07</v>
      </c>
      <c r="C33" s="142">
        <v>273</v>
      </c>
      <c r="D33" s="141">
        <v>0</v>
      </c>
      <c r="E33" s="141">
        <v>0</v>
      </c>
      <c r="F33" s="141">
        <v>33.5</v>
      </c>
      <c r="G33" s="143">
        <v>0.38474790398529923</v>
      </c>
      <c r="H33" s="141">
        <v>0</v>
      </c>
      <c r="I33" s="141">
        <v>0</v>
      </c>
      <c r="J33" s="141">
        <v>0</v>
      </c>
      <c r="K33" s="141">
        <v>22.64</v>
      </c>
      <c r="L33" s="141">
        <v>0.87</v>
      </c>
      <c r="M33" s="141">
        <v>30.059999999999992</v>
      </c>
      <c r="N33" s="143">
        <v>0.34523946250143556</v>
      </c>
      <c r="O33"/>
      <c r="P33"/>
    </row>
    <row r="34" spans="1:16" s="39" customFormat="1" x14ac:dyDescent="0.3">
      <c r="A34" s="19">
        <v>4281</v>
      </c>
      <c r="B34" s="141">
        <v>112.52</v>
      </c>
      <c r="C34" s="142">
        <v>100</v>
      </c>
      <c r="D34" s="141">
        <v>0</v>
      </c>
      <c r="E34" s="141">
        <v>0</v>
      </c>
      <c r="F34" s="141">
        <v>43.3</v>
      </c>
      <c r="G34" s="143">
        <v>0.38482047635975825</v>
      </c>
      <c r="H34" s="141">
        <v>0</v>
      </c>
      <c r="I34" s="141">
        <v>0</v>
      </c>
      <c r="J34" s="141">
        <v>0</v>
      </c>
      <c r="K34" s="141">
        <v>29.26</v>
      </c>
      <c r="L34" s="141">
        <v>1.1299999999999999</v>
      </c>
      <c r="M34" s="141">
        <v>38.829999999999991</v>
      </c>
      <c r="N34" s="143">
        <v>0.34509420547458225</v>
      </c>
      <c r="O34"/>
      <c r="P34"/>
    </row>
    <row r="35" spans="1:16" s="39" customFormat="1" x14ac:dyDescent="0.3">
      <c r="A35" s="19">
        <v>4282</v>
      </c>
      <c r="B35" s="141">
        <v>915.12</v>
      </c>
      <c r="C35" s="142">
        <v>600</v>
      </c>
      <c r="D35" s="141">
        <v>0</v>
      </c>
      <c r="E35" s="141">
        <v>0</v>
      </c>
      <c r="F35" s="141">
        <v>352.13</v>
      </c>
      <c r="G35" s="143">
        <v>0.38479106565259202</v>
      </c>
      <c r="H35" s="141">
        <v>0</v>
      </c>
      <c r="I35" s="141">
        <v>0</v>
      </c>
      <c r="J35" s="141">
        <v>0</v>
      </c>
      <c r="K35" s="141">
        <v>237.93</v>
      </c>
      <c r="L35" s="141">
        <v>9.15</v>
      </c>
      <c r="M35" s="141">
        <v>315.91000000000003</v>
      </c>
      <c r="N35" s="143">
        <v>0.34521155695427924</v>
      </c>
      <c r="O35"/>
      <c r="P35"/>
    </row>
    <row r="36" spans="1:16" s="39" customFormat="1" x14ac:dyDescent="0.3">
      <c r="A36" s="19">
        <v>4283</v>
      </c>
      <c r="B36" s="141">
        <v>180.21</v>
      </c>
      <c r="C36" s="142">
        <v>84</v>
      </c>
      <c r="D36" s="141">
        <v>0</v>
      </c>
      <c r="E36" s="141">
        <v>0</v>
      </c>
      <c r="F36" s="141">
        <v>69.34</v>
      </c>
      <c r="G36" s="143">
        <v>0.38477332001553743</v>
      </c>
      <c r="H36" s="141">
        <v>0</v>
      </c>
      <c r="I36" s="141">
        <v>0</v>
      </c>
      <c r="J36" s="141">
        <v>0</v>
      </c>
      <c r="K36" s="141">
        <v>46.85</v>
      </c>
      <c r="L36" s="141">
        <v>1.8</v>
      </c>
      <c r="M36" s="141">
        <v>62.220000000000013</v>
      </c>
      <c r="N36" s="143">
        <v>0.34526385883136346</v>
      </c>
      <c r="O36"/>
      <c r="P36"/>
    </row>
    <row r="37" spans="1:16" s="39" customFormat="1" x14ac:dyDescent="0.3">
      <c r="A37" s="19">
        <v>4284</v>
      </c>
      <c r="B37" s="141">
        <v>134.41999999999999</v>
      </c>
      <c r="C37" s="142">
        <v>449</v>
      </c>
      <c r="D37" s="141">
        <v>0</v>
      </c>
      <c r="E37" s="141">
        <v>0</v>
      </c>
      <c r="F37" s="141">
        <v>51.72</v>
      </c>
      <c r="G37" s="143">
        <v>0.38476417199821455</v>
      </c>
      <c r="H37" s="141">
        <v>0</v>
      </c>
      <c r="I37" s="141">
        <v>0</v>
      </c>
      <c r="J37" s="141">
        <v>0</v>
      </c>
      <c r="K37" s="141">
        <v>34.950000000000003</v>
      </c>
      <c r="L37" s="141">
        <v>1.34</v>
      </c>
      <c r="M37" s="141">
        <v>46.409999999999982</v>
      </c>
      <c r="N37" s="143">
        <v>0.34526112185686642</v>
      </c>
      <c r="O37"/>
      <c r="P37"/>
    </row>
    <row r="38" spans="1:16" s="39" customFormat="1" x14ac:dyDescent="0.3">
      <c r="A38" s="12" t="s">
        <v>88</v>
      </c>
      <c r="B38" s="141"/>
      <c r="C38" s="142"/>
      <c r="D38" s="141"/>
      <c r="E38" s="141"/>
      <c r="F38" s="141"/>
      <c r="G38" s="143"/>
      <c r="H38" s="141"/>
      <c r="I38" s="141"/>
      <c r="J38" s="141"/>
      <c r="K38" s="141"/>
      <c r="L38" s="141"/>
      <c r="M38" s="141"/>
      <c r="N38" s="143"/>
      <c r="O38"/>
      <c r="P38"/>
    </row>
    <row r="39" spans="1:16" s="39" customFormat="1" x14ac:dyDescent="0.3">
      <c r="A39" s="19" t="s">
        <v>88</v>
      </c>
      <c r="B39" s="16"/>
      <c r="C39" s="17"/>
      <c r="D39" s="16"/>
      <c r="E39" s="16"/>
      <c r="F39" s="16"/>
      <c r="G39" s="18" t="e">
        <v>#DIV/0!</v>
      </c>
      <c r="H39" s="16"/>
      <c r="I39" s="16"/>
      <c r="J39" s="16"/>
      <c r="K39" s="16"/>
      <c r="L39" s="16"/>
      <c r="M39" s="16">
        <v>0</v>
      </c>
      <c r="N39" s="18" t="e">
        <v>#DIV/0!</v>
      </c>
      <c r="O39"/>
      <c r="P39"/>
    </row>
    <row r="40" spans="1:16" s="39" customFormat="1" x14ac:dyDescent="0.3">
      <c r="A40"/>
      <c r="B40"/>
      <c r="C40"/>
      <c r="D40"/>
      <c r="E40"/>
      <c r="F40"/>
      <c r="G40"/>
      <c r="H40"/>
      <c r="I40"/>
      <c r="J40"/>
      <c r="K40"/>
      <c r="L40"/>
      <c r="M40"/>
      <c r="N40"/>
      <c r="O40"/>
      <c r="P40"/>
    </row>
    <row r="41" spans="1:16" s="39" customFormat="1" x14ac:dyDescent="0.3">
      <c r="A41"/>
      <c r="B41"/>
      <c r="C41"/>
      <c r="D41"/>
      <c r="E41"/>
      <c r="F41"/>
      <c r="G41"/>
      <c r="H41"/>
      <c r="I41"/>
      <c r="J41"/>
      <c r="K41"/>
      <c r="L41"/>
      <c r="M41"/>
      <c r="N41"/>
      <c r="O41"/>
      <c r="P41"/>
    </row>
    <row r="42" spans="1:16" s="39" customFormat="1" x14ac:dyDescent="0.3">
      <c r="A42"/>
      <c r="B42"/>
      <c r="C42"/>
      <c r="D42"/>
      <c r="E42"/>
      <c r="F42"/>
      <c r="G42"/>
      <c r="H42"/>
      <c r="I42"/>
      <c r="J42"/>
      <c r="K42"/>
      <c r="L42"/>
      <c r="M42"/>
      <c r="N42"/>
      <c r="O42"/>
      <c r="P42"/>
    </row>
    <row r="43" spans="1:16" s="39" customFormat="1" x14ac:dyDescent="0.3">
      <c r="A43"/>
      <c r="B43"/>
      <c r="C43"/>
      <c r="D43"/>
      <c r="E43"/>
      <c r="F43"/>
      <c r="G43"/>
      <c r="H43"/>
      <c r="I43"/>
      <c r="J43"/>
      <c r="K43"/>
      <c r="L43"/>
      <c r="M43"/>
      <c r="N43"/>
      <c r="O43"/>
      <c r="P43"/>
    </row>
    <row r="44" spans="1:16" s="39" customFormat="1" x14ac:dyDescent="0.3">
      <c r="A44"/>
      <c r="B44"/>
      <c r="C44"/>
      <c r="D44"/>
      <c r="E44"/>
      <c r="F44"/>
      <c r="G44"/>
      <c r="H44"/>
      <c r="I44"/>
      <c r="J44"/>
      <c r="K44"/>
      <c r="L44"/>
      <c r="M44"/>
      <c r="N44"/>
      <c r="O44"/>
      <c r="P44"/>
    </row>
    <row r="45" spans="1:16" s="39" customFormat="1" x14ac:dyDescent="0.3">
      <c r="A45"/>
      <c r="B45"/>
      <c r="C45"/>
      <c r="D45"/>
      <c r="E45"/>
      <c r="F45"/>
      <c r="G45"/>
      <c r="H45"/>
      <c r="I45"/>
      <c r="J45"/>
      <c r="K45"/>
      <c r="L45"/>
      <c r="M45"/>
      <c r="N45"/>
      <c r="O45"/>
      <c r="P45"/>
    </row>
    <row r="46" spans="1:16" s="39" customFormat="1" x14ac:dyDescent="0.3">
      <c r="A46"/>
      <c r="B46"/>
      <c r="C46"/>
      <c r="D46"/>
      <c r="E46"/>
      <c r="F46"/>
      <c r="G46"/>
      <c r="H46"/>
      <c r="I46"/>
      <c r="J46"/>
      <c r="K46"/>
      <c r="L46"/>
      <c r="M46"/>
      <c r="N46"/>
      <c r="O46"/>
      <c r="P46"/>
    </row>
    <row r="47" spans="1:16" s="39" customFormat="1" x14ac:dyDescent="0.3">
      <c r="A47"/>
      <c r="B47"/>
      <c r="C47"/>
      <c r="D47"/>
      <c r="E47"/>
      <c r="F47"/>
      <c r="G47"/>
      <c r="H47"/>
      <c r="I47"/>
      <c r="J47"/>
      <c r="K47"/>
      <c r="L47"/>
      <c r="M47"/>
      <c r="N47"/>
      <c r="O47"/>
      <c r="P47"/>
    </row>
    <row r="48" spans="1:16" s="39" customFormat="1" x14ac:dyDescent="0.3">
      <c r="A48"/>
      <c r="B48"/>
      <c r="C48"/>
      <c r="D48"/>
      <c r="E48"/>
      <c r="F48"/>
      <c r="G48"/>
      <c r="H48"/>
      <c r="I48"/>
      <c r="J48"/>
      <c r="K48"/>
      <c r="L48"/>
      <c r="M48"/>
      <c r="N48"/>
      <c r="O48"/>
      <c r="P48"/>
    </row>
    <row r="49" spans="1:16" s="39" customFormat="1" x14ac:dyDescent="0.3">
      <c r="A49"/>
      <c r="B49"/>
      <c r="C49"/>
      <c r="D49"/>
      <c r="E49"/>
      <c r="F49"/>
      <c r="G49"/>
      <c r="H49"/>
      <c r="I49"/>
      <c r="J49"/>
      <c r="K49"/>
      <c r="L49"/>
      <c r="M49"/>
      <c r="N49"/>
      <c r="O49"/>
      <c r="P49"/>
    </row>
    <row r="50" spans="1:16" s="39" customFormat="1" x14ac:dyDescent="0.3">
      <c r="A50"/>
      <c r="B50"/>
      <c r="C50"/>
      <c r="D50"/>
      <c r="E50"/>
      <c r="F50"/>
      <c r="G50"/>
      <c r="H50"/>
      <c r="I50"/>
      <c r="J50"/>
      <c r="K50"/>
      <c r="L50"/>
      <c r="M50"/>
      <c r="N50"/>
      <c r="O50"/>
      <c r="P50"/>
    </row>
    <row r="51" spans="1:16" s="39" customFormat="1" x14ac:dyDescent="0.3">
      <c r="A51"/>
      <c r="B51"/>
      <c r="C51"/>
      <c r="D51"/>
      <c r="E51"/>
      <c r="F51"/>
      <c r="G51"/>
      <c r="H51"/>
      <c r="I51"/>
      <c r="J51"/>
      <c r="K51"/>
      <c r="L51"/>
      <c r="M51"/>
      <c r="N51"/>
      <c r="O51"/>
      <c r="P51"/>
    </row>
    <row r="52" spans="1:16" s="39" customFormat="1" x14ac:dyDescent="0.3">
      <c r="A52"/>
      <c r="B52"/>
      <c r="C52"/>
      <c r="D52"/>
      <c r="E52"/>
      <c r="F52"/>
      <c r="G52"/>
      <c r="H52"/>
      <c r="I52"/>
      <c r="J52"/>
      <c r="K52"/>
      <c r="L52"/>
      <c r="M52"/>
      <c r="N52"/>
      <c r="O52"/>
      <c r="P52"/>
    </row>
    <row r="53" spans="1:16" s="39" customFormat="1" x14ac:dyDescent="0.3">
      <c r="A53"/>
      <c r="B53"/>
      <c r="C53"/>
      <c r="D53"/>
      <c r="E53"/>
      <c r="F53"/>
      <c r="G53"/>
      <c r="H53"/>
      <c r="I53"/>
      <c r="J53"/>
      <c r="K53"/>
      <c r="L53"/>
      <c r="M53"/>
      <c r="N53"/>
      <c r="O53"/>
      <c r="P53"/>
    </row>
    <row r="54" spans="1:16" s="39" customFormat="1" x14ac:dyDescent="0.3">
      <c r="A54"/>
      <c r="B54"/>
      <c r="C54"/>
      <c r="D54"/>
      <c r="E54"/>
      <c r="F54"/>
      <c r="G54"/>
      <c r="H54"/>
      <c r="I54"/>
      <c r="J54"/>
      <c r="K54"/>
      <c r="L54"/>
      <c r="M54"/>
      <c r="N54"/>
      <c r="O54"/>
      <c r="P54"/>
    </row>
    <row r="55" spans="1:16" s="39" customFormat="1" x14ac:dyDescent="0.3">
      <c r="A55"/>
      <c r="B55"/>
      <c r="C55"/>
      <c r="D55"/>
      <c r="E55"/>
      <c r="F55"/>
      <c r="G55"/>
      <c r="H55"/>
      <c r="I55"/>
      <c r="J55"/>
      <c r="K55"/>
      <c r="L55"/>
      <c r="M55"/>
      <c r="N55"/>
      <c r="O55"/>
      <c r="P55"/>
    </row>
    <row r="56" spans="1:16" s="39" customFormat="1" x14ac:dyDescent="0.3">
      <c r="A56"/>
      <c r="B56"/>
      <c r="C56"/>
      <c r="D56"/>
      <c r="E56"/>
      <c r="F56"/>
      <c r="G56"/>
      <c r="H56"/>
      <c r="I56"/>
      <c r="J56"/>
      <c r="K56"/>
      <c r="L56"/>
      <c r="M56"/>
      <c r="N56"/>
      <c r="O56"/>
      <c r="P56"/>
    </row>
    <row r="57" spans="1:16" s="39" customFormat="1" x14ac:dyDescent="0.3">
      <c r="A57"/>
      <c r="B57"/>
      <c r="C57"/>
      <c r="D57"/>
      <c r="E57"/>
      <c r="F57"/>
      <c r="G57"/>
      <c r="H57"/>
      <c r="I57"/>
      <c r="J57"/>
      <c r="K57"/>
      <c r="L57"/>
      <c r="M57"/>
      <c r="N57"/>
      <c r="O57"/>
      <c r="P57"/>
    </row>
    <row r="58" spans="1:16" s="39" customFormat="1" x14ac:dyDescent="0.3">
      <c r="A58"/>
      <c r="B58"/>
      <c r="C58"/>
      <c r="D58"/>
      <c r="E58"/>
      <c r="F58"/>
      <c r="G58"/>
      <c r="H58"/>
      <c r="I58"/>
      <c r="J58"/>
      <c r="K58"/>
      <c r="L58"/>
      <c r="M58"/>
      <c r="N58"/>
      <c r="O58"/>
      <c r="P58"/>
    </row>
    <row r="59" spans="1:16" s="39" customFormat="1" x14ac:dyDescent="0.3">
      <c r="A59"/>
      <c r="B59"/>
      <c r="C59"/>
      <c r="D59"/>
      <c r="E59"/>
      <c r="F59"/>
      <c r="G59"/>
      <c r="H59"/>
      <c r="I59"/>
      <c r="J59"/>
      <c r="K59"/>
      <c r="L59"/>
      <c r="M59"/>
      <c r="N59"/>
      <c r="O59"/>
      <c r="P59"/>
    </row>
    <row r="60" spans="1:16" s="39" customFormat="1" x14ac:dyDescent="0.3">
      <c r="A60"/>
      <c r="B60"/>
      <c r="C60"/>
      <c r="D60"/>
      <c r="E60"/>
      <c r="F60"/>
      <c r="G60"/>
      <c r="H60"/>
      <c r="I60"/>
      <c r="J60"/>
      <c r="K60"/>
      <c r="L60"/>
      <c r="M60"/>
      <c r="N60"/>
      <c r="O60"/>
      <c r="P60"/>
    </row>
    <row r="61" spans="1:16" s="39" customFormat="1" x14ac:dyDescent="0.3">
      <c r="A61"/>
      <c r="B61"/>
      <c r="C61"/>
      <c r="D61"/>
      <c r="E61"/>
      <c r="F61"/>
      <c r="G61"/>
      <c r="H61"/>
      <c r="I61"/>
      <c r="J61"/>
      <c r="K61"/>
      <c r="L61"/>
      <c r="M61"/>
      <c r="N61"/>
      <c r="O61"/>
      <c r="P61"/>
    </row>
    <row r="62" spans="1:16" s="39" customFormat="1" x14ac:dyDescent="0.3">
      <c r="A62"/>
      <c r="B62"/>
      <c r="C62"/>
      <c r="D62"/>
      <c r="E62"/>
      <c r="F62"/>
      <c r="G62"/>
      <c r="H62"/>
      <c r="I62"/>
      <c r="J62"/>
      <c r="K62"/>
      <c r="L62"/>
      <c r="M62"/>
      <c r="N62"/>
      <c r="O62"/>
      <c r="P62"/>
    </row>
    <row r="63" spans="1:16" s="39" customFormat="1" x14ac:dyDescent="0.3">
      <c r="A63"/>
      <c r="B63"/>
      <c r="C63"/>
      <c r="D63"/>
      <c r="E63"/>
      <c r="F63"/>
      <c r="G63"/>
      <c r="H63"/>
      <c r="I63"/>
      <c r="J63"/>
      <c r="K63"/>
      <c r="L63"/>
      <c r="M63"/>
      <c r="N63"/>
      <c r="O63"/>
      <c r="P63"/>
    </row>
    <row r="64" spans="1:16" s="39" customFormat="1" x14ac:dyDescent="0.3">
      <c r="A64"/>
      <c r="B64"/>
      <c r="C64"/>
      <c r="D64"/>
      <c r="E64"/>
      <c r="F64"/>
      <c r="G64"/>
      <c r="H64"/>
      <c r="I64"/>
      <c r="J64"/>
      <c r="K64"/>
      <c r="L64"/>
      <c r="M64"/>
      <c r="N64"/>
      <c r="O64"/>
      <c r="P64"/>
    </row>
    <row r="65" spans="1:16" s="39" customFormat="1" x14ac:dyDescent="0.3">
      <c r="A65"/>
      <c r="B65"/>
      <c r="C65"/>
      <c r="D65"/>
      <c r="E65"/>
      <c r="F65"/>
      <c r="G65"/>
      <c r="H65"/>
      <c r="I65"/>
      <c r="J65"/>
      <c r="K65"/>
      <c r="L65"/>
      <c r="M65"/>
      <c r="N65"/>
      <c r="O65"/>
      <c r="P65"/>
    </row>
    <row r="66" spans="1:16" s="39" customFormat="1" x14ac:dyDescent="0.3">
      <c r="A66"/>
      <c r="B66"/>
      <c r="C66"/>
      <c r="D66"/>
      <c r="E66"/>
      <c r="F66"/>
      <c r="G66"/>
      <c r="H66"/>
      <c r="I66"/>
      <c r="J66"/>
      <c r="K66"/>
      <c r="L66"/>
      <c r="M66"/>
      <c r="N66"/>
    </row>
    <row r="67" spans="1:16" s="39" customFormat="1" x14ac:dyDescent="0.3">
      <c r="A67"/>
      <c r="B67"/>
      <c r="C67"/>
      <c r="D67"/>
      <c r="E67"/>
      <c r="F67"/>
      <c r="G67"/>
      <c r="H67"/>
      <c r="I67"/>
      <c r="J67"/>
      <c r="K67"/>
      <c r="L67"/>
      <c r="M67"/>
      <c r="N67"/>
    </row>
    <row r="68" spans="1:16" s="39" customFormat="1" x14ac:dyDescent="0.3">
      <c r="A68"/>
      <c r="B68"/>
      <c r="C68"/>
      <c r="D68"/>
      <c r="E68"/>
      <c r="F68"/>
      <c r="G68"/>
      <c r="H68"/>
      <c r="I68"/>
      <c r="J68"/>
      <c r="K68"/>
      <c r="L68"/>
      <c r="M68"/>
      <c r="N68"/>
    </row>
    <row r="69" spans="1:16" customFormat="1" x14ac:dyDescent="0.3"/>
    <row r="70" spans="1:16" customFormat="1" x14ac:dyDescent="0.3"/>
    <row r="71" spans="1:16" customFormat="1" x14ac:dyDescent="0.3"/>
    <row r="72" spans="1:16" customFormat="1" x14ac:dyDescent="0.3"/>
    <row r="73" spans="1:16" customFormat="1" x14ac:dyDescent="0.3"/>
    <row r="74" spans="1:16" customFormat="1" x14ac:dyDescent="0.3"/>
    <row r="75" spans="1:16" customFormat="1" x14ac:dyDescent="0.3"/>
    <row r="76" spans="1:16" customFormat="1" x14ac:dyDescent="0.3"/>
    <row r="77" spans="1:16" customFormat="1" x14ac:dyDescent="0.3"/>
    <row r="78" spans="1:16" customFormat="1" x14ac:dyDescent="0.3"/>
    <row r="79" spans="1:16" customFormat="1" x14ac:dyDescent="0.3"/>
    <row r="80" spans="1:16" customFormat="1" x14ac:dyDescent="0.3"/>
    <row r="81" customFormat="1" x14ac:dyDescent="0.3"/>
    <row r="82" customFormat="1" x14ac:dyDescent="0.3"/>
    <row r="83" customFormat="1" x14ac:dyDescent="0.3"/>
    <row r="84" customFormat="1" x14ac:dyDescent="0.3"/>
    <row r="85" customFormat="1" x14ac:dyDescent="0.3"/>
    <row r="86" customFormat="1" x14ac:dyDescent="0.3"/>
    <row r="87" customFormat="1" x14ac:dyDescent="0.3"/>
    <row r="88" customFormat="1" x14ac:dyDescent="0.3"/>
    <row r="89" customFormat="1" x14ac:dyDescent="0.3"/>
    <row r="90" customFormat="1" x14ac:dyDescent="0.3"/>
    <row r="91" customFormat="1" x14ac:dyDescent="0.3"/>
    <row r="92" customFormat="1" x14ac:dyDescent="0.3"/>
    <row r="93" customFormat="1" x14ac:dyDescent="0.3"/>
    <row r="94" customFormat="1" x14ac:dyDescent="0.3"/>
    <row r="95" customFormat="1" x14ac:dyDescent="0.3"/>
    <row r="96" customFormat="1" x14ac:dyDescent="0.3"/>
    <row r="97" customFormat="1" x14ac:dyDescent="0.3"/>
    <row r="98" customFormat="1" x14ac:dyDescent="0.3"/>
    <row r="99" customFormat="1" x14ac:dyDescent="0.3"/>
    <row r="100" customFormat="1" x14ac:dyDescent="0.3"/>
    <row r="101" customFormat="1" x14ac:dyDescent="0.3"/>
    <row r="102" customFormat="1" x14ac:dyDescent="0.3"/>
    <row r="103" customFormat="1" x14ac:dyDescent="0.3"/>
    <row r="104" customFormat="1" x14ac:dyDescent="0.3"/>
    <row r="105" customFormat="1" x14ac:dyDescent="0.3"/>
    <row r="106" customFormat="1" x14ac:dyDescent="0.3"/>
    <row r="107" customFormat="1" x14ac:dyDescent="0.3"/>
    <row r="108" customFormat="1" x14ac:dyDescent="0.3"/>
    <row r="109" customFormat="1" x14ac:dyDescent="0.3"/>
    <row r="110" customFormat="1" x14ac:dyDescent="0.3"/>
    <row r="111" customFormat="1" x14ac:dyDescent="0.3"/>
    <row r="112" customFormat="1" x14ac:dyDescent="0.3"/>
    <row r="113" customFormat="1" x14ac:dyDescent="0.3"/>
    <row r="114" customFormat="1" x14ac:dyDescent="0.3"/>
    <row r="115" customFormat="1" x14ac:dyDescent="0.3"/>
    <row r="116" customFormat="1" x14ac:dyDescent="0.3"/>
    <row r="117" customFormat="1" x14ac:dyDescent="0.3"/>
    <row r="118" customFormat="1" x14ac:dyDescent="0.3"/>
    <row r="119" customFormat="1" x14ac:dyDescent="0.3"/>
    <row r="120" customFormat="1" x14ac:dyDescent="0.3"/>
    <row r="121" customFormat="1" x14ac:dyDescent="0.3"/>
    <row r="122" customFormat="1" x14ac:dyDescent="0.3"/>
    <row r="123" customFormat="1" x14ac:dyDescent="0.3"/>
    <row r="124" customFormat="1" x14ac:dyDescent="0.3"/>
    <row r="125" customFormat="1" x14ac:dyDescent="0.3"/>
    <row r="126" customFormat="1" x14ac:dyDescent="0.3"/>
    <row r="127" customFormat="1" x14ac:dyDescent="0.3"/>
    <row r="128" customFormat="1" x14ac:dyDescent="0.3"/>
    <row r="129" customFormat="1" x14ac:dyDescent="0.3"/>
    <row r="130" customFormat="1" x14ac:dyDescent="0.3"/>
    <row r="131" customFormat="1" x14ac:dyDescent="0.3"/>
    <row r="132" customFormat="1" x14ac:dyDescent="0.3"/>
    <row r="133" customFormat="1" x14ac:dyDescent="0.3"/>
    <row r="134" customFormat="1" x14ac:dyDescent="0.3"/>
    <row r="135" customFormat="1" x14ac:dyDescent="0.3"/>
    <row r="136" customFormat="1" x14ac:dyDescent="0.3"/>
    <row r="137" customFormat="1" x14ac:dyDescent="0.3"/>
    <row r="138" customFormat="1" x14ac:dyDescent="0.3"/>
    <row r="139" customFormat="1" x14ac:dyDescent="0.3"/>
    <row r="140" customFormat="1" x14ac:dyDescent="0.3"/>
    <row r="141" customFormat="1" x14ac:dyDescent="0.3"/>
    <row r="142" customFormat="1" x14ac:dyDescent="0.3"/>
    <row r="143" customFormat="1" x14ac:dyDescent="0.3"/>
    <row r="144" customFormat="1" x14ac:dyDescent="0.3"/>
    <row r="145" customFormat="1" x14ac:dyDescent="0.3"/>
    <row r="146" customFormat="1" x14ac:dyDescent="0.3"/>
    <row r="147" customFormat="1" x14ac:dyDescent="0.3"/>
    <row r="148" customFormat="1" x14ac:dyDescent="0.3"/>
    <row r="149" customFormat="1" x14ac:dyDescent="0.3"/>
    <row r="150" customFormat="1" x14ac:dyDescent="0.3"/>
    <row r="151" customFormat="1" x14ac:dyDescent="0.3"/>
    <row r="152" customFormat="1" x14ac:dyDescent="0.3"/>
    <row r="153" customFormat="1" x14ac:dyDescent="0.3"/>
    <row r="154" customFormat="1" x14ac:dyDescent="0.3"/>
    <row r="155" customFormat="1" x14ac:dyDescent="0.3"/>
    <row r="156" customFormat="1" x14ac:dyDescent="0.3"/>
    <row r="157" customFormat="1" x14ac:dyDescent="0.3"/>
    <row r="158" customFormat="1" x14ac:dyDescent="0.3"/>
    <row r="159" customFormat="1" x14ac:dyDescent="0.3"/>
    <row r="160" customFormat="1" x14ac:dyDescent="0.3"/>
    <row r="161" customFormat="1" x14ac:dyDescent="0.3"/>
    <row r="162" customFormat="1" x14ac:dyDescent="0.3"/>
    <row r="163" customFormat="1" x14ac:dyDescent="0.3"/>
    <row r="164" customFormat="1" x14ac:dyDescent="0.3"/>
    <row r="165" customFormat="1" x14ac:dyDescent="0.3"/>
    <row r="166" customFormat="1" x14ac:dyDescent="0.3"/>
    <row r="167" customFormat="1" x14ac:dyDescent="0.3"/>
    <row r="168" customFormat="1" x14ac:dyDescent="0.3"/>
    <row r="169" customFormat="1" x14ac:dyDescent="0.3"/>
    <row r="170" customFormat="1" x14ac:dyDescent="0.3"/>
    <row r="171" customFormat="1" x14ac:dyDescent="0.3"/>
    <row r="172" customFormat="1" x14ac:dyDescent="0.3"/>
    <row r="173" customFormat="1" x14ac:dyDescent="0.3"/>
    <row r="174" customFormat="1" x14ac:dyDescent="0.3"/>
    <row r="175" customFormat="1" x14ac:dyDescent="0.3"/>
    <row r="176" customFormat="1" x14ac:dyDescent="0.3"/>
    <row r="177" customFormat="1" x14ac:dyDescent="0.3"/>
    <row r="178" customFormat="1" x14ac:dyDescent="0.3"/>
    <row r="179" customFormat="1" x14ac:dyDescent="0.3"/>
    <row r="180" customFormat="1" x14ac:dyDescent="0.3"/>
    <row r="181" customFormat="1" x14ac:dyDescent="0.3"/>
    <row r="182" customFormat="1" x14ac:dyDescent="0.3"/>
    <row r="183" customFormat="1" x14ac:dyDescent="0.3"/>
    <row r="184" customFormat="1" x14ac:dyDescent="0.3"/>
    <row r="185" customFormat="1" x14ac:dyDescent="0.3"/>
    <row r="186" customFormat="1" x14ac:dyDescent="0.3"/>
    <row r="187" customFormat="1" x14ac:dyDescent="0.3"/>
    <row r="188" customFormat="1" x14ac:dyDescent="0.3"/>
    <row r="189" customFormat="1" x14ac:dyDescent="0.3"/>
    <row r="190" customFormat="1" x14ac:dyDescent="0.3"/>
    <row r="191" customFormat="1" x14ac:dyDescent="0.3"/>
    <row r="192" customFormat="1" x14ac:dyDescent="0.3"/>
    <row r="193" customFormat="1" x14ac:dyDescent="0.3"/>
    <row r="194" customFormat="1" x14ac:dyDescent="0.3"/>
    <row r="195" customFormat="1" x14ac:dyDescent="0.3"/>
    <row r="196" customFormat="1" x14ac:dyDescent="0.3"/>
    <row r="197" customFormat="1" x14ac:dyDescent="0.3"/>
    <row r="198" customFormat="1" x14ac:dyDescent="0.3"/>
    <row r="199" customFormat="1" x14ac:dyDescent="0.3"/>
    <row r="200" customFormat="1" x14ac:dyDescent="0.3"/>
    <row r="201" customFormat="1" x14ac:dyDescent="0.3"/>
    <row r="202" customFormat="1" x14ac:dyDescent="0.3"/>
    <row r="203" customFormat="1" x14ac:dyDescent="0.3"/>
    <row r="204" customFormat="1" x14ac:dyDescent="0.3"/>
    <row r="205" customFormat="1" x14ac:dyDescent="0.3"/>
    <row r="206" customFormat="1" x14ac:dyDescent="0.3"/>
    <row r="207" customFormat="1" x14ac:dyDescent="0.3"/>
    <row r="208" customFormat="1" x14ac:dyDescent="0.3"/>
    <row r="209" customFormat="1" x14ac:dyDescent="0.3"/>
    <row r="210" customFormat="1" x14ac:dyDescent="0.3"/>
    <row r="211" customFormat="1" x14ac:dyDescent="0.3"/>
    <row r="212" customFormat="1" x14ac:dyDescent="0.3"/>
    <row r="213" customFormat="1" x14ac:dyDescent="0.3"/>
    <row r="214" customFormat="1" x14ac:dyDescent="0.3"/>
    <row r="215" customFormat="1" x14ac:dyDescent="0.3"/>
    <row r="216" customFormat="1" x14ac:dyDescent="0.3"/>
    <row r="217" customFormat="1" x14ac:dyDescent="0.3"/>
    <row r="218" customFormat="1" x14ac:dyDescent="0.3"/>
    <row r="219" customFormat="1" x14ac:dyDescent="0.3"/>
    <row r="220" customFormat="1" x14ac:dyDescent="0.3"/>
    <row r="221" customFormat="1" x14ac:dyDescent="0.3"/>
    <row r="222" customFormat="1" x14ac:dyDescent="0.3"/>
    <row r="223" customFormat="1" x14ac:dyDescent="0.3"/>
    <row r="224" customFormat="1" x14ac:dyDescent="0.3"/>
    <row r="225" customFormat="1" x14ac:dyDescent="0.3"/>
    <row r="226" customFormat="1" x14ac:dyDescent="0.3"/>
    <row r="227" customFormat="1" x14ac:dyDescent="0.3"/>
    <row r="228" customFormat="1" x14ac:dyDescent="0.3"/>
    <row r="229" customFormat="1" x14ac:dyDescent="0.3"/>
    <row r="230" customFormat="1" x14ac:dyDescent="0.3"/>
    <row r="231" customFormat="1" x14ac:dyDescent="0.3"/>
    <row r="232" customFormat="1" x14ac:dyDescent="0.3"/>
    <row r="233" customFormat="1" x14ac:dyDescent="0.3"/>
    <row r="234" customFormat="1" x14ac:dyDescent="0.3"/>
    <row r="235" customFormat="1" x14ac:dyDescent="0.3"/>
    <row r="236" customFormat="1" x14ac:dyDescent="0.3"/>
    <row r="237" customFormat="1" x14ac:dyDescent="0.3"/>
    <row r="238" customFormat="1" x14ac:dyDescent="0.3"/>
    <row r="239" customFormat="1" x14ac:dyDescent="0.3"/>
    <row r="240" customFormat="1" x14ac:dyDescent="0.3"/>
    <row r="241" customFormat="1" x14ac:dyDescent="0.3"/>
    <row r="242" customFormat="1" x14ac:dyDescent="0.3"/>
    <row r="243" customFormat="1" x14ac:dyDescent="0.3"/>
    <row r="244" customFormat="1" x14ac:dyDescent="0.3"/>
    <row r="245" customFormat="1" x14ac:dyDescent="0.3"/>
    <row r="246" customFormat="1" x14ac:dyDescent="0.3"/>
    <row r="247" customFormat="1" x14ac:dyDescent="0.3"/>
    <row r="248" customFormat="1" x14ac:dyDescent="0.3"/>
    <row r="249" customFormat="1" x14ac:dyDescent="0.3"/>
    <row r="250" customFormat="1" x14ac:dyDescent="0.3"/>
    <row r="251" customFormat="1" x14ac:dyDescent="0.3"/>
    <row r="252" customFormat="1" x14ac:dyDescent="0.3"/>
    <row r="253" customFormat="1" x14ac:dyDescent="0.3"/>
    <row r="254" customFormat="1" x14ac:dyDescent="0.3"/>
    <row r="255" customFormat="1" x14ac:dyDescent="0.3"/>
    <row r="256" customFormat="1" x14ac:dyDescent="0.3"/>
    <row r="257" customFormat="1" x14ac:dyDescent="0.3"/>
    <row r="258" customFormat="1" x14ac:dyDescent="0.3"/>
    <row r="259" customFormat="1" x14ac:dyDescent="0.3"/>
    <row r="260" customFormat="1" x14ac:dyDescent="0.3"/>
    <row r="261" customFormat="1" x14ac:dyDescent="0.3"/>
    <row r="262" customFormat="1" x14ac:dyDescent="0.3"/>
    <row r="263" customFormat="1" x14ac:dyDescent="0.3"/>
    <row r="264" customFormat="1" x14ac:dyDescent="0.3"/>
    <row r="265" customFormat="1" x14ac:dyDescent="0.3"/>
    <row r="266" customFormat="1" x14ac:dyDescent="0.3"/>
    <row r="267" customFormat="1" x14ac:dyDescent="0.3"/>
    <row r="268" customFormat="1" x14ac:dyDescent="0.3"/>
    <row r="269" customFormat="1" x14ac:dyDescent="0.3"/>
    <row r="270" customFormat="1" x14ac:dyDescent="0.3"/>
    <row r="271" customFormat="1" x14ac:dyDescent="0.3"/>
    <row r="272" customFormat="1" x14ac:dyDescent="0.3"/>
    <row r="273" customFormat="1" x14ac:dyDescent="0.3"/>
    <row r="274" customFormat="1" x14ac:dyDescent="0.3"/>
    <row r="275" customFormat="1" x14ac:dyDescent="0.3"/>
    <row r="276" customFormat="1" x14ac:dyDescent="0.3"/>
    <row r="277" customFormat="1" x14ac:dyDescent="0.3"/>
    <row r="278" customFormat="1" x14ac:dyDescent="0.3"/>
    <row r="279" customFormat="1" x14ac:dyDescent="0.3"/>
    <row r="280" customFormat="1" x14ac:dyDescent="0.3"/>
    <row r="281" customFormat="1" x14ac:dyDescent="0.3"/>
    <row r="282" customFormat="1" x14ac:dyDescent="0.3"/>
    <row r="283" customFormat="1" x14ac:dyDescent="0.3"/>
    <row r="284" customFormat="1" x14ac:dyDescent="0.3"/>
    <row r="285" customFormat="1" x14ac:dyDescent="0.3"/>
    <row r="286" customFormat="1" x14ac:dyDescent="0.3"/>
    <row r="287" customFormat="1" x14ac:dyDescent="0.3"/>
    <row r="288" customFormat="1" x14ac:dyDescent="0.3"/>
    <row r="289" customFormat="1" x14ac:dyDescent="0.3"/>
    <row r="290" customFormat="1" x14ac:dyDescent="0.3"/>
    <row r="291" customFormat="1" x14ac:dyDescent="0.3"/>
    <row r="292" customFormat="1" x14ac:dyDescent="0.3"/>
    <row r="293" customFormat="1" x14ac:dyDescent="0.3"/>
    <row r="294" customFormat="1" x14ac:dyDescent="0.3"/>
    <row r="295" customFormat="1" x14ac:dyDescent="0.3"/>
    <row r="296" customFormat="1" x14ac:dyDescent="0.3"/>
    <row r="297" customFormat="1" x14ac:dyDescent="0.3"/>
    <row r="298" customFormat="1" x14ac:dyDescent="0.3"/>
    <row r="299" customFormat="1" x14ac:dyDescent="0.3"/>
    <row r="300" customFormat="1" x14ac:dyDescent="0.3"/>
    <row r="301" customFormat="1" x14ac:dyDescent="0.3"/>
    <row r="302" customFormat="1" x14ac:dyDescent="0.3"/>
    <row r="303" customFormat="1" x14ac:dyDescent="0.3"/>
    <row r="304" customFormat="1" x14ac:dyDescent="0.3"/>
    <row r="305" customFormat="1" x14ac:dyDescent="0.3"/>
    <row r="306" customFormat="1" x14ac:dyDescent="0.3"/>
    <row r="307" customFormat="1" x14ac:dyDescent="0.3"/>
    <row r="308" customFormat="1" x14ac:dyDescent="0.3"/>
    <row r="309" customFormat="1" x14ac:dyDescent="0.3"/>
    <row r="310" customFormat="1" x14ac:dyDescent="0.3"/>
    <row r="311" customFormat="1" x14ac:dyDescent="0.3"/>
    <row r="312" customFormat="1" x14ac:dyDescent="0.3"/>
    <row r="313" customFormat="1" x14ac:dyDescent="0.3"/>
    <row r="314" customFormat="1" x14ac:dyDescent="0.3"/>
    <row r="315" customFormat="1" x14ac:dyDescent="0.3"/>
    <row r="316" customFormat="1" x14ac:dyDescent="0.3"/>
    <row r="317" customFormat="1" x14ac:dyDescent="0.3"/>
    <row r="318" customFormat="1" x14ac:dyDescent="0.3"/>
    <row r="319" customFormat="1" x14ac:dyDescent="0.3"/>
    <row r="320" customFormat="1" x14ac:dyDescent="0.3"/>
    <row r="321" customFormat="1" x14ac:dyDescent="0.3"/>
    <row r="322" customFormat="1" x14ac:dyDescent="0.3"/>
    <row r="323" customFormat="1" x14ac:dyDescent="0.3"/>
    <row r="324" customFormat="1" x14ac:dyDescent="0.3"/>
    <row r="325" customFormat="1" x14ac:dyDescent="0.3"/>
    <row r="326" customFormat="1" x14ac:dyDescent="0.3"/>
    <row r="327" customFormat="1" x14ac:dyDescent="0.3"/>
    <row r="328" customFormat="1" x14ac:dyDescent="0.3"/>
    <row r="329" customFormat="1" x14ac:dyDescent="0.3"/>
    <row r="330" customFormat="1" x14ac:dyDescent="0.3"/>
    <row r="331" customFormat="1" x14ac:dyDescent="0.3"/>
    <row r="332" customFormat="1" x14ac:dyDescent="0.3"/>
    <row r="333" customFormat="1" x14ac:dyDescent="0.3"/>
    <row r="334" customFormat="1" x14ac:dyDescent="0.3"/>
    <row r="335" customFormat="1" x14ac:dyDescent="0.3"/>
    <row r="336" customFormat="1" x14ac:dyDescent="0.3"/>
    <row r="337" customFormat="1" x14ac:dyDescent="0.3"/>
    <row r="338" customFormat="1" x14ac:dyDescent="0.3"/>
    <row r="339" customFormat="1" x14ac:dyDescent="0.3"/>
    <row r="340" customFormat="1" x14ac:dyDescent="0.3"/>
    <row r="341" customFormat="1" x14ac:dyDescent="0.3"/>
    <row r="342" customFormat="1" x14ac:dyDescent="0.3"/>
    <row r="343" customFormat="1" x14ac:dyDescent="0.3"/>
    <row r="344" customFormat="1" x14ac:dyDescent="0.3"/>
    <row r="345" customFormat="1" x14ac:dyDescent="0.3"/>
    <row r="346" customFormat="1" x14ac:dyDescent="0.3"/>
    <row r="347" customFormat="1" x14ac:dyDescent="0.3"/>
    <row r="348" customFormat="1" x14ac:dyDescent="0.3"/>
    <row r="349" customFormat="1" x14ac:dyDescent="0.3"/>
    <row r="350" customFormat="1" x14ac:dyDescent="0.3"/>
    <row r="351" customFormat="1" x14ac:dyDescent="0.3"/>
    <row r="352" customFormat="1" x14ac:dyDescent="0.3"/>
    <row r="353" customFormat="1" x14ac:dyDescent="0.3"/>
    <row r="354" customFormat="1" x14ac:dyDescent="0.3"/>
    <row r="355" customFormat="1" x14ac:dyDescent="0.3"/>
    <row r="356" customFormat="1" x14ac:dyDescent="0.3"/>
    <row r="357" customFormat="1" x14ac:dyDescent="0.3"/>
    <row r="358" customFormat="1" x14ac:dyDescent="0.3"/>
    <row r="359" customFormat="1" x14ac:dyDescent="0.3"/>
    <row r="360" customFormat="1" x14ac:dyDescent="0.3"/>
    <row r="361" customFormat="1" x14ac:dyDescent="0.3"/>
    <row r="362" customFormat="1" x14ac:dyDescent="0.3"/>
    <row r="363" customFormat="1" x14ac:dyDescent="0.3"/>
    <row r="364" customFormat="1" x14ac:dyDescent="0.3"/>
    <row r="365" customFormat="1" x14ac:dyDescent="0.3"/>
    <row r="366" customFormat="1" x14ac:dyDescent="0.3"/>
    <row r="367" customFormat="1" x14ac:dyDescent="0.3"/>
    <row r="368" customFormat="1" x14ac:dyDescent="0.3"/>
    <row r="369" customFormat="1" x14ac:dyDescent="0.3"/>
    <row r="370" customFormat="1" x14ac:dyDescent="0.3"/>
    <row r="371" customFormat="1" x14ac:dyDescent="0.3"/>
    <row r="372" customFormat="1" x14ac:dyDescent="0.3"/>
    <row r="373" customFormat="1" x14ac:dyDescent="0.3"/>
    <row r="374" customFormat="1" x14ac:dyDescent="0.3"/>
    <row r="375" customFormat="1" x14ac:dyDescent="0.3"/>
    <row r="376" customFormat="1" x14ac:dyDescent="0.3"/>
    <row r="377" customFormat="1" x14ac:dyDescent="0.3"/>
    <row r="378" customFormat="1" x14ac:dyDescent="0.3"/>
    <row r="379" customFormat="1" x14ac:dyDescent="0.3"/>
    <row r="380" customFormat="1" x14ac:dyDescent="0.3"/>
    <row r="381" customFormat="1" x14ac:dyDescent="0.3"/>
    <row r="382" customFormat="1" x14ac:dyDescent="0.3"/>
    <row r="383" customFormat="1" x14ac:dyDescent="0.3"/>
    <row r="384" customFormat="1" x14ac:dyDescent="0.3"/>
    <row r="385" customFormat="1" x14ac:dyDescent="0.3"/>
    <row r="386" customFormat="1" x14ac:dyDescent="0.3"/>
    <row r="387" customFormat="1" x14ac:dyDescent="0.3"/>
    <row r="388" customFormat="1" x14ac:dyDescent="0.3"/>
    <row r="389" customFormat="1" x14ac:dyDescent="0.3"/>
    <row r="390" customFormat="1" x14ac:dyDescent="0.3"/>
    <row r="391" customFormat="1" x14ac:dyDescent="0.3"/>
    <row r="392" customFormat="1" x14ac:dyDescent="0.3"/>
    <row r="393" customFormat="1" x14ac:dyDescent="0.3"/>
    <row r="394" customFormat="1" x14ac:dyDescent="0.3"/>
    <row r="395" customFormat="1" x14ac:dyDescent="0.3"/>
    <row r="396" customFormat="1" x14ac:dyDescent="0.3"/>
    <row r="397" customFormat="1" x14ac:dyDescent="0.3"/>
    <row r="398" customFormat="1" x14ac:dyDescent="0.3"/>
    <row r="399" customFormat="1" x14ac:dyDescent="0.3"/>
    <row r="400" customFormat="1" x14ac:dyDescent="0.3"/>
    <row r="401" customFormat="1" x14ac:dyDescent="0.3"/>
    <row r="402" customFormat="1" x14ac:dyDescent="0.3"/>
    <row r="403" customFormat="1" x14ac:dyDescent="0.3"/>
    <row r="404" customFormat="1" x14ac:dyDescent="0.3"/>
    <row r="405" customFormat="1" x14ac:dyDescent="0.3"/>
    <row r="406" customFormat="1" x14ac:dyDescent="0.3"/>
    <row r="407" customFormat="1" x14ac:dyDescent="0.3"/>
    <row r="408" customFormat="1" x14ac:dyDescent="0.3"/>
    <row r="409" customFormat="1" x14ac:dyDescent="0.3"/>
    <row r="410" customFormat="1" x14ac:dyDescent="0.3"/>
    <row r="411" customFormat="1" x14ac:dyDescent="0.3"/>
    <row r="412" customFormat="1" x14ac:dyDescent="0.3"/>
    <row r="413" customFormat="1" x14ac:dyDescent="0.3"/>
    <row r="414" customFormat="1" x14ac:dyDescent="0.3"/>
    <row r="415" customFormat="1" x14ac:dyDescent="0.3"/>
    <row r="416" customFormat="1" x14ac:dyDescent="0.3"/>
    <row r="417" customFormat="1" x14ac:dyDescent="0.3"/>
    <row r="418" customFormat="1" x14ac:dyDescent="0.3"/>
    <row r="419" customFormat="1" x14ac:dyDescent="0.3"/>
    <row r="420" customFormat="1" x14ac:dyDescent="0.3"/>
    <row r="421" customFormat="1" x14ac:dyDescent="0.3"/>
    <row r="422" customFormat="1" x14ac:dyDescent="0.3"/>
    <row r="423" customFormat="1" x14ac:dyDescent="0.3"/>
    <row r="424" customFormat="1" x14ac:dyDescent="0.3"/>
    <row r="425" customFormat="1" x14ac:dyDescent="0.3"/>
    <row r="426" customFormat="1" x14ac:dyDescent="0.3"/>
    <row r="427" customFormat="1" x14ac:dyDescent="0.3"/>
    <row r="428" customFormat="1" x14ac:dyDescent="0.3"/>
    <row r="429" customFormat="1" x14ac:dyDescent="0.3"/>
    <row r="430" customFormat="1" x14ac:dyDescent="0.3"/>
    <row r="431" customFormat="1" x14ac:dyDescent="0.3"/>
    <row r="432" customFormat="1" x14ac:dyDescent="0.3"/>
    <row r="433" customFormat="1" x14ac:dyDescent="0.3"/>
    <row r="434" customFormat="1" x14ac:dyDescent="0.3"/>
    <row r="435" customFormat="1" x14ac:dyDescent="0.3"/>
    <row r="436" customFormat="1" x14ac:dyDescent="0.3"/>
    <row r="437" customFormat="1" x14ac:dyDescent="0.3"/>
    <row r="438" customFormat="1" x14ac:dyDescent="0.3"/>
    <row r="439" customFormat="1" x14ac:dyDescent="0.3"/>
    <row r="440" customFormat="1" x14ac:dyDescent="0.3"/>
    <row r="441" customFormat="1" x14ac:dyDescent="0.3"/>
    <row r="442" customFormat="1" x14ac:dyDescent="0.3"/>
    <row r="443" customFormat="1" x14ac:dyDescent="0.3"/>
    <row r="444" customFormat="1" x14ac:dyDescent="0.3"/>
    <row r="445" customFormat="1" x14ac:dyDescent="0.3"/>
    <row r="446" customFormat="1" x14ac:dyDescent="0.3"/>
    <row r="447" customFormat="1" x14ac:dyDescent="0.3"/>
    <row r="448" customFormat="1" x14ac:dyDescent="0.3"/>
    <row r="449" customFormat="1" x14ac:dyDescent="0.3"/>
    <row r="450" customFormat="1" x14ac:dyDescent="0.3"/>
    <row r="451" customFormat="1" x14ac:dyDescent="0.3"/>
    <row r="452" customFormat="1" x14ac:dyDescent="0.3"/>
    <row r="453" customFormat="1" x14ac:dyDescent="0.3"/>
    <row r="454" customFormat="1" x14ac:dyDescent="0.3"/>
    <row r="455" customFormat="1" x14ac:dyDescent="0.3"/>
    <row r="456" customFormat="1" x14ac:dyDescent="0.3"/>
    <row r="457" customFormat="1" x14ac:dyDescent="0.3"/>
    <row r="458" customFormat="1" x14ac:dyDescent="0.3"/>
    <row r="459" customFormat="1" x14ac:dyDescent="0.3"/>
    <row r="460" customFormat="1" x14ac:dyDescent="0.3"/>
    <row r="461" customFormat="1" x14ac:dyDescent="0.3"/>
    <row r="462" customFormat="1" x14ac:dyDescent="0.3"/>
    <row r="463" customFormat="1" x14ac:dyDescent="0.3"/>
    <row r="464" customFormat="1" x14ac:dyDescent="0.3"/>
    <row r="465" customFormat="1" x14ac:dyDescent="0.3"/>
    <row r="466" customFormat="1" x14ac:dyDescent="0.3"/>
    <row r="467" customFormat="1" x14ac:dyDescent="0.3"/>
    <row r="468" customFormat="1" x14ac:dyDescent="0.3"/>
    <row r="469" customFormat="1" x14ac:dyDescent="0.3"/>
    <row r="470" customFormat="1" x14ac:dyDescent="0.3"/>
    <row r="471" customFormat="1" x14ac:dyDescent="0.3"/>
    <row r="472" customFormat="1" x14ac:dyDescent="0.3"/>
    <row r="473" customFormat="1" x14ac:dyDescent="0.3"/>
    <row r="474" customFormat="1" x14ac:dyDescent="0.3"/>
    <row r="475" customFormat="1" x14ac:dyDescent="0.3"/>
    <row r="476" customFormat="1" x14ac:dyDescent="0.3"/>
    <row r="477" customFormat="1" x14ac:dyDescent="0.3"/>
    <row r="478" customFormat="1" x14ac:dyDescent="0.3"/>
    <row r="479" customFormat="1" x14ac:dyDescent="0.3"/>
    <row r="480" customFormat="1" x14ac:dyDescent="0.3"/>
    <row r="481" customFormat="1" x14ac:dyDescent="0.3"/>
    <row r="482" customFormat="1" x14ac:dyDescent="0.3"/>
    <row r="483" customFormat="1" x14ac:dyDescent="0.3"/>
    <row r="484" customFormat="1" x14ac:dyDescent="0.3"/>
    <row r="485" customFormat="1" x14ac:dyDescent="0.3"/>
    <row r="486" customFormat="1" x14ac:dyDescent="0.3"/>
    <row r="487" customFormat="1" x14ac:dyDescent="0.3"/>
    <row r="488" customFormat="1" x14ac:dyDescent="0.3"/>
    <row r="489" customFormat="1" x14ac:dyDescent="0.3"/>
    <row r="490" customFormat="1" x14ac:dyDescent="0.3"/>
    <row r="491" customFormat="1" x14ac:dyDescent="0.3"/>
    <row r="492" customFormat="1" x14ac:dyDescent="0.3"/>
    <row r="493" customFormat="1" x14ac:dyDescent="0.3"/>
    <row r="494" customFormat="1" x14ac:dyDescent="0.3"/>
    <row r="495" customFormat="1" x14ac:dyDescent="0.3"/>
    <row r="496" customFormat="1" x14ac:dyDescent="0.3"/>
    <row r="497" customFormat="1" x14ac:dyDescent="0.3"/>
    <row r="498" customFormat="1" x14ac:dyDescent="0.3"/>
    <row r="499" customFormat="1" x14ac:dyDescent="0.3"/>
    <row r="500" customFormat="1" x14ac:dyDescent="0.3"/>
    <row r="501" customFormat="1" x14ac:dyDescent="0.3"/>
    <row r="502" customFormat="1" x14ac:dyDescent="0.3"/>
    <row r="503" customFormat="1" x14ac:dyDescent="0.3"/>
    <row r="504" customFormat="1" x14ac:dyDescent="0.3"/>
    <row r="505" customFormat="1" x14ac:dyDescent="0.3"/>
    <row r="506" customFormat="1" x14ac:dyDescent="0.3"/>
    <row r="507" customFormat="1" x14ac:dyDescent="0.3"/>
    <row r="508" customFormat="1" x14ac:dyDescent="0.3"/>
    <row r="509" customFormat="1" x14ac:dyDescent="0.3"/>
    <row r="510" customFormat="1" x14ac:dyDescent="0.3"/>
    <row r="511" customFormat="1" x14ac:dyDescent="0.3"/>
    <row r="512" customFormat="1" x14ac:dyDescent="0.3"/>
    <row r="513" customFormat="1" x14ac:dyDescent="0.3"/>
    <row r="514" customFormat="1" x14ac:dyDescent="0.3"/>
    <row r="515" customFormat="1" x14ac:dyDescent="0.3"/>
    <row r="516" customFormat="1" x14ac:dyDescent="0.3"/>
    <row r="517" customFormat="1" x14ac:dyDescent="0.3"/>
    <row r="518" customFormat="1" x14ac:dyDescent="0.3"/>
    <row r="519" customFormat="1" x14ac:dyDescent="0.3"/>
    <row r="520" customFormat="1" x14ac:dyDescent="0.3"/>
    <row r="521" customFormat="1" x14ac:dyDescent="0.3"/>
    <row r="522" customFormat="1" x14ac:dyDescent="0.3"/>
    <row r="523" customFormat="1" x14ac:dyDescent="0.3"/>
    <row r="524" customFormat="1" x14ac:dyDescent="0.3"/>
    <row r="525" customFormat="1" x14ac:dyDescent="0.3"/>
    <row r="526" customFormat="1" x14ac:dyDescent="0.3"/>
    <row r="527" customFormat="1" x14ac:dyDescent="0.3"/>
    <row r="528" customFormat="1" x14ac:dyDescent="0.3"/>
    <row r="529" customFormat="1" x14ac:dyDescent="0.3"/>
    <row r="530" customFormat="1" x14ac:dyDescent="0.3"/>
    <row r="531" customFormat="1" x14ac:dyDescent="0.3"/>
    <row r="532" customFormat="1" x14ac:dyDescent="0.3"/>
    <row r="533" customFormat="1" x14ac:dyDescent="0.3"/>
    <row r="534" customFormat="1" x14ac:dyDescent="0.3"/>
    <row r="535" customFormat="1" x14ac:dyDescent="0.3"/>
    <row r="536" customFormat="1" x14ac:dyDescent="0.3"/>
    <row r="537" customFormat="1" x14ac:dyDescent="0.3"/>
    <row r="538" customFormat="1" x14ac:dyDescent="0.3"/>
    <row r="539" customFormat="1" x14ac:dyDescent="0.3"/>
    <row r="540" customFormat="1" x14ac:dyDescent="0.3"/>
    <row r="541" customFormat="1" x14ac:dyDescent="0.3"/>
    <row r="542" customFormat="1" x14ac:dyDescent="0.3"/>
    <row r="543" customFormat="1" x14ac:dyDescent="0.3"/>
    <row r="544" customFormat="1" x14ac:dyDescent="0.3"/>
    <row r="545" customFormat="1" x14ac:dyDescent="0.3"/>
    <row r="546" customFormat="1" x14ac:dyDescent="0.3"/>
    <row r="547" customFormat="1" x14ac:dyDescent="0.3"/>
    <row r="548" customFormat="1" x14ac:dyDescent="0.3"/>
    <row r="549" customFormat="1" x14ac:dyDescent="0.3"/>
    <row r="550" customFormat="1" x14ac:dyDescent="0.3"/>
    <row r="551" customFormat="1" x14ac:dyDescent="0.3"/>
    <row r="552" customFormat="1" x14ac:dyDescent="0.3"/>
    <row r="553" customFormat="1" x14ac:dyDescent="0.3"/>
    <row r="554" customFormat="1" x14ac:dyDescent="0.3"/>
    <row r="555" customFormat="1" x14ac:dyDescent="0.3"/>
    <row r="556" customFormat="1" x14ac:dyDescent="0.3"/>
    <row r="557" customFormat="1" x14ac:dyDescent="0.3"/>
    <row r="558" customFormat="1" x14ac:dyDescent="0.3"/>
    <row r="559" customFormat="1" x14ac:dyDescent="0.3"/>
    <row r="560" customFormat="1" x14ac:dyDescent="0.3"/>
    <row r="561" customFormat="1" x14ac:dyDescent="0.3"/>
    <row r="562" customFormat="1" x14ac:dyDescent="0.3"/>
    <row r="563" customFormat="1" x14ac:dyDescent="0.3"/>
    <row r="564" customFormat="1" x14ac:dyDescent="0.3"/>
    <row r="565" customFormat="1" x14ac:dyDescent="0.3"/>
    <row r="566" customFormat="1" x14ac:dyDescent="0.3"/>
    <row r="567" customFormat="1" x14ac:dyDescent="0.3"/>
    <row r="568" customFormat="1" x14ac:dyDescent="0.3"/>
    <row r="569" customFormat="1" x14ac:dyDescent="0.3"/>
    <row r="570" customFormat="1" x14ac:dyDescent="0.3"/>
    <row r="571" customFormat="1" x14ac:dyDescent="0.3"/>
    <row r="572" customFormat="1" x14ac:dyDescent="0.3"/>
    <row r="573" customFormat="1" x14ac:dyDescent="0.3"/>
    <row r="574" customFormat="1" x14ac:dyDescent="0.3"/>
    <row r="575" customFormat="1" x14ac:dyDescent="0.3"/>
    <row r="576" customFormat="1" x14ac:dyDescent="0.3"/>
    <row r="577" customFormat="1" x14ac:dyDescent="0.3"/>
    <row r="578" customFormat="1" x14ac:dyDescent="0.3"/>
    <row r="579" customFormat="1" x14ac:dyDescent="0.3"/>
    <row r="580" customFormat="1" x14ac:dyDescent="0.3"/>
    <row r="581" customFormat="1" x14ac:dyDescent="0.3"/>
    <row r="582" customFormat="1" x14ac:dyDescent="0.3"/>
    <row r="583" customFormat="1" x14ac:dyDescent="0.3"/>
    <row r="584" customFormat="1" x14ac:dyDescent="0.3"/>
    <row r="585" customFormat="1" x14ac:dyDescent="0.3"/>
    <row r="586" customFormat="1" x14ac:dyDescent="0.3"/>
    <row r="587" customFormat="1" x14ac:dyDescent="0.3"/>
    <row r="588" customFormat="1" x14ac:dyDescent="0.3"/>
    <row r="589" customFormat="1" x14ac:dyDescent="0.3"/>
    <row r="590" customFormat="1" x14ac:dyDescent="0.3"/>
    <row r="591" customFormat="1" x14ac:dyDescent="0.3"/>
    <row r="592" customFormat="1" x14ac:dyDescent="0.3"/>
    <row r="593" customFormat="1" x14ac:dyDescent="0.3"/>
    <row r="594" customFormat="1" x14ac:dyDescent="0.3"/>
    <row r="595" customFormat="1" x14ac:dyDescent="0.3"/>
    <row r="596" customFormat="1" x14ac:dyDescent="0.3"/>
    <row r="597" customFormat="1" x14ac:dyDescent="0.3"/>
    <row r="598" customFormat="1" x14ac:dyDescent="0.3"/>
    <row r="599" customFormat="1" x14ac:dyDescent="0.3"/>
    <row r="600" customFormat="1" x14ac:dyDescent="0.3"/>
    <row r="601" customFormat="1" x14ac:dyDescent="0.3"/>
    <row r="602" customFormat="1" x14ac:dyDescent="0.3"/>
    <row r="603" customFormat="1" x14ac:dyDescent="0.3"/>
    <row r="604" customFormat="1" x14ac:dyDescent="0.3"/>
    <row r="605" customFormat="1" x14ac:dyDescent="0.3"/>
    <row r="606" customFormat="1" x14ac:dyDescent="0.3"/>
    <row r="607" customFormat="1" x14ac:dyDescent="0.3"/>
    <row r="608" customFormat="1" x14ac:dyDescent="0.3"/>
    <row r="609" customFormat="1" x14ac:dyDescent="0.3"/>
    <row r="610" customFormat="1" x14ac:dyDescent="0.3"/>
    <row r="611" customFormat="1" x14ac:dyDescent="0.3"/>
    <row r="612" customFormat="1" x14ac:dyDescent="0.3"/>
    <row r="613" customFormat="1" x14ac:dyDescent="0.3"/>
    <row r="614" customFormat="1" x14ac:dyDescent="0.3"/>
    <row r="615" customFormat="1" x14ac:dyDescent="0.3"/>
    <row r="616" customFormat="1" x14ac:dyDescent="0.3"/>
    <row r="617" customFormat="1" x14ac:dyDescent="0.3"/>
    <row r="618" customFormat="1" x14ac:dyDescent="0.3"/>
    <row r="619" customFormat="1" x14ac:dyDescent="0.3"/>
    <row r="620" customFormat="1" x14ac:dyDescent="0.3"/>
    <row r="621" customFormat="1" x14ac:dyDescent="0.3"/>
    <row r="622" customFormat="1" x14ac:dyDescent="0.3"/>
    <row r="623" customFormat="1" x14ac:dyDescent="0.3"/>
    <row r="624" customFormat="1" x14ac:dyDescent="0.3"/>
    <row r="625" customFormat="1" x14ac:dyDescent="0.3"/>
    <row r="626" customFormat="1" x14ac:dyDescent="0.3"/>
    <row r="627" customFormat="1" x14ac:dyDescent="0.3"/>
    <row r="628" customFormat="1" x14ac:dyDescent="0.3"/>
    <row r="629" customFormat="1" x14ac:dyDescent="0.3"/>
    <row r="630" customFormat="1" x14ac:dyDescent="0.3"/>
    <row r="631" customFormat="1" x14ac:dyDescent="0.3"/>
    <row r="632" customFormat="1" x14ac:dyDescent="0.3"/>
    <row r="633" customFormat="1" x14ac:dyDescent="0.3"/>
    <row r="634" customFormat="1" x14ac:dyDescent="0.3"/>
    <row r="635" customFormat="1" x14ac:dyDescent="0.3"/>
    <row r="636" customFormat="1" x14ac:dyDescent="0.3"/>
    <row r="637" customFormat="1" x14ac:dyDescent="0.3"/>
    <row r="638" customFormat="1" x14ac:dyDescent="0.3"/>
    <row r="639" customFormat="1" x14ac:dyDescent="0.3"/>
    <row r="640" customFormat="1" x14ac:dyDescent="0.3"/>
    <row r="641" customFormat="1" x14ac:dyDescent="0.3"/>
    <row r="642" customFormat="1" x14ac:dyDescent="0.3"/>
    <row r="643" customFormat="1" x14ac:dyDescent="0.3"/>
    <row r="644" customFormat="1" x14ac:dyDescent="0.3"/>
    <row r="645" customFormat="1" x14ac:dyDescent="0.3"/>
    <row r="646" customFormat="1" x14ac:dyDescent="0.3"/>
    <row r="647" customFormat="1" x14ac:dyDescent="0.3"/>
    <row r="648" customFormat="1" x14ac:dyDescent="0.3"/>
    <row r="649" customFormat="1" x14ac:dyDescent="0.3"/>
    <row r="650" customFormat="1" x14ac:dyDescent="0.3"/>
    <row r="651" customFormat="1" x14ac:dyDescent="0.3"/>
    <row r="652" customFormat="1" x14ac:dyDescent="0.3"/>
    <row r="653" customFormat="1" x14ac:dyDescent="0.3"/>
    <row r="654" customFormat="1" x14ac:dyDescent="0.3"/>
    <row r="655" customFormat="1" x14ac:dyDescent="0.3"/>
    <row r="656" customFormat="1" x14ac:dyDescent="0.3"/>
    <row r="657" customFormat="1" x14ac:dyDescent="0.3"/>
    <row r="658" customFormat="1" x14ac:dyDescent="0.3"/>
    <row r="659" customFormat="1" x14ac:dyDescent="0.3"/>
    <row r="660" customFormat="1" x14ac:dyDescent="0.3"/>
    <row r="661" customFormat="1" x14ac:dyDescent="0.3"/>
    <row r="662" customFormat="1" x14ac:dyDescent="0.3"/>
    <row r="663" customFormat="1" x14ac:dyDescent="0.3"/>
    <row r="664" customFormat="1" x14ac:dyDescent="0.3"/>
    <row r="665" customFormat="1" x14ac:dyDescent="0.3"/>
    <row r="666" customFormat="1" x14ac:dyDescent="0.3"/>
    <row r="667" customFormat="1" x14ac:dyDescent="0.3"/>
    <row r="668" customFormat="1" x14ac:dyDescent="0.3"/>
    <row r="669" customFormat="1" x14ac:dyDescent="0.3"/>
    <row r="670" customFormat="1" x14ac:dyDescent="0.3"/>
    <row r="671" customFormat="1" x14ac:dyDescent="0.3"/>
    <row r="672" customFormat="1" x14ac:dyDescent="0.3"/>
    <row r="673" customFormat="1" x14ac:dyDescent="0.3"/>
    <row r="674" customFormat="1" x14ac:dyDescent="0.3"/>
    <row r="675" customFormat="1" x14ac:dyDescent="0.3"/>
    <row r="676" customFormat="1" x14ac:dyDescent="0.3"/>
    <row r="677" customFormat="1" x14ac:dyDescent="0.3"/>
    <row r="678" customFormat="1" x14ac:dyDescent="0.3"/>
    <row r="679" customFormat="1" x14ac:dyDescent="0.3"/>
    <row r="680" customFormat="1" x14ac:dyDescent="0.3"/>
    <row r="681" customFormat="1" x14ac:dyDescent="0.3"/>
    <row r="682" customFormat="1" x14ac:dyDescent="0.3"/>
    <row r="683" customFormat="1" x14ac:dyDescent="0.3"/>
    <row r="684" customFormat="1" x14ac:dyDescent="0.3"/>
    <row r="685" customFormat="1" x14ac:dyDescent="0.3"/>
    <row r="686" customFormat="1" x14ac:dyDescent="0.3"/>
    <row r="687" customFormat="1" x14ac:dyDescent="0.3"/>
    <row r="688" customFormat="1" x14ac:dyDescent="0.3"/>
    <row r="689" customFormat="1" x14ac:dyDescent="0.3"/>
    <row r="690" customFormat="1" x14ac:dyDescent="0.3"/>
    <row r="691" customFormat="1" x14ac:dyDescent="0.3"/>
    <row r="692" customFormat="1" x14ac:dyDescent="0.3"/>
    <row r="693" customFormat="1" x14ac:dyDescent="0.3"/>
    <row r="694" customFormat="1" x14ac:dyDescent="0.3"/>
    <row r="695" customFormat="1" x14ac:dyDescent="0.3"/>
    <row r="696" customFormat="1" x14ac:dyDescent="0.3"/>
    <row r="697" customFormat="1" x14ac:dyDescent="0.3"/>
    <row r="698" customFormat="1" x14ac:dyDescent="0.3"/>
    <row r="699" customFormat="1" x14ac:dyDescent="0.3"/>
    <row r="700" customFormat="1" x14ac:dyDescent="0.3"/>
    <row r="701" customFormat="1" x14ac:dyDescent="0.3"/>
    <row r="702" customFormat="1" x14ac:dyDescent="0.3"/>
    <row r="703" customFormat="1" x14ac:dyDescent="0.3"/>
    <row r="704" customFormat="1" x14ac:dyDescent="0.3"/>
    <row r="705" customFormat="1" x14ac:dyDescent="0.3"/>
    <row r="706" customFormat="1" x14ac:dyDescent="0.3"/>
    <row r="707" customFormat="1" x14ac:dyDescent="0.3"/>
    <row r="708" customFormat="1" x14ac:dyDescent="0.3"/>
    <row r="709" customFormat="1" x14ac:dyDescent="0.3"/>
    <row r="710" customFormat="1" x14ac:dyDescent="0.3"/>
    <row r="711" customFormat="1" x14ac:dyDescent="0.3"/>
    <row r="712" customFormat="1" x14ac:dyDescent="0.3"/>
    <row r="713" customFormat="1" x14ac:dyDescent="0.3"/>
    <row r="714" customFormat="1" x14ac:dyDescent="0.3"/>
    <row r="715" customFormat="1" x14ac:dyDescent="0.3"/>
    <row r="716" customFormat="1" x14ac:dyDescent="0.3"/>
    <row r="717" customFormat="1" x14ac:dyDescent="0.3"/>
    <row r="718" customFormat="1" x14ac:dyDescent="0.3"/>
    <row r="719" customFormat="1" x14ac:dyDescent="0.3"/>
    <row r="720" customFormat="1" x14ac:dyDescent="0.3"/>
    <row r="721" customFormat="1" x14ac:dyDescent="0.3"/>
    <row r="722" customFormat="1" x14ac:dyDescent="0.3"/>
    <row r="723" customFormat="1" x14ac:dyDescent="0.3"/>
    <row r="724" customFormat="1" x14ac:dyDescent="0.3"/>
    <row r="725" customFormat="1" x14ac:dyDescent="0.3"/>
    <row r="726" customFormat="1" x14ac:dyDescent="0.3"/>
    <row r="727" customFormat="1" x14ac:dyDescent="0.3"/>
    <row r="728" customFormat="1" x14ac:dyDescent="0.3"/>
    <row r="729" customFormat="1" x14ac:dyDescent="0.3"/>
    <row r="730" customFormat="1" x14ac:dyDescent="0.3"/>
    <row r="731" customFormat="1" x14ac:dyDescent="0.3"/>
    <row r="732" customFormat="1" x14ac:dyDescent="0.3"/>
    <row r="733" customFormat="1" x14ac:dyDescent="0.3"/>
    <row r="734" customFormat="1" x14ac:dyDescent="0.3"/>
    <row r="735" customFormat="1" x14ac:dyDescent="0.3"/>
    <row r="736" customFormat="1" x14ac:dyDescent="0.3"/>
    <row r="737" customFormat="1" x14ac:dyDescent="0.3"/>
    <row r="738" customFormat="1" x14ac:dyDescent="0.3"/>
    <row r="739" customFormat="1" x14ac:dyDescent="0.3"/>
    <row r="740" customFormat="1" x14ac:dyDescent="0.3"/>
    <row r="741" customFormat="1" x14ac:dyDescent="0.3"/>
    <row r="742" customFormat="1" x14ac:dyDescent="0.3"/>
    <row r="743" customFormat="1" x14ac:dyDescent="0.3"/>
    <row r="744" customFormat="1" x14ac:dyDescent="0.3"/>
    <row r="745" customFormat="1" x14ac:dyDescent="0.3"/>
    <row r="746" customFormat="1" x14ac:dyDescent="0.3"/>
    <row r="747" customFormat="1" x14ac:dyDescent="0.3"/>
    <row r="748" customFormat="1" x14ac:dyDescent="0.3"/>
    <row r="749" customFormat="1" x14ac:dyDescent="0.3"/>
    <row r="750" customFormat="1" x14ac:dyDescent="0.3"/>
    <row r="751" customFormat="1" x14ac:dyDescent="0.3"/>
    <row r="752" customFormat="1" x14ac:dyDescent="0.3"/>
    <row r="753" customFormat="1" x14ac:dyDescent="0.3"/>
    <row r="754" customFormat="1" x14ac:dyDescent="0.3"/>
    <row r="755" customFormat="1" x14ac:dyDescent="0.3"/>
    <row r="756" customFormat="1" x14ac:dyDescent="0.3"/>
    <row r="757" customFormat="1" x14ac:dyDescent="0.3"/>
    <row r="758" customFormat="1" x14ac:dyDescent="0.3"/>
    <row r="759" customFormat="1" x14ac:dyDescent="0.3"/>
    <row r="760" customFormat="1" x14ac:dyDescent="0.3"/>
    <row r="761" customFormat="1" x14ac:dyDescent="0.3"/>
    <row r="762" customFormat="1" x14ac:dyDescent="0.3"/>
    <row r="763" customFormat="1" x14ac:dyDescent="0.3"/>
    <row r="764" customFormat="1" x14ac:dyDescent="0.3"/>
    <row r="765" customFormat="1" x14ac:dyDescent="0.3"/>
    <row r="766" customFormat="1" x14ac:dyDescent="0.3"/>
    <row r="767" customFormat="1" x14ac:dyDescent="0.3"/>
    <row r="768" customFormat="1" x14ac:dyDescent="0.3"/>
    <row r="769" customFormat="1" x14ac:dyDescent="0.3"/>
    <row r="770" customFormat="1" x14ac:dyDescent="0.3"/>
    <row r="771" customFormat="1" x14ac:dyDescent="0.3"/>
    <row r="772" customFormat="1" x14ac:dyDescent="0.3"/>
    <row r="773" customFormat="1" x14ac:dyDescent="0.3"/>
    <row r="774" customFormat="1" x14ac:dyDescent="0.3"/>
    <row r="775" customFormat="1" x14ac:dyDescent="0.3"/>
    <row r="776" customFormat="1" x14ac:dyDescent="0.3"/>
    <row r="777" customFormat="1" x14ac:dyDescent="0.3"/>
    <row r="778" customFormat="1" x14ac:dyDescent="0.3"/>
    <row r="779" customFormat="1" x14ac:dyDescent="0.3"/>
    <row r="780" customFormat="1" x14ac:dyDescent="0.3"/>
    <row r="781" customFormat="1" x14ac:dyDescent="0.3"/>
    <row r="782" customFormat="1" x14ac:dyDescent="0.3"/>
    <row r="783" customFormat="1" x14ac:dyDescent="0.3"/>
    <row r="784" customFormat="1" x14ac:dyDescent="0.3"/>
    <row r="785" customFormat="1" x14ac:dyDescent="0.3"/>
    <row r="786" customFormat="1" x14ac:dyDescent="0.3"/>
    <row r="787" customFormat="1" x14ac:dyDescent="0.3"/>
    <row r="788" customFormat="1" x14ac:dyDescent="0.3"/>
    <row r="789" customFormat="1" x14ac:dyDescent="0.3"/>
    <row r="790" customFormat="1" x14ac:dyDescent="0.3"/>
    <row r="791" customFormat="1" x14ac:dyDescent="0.3"/>
    <row r="792" customFormat="1" x14ac:dyDescent="0.3"/>
    <row r="793" customFormat="1" x14ac:dyDescent="0.3"/>
    <row r="794" customFormat="1" x14ac:dyDescent="0.3"/>
    <row r="795" customFormat="1" x14ac:dyDescent="0.3"/>
    <row r="796" customFormat="1" x14ac:dyDescent="0.3"/>
    <row r="797" customFormat="1" x14ac:dyDescent="0.3"/>
    <row r="798" customFormat="1" x14ac:dyDescent="0.3"/>
    <row r="799" customFormat="1" x14ac:dyDescent="0.3"/>
    <row r="800" customFormat="1" x14ac:dyDescent="0.3"/>
    <row r="801" customFormat="1" x14ac:dyDescent="0.3"/>
    <row r="802" customFormat="1" x14ac:dyDescent="0.3"/>
    <row r="803" customFormat="1" x14ac:dyDescent="0.3"/>
    <row r="804" customFormat="1" x14ac:dyDescent="0.3"/>
    <row r="805" customFormat="1" x14ac:dyDescent="0.3"/>
    <row r="806" customFormat="1" x14ac:dyDescent="0.3"/>
    <row r="807" customFormat="1" x14ac:dyDescent="0.3"/>
    <row r="808" customFormat="1" x14ac:dyDescent="0.3"/>
    <row r="809" customFormat="1" x14ac:dyDescent="0.3"/>
    <row r="810" customFormat="1" x14ac:dyDescent="0.3"/>
    <row r="811" customFormat="1" x14ac:dyDescent="0.3"/>
    <row r="812" customFormat="1" x14ac:dyDescent="0.3"/>
    <row r="813" customFormat="1" x14ac:dyDescent="0.3"/>
    <row r="814" customFormat="1" x14ac:dyDescent="0.3"/>
    <row r="815" customFormat="1" x14ac:dyDescent="0.3"/>
    <row r="816" customFormat="1" x14ac:dyDescent="0.3"/>
    <row r="817" customFormat="1" x14ac:dyDescent="0.3"/>
    <row r="818" customFormat="1" x14ac:dyDescent="0.3"/>
    <row r="819" customFormat="1" x14ac:dyDescent="0.3"/>
    <row r="820" customFormat="1" x14ac:dyDescent="0.3"/>
    <row r="821" customFormat="1" x14ac:dyDescent="0.3"/>
    <row r="822" customFormat="1" x14ac:dyDescent="0.3"/>
    <row r="823" customFormat="1" x14ac:dyDescent="0.3"/>
    <row r="824" customFormat="1" x14ac:dyDescent="0.3"/>
    <row r="825" customFormat="1" x14ac:dyDescent="0.3"/>
    <row r="826" customFormat="1" x14ac:dyDescent="0.3"/>
    <row r="827" customFormat="1" x14ac:dyDescent="0.3"/>
    <row r="828" customFormat="1" x14ac:dyDescent="0.3"/>
    <row r="829" customFormat="1" x14ac:dyDescent="0.3"/>
    <row r="830" customFormat="1" x14ac:dyDescent="0.3"/>
    <row r="831" customFormat="1" x14ac:dyDescent="0.3"/>
    <row r="832" customFormat="1" x14ac:dyDescent="0.3"/>
    <row r="833" customFormat="1" x14ac:dyDescent="0.3"/>
    <row r="834" customFormat="1" x14ac:dyDescent="0.3"/>
    <row r="835" customFormat="1" x14ac:dyDescent="0.3"/>
    <row r="836" customFormat="1" x14ac:dyDescent="0.3"/>
    <row r="837" customFormat="1" x14ac:dyDescent="0.3"/>
    <row r="838" customFormat="1" x14ac:dyDescent="0.3"/>
    <row r="839" customFormat="1" x14ac:dyDescent="0.3"/>
    <row r="840" customFormat="1" x14ac:dyDescent="0.3"/>
    <row r="841" customFormat="1" x14ac:dyDescent="0.3"/>
    <row r="842" customFormat="1" x14ac:dyDescent="0.3"/>
    <row r="843" customFormat="1" x14ac:dyDescent="0.3"/>
    <row r="844" customFormat="1" x14ac:dyDescent="0.3"/>
    <row r="845" customFormat="1" x14ac:dyDescent="0.3"/>
    <row r="846" customFormat="1" x14ac:dyDescent="0.3"/>
    <row r="847" customFormat="1" x14ac:dyDescent="0.3"/>
    <row r="848" customFormat="1" x14ac:dyDescent="0.3"/>
    <row r="849" customFormat="1" x14ac:dyDescent="0.3"/>
    <row r="850" customFormat="1" x14ac:dyDescent="0.3"/>
    <row r="851" customFormat="1" x14ac:dyDescent="0.3"/>
    <row r="852" customFormat="1" x14ac:dyDescent="0.3"/>
    <row r="853" customFormat="1" x14ac:dyDescent="0.3"/>
    <row r="854" customFormat="1" x14ac:dyDescent="0.3"/>
    <row r="855" customFormat="1" x14ac:dyDescent="0.3"/>
    <row r="856" customFormat="1" x14ac:dyDescent="0.3"/>
    <row r="857" customFormat="1" x14ac:dyDescent="0.3"/>
    <row r="858" customFormat="1" x14ac:dyDescent="0.3"/>
    <row r="859" customFormat="1" x14ac:dyDescent="0.3"/>
    <row r="860" customFormat="1" x14ac:dyDescent="0.3"/>
    <row r="861" customFormat="1" x14ac:dyDescent="0.3"/>
    <row r="862" customFormat="1" x14ac:dyDescent="0.3"/>
    <row r="863" customFormat="1" x14ac:dyDescent="0.3"/>
    <row r="864" customFormat="1" x14ac:dyDescent="0.3"/>
    <row r="865" customFormat="1" x14ac:dyDescent="0.3"/>
    <row r="866" customFormat="1" x14ac:dyDescent="0.3"/>
    <row r="867" customFormat="1" x14ac:dyDescent="0.3"/>
    <row r="868" customFormat="1" x14ac:dyDescent="0.3"/>
    <row r="869" customFormat="1" x14ac:dyDescent="0.3"/>
    <row r="870" customFormat="1" x14ac:dyDescent="0.3"/>
    <row r="871" customFormat="1" x14ac:dyDescent="0.3"/>
    <row r="872" customFormat="1" x14ac:dyDescent="0.3"/>
    <row r="873" customFormat="1" x14ac:dyDescent="0.3"/>
    <row r="874" customFormat="1" x14ac:dyDescent="0.3"/>
    <row r="875" customFormat="1" x14ac:dyDescent="0.3"/>
    <row r="876" customFormat="1" x14ac:dyDescent="0.3"/>
    <row r="877" customFormat="1" x14ac:dyDescent="0.3"/>
    <row r="878" customFormat="1" x14ac:dyDescent="0.3"/>
    <row r="879" customFormat="1" x14ac:dyDescent="0.3"/>
    <row r="880" customFormat="1" x14ac:dyDescent="0.3"/>
    <row r="881" customFormat="1" x14ac:dyDescent="0.3"/>
    <row r="882" customFormat="1" x14ac:dyDescent="0.3"/>
    <row r="883" customFormat="1" x14ac:dyDescent="0.3"/>
    <row r="884" customFormat="1" x14ac:dyDescent="0.3"/>
    <row r="885" customFormat="1" x14ac:dyDescent="0.3"/>
    <row r="886" customFormat="1" x14ac:dyDescent="0.3"/>
    <row r="887" customFormat="1" x14ac:dyDescent="0.3"/>
    <row r="888" customFormat="1" x14ac:dyDescent="0.3"/>
    <row r="889" customFormat="1" x14ac:dyDescent="0.3"/>
    <row r="890" customFormat="1" x14ac:dyDescent="0.3"/>
    <row r="891" customFormat="1" x14ac:dyDescent="0.3"/>
    <row r="892" customFormat="1" x14ac:dyDescent="0.3"/>
    <row r="893" customFormat="1" x14ac:dyDescent="0.3"/>
    <row r="894" customFormat="1" x14ac:dyDescent="0.3"/>
    <row r="895" customFormat="1" x14ac:dyDescent="0.3"/>
    <row r="896" customFormat="1" x14ac:dyDescent="0.3"/>
    <row r="897" customFormat="1" x14ac:dyDescent="0.3"/>
    <row r="898" customFormat="1" x14ac:dyDescent="0.3"/>
    <row r="899" customFormat="1" x14ac:dyDescent="0.3"/>
    <row r="900" customFormat="1" x14ac:dyDescent="0.3"/>
    <row r="901" customFormat="1" x14ac:dyDescent="0.3"/>
    <row r="902" customFormat="1" x14ac:dyDescent="0.3"/>
    <row r="903" customFormat="1" x14ac:dyDescent="0.3"/>
    <row r="904" customFormat="1" x14ac:dyDescent="0.3"/>
    <row r="905" customFormat="1" x14ac:dyDescent="0.3"/>
    <row r="906" customFormat="1" x14ac:dyDescent="0.3"/>
    <row r="907" customFormat="1" x14ac:dyDescent="0.3"/>
    <row r="908" customFormat="1" x14ac:dyDescent="0.3"/>
    <row r="909" customFormat="1" x14ac:dyDescent="0.3"/>
    <row r="910" customFormat="1" x14ac:dyDescent="0.3"/>
    <row r="911" customFormat="1" x14ac:dyDescent="0.3"/>
    <row r="912" customFormat="1" x14ac:dyDescent="0.3"/>
    <row r="913" customFormat="1" x14ac:dyDescent="0.3"/>
    <row r="914" customFormat="1" x14ac:dyDescent="0.3"/>
    <row r="915" customFormat="1" x14ac:dyDescent="0.3"/>
    <row r="916" customFormat="1" x14ac:dyDescent="0.3"/>
    <row r="917" customFormat="1" x14ac:dyDescent="0.3"/>
    <row r="918" customFormat="1" x14ac:dyDescent="0.3"/>
    <row r="919" customFormat="1" x14ac:dyDescent="0.3"/>
    <row r="920" customFormat="1" x14ac:dyDescent="0.3"/>
    <row r="921" customFormat="1" x14ac:dyDescent="0.3"/>
    <row r="922" customFormat="1" x14ac:dyDescent="0.3"/>
    <row r="923" customFormat="1" x14ac:dyDescent="0.3"/>
    <row r="924" customFormat="1" x14ac:dyDescent="0.3"/>
    <row r="925" customFormat="1" x14ac:dyDescent="0.3"/>
    <row r="926" customFormat="1" x14ac:dyDescent="0.3"/>
    <row r="927" customFormat="1" x14ac:dyDescent="0.3"/>
    <row r="928" customFormat="1" x14ac:dyDescent="0.3"/>
    <row r="929" customFormat="1" x14ac:dyDescent="0.3"/>
    <row r="930" customFormat="1" x14ac:dyDescent="0.3"/>
    <row r="931" customFormat="1" x14ac:dyDescent="0.3"/>
    <row r="932" customFormat="1" x14ac:dyDescent="0.3"/>
    <row r="933" customFormat="1" x14ac:dyDescent="0.3"/>
    <row r="934" customFormat="1" x14ac:dyDescent="0.3"/>
    <row r="935" customFormat="1" x14ac:dyDescent="0.3"/>
    <row r="936" customFormat="1" x14ac:dyDescent="0.3"/>
    <row r="937" customFormat="1" x14ac:dyDescent="0.3"/>
    <row r="938" customFormat="1" x14ac:dyDescent="0.3"/>
    <row r="939" customFormat="1" x14ac:dyDescent="0.3"/>
    <row r="940" customFormat="1" x14ac:dyDescent="0.3"/>
    <row r="941" customFormat="1" x14ac:dyDescent="0.3"/>
    <row r="942" customFormat="1" x14ac:dyDescent="0.3"/>
    <row r="943" customFormat="1" x14ac:dyDescent="0.3"/>
    <row r="944" customFormat="1" x14ac:dyDescent="0.3"/>
    <row r="945" customFormat="1" x14ac:dyDescent="0.3"/>
    <row r="946" customFormat="1" x14ac:dyDescent="0.3"/>
    <row r="947" customFormat="1" x14ac:dyDescent="0.3"/>
    <row r="948" customFormat="1" x14ac:dyDescent="0.3"/>
    <row r="949" customFormat="1" x14ac:dyDescent="0.3"/>
    <row r="950" customFormat="1" x14ac:dyDescent="0.3"/>
    <row r="951" customFormat="1" x14ac:dyDescent="0.3"/>
    <row r="952" customFormat="1" x14ac:dyDescent="0.3"/>
    <row r="953" customFormat="1" x14ac:dyDescent="0.3"/>
    <row r="954" customFormat="1" x14ac:dyDescent="0.3"/>
    <row r="955" customFormat="1" x14ac:dyDescent="0.3"/>
    <row r="956" customFormat="1" x14ac:dyDescent="0.3"/>
    <row r="957" customFormat="1" x14ac:dyDescent="0.3"/>
    <row r="958" customFormat="1" x14ac:dyDescent="0.3"/>
    <row r="959" customFormat="1" x14ac:dyDescent="0.3"/>
    <row r="960" customFormat="1" x14ac:dyDescent="0.3"/>
    <row r="961" customFormat="1" x14ac:dyDescent="0.3"/>
    <row r="962" customFormat="1" x14ac:dyDescent="0.3"/>
    <row r="963" customFormat="1" x14ac:dyDescent="0.3"/>
    <row r="964" customFormat="1" x14ac:dyDescent="0.3"/>
    <row r="965" customFormat="1" x14ac:dyDescent="0.3"/>
    <row r="966" customFormat="1" x14ac:dyDescent="0.3"/>
    <row r="967" customFormat="1" x14ac:dyDescent="0.3"/>
    <row r="968" customFormat="1" x14ac:dyDescent="0.3"/>
    <row r="969" customFormat="1" x14ac:dyDescent="0.3"/>
    <row r="970" customFormat="1" x14ac:dyDescent="0.3"/>
    <row r="971" customFormat="1" x14ac:dyDescent="0.3"/>
    <row r="972" customFormat="1" x14ac:dyDescent="0.3"/>
    <row r="973" customFormat="1" x14ac:dyDescent="0.3"/>
    <row r="974" customFormat="1" x14ac:dyDescent="0.3"/>
    <row r="975" customFormat="1" x14ac:dyDescent="0.3"/>
    <row r="976" customFormat="1" x14ac:dyDescent="0.3"/>
    <row r="977" customFormat="1" x14ac:dyDescent="0.3"/>
    <row r="978" customFormat="1" x14ac:dyDescent="0.3"/>
    <row r="979" customFormat="1" x14ac:dyDescent="0.3"/>
    <row r="980" customFormat="1" x14ac:dyDescent="0.3"/>
    <row r="981" customFormat="1" x14ac:dyDescent="0.3"/>
    <row r="982" customFormat="1" x14ac:dyDescent="0.3"/>
    <row r="983" customFormat="1" x14ac:dyDescent="0.3"/>
    <row r="984" customFormat="1" x14ac:dyDescent="0.3"/>
    <row r="985" customFormat="1" x14ac:dyDescent="0.3"/>
    <row r="986" customFormat="1" x14ac:dyDescent="0.3"/>
    <row r="987" customFormat="1" x14ac:dyDescent="0.3"/>
    <row r="988" customFormat="1" x14ac:dyDescent="0.3"/>
    <row r="989" customFormat="1" x14ac:dyDescent="0.3"/>
    <row r="990" customFormat="1" x14ac:dyDescent="0.3"/>
    <row r="991" customFormat="1" x14ac:dyDescent="0.3"/>
    <row r="992" customFormat="1" x14ac:dyDescent="0.3"/>
    <row r="993" customFormat="1" x14ac:dyDescent="0.3"/>
    <row r="994" customFormat="1" x14ac:dyDescent="0.3"/>
    <row r="995" customFormat="1" x14ac:dyDescent="0.3"/>
    <row r="996" customFormat="1" x14ac:dyDescent="0.3"/>
    <row r="997" customFormat="1" x14ac:dyDescent="0.3"/>
    <row r="998" customFormat="1" x14ac:dyDescent="0.3"/>
    <row r="999" customFormat="1" x14ac:dyDescent="0.3"/>
    <row r="1000" customFormat="1" x14ac:dyDescent="0.3"/>
    <row r="1001" customFormat="1" x14ac:dyDescent="0.3"/>
    <row r="1002" customFormat="1" x14ac:dyDescent="0.3"/>
    <row r="1003" customFormat="1" x14ac:dyDescent="0.3"/>
    <row r="1004" customFormat="1" x14ac:dyDescent="0.3"/>
    <row r="1005" customFormat="1" x14ac:dyDescent="0.3"/>
    <row r="1006" customFormat="1" x14ac:dyDescent="0.3"/>
    <row r="1007" customFormat="1" x14ac:dyDescent="0.3"/>
    <row r="1008" customFormat="1" x14ac:dyDescent="0.3"/>
    <row r="1009" customFormat="1" x14ac:dyDescent="0.3"/>
    <row r="1010" customFormat="1" x14ac:dyDescent="0.3"/>
    <row r="1011" customFormat="1" x14ac:dyDescent="0.3"/>
    <row r="1012" customFormat="1" x14ac:dyDescent="0.3"/>
    <row r="1013" customFormat="1" x14ac:dyDescent="0.3"/>
    <row r="1014" customFormat="1" x14ac:dyDescent="0.3"/>
    <row r="1015" customFormat="1" x14ac:dyDescent="0.3"/>
    <row r="1016" customFormat="1" x14ac:dyDescent="0.3"/>
    <row r="1017" customFormat="1" x14ac:dyDescent="0.3"/>
    <row r="1018" customFormat="1" x14ac:dyDescent="0.3"/>
    <row r="1019" customFormat="1" x14ac:dyDescent="0.3"/>
    <row r="1020" customFormat="1" x14ac:dyDescent="0.3"/>
    <row r="1021" customFormat="1" x14ac:dyDescent="0.3"/>
    <row r="1022" customFormat="1" x14ac:dyDescent="0.3"/>
    <row r="1023" customFormat="1" x14ac:dyDescent="0.3"/>
    <row r="1024" customFormat="1" x14ac:dyDescent="0.3"/>
    <row r="1025" customFormat="1" x14ac:dyDescent="0.3"/>
    <row r="1026" customFormat="1" x14ac:dyDescent="0.3"/>
    <row r="1027" customFormat="1" x14ac:dyDescent="0.3"/>
    <row r="1028" customFormat="1" x14ac:dyDescent="0.3"/>
    <row r="1029" customFormat="1" x14ac:dyDescent="0.3"/>
    <row r="1030" customFormat="1" x14ac:dyDescent="0.3"/>
    <row r="1031" customFormat="1" x14ac:dyDescent="0.3"/>
    <row r="1032" customFormat="1" x14ac:dyDescent="0.3"/>
    <row r="1033" customFormat="1" x14ac:dyDescent="0.3"/>
    <row r="1034" customFormat="1" x14ac:dyDescent="0.3"/>
    <row r="1035" customFormat="1" x14ac:dyDescent="0.3"/>
    <row r="1036" customFormat="1" x14ac:dyDescent="0.3"/>
    <row r="1037" customFormat="1" x14ac:dyDescent="0.3"/>
    <row r="1038" customFormat="1" x14ac:dyDescent="0.3"/>
    <row r="1039" customFormat="1" x14ac:dyDescent="0.3"/>
    <row r="1040" customFormat="1" x14ac:dyDescent="0.3"/>
    <row r="1041" customFormat="1" x14ac:dyDescent="0.3"/>
    <row r="1042" customFormat="1" x14ac:dyDescent="0.3"/>
    <row r="1043" customFormat="1" x14ac:dyDescent="0.3"/>
    <row r="1044" customFormat="1" x14ac:dyDescent="0.3"/>
    <row r="1045" customFormat="1" x14ac:dyDescent="0.3"/>
    <row r="1046" customFormat="1" x14ac:dyDescent="0.3"/>
    <row r="1047" customFormat="1" x14ac:dyDescent="0.3"/>
    <row r="1048" customFormat="1" x14ac:dyDescent="0.3"/>
    <row r="1049" customFormat="1" x14ac:dyDescent="0.3"/>
    <row r="1050" customFormat="1" x14ac:dyDescent="0.3"/>
    <row r="1051" customFormat="1" x14ac:dyDescent="0.3"/>
    <row r="1052" customFormat="1" x14ac:dyDescent="0.3"/>
    <row r="1053" customFormat="1" x14ac:dyDescent="0.3"/>
    <row r="1054" customFormat="1" x14ac:dyDescent="0.3"/>
    <row r="1055" customFormat="1" x14ac:dyDescent="0.3"/>
    <row r="1056" customFormat="1" x14ac:dyDescent="0.3"/>
    <row r="1057" customFormat="1" x14ac:dyDescent="0.3"/>
    <row r="1058" customFormat="1" x14ac:dyDescent="0.3"/>
    <row r="1059" customFormat="1" x14ac:dyDescent="0.3"/>
    <row r="1060" customFormat="1" x14ac:dyDescent="0.3"/>
    <row r="1061" customFormat="1" x14ac:dyDescent="0.3"/>
    <row r="1062" customFormat="1" x14ac:dyDescent="0.3"/>
    <row r="1063" customFormat="1" x14ac:dyDescent="0.3"/>
    <row r="1064" customFormat="1" x14ac:dyDescent="0.3"/>
    <row r="1065" customFormat="1" x14ac:dyDescent="0.3"/>
    <row r="1066" customFormat="1" x14ac:dyDescent="0.3"/>
    <row r="1067" customFormat="1" x14ac:dyDescent="0.3"/>
    <row r="1068" customFormat="1" x14ac:dyDescent="0.3"/>
    <row r="1069" customFormat="1" x14ac:dyDescent="0.3"/>
    <row r="1070" customFormat="1" x14ac:dyDescent="0.3"/>
    <row r="1071" customFormat="1" x14ac:dyDescent="0.3"/>
    <row r="1072" customFormat="1" x14ac:dyDescent="0.3"/>
    <row r="1073" customFormat="1" x14ac:dyDescent="0.3"/>
    <row r="1074" customFormat="1" x14ac:dyDescent="0.3"/>
    <row r="1075" customFormat="1" x14ac:dyDescent="0.3"/>
    <row r="1076" customFormat="1" x14ac:dyDescent="0.3"/>
    <row r="1077" customFormat="1" x14ac:dyDescent="0.3"/>
    <row r="1078" customFormat="1" x14ac:dyDescent="0.3"/>
    <row r="1079" customFormat="1" x14ac:dyDescent="0.3"/>
    <row r="1080" customFormat="1" x14ac:dyDescent="0.3"/>
    <row r="1081" customFormat="1" x14ac:dyDescent="0.3"/>
    <row r="1082" customFormat="1" x14ac:dyDescent="0.3"/>
    <row r="1083" customFormat="1" x14ac:dyDescent="0.3"/>
    <row r="1084" customFormat="1" x14ac:dyDescent="0.3"/>
    <row r="1085" customFormat="1" x14ac:dyDescent="0.3"/>
    <row r="1086" customFormat="1" x14ac:dyDescent="0.3"/>
    <row r="1087" customFormat="1" x14ac:dyDescent="0.3"/>
    <row r="1088" customFormat="1" x14ac:dyDescent="0.3"/>
    <row r="1089" customFormat="1" x14ac:dyDescent="0.3"/>
    <row r="1090" customFormat="1" x14ac:dyDescent="0.3"/>
    <row r="1091" customFormat="1" x14ac:dyDescent="0.3"/>
    <row r="1092" customFormat="1" x14ac:dyDescent="0.3"/>
    <row r="1093" customFormat="1" x14ac:dyDescent="0.3"/>
    <row r="1094" customFormat="1" x14ac:dyDescent="0.3"/>
    <row r="1095" customFormat="1" x14ac:dyDescent="0.3"/>
    <row r="1096" customFormat="1" x14ac:dyDescent="0.3"/>
    <row r="1097" customFormat="1" x14ac:dyDescent="0.3"/>
    <row r="1098" customFormat="1" x14ac:dyDescent="0.3"/>
    <row r="1099" customFormat="1" x14ac:dyDescent="0.3"/>
    <row r="1100" customFormat="1" x14ac:dyDescent="0.3"/>
    <row r="1101" customFormat="1" x14ac:dyDescent="0.3"/>
    <row r="1102" customFormat="1" x14ac:dyDescent="0.3"/>
    <row r="1103" customFormat="1" x14ac:dyDescent="0.3"/>
    <row r="1104" customFormat="1" x14ac:dyDescent="0.3"/>
    <row r="1105" customFormat="1" x14ac:dyDescent="0.3"/>
    <row r="1106" customFormat="1" x14ac:dyDescent="0.3"/>
    <row r="1107" customFormat="1" x14ac:dyDescent="0.3"/>
    <row r="1108" customFormat="1" x14ac:dyDescent="0.3"/>
    <row r="1109" customFormat="1" x14ac:dyDescent="0.3"/>
    <row r="1110" customFormat="1" x14ac:dyDescent="0.3"/>
    <row r="1111" customFormat="1" x14ac:dyDescent="0.3"/>
    <row r="1112" customFormat="1" x14ac:dyDescent="0.3"/>
    <row r="1113" customFormat="1" x14ac:dyDescent="0.3"/>
    <row r="1114" customFormat="1" x14ac:dyDescent="0.3"/>
    <row r="1115" customFormat="1" x14ac:dyDescent="0.3"/>
    <row r="1116" customFormat="1" x14ac:dyDescent="0.3"/>
    <row r="1117" customFormat="1" x14ac:dyDescent="0.3"/>
    <row r="1118" customFormat="1" x14ac:dyDescent="0.3"/>
    <row r="1119" customFormat="1" x14ac:dyDescent="0.3"/>
    <row r="1120" customFormat="1" x14ac:dyDescent="0.3"/>
    <row r="1121" customFormat="1" x14ac:dyDescent="0.3"/>
    <row r="1122" customFormat="1" x14ac:dyDescent="0.3"/>
    <row r="1123" customFormat="1" x14ac:dyDescent="0.3"/>
    <row r="1124" customFormat="1" x14ac:dyDescent="0.3"/>
    <row r="1125" customFormat="1" x14ac:dyDescent="0.3"/>
    <row r="1126" customFormat="1" x14ac:dyDescent="0.3"/>
    <row r="1127" customFormat="1" x14ac:dyDescent="0.3"/>
    <row r="1128" customFormat="1" x14ac:dyDescent="0.3"/>
    <row r="1129" customFormat="1" x14ac:dyDescent="0.3"/>
    <row r="1130" customFormat="1" x14ac:dyDescent="0.3"/>
    <row r="1131" customFormat="1" x14ac:dyDescent="0.3"/>
    <row r="1132" customFormat="1" x14ac:dyDescent="0.3"/>
    <row r="1133" customFormat="1" x14ac:dyDescent="0.3"/>
    <row r="1134" customFormat="1" x14ac:dyDescent="0.3"/>
    <row r="1135" customFormat="1" x14ac:dyDescent="0.3"/>
    <row r="1136" customFormat="1" x14ac:dyDescent="0.3"/>
    <row r="1137" customFormat="1" x14ac:dyDescent="0.3"/>
    <row r="1138" customFormat="1" x14ac:dyDescent="0.3"/>
    <row r="1139" customFormat="1" x14ac:dyDescent="0.3"/>
    <row r="1140" customFormat="1" x14ac:dyDescent="0.3"/>
    <row r="1141" customFormat="1" x14ac:dyDescent="0.3"/>
    <row r="1142" customFormat="1" x14ac:dyDescent="0.3"/>
    <row r="1143" customFormat="1" x14ac:dyDescent="0.3"/>
    <row r="1144" customFormat="1" x14ac:dyDescent="0.3"/>
    <row r="1145" customFormat="1" x14ac:dyDescent="0.3"/>
    <row r="1146" customFormat="1" x14ac:dyDescent="0.3"/>
    <row r="1147" customFormat="1" x14ac:dyDescent="0.3"/>
    <row r="1148" customFormat="1" x14ac:dyDescent="0.3"/>
    <row r="1149" customFormat="1" x14ac:dyDescent="0.3"/>
    <row r="1150" customFormat="1" x14ac:dyDescent="0.3"/>
    <row r="1151" customFormat="1" x14ac:dyDescent="0.3"/>
    <row r="1152" customFormat="1" x14ac:dyDescent="0.3"/>
    <row r="1153" customFormat="1" x14ac:dyDescent="0.3"/>
    <row r="1154" customFormat="1" x14ac:dyDescent="0.3"/>
    <row r="1155" customFormat="1" x14ac:dyDescent="0.3"/>
    <row r="1156" customFormat="1" x14ac:dyDescent="0.3"/>
    <row r="1157" customFormat="1" x14ac:dyDescent="0.3"/>
    <row r="1158" customFormat="1" x14ac:dyDescent="0.3"/>
    <row r="1159" customFormat="1" x14ac:dyDescent="0.3"/>
    <row r="1160" customFormat="1" x14ac:dyDescent="0.3"/>
    <row r="1161" customFormat="1" x14ac:dyDescent="0.3"/>
    <row r="1162" customFormat="1" x14ac:dyDescent="0.3"/>
    <row r="1163" customFormat="1" x14ac:dyDescent="0.3"/>
    <row r="1164" customFormat="1" x14ac:dyDescent="0.3"/>
    <row r="1165" customFormat="1" x14ac:dyDescent="0.3"/>
    <row r="1166" customFormat="1" x14ac:dyDescent="0.3"/>
    <row r="1167" customFormat="1" x14ac:dyDescent="0.3"/>
    <row r="1168" customFormat="1" x14ac:dyDescent="0.3"/>
    <row r="1169" customFormat="1" x14ac:dyDescent="0.3"/>
    <row r="1170" customFormat="1" x14ac:dyDescent="0.3"/>
    <row r="1171" customFormat="1" x14ac:dyDescent="0.3"/>
    <row r="1172" customFormat="1" x14ac:dyDescent="0.3"/>
    <row r="1173" customFormat="1" x14ac:dyDescent="0.3"/>
    <row r="1174" customFormat="1" x14ac:dyDescent="0.3"/>
    <row r="1175" customFormat="1" x14ac:dyDescent="0.3"/>
    <row r="1176" customFormat="1" x14ac:dyDescent="0.3"/>
    <row r="1177" customFormat="1" x14ac:dyDescent="0.3"/>
    <row r="1178" customFormat="1" x14ac:dyDescent="0.3"/>
    <row r="1179" customFormat="1" x14ac:dyDescent="0.3"/>
    <row r="1180" customFormat="1" x14ac:dyDescent="0.3"/>
    <row r="1181" customFormat="1" x14ac:dyDescent="0.3"/>
    <row r="1182" customFormat="1" x14ac:dyDescent="0.3"/>
    <row r="1183" customFormat="1" x14ac:dyDescent="0.3"/>
    <row r="1184" customFormat="1" x14ac:dyDescent="0.3"/>
    <row r="1185" customFormat="1" x14ac:dyDescent="0.3"/>
    <row r="1186" customFormat="1" x14ac:dyDescent="0.3"/>
    <row r="1187" customFormat="1" x14ac:dyDescent="0.3"/>
    <row r="1188" customFormat="1" x14ac:dyDescent="0.3"/>
    <row r="1189" customFormat="1" x14ac:dyDescent="0.3"/>
    <row r="1190" customFormat="1" x14ac:dyDescent="0.3"/>
    <row r="1191" customFormat="1" x14ac:dyDescent="0.3"/>
    <row r="1192" customFormat="1" x14ac:dyDescent="0.3"/>
    <row r="1193" customFormat="1" x14ac:dyDescent="0.3"/>
    <row r="1194" customFormat="1" x14ac:dyDescent="0.3"/>
    <row r="1195" customFormat="1" x14ac:dyDescent="0.3"/>
    <row r="1196" customFormat="1" x14ac:dyDescent="0.3"/>
    <row r="1197" customFormat="1" x14ac:dyDescent="0.3"/>
    <row r="1198" customFormat="1" x14ac:dyDescent="0.3"/>
    <row r="1199" customFormat="1" x14ac:dyDescent="0.3"/>
    <row r="1200" customFormat="1" x14ac:dyDescent="0.3"/>
    <row r="1201" customFormat="1" x14ac:dyDescent="0.3"/>
    <row r="1202" customFormat="1" x14ac:dyDescent="0.3"/>
    <row r="1203" customFormat="1" x14ac:dyDescent="0.3"/>
    <row r="1204" customFormat="1" x14ac:dyDescent="0.3"/>
    <row r="1205" customFormat="1" x14ac:dyDescent="0.3"/>
    <row r="1206" customFormat="1" x14ac:dyDescent="0.3"/>
    <row r="1207" customFormat="1" x14ac:dyDescent="0.3"/>
    <row r="1208" customFormat="1" x14ac:dyDescent="0.3"/>
    <row r="1209" customFormat="1" x14ac:dyDescent="0.3"/>
    <row r="1210" customFormat="1" x14ac:dyDescent="0.3"/>
    <row r="1211" customFormat="1" x14ac:dyDescent="0.3"/>
    <row r="1212" customFormat="1" x14ac:dyDescent="0.3"/>
    <row r="1213" customFormat="1" x14ac:dyDescent="0.3"/>
    <row r="1214" customFormat="1" x14ac:dyDescent="0.3"/>
    <row r="1215" customFormat="1" x14ac:dyDescent="0.3"/>
    <row r="1216" customFormat="1" x14ac:dyDescent="0.3"/>
    <row r="1217" customFormat="1" x14ac:dyDescent="0.3"/>
    <row r="1218" customFormat="1" x14ac:dyDescent="0.3"/>
    <row r="1219" customFormat="1" x14ac:dyDescent="0.3"/>
    <row r="1220" customFormat="1" x14ac:dyDescent="0.3"/>
    <row r="1221" customFormat="1" x14ac:dyDescent="0.3"/>
    <row r="1222" customFormat="1" x14ac:dyDescent="0.3"/>
    <row r="1223" customFormat="1" x14ac:dyDescent="0.3"/>
    <row r="1224" customFormat="1" x14ac:dyDescent="0.3"/>
    <row r="1225" customFormat="1" x14ac:dyDescent="0.3"/>
    <row r="1226" customFormat="1" x14ac:dyDescent="0.3"/>
    <row r="1227" customFormat="1" x14ac:dyDescent="0.3"/>
    <row r="1228" customFormat="1" x14ac:dyDescent="0.3"/>
    <row r="1229" customFormat="1" x14ac:dyDescent="0.3"/>
    <row r="1230" customFormat="1" x14ac:dyDescent="0.3"/>
    <row r="1231" customFormat="1" x14ac:dyDescent="0.3"/>
    <row r="1232" customFormat="1" x14ac:dyDescent="0.3"/>
    <row r="1233" customFormat="1" x14ac:dyDescent="0.3"/>
    <row r="1234" customFormat="1" x14ac:dyDescent="0.3"/>
    <row r="1235" customFormat="1" x14ac:dyDescent="0.3"/>
    <row r="1236" customFormat="1" x14ac:dyDescent="0.3"/>
    <row r="1237" customFormat="1" x14ac:dyDescent="0.3"/>
    <row r="1238" customFormat="1" x14ac:dyDescent="0.3"/>
    <row r="1239" customFormat="1" x14ac:dyDescent="0.3"/>
    <row r="1240" customFormat="1" x14ac:dyDescent="0.3"/>
    <row r="1241" customFormat="1" x14ac:dyDescent="0.3"/>
    <row r="1242" customFormat="1" x14ac:dyDescent="0.3"/>
    <row r="1243" customFormat="1" x14ac:dyDescent="0.3"/>
    <row r="1244" customFormat="1" x14ac:dyDescent="0.3"/>
    <row r="1245" customFormat="1" x14ac:dyDescent="0.3"/>
    <row r="1246" customFormat="1" x14ac:dyDescent="0.3"/>
    <row r="1247" customFormat="1" x14ac:dyDescent="0.3"/>
    <row r="1248" customFormat="1" x14ac:dyDescent="0.3"/>
    <row r="1249" customFormat="1" x14ac:dyDescent="0.3"/>
    <row r="1250" customFormat="1" x14ac:dyDescent="0.3"/>
    <row r="1251" customFormat="1" x14ac:dyDescent="0.3"/>
    <row r="1252" customFormat="1" x14ac:dyDescent="0.3"/>
    <row r="1253" customFormat="1" x14ac:dyDescent="0.3"/>
    <row r="1254" customFormat="1" x14ac:dyDescent="0.3"/>
    <row r="1255" customFormat="1" x14ac:dyDescent="0.3"/>
    <row r="1256" customFormat="1" x14ac:dyDescent="0.3"/>
    <row r="1257" customFormat="1" x14ac:dyDescent="0.3"/>
    <row r="1258" customFormat="1" x14ac:dyDescent="0.3"/>
    <row r="1259" customFormat="1" x14ac:dyDescent="0.3"/>
    <row r="1260" customFormat="1" x14ac:dyDescent="0.3"/>
    <row r="1261" customFormat="1" x14ac:dyDescent="0.3"/>
    <row r="1262" customFormat="1" x14ac:dyDescent="0.3"/>
    <row r="1263" customFormat="1" x14ac:dyDescent="0.3"/>
    <row r="1264" customFormat="1" x14ac:dyDescent="0.3"/>
    <row r="1265" customFormat="1" x14ac:dyDescent="0.3"/>
    <row r="1266" customFormat="1" x14ac:dyDescent="0.3"/>
    <row r="1267" customFormat="1" x14ac:dyDescent="0.3"/>
    <row r="1268" customFormat="1" x14ac:dyDescent="0.3"/>
    <row r="1269" customFormat="1" x14ac:dyDescent="0.3"/>
    <row r="1270" customFormat="1" x14ac:dyDescent="0.3"/>
    <row r="1271" customFormat="1" x14ac:dyDescent="0.3"/>
    <row r="1272" customFormat="1" x14ac:dyDescent="0.3"/>
    <row r="1273" customFormat="1" x14ac:dyDescent="0.3"/>
    <row r="1274" customFormat="1" x14ac:dyDescent="0.3"/>
    <row r="1275" customFormat="1" x14ac:dyDescent="0.3"/>
    <row r="1276" customFormat="1" x14ac:dyDescent="0.3"/>
    <row r="1277" customFormat="1" x14ac:dyDescent="0.3"/>
    <row r="1278" customFormat="1" x14ac:dyDescent="0.3"/>
    <row r="1279" customFormat="1" x14ac:dyDescent="0.3"/>
    <row r="1280" customFormat="1" x14ac:dyDescent="0.3"/>
    <row r="1281" customFormat="1" x14ac:dyDescent="0.3"/>
    <row r="1282" customFormat="1" x14ac:dyDescent="0.3"/>
    <row r="1283" customFormat="1" x14ac:dyDescent="0.3"/>
    <row r="1284" customFormat="1" x14ac:dyDescent="0.3"/>
    <row r="1285" customFormat="1" x14ac:dyDescent="0.3"/>
    <row r="1286" customFormat="1" x14ac:dyDescent="0.3"/>
    <row r="1287" customFormat="1" x14ac:dyDescent="0.3"/>
    <row r="1288" customFormat="1" x14ac:dyDescent="0.3"/>
    <row r="1289" customFormat="1" x14ac:dyDescent="0.3"/>
    <row r="1290" customFormat="1" x14ac:dyDescent="0.3"/>
    <row r="1291" customFormat="1" x14ac:dyDescent="0.3"/>
    <row r="1292" customFormat="1" x14ac:dyDescent="0.3"/>
    <row r="1293" customFormat="1" x14ac:dyDescent="0.3"/>
    <row r="1294" customFormat="1" x14ac:dyDescent="0.3"/>
    <row r="1295" customFormat="1" x14ac:dyDescent="0.3"/>
    <row r="1296" customFormat="1" x14ac:dyDescent="0.3"/>
    <row r="1297" customFormat="1" x14ac:dyDescent="0.3"/>
    <row r="1298" customFormat="1" x14ac:dyDescent="0.3"/>
    <row r="1299" customFormat="1" x14ac:dyDescent="0.3"/>
    <row r="1300" customFormat="1" x14ac:dyDescent="0.3"/>
    <row r="1301" customFormat="1" x14ac:dyDescent="0.3"/>
    <row r="1302" customFormat="1" x14ac:dyDescent="0.3"/>
    <row r="1303" customFormat="1" x14ac:dyDescent="0.3"/>
    <row r="1304" customFormat="1" x14ac:dyDescent="0.3"/>
    <row r="1305" customFormat="1" x14ac:dyDescent="0.3"/>
    <row r="1306" customFormat="1" x14ac:dyDescent="0.3"/>
    <row r="1307" customFormat="1" x14ac:dyDescent="0.3"/>
    <row r="1308" customFormat="1" x14ac:dyDescent="0.3"/>
    <row r="1309" customFormat="1" x14ac:dyDescent="0.3"/>
    <row r="1310" customFormat="1" x14ac:dyDescent="0.3"/>
    <row r="1311" customFormat="1" x14ac:dyDescent="0.3"/>
    <row r="1312" customFormat="1" x14ac:dyDescent="0.3"/>
    <row r="1313" customFormat="1" x14ac:dyDescent="0.3"/>
    <row r="1314" customFormat="1" x14ac:dyDescent="0.3"/>
    <row r="1315" customFormat="1" x14ac:dyDescent="0.3"/>
    <row r="1316" customFormat="1" x14ac:dyDescent="0.3"/>
    <row r="1317" customFormat="1" x14ac:dyDescent="0.3"/>
    <row r="1318" customFormat="1" x14ac:dyDescent="0.3"/>
    <row r="1319" customFormat="1" x14ac:dyDescent="0.3"/>
    <row r="1320" customFormat="1" x14ac:dyDescent="0.3"/>
    <row r="1321" customFormat="1" x14ac:dyDescent="0.3"/>
    <row r="1322" customFormat="1" x14ac:dyDescent="0.3"/>
    <row r="1323" customFormat="1" x14ac:dyDescent="0.3"/>
    <row r="1324" customFormat="1" x14ac:dyDescent="0.3"/>
    <row r="1325" customFormat="1" x14ac:dyDescent="0.3"/>
    <row r="1326" customFormat="1" x14ac:dyDescent="0.3"/>
    <row r="1327" customFormat="1" x14ac:dyDescent="0.3"/>
    <row r="1328" customFormat="1" x14ac:dyDescent="0.3"/>
    <row r="1329" customFormat="1" x14ac:dyDescent="0.3"/>
    <row r="1330" customFormat="1" x14ac:dyDescent="0.3"/>
    <row r="1331" customFormat="1" x14ac:dyDescent="0.3"/>
    <row r="1332" customFormat="1" x14ac:dyDescent="0.3"/>
    <row r="1333" customFormat="1" x14ac:dyDescent="0.3"/>
    <row r="1334" customFormat="1" x14ac:dyDescent="0.3"/>
    <row r="1335" customFormat="1" x14ac:dyDescent="0.3"/>
    <row r="1336" customFormat="1" x14ac:dyDescent="0.3"/>
    <row r="1337" customFormat="1" x14ac:dyDescent="0.3"/>
    <row r="1338" customFormat="1" x14ac:dyDescent="0.3"/>
    <row r="1339" customFormat="1" x14ac:dyDescent="0.3"/>
    <row r="1340" customFormat="1" x14ac:dyDescent="0.3"/>
    <row r="1341" customFormat="1" x14ac:dyDescent="0.3"/>
    <row r="1342" customFormat="1" x14ac:dyDescent="0.3"/>
    <row r="1343" customFormat="1" x14ac:dyDescent="0.3"/>
    <row r="1344" customFormat="1" x14ac:dyDescent="0.3"/>
    <row r="1345" customFormat="1" x14ac:dyDescent="0.3"/>
    <row r="1346" customFormat="1" x14ac:dyDescent="0.3"/>
    <row r="1347" customFormat="1" x14ac:dyDescent="0.3"/>
    <row r="1348" customFormat="1" x14ac:dyDescent="0.3"/>
    <row r="1349" customFormat="1" x14ac:dyDescent="0.3"/>
    <row r="1350" customFormat="1" x14ac:dyDescent="0.3"/>
    <row r="1351" customFormat="1" x14ac:dyDescent="0.3"/>
    <row r="1352" customFormat="1" x14ac:dyDescent="0.3"/>
    <row r="1353" customFormat="1" x14ac:dyDescent="0.3"/>
    <row r="1354" customFormat="1" x14ac:dyDescent="0.3"/>
    <row r="1355" customFormat="1" x14ac:dyDescent="0.3"/>
    <row r="1356" customFormat="1" x14ac:dyDescent="0.3"/>
    <row r="1357" customFormat="1" x14ac:dyDescent="0.3"/>
    <row r="1358" customFormat="1" x14ac:dyDescent="0.3"/>
    <row r="1359" customFormat="1" x14ac:dyDescent="0.3"/>
    <row r="1360" customFormat="1" x14ac:dyDescent="0.3"/>
    <row r="1361" customFormat="1" x14ac:dyDescent="0.3"/>
    <row r="1362" customFormat="1" x14ac:dyDescent="0.3"/>
    <row r="1363" customFormat="1" x14ac:dyDescent="0.3"/>
    <row r="1364" customFormat="1" x14ac:dyDescent="0.3"/>
    <row r="1365" customFormat="1" x14ac:dyDescent="0.3"/>
    <row r="1366" customFormat="1" x14ac:dyDescent="0.3"/>
    <row r="1367" customFormat="1" x14ac:dyDescent="0.3"/>
    <row r="1368" customFormat="1" x14ac:dyDescent="0.3"/>
    <row r="1369" customFormat="1" x14ac:dyDescent="0.3"/>
    <row r="1370" customFormat="1" x14ac:dyDescent="0.3"/>
    <row r="1371" customFormat="1" x14ac:dyDescent="0.3"/>
    <row r="1372" customFormat="1" x14ac:dyDescent="0.3"/>
    <row r="1373" customFormat="1" x14ac:dyDescent="0.3"/>
    <row r="1374" customFormat="1" x14ac:dyDescent="0.3"/>
    <row r="1375" customFormat="1" x14ac:dyDescent="0.3"/>
    <row r="1376" customFormat="1" x14ac:dyDescent="0.3"/>
    <row r="1377" customFormat="1" x14ac:dyDescent="0.3"/>
    <row r="1378" customFormat="1" x14ac:dyDescent="0.3"/>
    <row r="1379" customFormat="1" x14ac:dyDescent="0.3"/>
    <row r="1380" customFormat="1" x14ac:dyDescent="0.3"/>
    <row r="1381" customFormat="1" x14ac:dyDescent="0.3"/>
    <row r="1382" customFormat="1" x14ac:dyDescent="0.3"/>
    <row r="1383" customFormat="1" x14ac:dyDescent="0.3"/>
    <row r="1384" customFormat="1" x14ac:dyDescent="0.3"/>
    <row r="1385" customFormat="1" x14ac:dyDescent="0.3"/>
    <row r="1386" customFormat="1" x14ac:dyDescent="0.3"/>
    <row r="1387" customFormat="1" x14ac:dyDescent="0.3"/>
    <row r="1388" customFormat="1" x14ac:dyDescent="0.3"/>
    <row r="1389" customFormat="1" x14ac:dyDescent="0.3"/>
    <row r="1390" customFormat="1" x14ac:dyDescent="0.3"/>
    <row r="1391" customFormat="1" x14ac:dyDescent="0.3"/>
    <row r="1392" customFormat="1" x14ac:dyDescent="0.3"/>
    <row r="1393" customFormat="1" x14ac:dyDescent="0.3"/>
    <row r="1394" customFormat="1" x14ac:dyDescent="0.3"/>
    <row r="1395" customFormat="1" x14ac:dyDescent="0.3"/>
    <row r="1396" customFormat="1" x14ac:dyDescent="0.3"/>
    <row r="1397" customFormat="1" x14ac:dyDescent="0.3"/>
    <row r="1398" customFormat="1" x14ac:dyDescent="0.3"/>
    <row r="1399" customFormat="1" x14ac:dyDescent="0.3"/>
    <row r="1400" customFormat="1" x14ac:dyDescent="0.3"/>
    <row r="1401" customFormat="1" x14ac:dyDescent="0.3"/>
    <row r="1402" customFormat="1" x14ac:dyDescent="0.3"/>
    <row r="1403" customFormat="1" x14ac:dyDescent="0.3"/>
    <row r="1404" customFormat="1" x14ac:dyDescent="0.3"/>
    <row r="1405" customFormat="1" x14ac:dyDescent="0.3"/>
    <row r="1406" customFormat="1" x14ac:dyDescent="0.3"/>
    <row r="1407" customFormat="1" x14ac:dyDescent="0.3"/>
    <row r="1408" customFormat="1" x14ac:dyDescent="0.3"/>
    <row r="1409" customFormat="1" x14ac:dyDescent="0.3"/>
    <row r="1410" customFormat="1" x14ac:dyDescent="0.3"/>
    <row r="1411" customFormat="1" x14ac:dyDescent="0.3"/>
    <row r="1412" customFormat="1" x14ac:dyDescent="0.3"/>
    <row r="1413" customFormat="1" x14ac:dyDescent="0.3"/>
    <row r="1414" customFormat="1" x14ac:dyDescent="0.3"/>
    <row r="1415" customFormat="1" x14ac:dyDescent="0.3"/>
    <row r="1416" customFormat="1" x14ac:dyDescent="0.3"/>
    <row r="1417" customFormat="1" x14ac:dyDescent="0.3"/>
    <row r="1418" customFormat="1" x14ac:dyDescent="0.3"/>
    <row r="1419" customFormat="1" x14ac:dyDescent="0.3"/>
    <row r="1420" customFormat="1" x14ac:dyDescent="0.3"/>
    <row r="1421" customFormat="1" x14ac:dyDescent="0.3"/>
    <row r="1422" customFormat="1" x14ac:dyDescent="0.3"/>
    <row r="1423" customFormat="1" x14ac:dyDescent="0.3"/>
    <row r="1424" customFormat="1" x14ac:dyDescent="0.3"/>
    <row r="1425" customFormat="1" x14ac:dyDescent="0.3"/>
    <row r="1426" customFormat="1" x14ac:dyDescent="0.3"/>
    <row r="1427" customFormat="1" x14ac:dyDescent="0.3"/>
    <row r="1428" customFormat="1" x14ac:dyDescent="0.3"/>
    <row r="1429" customFormat="1" x14ac:dyDescent="0.3"/>
    <row r="1430" customFormat="1" x14ac:dyDescent="0.3"/>
    <row r="1431" customFormat="1" x14ac:dyDescent="0.3"/>
    <row r="1432" customFormat="1" x14ac:dyDescent="0.3"/>
    <row r="1433" customFormat="1" x14ac:dyDescent="0.3"/>
    <row r="1434" customFormat="1" x14ac:dyDescent="0.3"/>
    <row r="1435" customFormat="1" x14ac:dyDescent="0.3"/>
    <row r="1436" customFormat="1" x14ac:dyDescent="0.3"/>
    <row r="1437" customFormat="1" x14ac:dyDescent="0.3"/>
    <row r="1438" customFormat="1" x14ac:dyDescent="0.3"/>
    <row r="1439" customFormat="1" x14ac:dyDescent="0.3"/>
    <row r="1440" customFormat="1" x14ac:dyDescent="0.3"/>
    <row r="1441" customFormat="1" x14ac:dyDescent="0.3"/>
    <row r="1442" customFormat="1" x14ac:dyDescent="0.3"/>
    <row r="1443" customFormat="1" x14ac:dyDescent="0.3"/>
    <row r="1444" customFormat="1" x14ac:dyDescent="0.3"/>
    <row r="1445" customFormat="1" x14ac:dyDescent="0.3"/>
    <row r="1446" customFormat="1" x14ac:dyDescent="0.3"/>
    <row r="1447" customFormat="1" x14ac:dyDescent="0.3"/>
    <row r="1448" customFormat="1" x14ac:dyDescent="0.3"/>
    <row r="1449" customFormat="1" x14ac:dyDescent="0.3"/>
    <row r="1450" customFormat="1" x14ac:dyDescent="0.3"/>
    <row r="1451" customFormat="1" x14ac:dyDescent="0.3"/>
    <row r="1452" customFormat="1" x14ac:dyDescent="0.3"/>
    <row r="1453" customFormat="1" x14ac:dyDescent="0.3"/>
    <row r="1454" customFormat="1" x14ac:dyDescent="0.3"/>
    <row r="1455" customFormat="1" x14ac:dyDescent="0.3"/>
    <row r="1456" customFormat="1" x14ac:dyDescent="0.3"/>
    <row r="1457" customFormat="1" x14ac:dyDescent="0.3"/>
    <row r="1458" customFormat="1" x14ac:dyDescent="0.3"/>
    <row r="1459" customFormat="1" x14ac:dyDescent="0.3"/>
    <row r="1460" customFormat="1" x14ac:dyDescent="0.3"/>
    <row r="1461" customFormat="1" x14ac:dyDescent="0.3"/>
    <row r="1462" customFormat="1" x14ac:dyDescent="0.3"/>
    <row r="1463" customFormat="1" x14ac:dyDescent="0.3"/>
    <row r="1464" customFormat="1" x14ac:dyDescent="0.3"/>
    <row r="1465" customFormat="1" x14ac:dyDescent="0.3"/>
    <row r="1466" customFormat="1" x14ac:dyDescent="0.3"/>
    <row r="1467" customFormat="1" x14ac:dyDescent="0.3"/>
    <row r="1468" customFormat="1" x14ac:dyDescent="0.3"/>
    <row r="1469" customFormat="1" x14ac:dyDescent="0.3"/>
    <row r="1470" customFormat="1" x14ac:dyDescent="0.3"/>
    <row r="1471" customFormat="1" x14ac:dyDescent="0.3"/>
    <row r="1472" customFormat="1" x14ac:dyDescent="0.3"/>
    <row r="1473" customFormat="1" x14ac:dyDescent="0.3"/>
    <row r="1474" customFormat="1" x14ac:dyDescent="0.3"/>
    <row r="1475" customFormat="1" x14ac:dyDescent="0.3"/>
    <row r="1476" customFormat="1" x14ac:dyDescent="0.3"/>
    <row r="1477" customFormat="1" x14ac:dyDescent="0.3"/>
    <row r="1478" customFormat="1" x14ac:dyDescent="0.3"/>
    <row r="1479" customFormat="1" x14ac:dyDescent="0.3"/>
    <row r="1480" customFormat="1" x14ac:dyDescent="0.3"/>
    <row r="1481" customFormat="1" x14ac:dyDescent="0.3"/>
    <row r="1482" customFormat="1" x14ac:dyDescent="0.3"/>
    <row r="1483" customFormat="1" x14ac:dyDescent="0.3"/>
    <row r="1484" customFormat="1" x14ac:dyDescent="0.3"/>
    <row r="1485" customFormat="1" x14ac:dyDescent="0.3"/>
    <row r="1486" customFormat="1" x14ac:dyDescent="0.3"/>
    <row r="1487" customFormat="1" x14ac:dyDescent="0.3"/>
    <row r="1488" customFormat="1" x14ac:dyDescent="0.3"/>
    <row r="1489" customFormat="1" x14ac:dyDescent="0.3"/>
    <row r="1490" customFormat="1" x14ac:dyDescent="0.3"/>
    <row r="1491" customFormat="1" x14ac:dyDescent="0.3"/>
    <row r="1492" customFormat="1" x14ac:dyDescent="0.3"/>
    <row r="1493" customFormat="1" x14ac:dyDescent="0.3"/>
    <row r="1494" customFormat="1" x14ac:dyDescent="0.3"/>
    <row r="1495" customFormat="1" x14ac:dyDescent="0.3"/>
    <row r="1496" customFormat="1" x14ac:dyDescent="0.3"/>
    <row r="1497" customFormat="1" x14ac:dyDescent="0.3"/>
    <row r="1498" customFormat="1" x14ac:dyDescent="0.3"/>
    <row r="1499" customFormat="1" x14ac:dyDescent="0.3"/>
    <row r="1500" customFormat="1" x14ac:dyDescent="0.3"/>
    <row r="1501" customFormat="1" x14ac:dyDescent="0.3"/>
    <row r="1502" customFormat="1" x14ac:dyDescent="0.3"/>
    <row r="1503" customFormat="1" x14ac:dyDescent="0.3"/>
    <row r="1504" customFormat="1" x14ac:dyDescent="0.3"/>
    <row r="1505" customFormat="1" x14ac:dyDescent="0.3"/>
    <row r="1506" customFormat="1" x14ac:dyDescent="0.3"/>
    <row r="1507" customFormat="1" x14ac:dyDescent="0.3"/>
    <row r="1508" customFormat="1" x14ac:dyDescent="0.3"/>
    <row r="1509" customFormat="1" x14ac:dyDescent="0.3"/>
    <row r="1510" customFormat="1" x14ac:dyDescent="0.3"/>
    <row r="1511" customFormat="1" x14ac:dyDescent="0.3"/>
    <row r="1512" customFormat="1" x14ac:dyDescent="0.3"/>
    <row r="1513" customFormat="1" x14ac:dyDescent="0.3"/>
    <row r="1514" customFormat="1" x14ac:dyDescent="0.3"/>
    <row r="1515" customFormat="1" x14ac:dyDescent="0.3"/>
    <row r="1516" customFormat="1" x14ac:dyDescent="0.3"/>
    <row r="1517" customFormat="1" x14ac:dyDescent="0.3"/>
    <row r="1518" customFormat="1" x14ac:dyDescent="0.3"/>
    <row r="1519" customFormat="1" x14ac:dyDescent="0.3"/>
    <row r="1520" customFormat="1" x14ac:dyDescent="0.3"/>
    <row r="1521" customFormat="1" x14ac:dyDescent="0.3"/>
    <row r="1522" customFormat="1" x14ac:dyDescent="0.3"/>
    <row r="1523" customFormat="1" x14ac:dyDescent="0.3"/>
    <row r="1524" customFormat="1" x14ac:dyDescent="0.3"/>
    <row r="1525" customFormat="1" x14ac:dyDescent="0.3"/>
    <row r="1526" customFormat="1" x14ac:dyDescent="0.3"/>
    <row r="1527" customFormat="1" x14ac:dyDescent="0.3"/>
    <row r="1528" customFormat="1" x14ac:dyDescent="0.3"/>
    <row r="1529" customFormat="1" x14ac:dyDescent="0.3"/>
    <row r="1530" customFormat="1" x14ac:dyDescent="0.3"/>
    <row r="1531" customFormat="1" x14ac:dyDescent="0.3"/>
    <row r="1532" customFormat="1" x14ac:dyDescent="0.3"/>
    <row r="1533" customFormat="1" x14ac:dyDescent="0.3"/>
    <row r="1534" customFormat="1" x14ac:dyDescent="0.3"/>
    <row r="1535" customFormat="1" x14ac:dyDescent="0.3"/>
    <row r="1536" customFormat="1" x14ac:dyDescent="0.3"/>
    <row r="1537" customFormat="1" x14ac:dyDescent="0.3"/>
    <row r="1538" customFormat="1" x14ac:dyDescent="0.3"/>
    <row r="1539" customFormat="1" x14ac:dyDescent="0.3"/>
    <row r="1540" customFormat="1" x14ac:dyDescent="0.3"/>
    <row r="1541" customFormat="1" x14ac:dyDescent="0.3"/>
    <row r="1542" customFormat="1" x14ac:dyDescent="0.3"/>
    <row r="1543" customFormat="1" x14ac:dyDescent="0.3"/>
    <row r="1544" customFormat="1" x14ac:dyDescent="0.3"/>
    <row r="1545" customFormat="1" x14ac:dyDescent="0.3"/>
    <row r="1546" customFormat="1" x14ac:dyDescent="0.3"/>
    <row r="1547" customFormat="1" x14ac:dyDescent="0.3"/>
    <row r="1548" customFormat="1" x14ac:dyDescent="0.3"/>
    <row r="1549" customFormat="1" x14ac:dyDescent="0.3"/>
    <row r="1550" customFormat="1" x14ac:dyDescent="0.3"/>
    <row r="1551" customFormat="1" x14ac:dyDescent="0.3"/>
    <row r="1552" customFormat="1" x14ac:dyDescent="0.3"/>
    <row r="1553" customFormat="1" x14ac:dyDescent="0.3"/>
    <row r="1554" customFormat="1" x14ac:dyDescent="0.3"/>
    <row r="1555" customFormat="1" x14ac:dyDescent="0.3"/>
    <row r="1556" customFormat="1" x14ac:dyDescent="0.3"/>
    <row r="1557" customFormat="1" x14ac:dyDescent="0.3"/>
    <row r="1558" customFormat="1" x14ac:dyDescent="0.3"/>
    <row r="1559" customFormat="1" x14ac:dyDescent="0.3"/>
    <row r="1560" customFormat="1" x14ac:dyDescent="0.3"/>
    <row r="1561" customFormat="1" x14ac:dyDescent="0.3"/>
    <row r="1562" customFormat="1" x14ac:dyDescent="0.3"/>
    <row r="1563" customFormat="1" x14ac:dyDescent="0.3"/>
    <row r="1564" customFormat="1" x14ac:dyDescent="0.3"/>
    <row r="1565" customFormat="1" x14ac:dyDescent="0.3"/>
    <row r="1566" customFormat="1" x14ac:dyDescent="0.3"/>
    <row r="1567" customFormat="1" x14ac:dyDescent="0.3"/>
    <row r="1568" customFormat="1" x14ac:dyDescent="0.3"/>
    <row r="1569" customFormat="1" x14ac:dyDescent="0.3"/>
    <row r="1570" customFormat="1" x14ac:dyDescent="0.3"/>
    <row r="1571" customFormat="1" x14ac:dyDescent="0.3"/>
    <row r="1572" customFormat="1" x14ac:dyDescent="0.3"/>
    <row r="1573" customFormat="1" x14ac:dyDescent="0.3"/>
    <row r="1574" customFormat="1" x14ac:dyDescent="0.3"/>
    <row r="1575" customFormat="1" x14ac:dyDescent="0.3"/>
    <row r="1576" customFormat="1" x14ac:dyDescent="0.3"/>
    <row r="1577" customFormat="1" x14ac:dyDescent="0.3"/>
    <row r="1578" customFormat="1" x14ac:dyDescent="0.3"/>
    <row r="1579" customFormat="1" x14ac:dyDescent="0.3"/>
    <row r="1580" customFormat="1" x14ac:dyDescent="0.3"/>
    <row r="1581" customFormat="1" x14ac:dyDescent="0.3"/>
    <row r="1582" customFormat="1" x14ac:dyDescent="0.3"/>
    <row r="1583" customFormat="1" x14ac:dyDescent="0.3"/>
    <row r="1584" customFormat="1" x14ac:dyDescent="0.3"/>
    <row r="1585" customFormat="1" x14ac:dyDescent="0.3"/>
    <row r="1586" customFormat="1" x14ac:dyDescent="0.3"/>
    <row r="1587" customFormat="1" x14ac:dyDescent="0.3"/>
    <row r="1588" customFormat="1" x14ac:dyDescent="0.3"/>
    <row r="1589" customFormat="1" x14ac:dyDescent="0.3"/>
    <row r="1590" customFormat="1" x14ac:dyDescent="0.3"/>
    <row r="1591" customFormat="1" x14ac:dyDescent="0.3"/>
    <row r="1592" customFormat="1" x14ac:dyDescent="0.3"/>
    <row r="1593" customFormat="1" x14ac:dyDescent="0.3"/>
    <row r="1594" customFormat="1" x14ac:dyDescent="0.3"/>
    <row r="1595" customFormat="1" x14ac:dyDescent="0.3"/>
    <row r="1596" customFormat="1" x14ac:dyDescent="0.3"/>
    <row r="1597" customFormat="1" x14ac:dyDescent="0.3"/>
    <row r="1598" customFormat="1" x14ac:dyDescent="0.3"/>
    <row r="1599" customFormat="1" x14ac:dyDescent="0.3"/>
    <row r="1600" customFormat="1" x14ac:dyDescent="0.3"/>
    <row r="1601" customFormat="1" x14ac:dyDescent="0.3"/>
    <row r="1602" customFormat="1" x14ac:dyDescent="0.3"/>
    <row r="1603" customFormat="1" x14ac:dyDescent="0.3"/>
    <row r="1604" customFormat="1" x14ac:dyDescent="0.3"/>
    <row r="1605" customFormat="1" x14ac:dyDescent="0.3"/>
    <row r="1606" customFormat="1" x14ac:dyDescent="0.3"/>
    <row r="1607" customFormat="1" x14ac:dyDescent="0.3"/>
    <row r="1608" customFormat="1" x14ac:dyDescent="0.3"/>
    <row r="1609" customFormat="1" x14ac:dyDescent="0.3"/>
    <row r="1610" customFormat="1" x14ac:dyDescent="0.3"/>
    <row r="1611" customFormat="1" x14ac:dyDescent="0.3"/>
    <row r="1612" customFormat="1" x14ac:dyDescent="0.3"/>
    <row r="1613" customFormat="1" x14ac:dyDescent="0.3"/>
    <row r="1614" customFormat="1" x14ac:dyDescent="0.3"/>
    <row r="1615" customFormat="1" x14ac:dyDescent="0.3"/>
    <row r="1616" customFormat="1" x14ac:dyDescent="0.3"/>
    <row r="1617" customFormat="1" x14ac:dyDescent="0.3"/>
    <row r="1618" customFormat="1" x14ac:dyDescent="0.3"/>
    <row r="1619" customFormat="1" x14ac:dyDescent="0.3"/>
    <row r="1620" customFormat="1" x14ac:dyDescent="0.3"/>
    <row r="1621" customFormat="1" x14ac:dyDescent="0.3"/>
    <row r="1622" customFormat="1" x14ac:dyDescent="0.3"/>
    <row r="1623" customFormat="1" x14ac:dyDescent="0.3"/>
    <row r="1624" customFormat="1" x14ac:dyDescent="0.3"/>
    <row r="1625" customFormat="1" x14ac:dyDescent="0.3"/>
    <row r="1626" customFormat="1" x14ac:dyDescent="0.3"/>
    <row r="1627" customFormat="1" x14ac:dyDescent="0.3"/>
    <row r="1628" customFormat="1" x14ac:dyDescent="0.3"/>
    <row r="1629" customFormat="1" x14ac:dyDescent="0.3"/>
    <row r="1630" customFormat="1" x14ac:dyDescent="0.3"/>
    <row r="1631" customFormat="1" x14ac:dyDescent="0.3"/>
    <row r="1632" customFormat="1" x14ac:dyDescent="0.3"/>
    <row r="1633" customFormat="1" x14ac:dyDescent="0.3"/>
    <row r="1634" customFormat="1" x14ac:dyDescent="0.3"/>
    <row r="1635" customFormat="1" x14ac:dyDescent="0.3"/>
    <row r="1636" customFormat="1" x14ac:dyDescent="0.3"/>
    <row r="1637" customFormat="1" x14ac:dyDescent="0.3"/>
    <row r="1638" customFormat="1" x14ac:dyDescent="0.3"/>
    <row r="1639" customFormat="1" x14ac:dyDescent="0.3"/>
    <row r="1640" customFormat="1" x14ac:dyDescent="0.3"/>
    <row r="1641" customFormat="1" x14ac:dyDescent="0.3"/>
    <row r="1642" customFormat="1" x14ac:dyDescent="0.3"/>
    <row r="1643" customFormat="1" x14ac:dyDescent="0.3"/>
    <row r="1644" customFormat="1" x14ac:dyDescent="0.3"/>
    <row r="1645" customFormat="1" x14ac:dyDescent="0.3"/>
    <row r="1646" customFormat="1" x14ac:dyDescent="0.3"/>
    <row r="1647" customFormat="1" x14ac:dyDescent="0.3"/>
    <row r="1648" customFormat="1" x14ac:dyDescent="0.3"/>
    <row r="1649" customFormat="1" x14ac:dyDescent="0.3"/>
    <row r="1650" customFormat="1" x14ac:dyDescent="0.3"/>
    <row r="1651" customFormat="1" x14ac:dyDescent="0.3"/>
    <row r="1652" customFormat="1" x14ac:dyDescent="0.3"/>
    <row r="1653" customFormat="1" x14ac:dyDescent="0.3"/>
    <row r="1654" customFormat="1" x14ac:dyDescent="0.3"/>
    <row r="1655" customFormat="1" x14ac:dyDescent="0.3"/>
    <row r="1656" customFormat="1" x14ac:dyDescent="0.3"/>
    <row r="1657" customFormat="1" x14ac:dyDescent="0.3"/>
    <row r="1658" customFormat="1" x14ac:dyDescent="0.3"/>
    <row r="1659" customFormat="1" x14ac:dyDescent="0.3"/>
    <row r="1660" customFormat="1" x14ac:dyDescent="0.3"/>
    <row r="1661" customFormat="1" x14ac:dyDescent="0.3"/>
    <row r="1662" customFormat="1" x14ac:dyDescent="0.3"/>
    <row r="1663" customFormat="1" x14ac:dyDescent="0.3"/>
    <row r="1664" customFormat="1" x14ac:dyDescent="0.3"/>
    <row r="1665" customFormat="1" x14ac:dyDescent="0.3"/>
    <row r="1666" customFormat="1" x14ac:dyDescent="0.3"/>
    <row r="1667" customFormat="1" x14ac:dyDescent="0.3"/>
    <row r="1668" customFormat="1" x14ac:dyDescent="0.3"/>
    <row r="1669" customFormat="1" x14ac:dyDescent="0.3"/>
    <row r="1670" customFormat="1" x14ac:dyDescent="0.3"/>
    <row r="1671" customFormat="1" x14ac:dyDescent="0.3"/>
    <row r="1672" customFormat="1" x14ac:dyDescent="0.3"/>
    <row r="1673" customFormat="1" x14ac:dyDescent="0.3"/>
    <row r="1674" customFormat="1" x14ac:dyDescent="0.3"/>
    <row r="1675" customFormat="1" x14ac:dyDescent="0.3"/>
    <row r="1676" customFormat="1" x14ac:dyDescent="0.3"/>
    <row r="1677" customFormat="1" x14ac:dyDescent="0.3"/>
    <row r="1678" customFormat="1" x14ac:dyDescent="0.3"/>
    <row r="1679" customFormat="1" x14ac:dyDescent="0.3"/>
    <row r="1680" customFormat="1" x14ac:dyDescent="0.3"/>
    <row r="1681" customFormat="1" x14ac:dyDescent="0.3"/>
    <row r="1682" customFormat="1" x14ac:dyDescent="0.3"/>
    <row r="1683" customFormat="1" x14ac:dyDescent="0.3"/>
    <row r="1684" customFormat="1" x14ac:dyDescent="0.3"/>
    <row r="1685" customFormat="1" x14ac:dyDescent="0.3"/>
    <row r="1686" customFormat="1" x14ac:dyDescent="0.3"/>
    <row r="1687" customFormat="1" x14ac:dyDescent="0.3"/>
    <row r="1688" customFormat="1" x14ac:dyDescent="0.3"/>
    <row r="1689" customFormat="1" x14ac:dyDescent="0.3"/>
    <row r="1690" customFormat="1" x14ac:dyDescent="0.3"/>
    <row r="1691" customFormat="1" x14ac:dyDescent="0.3"/>
    <row r="1692" customFormat="1" x14ac:dyDescent="0.3"/>
    <row r="1693" customFormat="1" x14ac:dyDescent="0.3"/>
    <row r="1694" customFormat="1" x14ac:dyDescent="0.3"/>
    <row r="1695" customFormat="1" x14ac:dyDescent="0.3"/>
    <row r="1696" customFormat="1" x14ac:dyDescent="0.3"/>
    <row r="1697" customFormat="1" x14ac:dyDescent="0.3"/>
    <row r="1698" customFormat="1" x14ac:dyDescent="0.3"/>
    <row r="1699" customFormat="1" x14ac:dyDescent="0.3"/>
    <row r="1700" customFormat="1" x14ac:dyDescent="0.3"/>
    <row r="1701" customFormat="1" x14ac:dyDescent="0.3"/>
    <row r="1702" customFormat="1" x14ac:dyDescent="0.3"/>
    <row r="1703" customFormat="1" x14ac:dyDescent="0.3"/>
    <row r="1704" customFormat="1" x14ac:dyDescent="0.3"/>
    <row r="1705" customFormat="1" x14ac:dyDescent="0.3"/>
    <row r="1706" customFormat="1" x14ac:dyDescent="0.3"/>
    <row r="1707" customFormat="1" x14ac:dyDescent="0.3"/>
    <row r="1708" customFormat="1" x14ac:dyDescent="0.3"/>
    <row r="1709" customFormat="1" x14ac:dyDescent="0.3"/>
    <row r="1710" customFormat="1" x14ac:dyDescent="0.3"/>
    <row r="1711" customFormat="1" x14ac:dyDescent="0.3"/>
    <row r="1712" customFormat="1" x14ac:dyDescent="0.3"/>
    <row r="1713" customFormat="1" x14ac:dyDescent="0.3"/>
    <row r="1714" customFormat="1" x14ac:dyDescent="0.3"/>
    <row r="1715" customFormat="1" x14ac:dyDescent="0.3"/>
    <row r="1716" customFormat="1" x14ac:dyDescent="0.3"/>
    <row r="1717" customFormat="1" x14ac:dyDescent="0.3"/>
    <row r="1718" customFormat="1" x14ac:dyDescent="0.3"/>
    <row r="1719" customFormat="1" x14ac:dyDescent="0.3"/>
    <row r="1720" customFormat="1" x14ac:dyDescent="0.3"/>
    <row r="1721" customFormat="1" x14ac:dyDescent="0.3"/>
    <row r="1722" customFormat="1" x14ac:dyDescent="0.3"/>
    <row r="1723" customFormat="1" x14ac:dyDescent="0.3"/>
    <row r="1724" customFormat="1" x14ac:dyDescent="0.3"/>
    <row r="1725" customFormat="1" x14ac:dyDescent="0.3"/>
    <row r="1726" customFormat="1" x14ac:dyDescent="0.3"/>
    <row r="1727" customFormat="1" x14ac:dyDescent="0.3"/>
    <row r="1728" customFormat="1" x14ac:dyDescent="0.3"/>
    <row r="1729" customFormat="1" x14ac:dyDescent="0.3"/>
    <row r="1730" customFormat="1" x14ac:dyDescent="0.3"/>
    <row r="1731" customFormat="1" x14ac:dyDescent="0.3"/>
    <row r="1732" customFormat="1" x14ac:dyDescent="0.3"/>
    <row r="1733" customFormat="1" x14ac:dyDescent="0.3"/>
    <row r="1734" customFormat="1" x14ac:dyDescent="0.3"/>
    <row r="1735" customFormat="1" x14ac:dyDescent="0.3"/>
    <row r="1736" customFormat="1" x14ac:dyDescent="0.3"/>
    <row r="1737" customFormat="1" x14ac:dyDescent="0.3"/>
    <row r="1738" customFormat="1" x14ac:dyDescent="0.3"/>
    <row r="1739" customFormat="1" x14ac:dyDescent="0.3"/>
    <row r="1740" customFormat="1" x14ac:dyDescent="0.3"/>
    <row r="1741" customFormat="1" x14ac:dyDescent="0.3"/>
    <row r="1742" customFormat="1" x14ac:dyDescent="0.3"/>
    <row r="1743" customFormat="1" x14ac:dyDescent="0.3"/>
    <row r="1744" customFormat="1" x14ac:dyDescent="0.3"/>
    <row r="1745" customFormat="1" x14ac:dyDescent="0.3"/>
    <row r="1746" customFormat="1" x14ac:dyDescent="0.3"/>
    <row r="1747" customFormat="1" x14ac:dyDescent="0.3"/>
    <row r="1748" customFormat="1" x14ac:dyDescent="0.3"/>
    <row r="1749" customFormat="1" x14ac:dyDescent="0.3"/>
    <row r="1750" customFormat="1" x14ac:dyDescent="0.3"/>
    <row r="1751" customFormat="1" x14ac:dyDescent="0.3"/>
    <row r="1752" customFormat="1" x14ac:dyDescent="0.3"/>
    <row r="1753" customFormat="1" x14ac:dyDescent="0.3"/>
    <row r="1754" customFormat="1" x14ac:dyDescent="0.3"/>
    <row r="1755" customFormat="1" x14ac:dyDescent="0.3"/>
    <row r="1756" customFormat="1" x14ac:dyDescent="0.3"/>
    <row r="1757" customFormat="1" x14ac:dyDescent="0.3"/>
    <row r="1758" customFormat="1" x14ac:dyDescent="0.3"/>
    <row r="1759" customFormat="1" x14ac:dyDescent="0.3"/>
    <row r="1760" customFormat="1" x14ac:dyDescent="0.3"/>
    <row r="1761" customFormat="1" x14ac:dyDescent="0.3"/>
    <row r="1762" customFormat="1" x14ac:dyDescent="0.3"/>
    <row r="1763" customFormat="1" x14ac:dyDescent="0.3"/>
    <row r="1764" customFormat="1" x14ac:dyDescent="0.3"/>
    <row r="1765" customFormat="1" x14ac:dyDescent="0.3"/>
    <row r="1766" customFormat="1" x14ac:dyDescent="0.3"/>
    <row r="1767" customFormat="1" x14ac:dyDescent="0.3"/>
    <row r="1768" customFormat="1" x14ac:dyDescent="0.3"/>
    <row r="1769" customFormat="1" x14ac:dyDescent="0.3"/>
    <row r="1770" customFormat="1" x14ac:dyDescent="0.3"/>
    <row r="1771" customFormat="1" x14ac:dyDescent="0.3"/>
    <row r="1772" customFormat="1" x14ac:dyDescent="0.3"/>
    <row r="1773" customFormat="1" x14ac:dyDescent="0.3"/>
    <row r="1774" customFormat="1" x14ac:dyDescent="0.3"/>
    <row r="1775" customFormat="1" x14ac:dyDescent="0.3"/>
    <row r="1776" customFormat="1" x14ac:dyDescent="0.3"/>
    <row r="1777" customFormat="1" x14ac:dyDescent="0.3"/>
    <row r="1778" customFormat="1" x14ac:dyDescent="0.3"/>
    <row r="1779" customFormat="1" x14ac:dyDescent="0.3"/>
    <row r="1780" customFormat="1" x14ac:dyDescent="0.3"/>
    <row r="1781" customFormat="1" x14ac:dyDescent="0.3"/>
    <row r="1782" customFormat="1" x14ac:dyDescent="0.3"/>
    <row r="1783" customFormat="1" x14ac:dyDescent="0.3"/>
    <row r="1784" customFormat="1" x14ac:dyDescent="0.3"/>
    <row r="1785" customFormat="1" x14ac:dyDescent="0.3"/>
    <row r="1786" customFormat="1" x14ac:dyDescent="0.3"/>
    <row r="1787" customFormat="1" x14ac:dyDescent="0.3"/>
    <row r="1788" customFormat="1" x14ac:dyDescent="0.3"/>
    <row r="1789" customFormat="1" x14ac:dyDescent="0.3"/>
    <row r="1790" customFormat="1" x14ac:dyDescent="0.3"/>
    <row r="1791" customFormat="1" x14ac:dyDescent="0.3"/>
    <row r="1792" customFormat="1" x14ac:dyDescent="0.3"/>
    <row r="1793" customFormat="1" x14ac:dyDescent="0.3"/>
    <row r="1794" customFormat="1" x14ac:dyDescent="0.3"/>
    <row r="1795" customFormat="1" x14ac:dyDescent="0.3"/>
    <row r="1796" customFormat="1" x14ac:dyDescent="0.3"/>
    <row r="1797" customFormat="1" x14ac:dyDescent="0.3"/>
    <row r="1798" customFormat="1" x14ac:dyDescent="0.3"/>
    <row r="1799" customFormat="1" x14ac:dyDescent="0.3"/>
    <row r="1800" customFormat="1" x14ac:dyDescent="0.3"/>
    <row r="1801" customFormat="1" x14ac:dyDescent="0.3"/>
    <row r="1802" customFormat="1" x14ac:dyDescent="0.3"/>
    <row r="1803" customFormat="1" x14ac:dyDescent="0.3"/>
    <row r="1804" customFormat="1" x14ac:dyDescent="0.3"/>
    <row r="1805" customFormat="1" x14ac:dyDescent="0.3"/>
    <row r="1806" customFormat="1" x14ac:dyDescent="0.3"/>
    <row r="1807" customFormat="1" x14ac:dyDescent="0.3"/>
    <row r="1808" customFormat="1" x14ac:dyDescent="0.3"/>
    <row r="1809" customFormat="1" x14ac:dyDescent="0.3"/>
    <row r="1810" customFormat="1" x14ac:dyDescent="0.3"/>
    <row r="1811" customFormat="1" x14ac:dyDescent="0.3"/>
    <row r="1812" customFormat="1" x14ac:dyDescent="0.3"/>
    <row r="1813" customFormat="1" x14ac:dyDescent="0.3"/>
    <row r="1814" customFormat="1" x14ac:dyDescent="0.3"/>
    <row r="1815" customFormat="1" x14ac:dyDescent="0.3"/>
    <row r="1816" customFormat="1" x14ac:dyDescent="0.3"/>
    <row r="1817" customFormat="1" x14ac:dyDescent="0.3"/>
    <row r="1818" customFormat="1" x14ac:dyDescent="0.3"/>
    <row r="1819" customFormat="1" x14ac:dyDescent="0.3"/>
    <row r="1820" customFormat="1" x14ac:dyDescent="0.3"/>
    <row r="1821" customFormat="1" x14ac:dyDescent="0.3"/>
    <row r="1822" customFormat="1" x14ac:dyDescent="0.3"/>
    <row r="1823" customFormat="1" x14ac:dyDescent="0.3"/>
    <row r="1824" customFormat="1" x14ac:dyDescent="0.3"/>
    <row r="1825" customFormat="1" x14ac:dyDescent="0.3"/>
    <row r="1826" customFormat="1" x14ac:dyDescent="0.3"/>
    <row r="1827" customFormat="1" x14ac:dyDescent="0.3"/>
    <row r="1828" customFormat="1" x14ac:dyDescent="0.3"/>
    <row r="1829" customFormat="1" x14ac:dyDescent="0.3"/>
    <row r="1830" customFormat="1" x14ac:dyDescent="0.3"/>
    <row r="1831" customFormat="1" x14ac:dyDescent="0.3"/>
    <row r="1832" customFormat="1" x14ac:dyDescent="0.3"/>
    <row r="1833" customFormat="1" x14ac:dyDescent="0.3"/>
    <row r="1834" customFormat="1" x14ac:dyDescent="0.3"/>
    <row r="1835" customFormat="1" x14ac:dyDescent="0.3"/>
    <row r="1836" customFormat="1" x14ac:dyDescent="0.3"/>
    <row r="1837" customFormat="1" x14ac:dyDescent="0.3"/>
    <row r="1838" customFormat="1" x14ac:dyDescent="0.3"/>
    <row r="1839" customFormat="1" x14ac:dyDescent="0.3"/>
    <row r="1840" customFormat="1" x14ac:dyDescent="0.3"/>
    <row r="1841" customFormat="1" x14ac:dyDescent="0.3"/>
    <row r="1842" customFormat="1" x14ac:dyDescent="0.3"/>
    <row r="1843" customFormat="1" x14ac:dyDescent="0.3"/>
    <row r="1844" customFormat="1" x14ac:dyDescent="0.3"/>
    <row r="1845" customFormat="1" x14ac:dyDescent="0.3"/>
    <row r="1846" customFormat="1" x14ac:dyDescent="0.3"/>
    <row r="1847" customFormat="1" x14ac:dyDescent="0.3"/>
    <row r="1848" customFormat="1" x14ac:dyDescent="0.3"/>
    <row r="1849" customFormat="1" x14ac:dyDescent="0.3"/>
    <row r="1850" customFormat="1" x14ac:dyDescent="0.3"/>
    <row r="1851" customFormat="1" x14ac:dyDescent="0.3"/>
    <row r="1852" customFormat="1" x14ac:dyDescent="0.3"/>
    <row r="1853" customFormat="1" x14ac:dyDescent="0.3"/>
    <row r="1854" customFormat="1" x14ac:dyDescent="0.3"/>
    <row r="1855" customFormat="1" x14ac:dyDescent="0.3"/>
    <row r="1856" customFormat="1" x14ac:dyDescent="0.3"/>
    <row r="1857" customFormat="1" x14ac:dyDescent="0.3"/>
    <row r="1858" customFormat="1" x14ac:dyDescent="0.3"/>
    <row r="1859" customFormat="1" x14ac:dyDescent="0.3"/>
    <row r="1860" customFormat="1" x14ac:dyDescent="0.3"/>
    <row r="1861" customFormat="1" x14ac:dyDescent="0.3"/>
    <row r="1862" customFormat="1" x14ac:dyDescent="0.3"/>
    <row r="1863" customFormat="1" x14ac:dyDescent="0.3"/>
    <row r="1864" customFormat="1" x14ac:dyDescent="0.3"/>
    <row r="1865" customFormat="1" x14ac:dyDescent="0.3"/>
    <row r="1866" customFormat="1" x14ac:dyDescent="0.3"/>
    <row r="1867" customFormat="1" x14ac:dyDescent="0.3"/>
    <row r="1868" customFormat="1" x14ac:dyDescent="0.3"/>
    <row r="1869" customFormat="1" x14ac:dyDescent="0.3"/>
    <row r="1870" customFormat="1" x14ac:dyDescent="0.3"/>
    <row r="1871" customFormat="1" x14ac:dyDescent="0.3"/>
    <row r="1872" customFormat="1" x14ac:dyDescent="0.3"/>
    <row r="1873" customFormat="1" x14ac:dyDescent="0.3"/>
    <row r="1874" customFormat="1" x14ac:dyDescent="0.3"/>
    <row r="1875" customFormat="1" x14ac:dyDescent="0.3"/>
    <row r="1876" customFormat="1" x14ac:dyDescent="0.3"/>
    <row r="1877" customFormat="1" x14ac:dyDescent="0.3"/>
    <row r="1878" customFormat="1" x14ac:dyDescent="0.3"/>
    <row r="1879" customFormat="1" x14ac:dyDescent="0.3"/>
    <row r="1880" customFormat="1" x14ac:dyDescent="0.3"/>
    <row r="1881" customFormat="1" x14ac:dyDescent="0.3"/>
    <row r="1882" customFormat="1" x14ac:dyDescent="0.3"/>
    <row r="1883" customFormat="1" x14ac:dyDescent="0.3"/>
    <row r="1884" customFormat="1" x14ac:dyDescent="0.3"/>
    <row r="1885" customFormat="1" x14ac:dyDescent="0.3"/>
    <row r="1886" customFormat="1" x14ac:dyDescent="0.3"/>
    <row r="1887" customFormat="1" x14ac:dyDescent="0.3"/>
    <row r="1888" customFormat="1" x14ac:dyDescent="0.3"/>
    <row r="1889" customFormat="1" x14ac:dyDescent="0.3"/>
    <row r="1890" customFormat="1" x14ac:dyDescent="0.3"/>
    <row r="1891" customFormat="1" x14ac:dyDescent="0.3"/>
    <row r="1892" customFormat="1" x14ac:dyDescent="0.3"/>
    <row r="1893" customFormat="1" x14ac:dyDescent="0.3"/>
    <row r="1894" customFormat="1" x14ac:dyDescent="0.3"/>
    <row r="1895" customFormat="1" x14ac:dyDescent="0.3"/>
    <row r="1896" customFormat="1" x14ac:dyDescent="0.3"/>
    <row r="1897" customFormat="1" x14ac:dyDescent="0.3"/>
    <row r="1898" customFormat="1" x14ac:dyDescent="0.3"/>
    <row r="1899" customFormat="1" x14ac:dyDescent="0.3"/>
    <row r="1900" customFormat="1" x14ac:dyDescent="0.3"/>
    <row r="1901" customFormat="1" x14ac:dyDescent="0.3"/>
    <row r="1902" customFormat="1" x14ac:dyDescent="0.3"/>
    <row r="1903" customFormat="1" x14ac:dyDescent="0.3"/>
    <row r="1904" customFormat="1" x14ac:dyDescent="0.3"/>
    <row r="1905" customFormat="1" x14ac:dyDescent="0.3"/>
    <row r="1906" customFormat="1" x14ac:dyDescent="0.3"/>
    <row r="1907" customFormat="1" x14ac:dyDescent="0.3"/>
    <row r="1908" customFormat="1" x14ac:dyDescent="0.3"/>
    <row r="1909" customFormat="1" x14ac:dyDescent="0.3"/>
    <row r="1910" customFormat="1" x14ac:dyDescent="0.3"/>
    <row r="1911" customFormat="1" x14ac:dyDescent="0.3"/>
    <row r="1912" customFormat="1" x14ac:dyDescent="0.3"/>
    <row r="1913" customFormat="1" x14ac:dyDescent="0.3"/>
    <row r="1914" customFormat="1" x14ac:dyDescent="0.3"/>
    <row r="1915" customFormat="1" x14ac:dyDescent="0.3"/>
    <row r="1916" customFormat="1" x14ac:dyDescent="0.3"/>
    <row r="1917" customFormat="1" x14ac:dyDescent="0.3"/>
    <row r="1918" customFormat="1" x14ac:dyDescent="0.3"/>
    <row r="1919" customFormat="1" x14ac:dyDescent="0.3"/>
    <row r="1920" customFormat="1" x14ac:dyDescent="0.3"/>
    <row r="1921" customFormat="1" x14ac:dyDescent="0.3"/>
    <row r="1922" customFormat="1" x14ac:dyDescent="0.3"/>
    <row r="1923" customFormat="1" x14ac:dyDescent="0.3"/>
    <row r="1924" customFormat="1" x14ac:dyDescent="0.3"/>
    <row r="1925" customFormat="1" x14ac:dyDescent="0.3"/>
    <row r="1926" customFormat="1" x14ac:dyDescent="0.3"/>
    <row r="1927" customFormat="1" x14ac:dyDescent="0.3"/>
    <row r="1928" customFormat="1" x14ac:dyDescent="0.3"/>
    <row r="1929" customFormat="1" x14ac:dyDescent="0.3"/>
    <row r="1930" customFormat="1" x14ac:dyDescent="0.3"/>
    <row r="1931" customFormat="1" x14ac:dyDescent="0.3"/>
    <row r="1932" customFormat="1" x14ac:dyDescent="0.3"/>
    <row r="1933" customFormat="1" x14ac:dyDescent="0.3"/>
    <row r="1934" customFormat="1" x14ac:dyDescent="0.3"/>
    <row r="1935" customFormat="1" x14ac:dyDescent="0.3"/>
    <row r="1936" customFormat="1" x14ac:dyDescent="0.3"/>
    <row r="1937" customFormat="1" x14ac:dyDescent="0.3"/>
    <row r="1938" customFormat="1" x14ac:dyDescent="0.3"/>
    <row r="1939" customFormat="1" x14ac:dyDescent="0.3"/>
    <row r="1940" customFormat="1" x14ac:dyDescent="0.3"/>
    <row r="1941" customFormat="1" x14ac:dyDescent="0.3"/>
    <row r="1942" customFormat="1" x14ac:dyDescent="0.3"/>
    <row r="1943" customFormat="1" x14ac:dyDescent="0.3"/>
    <row r="1944" customFormat="1" x14ac:dyDescent="0.3"/>
    <row r="1945" customFormat="1" x14ac:dyDescent="0.3"/>
    <row r="1946" customFormat="1" x14ac:dyDescent="0.3"/>
    <row r="1947" customFormat="1" x14ac:dyDescent="0.3"/>
    <row r="1948" customFormat="1" x14ac:dyDescent="0.3"/>
    <row r="1949" customFormat="1" x14ac:dyDescent="0.3"/>
    <row r="1950" customFormat="1" x14ac:dyDescent="0.3"/>
    <row r="1951" customFormat="1" x14ac:dyDescent="0.3"/>
    <row r="1952" customFormat="1" x14ac:dyDescent="0.3"/>
    <row r="1953" customFormat="1" x14ac:dyDescent="0.3"/>
    <row r="1954" customFormat="1" x14ac:dyDescent="0.3"/>
    <row r="1955" customFormat="1" x14ac:dyDescent="0.3"/>
    <row r="1956" customFormat="1" x14ac:dyDescent="0.3"/>
    <row r="1957" customFormat="1" x14ac:dyDescent="0.3"/>
    <row r="1958" customFormat="1" x14ac:dyDescent="0.3"/>
    <row r="1959" customFormat="1" x14ac:dyDescent="0.3"/>
    <row r="1960" customFormat="1" x14ac:dyDescent="0.3"/>
    <row r="1961" customFormat="1" x14ac:dyDescent="0.3"/>
    <row r="1962" customFormat="1" x14ac:dyDescent="0.3"/>
    <row r="1963" customFormat="1" x14ac:dyDescent="0.3"/>
    <row r="1964" customFormat="1" x14ac:dyDescent="0.3"/>
    <row r="1965" customFormat="1" x14ac:dyDescent="0.3"/>
    <row r="1966" customFormat="1" x14ac:dyDescent="0.3"/>
    <row r="1967" customFormat="1" x14ac:dyDescent="0.3"/>
    <row r="1968" customFormat="1" x14ac:dyDescent="0.3"/>
    <row r="1969" customFormat="1" x14ac:dyDescent="0.3"/>
    <row r="1970" customFormat="1" x14ac:dyDescent="0.3"/>
    <row r="1971" customFormat="1" x14ac:dyDescent="0.3"/>
    <row r="1972" customFormat="1" x14ac:dyDescent="0.3"/>
    <row r="1973" customFormat="1" x14ac:dyDescent="0.3"/>
    <row r="1974" customFormat="1" x14ac:dyDescent="0.3"/>
    <row r="1975" customFormat="1" x14ac:dyDescent="0.3"/>
    <row r="1976" customFormat="1" x14ac:dyDescent="0.3"/>
    <row r="1977" customFormat="1" x14ac:dyDescent="0.3"/>
    <row r="1978" customFormat="1" x14ac:dyDescent="0.3"/>
    <row r="1979" customFormat="1" x14ac:dyDescent="0.3"/>
    <row r="1980" customFormat="1" x14ac:dyDescent="0.3"/>
    <row r="1981" customFormat="1" x14ac:dyDescent="0.3"/>
    <row r="1982" customFormat="1" x14ac:dyDescent="0.3"/>
    <row r="1983" customFormat="1" x14ac:dyDescent="0.3"/>
    <row r="1984" customFormat="1" x14ac:dyDescent="0.3"/>
    <row r="1985" customFormat="1" x14ac:dyDescent="0.3"/>
    <row r="1986" customFormat="1" x14ac:dyDescent="0.3"/>
    <row r="1987" customFormat="1" x14ac:dyDescent="0.3"/>
    <row r="1988" customFormat="1" x14ac:dyDescent="0.3"/>
    <row r="1989" customFormat="1" x14ac:dyDescent="0.3"/>
    <row r="1990" customFormat="1" x14ac:dyDescent="0.3"/>
    <row r="1991" customFormat="1" x14ac:dyDescent="0.3"/>
    <row r="1992" customFormat="1" x14ac:dyDescent="0.3"/>
    <row r="1993" customFormat="1" x14ac:dyDescent="0.3"/>
    <row r="1994" customFormat="1" x14ac:dyDescent="0.3"/>
    <row r="1995" customFormat="1" x14ac:dyDescent="0.3"/>
    <row r="1996" customFormat="1" x14ac:dyDescent="0.3"/>
    <row r="1997" customFormat="1" x14ac:dyDescent="0.3"/>
    <row r="1998" customFormat="1" x14ac:dyDescent="0.3"/>
    <row r="1999" customFormat="1" x14ac:dyDescent="0.3"/>
    <row r="2000" customFormat="1" x14ac:dyDescent="0.3"/>
    <row r="2001" customFormat="1" x14ac:dyDescent="0.3"/>
    <row r="2002" customFormat="1" x14ac:dyDescent="0.3"/>
    <row r="2003" customFormat="1" x14ac:dyDescent="0.3"/>
    <row r="2004" customFormat="1" x14ac:dyDescent="0.3"/>
    <row r="2005" customFormat="1" x14ac:dyDescent="0.3"/>
    <row r="2006" customFormat="1" x14ac:dyDescent="0.3"/>
    <row r="2007" customFormat="1" x14ac:dyDescent="0.3"/>
    <row r="2008" customFormat="1" x14ac:dyDescent="0.3"/>
    <row r="2009" customFormat="1" x14ac:dyDescent="0.3"/>
    <row r="2010" customFormat="1" x14ac:dyDescent="0.3"/>
    <row r="2011" customFormat="1" x14ac:dyDescent="0.3"/>
    <row r="2012" customFormat="1" x14ac:dyDescent="0.3"/>
    <row r="2013" customFormat="1" x14ac:dyDescent="0.3"/>
    <row r="2014" customFormat="1" x14ac:dyDescent="0.3"/>
    <row r="2015" customFormat="1" x14ac:dyDescent="0.3"/>
    <row r="2016" customFormat="1" x14ac:dyDescent="0.3"/>
    <row r="2017" customFormat="1" x14ac:dyDescent="0.3"/>
    <row r="2018" customFormat="1" x14ac:dyDescent="0.3"/>
    <row r="2019" customFormat="1" x14ac:dyDescent="0.3"/>
    <row r="2020" customFormat="1" x14ac:dyDescent="0.3"/>
    <row r="2021" customFormat="1" x14ac:dyDescent="0.3"/>
    <row r="2022" customFormat="1" x14ac:dyDescent="0.3"/>
    <row r="2023" customFormat="1" x14ac:dyDescent="0.3"/>
    <row r="2024" customFormat="1" x14ac:dyDescent="0.3"/>
    <row r="2025" customFormat="1" x14ac:dyDescent="0.3"/>
    <row r="2026" customFormat="1" x14ac:dyDescent="0.3"/>
    <row r="2027" customFormat="1" x14ac:dyDescent="0.3"/>
    <row r="2028" customFormat="1" x14ac:dyDescent="0.3"/>
    <row r="2029" customFormat="1" x14ac:dyDescent="0.3"/>
    <row r="2030" customFormat="1" x14ac:dyDescent="0.3"/>
    <row r="2031" customFormat="1" x14ac:dyDescent="0.3"/>
    <row r="2032" customFormat="1" x14ac:dyDescent="0.3"/>
    <row r="2033" customFormat="1" x14ac:dyDescent="0.3"/>
    <row r="2034" customFormat="1" x14ac:dyDescent="0.3"/>
    <row r="2035" customFormat="1" x14ac:dyDescent="0.3"/>
    <row r="2036" customFormat="1" x14ac:dyDescent="0.3"/>
    <row r="2037" customFormat="1" x14ac:dyDescent="0.3"/>
    <row r="2038" customFormat="1" x14ac:dyDescent="0.3"/>
    <row r="2039" customFormat="1" x14ac:dyDescent="0.3"/>
    <row r="2040" customFormat="1" x14ac:dyDescent="0.3"/>
    <row r="2041" customFormat="1" x14ac:dyDescent="0.3"/>
    <row r="2042" customFormat="1" x14ac:dyDescent="0.3"/>
    <row r="2043" customFormat="1" x14ac:dyDescent="0.3"/>
    <row r="2044" customFormat="1" x14ac:dyDescent="0.3"/>
    <row r="2045" customFormat="1" x14ac:dyDescent="0.3"/>
    <row r="2046" customFormat="1" x14ac:dyDescent="0.3"/>
    <row r="2047" customFormat="1" x14ac:dyDescent="0.3"/>
    <row r="2048" customFormat="1" x14ac:dyDescent="0.3"/>
    <row r="2049" customFormat="1" x14ac:dyDescent="0.3"/>
    <row r="2050" customFormat="1" x14ac:dyDescent="0.3"/>
    <row r="2051" customFormat="1" x14ac:dyDescent="0.3"/>
    <row r="2052" customFormat="1" x14ac:dyDescent="0.3"/>
    <row r="2053" customFormat="1" x14ac:dyDescent="0.3"/>
    <row r="2054" customFormat="1" x14ac:dyDescent="0.3"/>
    <row r="2055" customFormat="1" x14ac:dyDescent="0.3"/>
    <row r="2056" customFormat="1" x14ac:dyDescent="0.3"/>
    <row r="2057" customFormat="1" x14ac:dyDescent="0.3"/>
    <row r="2058" customFormat="1" x14ac:dyDescent="0.3"/>
    <row r="2059" customFormat="1" x14ac:dyDescent="0.3"/>
    <row r="2060" customFormat="1" x14ac:dyDescent="0.3"/>
    <row r="2061" customFormat="1" x14ac:dyDescent="0.3"/>
    <row r="2062" customFormat="1" x14ac:dyDescent="0.3"/>
    <row r="2063" customFormat="1" x14ac:dyDescent="0.3"/>
    <row r="2064" customFormat="1" x14ac:dyDescent="0.3"/>
    <row r="2065" customFormat="1" x14ac:dyDescent="0.3"/>
    <row r="2066" customFormat="1" x14ac:dyDescent="0.3"/>
    <row r="2067" customFormat="1" x14ac:dyDescent="0.3"/>
    <row r="2068" customFormat="1" x14ac:dyDescent="0.3"/>
    <row r="2069" customFormat="1" x14ac:dyDescent="0.3"/>
    <row r="2070" customFormat="1" x14ac:dyDescent="0.3"/>
    <row r="2071" customFormat="1" x14ac:dyDescent="0.3"/>
    <row r="2072" customFormat="1" x14ac:dyDescent="0.3"/>
    <row r="2073" customFormat="1" x14ac:dyDescent="0.3"/>
    <row r="2074" customFormat="1" x14ac:dyDescent="0.3"/>
    <row r="2075" customFormat="1" x14ac:dyDescent="0.3"/>
    <row r="2076" customFormat="1" x14ac:dyDescent="0.3"/>
    <row r="2077" customFormat="1" x14ac:dyDescent="0.3"/>
    <row r="2078" customFormat="1" x14ac:dyDescent="0.3"/>
    <row r="2079" customFormat="1" x14ac:dyDescent="0.3"/>
    <row r="2080" customFormat="1" x14ac:dyDescent="0.3"/>
    <row r="2081" customFormat="1" x14ac:dyDescent="0.3"/>
    <row r="2082" customFormat="1" x14ac:dyDescent="0.3"/>
    <row r="2083" customFormat="1" x14ac:dyDescent="0.3"/>
    <row r="2084" customFormat="1" x14ac:dyDescent="0.3"/>
    <row r="2085" customFormat="1" x14ac:dyDescent="0.3"/>
    <row r="2086" customFormat="1" x14ac:dyDescent="0.3"/>
    <row r="2087" customFormat="1" x14ac:dyDescent="0.3"/>
    <row r="2088" customFormat="1" x14ac:dyDescent="0.3"/>
    <row r="2089" customFormat="1" x14ac:dyDescent="0.3"/>
    <row r="2090" customFormat="1" x14ac:dyDescent="0.3"/>
    <row r="2091" customFormat="1" x14ac:dyDescent="0.3"/>
    <row r="2092" customFormat="1" x14ac:dyDescent="0.3"/>
    <row r="2093" customFormat="1" x14ac:dyDescent="0.3"/>
    <row r="2094" customFormat="1" x14ac:dyDescent="0.3"/>
    <row r="2095" customFormat="1" x14ac:dyDescent="0.3"/>
    <row r="2096" customFormat="1" x14ac:dyDescent="0.3"/>
    <row r="2097" customFormat="1" x14ac:dyDescent="0.3"/>
    <row r="2098" customFormat="1" x14ac:dyDescent="0.3"/>
    <row r="2099" customFormat="1" x14ac:dyDescent="0.3"/>
    <row r="2100" customFormat="1" x14ac:dyDescent="0.3"/>
    <row r="2101" customFormat="1" x14ac:dyDescent="0.3"/>
    <row r="2102" customFormat="1" x14ac:dyDescent="0.3"/>
    <row r="2103" customFormat="1" x14ac:dyDescent="0.3"/>
    <row r="2104" customFormat="1" x14ac:dyDescent="0.3"/>
    <row r="2105" customFormat="1" x14ac:dyDescent="0.3"/>
    <row r="2106" customFormat="1" x14ac:dyDescent="0.3"/>
    <row r="2107" customFormat="1" x14ac:dyDescent="0.3"/>
    <row r="2108" customFormat="1" x14ac:dyDescent="0.3"/>
    <row r="2109" customFormat="1" x14ac:dyDescent="0.3"/>
    <row r="2110" customFormat="1" x14ac:dyDescent="0.3"/>
    <row r="2111" customFormat="1" x14ac:dyDescent="0.3"/>
    <row r="2112" customFormat="1" x14ac:dyDescent="0.3"/>
    <row r="2113" customFormat="1" x14ac:dyDescent="0.3"/>
    <row r="2114" customFormat="1" x14ac:dyDescent="0.3"/>
    <row r="2115" customFormat="1" x14ac:dyDescent="0.3"/>
    <row r="2116" customFormat="1" x14ac:dyDescent="0.3"/>
    <row r="2117" customFormat="1" x14ac:dyDescent="0.3"/>
    <row r="2118" customFormat="1" x14ac:dyDescent="0.3"/>
    <row r="2119" customFormat="1" x14ac:dyDescent="0.3"/>
    <row r="2120" customFormat="1" x14ac:dyDescent="0.3"/>
    <row r="2121" customFormat="1" x14ac:dyDescent="0.3"/>
    <row r="2122" customFormat="1" x14ac:dyDescent="0.3"/>
    <row r="2123" customFormat="1" x14ac:dyDescent="0.3"/>
    <row r="2124" customFormat="1" x14ac:dyDescent="0.3"/>
    <row r="2125" customFormat="1" x14ac:dyDescent="0.3"/>
    <row r="2126" customFormat="1" x14ac:dyDescent="0.3"/>
    <row r="2127" customFormat="1" x14ac:dyDescent="0.3"/>
    <row r="2128" customFormat="1" x14ac:dyDescent="0.3"/>
    <row r="2129" customFormat="1" x14ac:dyDescent="0.3"/>
    <row r="2130" customFormat="1" x14ac:dyDescent="0.3"/>
    <row r="2131" customFormat="1" x14ac:dyDescent="0.3"/>
    <row r="2132" customFormat="1" x14ac:dyDescent="0.3"/>
    <row r="2133" customFormat="1" x14ac:dyDescent="0.3"/>
    <row r="2134" customFormat="1" x14ac:dyDescent="0.3"/>
    <row r="2135" customFormat="1" x14ac:dyDescent="0.3"/>
    <row r="2136" customFormat="1" x14ac:dyDescent="0.3"/>
    <row r="2137" customFormat="1" x14ac:dyDescent="0.3"/>
    <row r="2138" customFormat="1" x14ac:dyDescent="0.3"/>
    <row r="2139" customFormat="1" x14ac:dyDescent="0.3"/>
    <row r="2140" customFormat="1" x14ac:dyDescent="0.3"/>
    <row r="2141" customFormat="1" x14ac:dyDescent="0.3"/>
    <row r="2142" customFormat="1" x14ac:dyDescent="0.3"/>
    <row r="2143" customFormat="1" x14ac:dyDescent="0.3"/>
    <row r="2144" customFormat="1" x14ac:dyDescent="0.3"/>
    <row r="2145" customFormat="1" x14ac:dyDescent="0.3"/>
    <row r="2146" customFormat="1" x14ac:dyDescent="0.3"/>
    <row r="2147" customFormat="1" x14ac:dyDescent="0.3"/>
    <row r="2148" customFormat="1" x14ac:dyDescent="0.3"/>
    <row r="2149" customFormat="1" x14ac:dyDescent="0.3"/>
    <row r="2150" customFormat="1" x14ac:dyDescent="0.3"/>
    <row r="2151" customFormat="1" x14ac:dyDescent="0.3"/>
    <row r="2152" customFormat="1" x14ac:dyDescent="0.3"/>
    <row r="2153" customFormat="1" x14ac:dyDescent="0.3"/>
    <row r="2154" customFormat="1" x14ac:dyDescent="0.3"/>
    <row r="2155" customFormat="1" x14ac:dyDescent="0.3"/>
    <row r="2156" customFormat="1" x14ac:dyDescent="0.3"/>
    <row r="2157" customFormat="1" x14ac:dyDescent="0.3"/>
    <row r="2158" customFormat="1" x14ac:dyDescent="0.3"/>
    <row r="2159" customFormat="1" x14ac:dyDescent="0.3"/>
    <row r="2160" customFormat="1" x14ac:dyDescent="0.3"/>
    <row r="2161" customFormat="1" x14ac:dyDescent="0.3"/>
    <row r="2162" customFormat="1" x14ac:dyDescent="0.3"/>
    <row r="2163" customFormat="1" x14ac:dyDescent="0.3"/>
    <row r="2164" customFormat="1" x14ac:dyDescent="0.3"/>
    <row r="2165" customFormat="1" x14ac:dyDescent="0.3"/>
    <row r="2166" customFormat="1" x14ac:dyDescent="0.3"/>
    <row r="2167" customFormat="1" x14ac:dyDescent="0.3"/>
    <row r="2168" customFormat="1" x14ac:dyDescent="0.3"/>
    <row r="2169" customFormat="1" x14ac:dyDescent="0.3"/>
    <row r="2170" customFormat="1" x14ac:dyDescent="0.3"/>
    <row r="2171" customFormat="1" x14ac:dyDescent="0.3"/>
    <row r="2172" customFormat="1" x14ac:dyDescent="0.3"/>
    <row r="2173" customFormat="1" x14ac:dyDescent="0.3"/>
    <row r="2174" customFormat="1" x14ac:dyDescent="0.3"/>
    <row r="2175" customFormat="1" x14ac:dyDescent="0.3"/>
    <row r="2176" customFormat="1" x14ac:dyDescent="0.3"/>
    <row r="2177" customFormat="1" x14ac:dyDescent="0.3"/>
    <row r="2178" customFormat="1" x14ac:dyDescent="0.3"/>
    <row r="2179" customFormat="1" x14ac:dyDescent="0.3"/>
    <row r="2180" customFormat="1" x14ac:dyDescent="0.3"/>
    <row r="2181" customFormat="1" x14ac:dyDescent="0.3"/>
    <row r="2182" customFormat="1" x14ac:dyDescent="0.3"/>
    <row r="2183" customFormat="1" x14ac:dyDescent="0.3"/>
    <row r="2184" customFormat="1" x14ac:dyDescent="0.3"/>
    <row r="2185" customFormat="1" x14ac:dyDescent="0.3"/>
    <row r="2186" customFormat="1" x14ac:dyDescent="0.3"/>
    <row r="2187" customFormat="1" x14ac:dyDescent="0.3"/>
    <row r="2188" customFormat="1" x14ac:dyDescent="0.3"/>
    <row r="2189" customFormat="1" x14ac:dyDescent="0.3"/>
    <row r="2190" customFormat="1" x14ac:dyDescent="0.3"/>
    <row r="2191" customFormat="1" x14ac:dyDescent="0.3"/>
    <row r="2192" customFormat="1" x14ac:dyDescent="0.3"/>
    <row r="2193" customFormat="1" x14ac:dyDescent="0.3"/>
    <row r="2194" customFormat="1" x14ac:dyDescent="0.3"/>
    <row r="2195" customFormat="1" x14ac:dyDescent="0.3"/>
    <row r="2196" customFormat="1" x14ac:dyDescent="0.3"/>
    <row r="2197" customFormat="1" x14ac:dyDescent="0.3"/>
    <row r="2198" customFormat="1" x14ac:dyDescent="0.3"/>
    <row r="2199" customFormat="1" x14ac:dyDescent="0.3"/>
    <row r="2200" customFormat="1" x14ac:dyDescent="0.3"/>
    <row r="2201" customFormat="1" x14ac:dyDescent="0.3"/>
    <row r="2202" customFormat="1" x14ac:dyDescent="0.3"/>
    <row r="2203" customFormat="1" x14ac:dyDescent="0.3"/>
    <row r="2204" customFormat="1" x14ac:dyDescent="0.3"/>
    <row r="2205" customFormat="1" x14ac:dyDescent="0.3"/>
    <row r="2206" customFormat="1" x14ac:dyDescent="0.3"/>
    <row r="2207" customFormat="1" x14ac:dyDescent="0.3"/>
    <row r="2208" customFormat="1" x14ac:dyDescent="0.3"/>
    <row r="2209" customFormat="1" x14ac:dyDescent="0.3"/>
    <row r="2210" customFormat="1" x14ac:dyDescent="0.3"/>
    <row r="2211" customFormat="1" x14ac:dyDescent="0.3"/>
    <row r="2212" customFormat="1" x14ac:dyDescent="0.3"/>
    <row r="2213" customFormat="1" x14ac:dyDescent="0.3"/>
    <row r="2214" customFormat="1" x14ac:dyDescent="0.3"/>
    <row r="2215" customFormat="1" x14ac:dyDescent="0.3"/>
    <row r="2216" customFormat="1" x14ac:dyDescent="0.3"/>
    <row r="2217" customFormat="1" x14ac:dyDescent="0.3"/>
    <row r="2218" customFormat="1" x14ac:dyDescent="0.3"/>
    <row r="2219" customFormat="1" x14ac:dyDescent="0.3"/>
    <row r="2220" customFormat="1" x14ac:dyDescent="0.3"/>
    <row r="2221" customFormat="1" x14ac:dyDescent="0.3"/>
    <row r="2222" customFormat="1" x14ac:dyDescent="0.3"/>
    <row r="2223" customFormat="1" x14ac:dyDescent="0.3"/>
    <row r="2224" customFormat="1" x14ac:dyDescent="0.3"/>
    <row r="2225" customFormat="1" x14ac:dyDescent="0.3"/>
    <row r="2226" customFormat="1" x14ac:dyDescent="0.3"/>
    <row r="2227" customFormat="1" x14ac:dyDescent="0.3"/>
    <row r="2228" customFormat="1" x14ac:dyDescent="0.3"/>
    <row r="2229" customFormat="1" x14ac:dyDescent="0.3"/>
    <row r="2230" customFormat="1" x14ac:dyDescent="0.3"/>
    <row r="2231" customFormat="1" x14ac:dyDescent="0.3"/>
    <row r="2232" customFormat="1" x14ac:dyDescent="0.3"/>
    <row r="2233" customFormat="1" x14ac:dyDescent="0.3"/>
    <row r="2234" customFormat="1" x14ac:dyDescent="0.3"/>
    <row r="2235" customFormat="1" x14ac:dyDescent="0.3"/>
    <row r="2236" customFormat="1" x14ac:dyDescent="0.3"/>
    <row r="2237" customFormat="1" x14ac:dyDescent="0.3"/>
    <row r="2238" customFormat="1" x14ac:dyDescent="0.3"/>
    <row r="2239" customFormat="1" x14ac:dyDescent="0.3"/>
    <row r="2240" customFormat="1" x14ac:dyDescent="0.3"/>
    <row r="2241" customFormat="1" x14ac:dyDescent="0.3"/>
    <row r="2242" customFormat="1" x14ac:dyDescent="0.3"/>
    <row r="2243" customFormat="1" x14ac:dyDescent="0.3"/>
    <row r="2244" customFormat="1" x14ac:dyDescent="0.3"/>
    <row r="2245" customFormat="1" x14ac:dyDescent="0.3"/>
    <row r="2246" customFormat="1" x14ac:dyDescent="0.3"/>
    <row r="2247" customFormat="1" x14ac:dyDescent="0.3"/>
    <row r="2248" customFormat="1" x14ac:dyDescent="0.3"/>
    <row r="2249" customFormat="1" x14ac:dyDescent="0.3"/>
    <row r="2250" customFormat="1" x14ac:dyDescent="0.3"/>
    <row r="2251" customFormat="1" x14ac:dyDescent="0.3"/>
    <row r="2252" customFormat="1" x14ac:dyDescent="0.3"/>
    <row r="2253" customFormat="1" x14ac:dyDescent="0.3"/>
    <row r="2254" customFormat="1" x14ac:dyDescent="0.3"/>
    <row r="2255" customFormat="1" x14ac:dyDescent="0.3"/>
    <row r="2256" customFormat="1" x14ac:dyDescent="0.3"/>
    <row r="2257" customFormat="1" x14ac:dyDescent="0.3"/>
    <row r="2258" customFormat="1" x14ac:dyDescent="0.3"/>
    <row r="2259" customFormat="1" x14ac:dyDescent="0.3"/>
    <row r="2260" customFormat="1" x14ac:dyDescent="0.3"/>
    <row r="2261" customFormat="1" x14ac:dyDescent="0.3"/>
    <row r="2262" customFormat="1" x14ac:dyDescent="0.3"/>
    <row r="2263" customFormat="1" x14ac:dyDescent="0.3"/>
    <row r="2264" customFormat="1" x14ac:dyDescent="0.3"/>
    <row r="2265" customFormat="1" x14ac:dyDescent="0.3"/>
    <row r="2266" customFormat="1" x14ac:dyDescent="0.3"/>
    <row r="2267" customFormat="1" x14ac:dyDescent="0.3"/>
    <row r="2268" customFormat="1" x14ac:dyDescent="0.3"/>
    <row r="2269" customFormat="1" x14ac:dyDescent="0.3"/>
    <row r="2270" customFormat="1" x14ac:dyDescent="0.3"/>
    <row r="2271" customFormat="1" x14ac:dyDescent="0.3"/>
    <row r="2272" customFormat="1" x14ac:dyDescent="0.3"/>
    <row r="2273" customFormat="1" x14ac:dyDescent="0.3"/>
    <row r="2274" customFormat="1" x14ac:dyDescent="0.3"/>
    <row r="2275" customFormat="1" x14ac:dyDescent="0.3"/>
    <row r="2276" customFormat="1" x14ac:dyDescent="0.3"/>
    <row r="2277" customFormat="1" x14ac:dyDescent="0.3"/>
    <row r="2278" customFormat="1" x14ac:dyDescent="0.3"/>
    <row r="2279" customFormat="1" x14ac:dyDescent="0.3"/>
    <row r="2280" customFormat="1" x14ac:dyDescent="0.3"/>
    <row r="2281" customFormat="1" x14ac:dyDescent="0.3"/>
    <row r="2282" customFormat="1" x14ac:dyDescent="0.3"/>
    <row r="2283" customFormat="1" x14ac:dyDescent="0.3"/>
    <row r="2284" customFormat="1" x14ac:dyDescent="0.3"/>
    <row r="2285" customFormat="1" x14ac:dyDescent="0.3"/>
    <row r="2286" customFormat="1" x14ac:dyDescent="0.3"/>
    <row r="2287" customFormat="1" x14ac:dyDescent="0.3"/>
    <row r="2288" customFormat="1" x14ac:dyDescent="0.3"/>
    <row r="2289" customFormat="1" x14ac:dyDescent="0.3"/>
    <row r="2290" customFormat="1" x14ac:dyDescent="0.3"/>
    <row r="2291" customFormat="1" x14ac:dyDescent="0.3"/>
    <row r="2292" customFormat="1" x14ac:dyDescent="0.3"/>
    <row r="2293" customFormat="1" x14ac:dyDescent="0.3"/>
    <row r="2294" customFormat="1" x14ac:dyDescent="0.3"/>
    <row r="2295" customFormat="1" x14ac:dyDescent="0.3"/>
    <row r="2296" customFormat="1" x14ac:dyDescent="0.3"/>
    <row r="2297" customFormat="1" x14ac:dyDescent="0.3"/>
    <row r="2298" customFormat="1" x14ac:dyDescent="0.3"/>
    <row r="2299" customFormat="1" x14ac:dyDescent="0.3"/>
    <row r="2300" customFormat="1" x14ac:dyDescent="0.3"/>
    <row r="2301" customFormat="1" x14ac:dyDescent="0.3"/>
    <row r="2302" customFormat="1" x14ac:dyDescent="0.3"/>
    <row r="2303" customFormat="1" x14ac:dyDescent="0.3"/>
    <row r="2304" customFormat="1" x14ac:dyDescent="0.3"/>
    <row r="2305" customFormat="1" x14ac:dyDescent="0.3"/>
    <row r="2306" customFormat="1" x14ac:dyDescent="0.3"/>
    <row r="2307" customFormat="1" x14ac:dyDescent="0.3"/>
    <row r="2308" customFormat="1" x14ac:dyDescent="0.3"/>
    <row r="2309" customFormat="1" x14ac:dyDescent="0.3"/>
    <row r="2310" customFormat="1" x14ac:dyDescent="0.3"/>
    <row r="2311" customFormat="1" x14ac:dyDescent="0.3"/>
    <row r="2312" customFormat="1" x14ac:dyDescent="0.3"/>
    <row r="2313" customFormat="1" x14ac:dyDescent="0.3"/>
    <row r="2314" customFormat="1" x14ac:dyDescent="0.3"/>
    <row r="2315" customFormat="1" x14ac:dyDescent="0.3"/>
    <row r="2316" customFormat="1" x14ac:dyDescent="0.3"/>
    <row r="2317" customFormat="1" x14ac:dyDescent="0.3"/>
    <row r="2318" customFormat="1" x14ac:dyDescent="0.3"/>
    <row r="2319" customFormat="1" x14ac:dyDescent="0.3"/>
    <row r="2320" customFormat="1" x14ac:dyDescent="0.3"/>
    <row r="2321" customFormat="1" x14ac:dyDescent="0.3"/>
    <row r="2322" customFormat="1" x14ac:dyDescent="0.3"/>
    <row r="2323" customFormat="1" x14ac:dyDescent="0.3"/>
    <row r="2324" customFormat="1" x14ac:dyDescent="0.3"/>
    <row r="2325" customFormat="1" x14ac:dyDescent="0.3"/>
    <row r="2326" customFormat="1" x14ac:dyDescent="0.3"/>
    <row r="2327" customFormat="1" x14ac:dyDescent="0.3"/>
    <row r="2328" customFormat="1" x14ac:dyDescent="0.3"/>
    <row r="2329" customFormat="1" x14ac:dyDescent="0.3"/>
    <row r="2330" customFormat="1" x14ac:dyDescent="0.3"/>
    <row r="2331" customFormat="1" x14ac:dyDescent="0.3"/>
    <row r="2332" customFormat="1" x14ac:dyDescent="0.3"/>
    <row r="2333" customFormat="1" x14ac:dyDescent="0.3"/>
    <row r="2334" customFormat="1" x14ac:dyDescent="0.3"/>
    <row r="2335" customFormat="1" x14ac:dyDescent="0.3"/>
    <row r="2336" customFormat="1" x14ac:dyDescent="0.3"/>
    <row r="2337" customFormat="1" x14ac:dyDescent="0.3"/>
    <row r="2338" customFormat="1" x14ac:dyDescent="0.3"/>
    <row r="2339" customFormat="1" x14ac:dyDescent="0.3"/>
    <row r="2340" customFormat="1" x14ac:dyDescent="0.3"/>
    <row r="2341" customFormat="1" x14ac:dyDescent="0.3"/>
    <row r="2342" customFormat="1" x14ac:dyDescent="0.3"/>
    <row r="2343" customFormat="1" x14ac:dyDescent="0.3"/>
    <row r="2344" customFormat="1" x14ac:dyDescent="0.3"/>
    <row r="2345" customFormat="1" x14ac:dyDescent="0.3"/>
    <row r="2346" customFormat="1" x14ac:dyDescent="0.3"/>
    <row r="2347" customFormat="1" x14ac:dyDescent="0.3"/>
    <row r="2348" customFormat="1" x14ac:dyDescent="0.3"/>
    <row r="2349" customFormat="1" x14ac:dyDescent="0.3"/>
    <row r="2350" customFormat="1" x14ac:dyDescent="0.3"/>
    <row r="2351" customFormat="1" x14ac:dyDescent="0.3"/>
    <row r="2352" customFormat="1" x14ac:dyDescent="0.3"/>
    <row r="2353" customFormat="1" x14ac:dyDescent="0.3"/>
    <row r="2354" customFormat="1" x14ac:dyDescent="0.3"/>
    <row r="2355" customFormat="1" x14ac:dyDescent="0.3"/>
    <row r="2356" customFormat="1" x14ac:dyDescent="0.3"/>
    <row r="2357" customFormat="1" x14ac:dyDescent="0.3"/>
    <row r="2358" customFormat="1" x14ac:dyDescent="0.3"/>
    <row r="2359" customFormat="1" x14ac:dyDescent="0.3"/>
    <row r="2360" customFormat="1" x14ac:dyDescent="0.3"/>
    <row r="2361" customFormat="1" x14ac:dyDescent="0.3"/>
    <row r="2362" customFormat="1" x14ac:dyDescent="0.3"/>
    <row r="2363" customFormat="1" x14ac:dyDescent="0.3"/>
    <row r="2364" customFormat="1" x14ac:dyDescent="0.3"/>
    <row r="2365" customFormat="1" x14ac:dyDescent="0.3"/>
    <row r="2366" customFormat="1" x14ac:dyDescent="0.3"/>
    <row r="2367" customFormat="1" x14ac:dyDescent="0.3"/>
    <row r="2368" customFormat="1" x14ac:dyDescent="0.3"/>
    <row r="2369" customFormat="1" x14ac:dyDescent="0.3"/>
    <row r="2370" customFormat="1" x14ac:dyDescent="0.3"/>
    <row r="2371" customFormat="1" x14ac:dyDescent="0.3"/>
    <row r="2372" customFormat="1" x14ac:dyDescent="0.3"/>
    <row r="2373" customFormat="1" x14ac:dyDescent="0.3"/>
    <row r="2374" customFormat="1" x14ac:dyDescent="0.3"/>
    <row r="2375" customFormat="1" x14ac:dyDescent="0.3"/>
    <row r="2376" customFormat="1" x14ac:dyDescent="0.3"/>
    <row r="2377" customFormat="1" x14ac:dyDescent="0.3"/>
    <row r="2378" customFormat="1" x14ac:dyDescent="0.3"/>
    <row r="2379" customFormat="1" x14ac:dyDescent="0.3"/>
    <row r="2380" customFormat="1" x14ac:dyDescent="0.3"/>
    <row r="2381" customFormat="1" x14ac:dyDescent="0.3"/>
    <row r="2382" customFormat="1" x14ac:dyDescent="0.3"/>
    <row r="2383" customFormat="1" x14ac:dyDescent="0.3"/>
    <row r="2384" customFormat="1" x14ac:dyDescent="0.3"/>
    <row r="2385" customFormat="1" x14ac:dyDescent="0.3"/>
    <row r="2386" customFormat="1" x14ac:dyDescent="0.3"/>
    <row r="2387" customFormat="1" x14ac:dyDescent="0.3"/>
    <row r="2388" customFormat="1" x14ac:dyDescent="0.3"/>
    <row r="2389" customFormat="1" x14ac:dyDescent="0.3"/>
    <row r="2390" customFormat="1" x14ac:dyDescent="0.3"/>
    <row r="2391" customFormat="1" x14ac:dyDescent="0.3"/>
    <row r="2392" customFormat="1" x14ac:dyDescent="0.3"/>
    <row r="2393" customFormat="1" x14ac:dyDescent="0.3"/>
    <row r="2394" customFormat="1" x14ac:dyDescent="0.3"/>
    <row r="2395" customFormat="1" x14ac:dyDescent="0.3"/>
    <row r="2396" customFormat="1" x14ac:dyDescent="0.3"/>
    <row r="2397" customFormat="1" x14ac:dyDescent="0.3"/>
    <row r="2398" customFormat="1" x14ac:dyDescent="0.3"/>
    <row r="2399" customFormat="1" x14ac:dyDescent="0.3"/>
    <row r="2400" customFormat="1" x14ac:dyDescent="0.3"/>
    <row r="2401" customFormat="1" x14ac:dyDescent="0.3"/>
    <row r="2402" customFormat="1" x14ac:dyDescent="0.3"/>
    <row r="2403" customFormat="1" x14ac:dyDescent="0.3"/>
    <row r="2404" customFormat="1" x14ac:dyDescent="0.3"/>
    <row r="2405" customFormat="1" x14ac:dyDescent="0.3"/>
    <row r="2406" customFormat="1" x14ac:dyDescent="0.3"/>
    <row r="2407" customFormat="1" x14ac:dyDescent="0.3"/>
    <row r="2408" customFormat="1" x14ac:dyDescent="0.3"/>
    <row r="2409" customFormat="1" x14ac:dyDescent="0.3"/>
    <row r="2410" customFormat="1" x14ac:dyDescent="0.3"/>
    <row r="2411" customFormat="1" x14ac:dyDescent="0.3"/>
    <row r="2412" customFormat="1" x14ac:dyDescent="0.3"/>
    <row r="2413" customFormat="1" x14ac:dyDescent="0.3"/>
    <row r="2414" customFormat="1" x14ac:dyDescent="0.3"/>
    <row r="2415" customFormat="1" x14ac:dyDescent="0.3"/>
    <row r="2416" customFormat="1" x14ac:dyDescent="0.3"/>
    <row r="2417" customFormat="1" x14ac:dyDescent="0.3"/>
    <row r="2418" customFormat="1" x14ac:dyDescent="0.3"/>
    <row r="2419" customFormat="1" x14ac:dyDescent="0.3"/>
    <row r="2420" customFormat="1" x14ac:dyDescent="0.3"/>
    <row r="2421" customFormat="1" x14ac:dyDescent="0.3"/>
    <row r="2422" customFormat="1" x14ac:dyDescent="0.3"/>
    <row r="2423" customFormat="1" x14ac:dyDescent="0.3"/>
    <row r="2424" customFormat="1" x14ac:dyDescent="0.3"/>
    <row r="2425" customFormat="1" x14ac:dyDescent="0.3"/>
    <row r="2426" customFormat="1" x14ac:dyDescent="0.3"/>
    <row r="2427" customFormat="1" x14ac:dyDescent="0.3"/>
    <row r="2428" customFormat="1" x14ac:dyDescent="0.3"/>
    <row r="2429" customFormat="1" x14ac:dyDescent="0.3"/>
    <row r="2430" customFormat="1" x14ac:dyDescent="0.3"/>
    <row r="2431" customFormat="1" x14ac:dyDescent="0.3"/>
    <row r="2432" customFormat="1" x14ac:dyDescent="0.3"/>
    <row r="2433" customFormat="1" x14ac:dyDescent="0.3"/>
    <row r="2434" customFormat="1" x14ac:dyDescent="0.3"/>
    <row r="2435" customFormat="1" x14ac:dyDescent="0.3"/>
    <row r="2436" customFormat="1" x14ac:dyDescent="0.3"/>
    <row r="2437" customFormat="1" x14ac:dyDescent="0.3"/>
    <row r="2438" customFormat="1" x14ac:dyDescent="0.3"/>
    <row r="2439" customFormat="1" x14ac:dyDescent="0.3"/>
    <row r="2440" customFormat="1" x14ac:dyDescent="0.3"/>
    <row r="2441" customFormat="1" x14ac:dyDescent="0.3"/>
    <row r="2442" customFormat="1" x14ac:dyDescent="0.3"/>
    <row r="2443" customFormat="1" x14ac:dyDescent="0.3"/>
    <row r="2444" customFormat="1" x14ac:dyDescent="0.3"/>
    <row r="2445" customFormat="1" x14ac:dyDescent="0.3"/>
    <row r="2446" customFormat="1" x14ac:dyDescent="0.3"/>
    <row r="2447" customFormat="1" x14ac:dyDescent="0.3"/>
    <row r="2448" customFormat="1" x14ac:dyDescent="0.3"/>
    <row r="2449" customFormat="1" x14ac:dyDescent="0.3"/>
    <row r="2450" customFormat="1" x14ac:dyDescent="0.3"/>
    <row r="2451" customFormat="1" x14ac:dyDescent="0.3"/>
    <row r="2452" customFormat="1" x14ac:dyDescent="0.3"/>
    <row r="2453" customFormat="1" x14ac:dyDescent="0.3"/>
    <row r="2454" customFormat="1" x14ac:dyDescent="0.3"/>
    <row r="2455" customFormat="1" x14ac:dyDescent="0.3"/>
    <row r="2456" customFormat="1" x14ac:dyDescent="0.3"/>
    <row r="2457" customFormat="1" x14ac:dyDescent="0.3"/>
    <row r="2458" customFormat="1" x14ac:dyDescent="0.3"/>
    <row r="2459" customFormat="1" x14ac:dyDescent="0.3"/>
    <row r="2460" customFormat="1" x14ac:dyDescent="0.3"/>
    <row r="2461" customFormat="1" x14ac:dyDescent="0.3"/>
    <row r="2462" customFormat="1" x14ac:dyDescent="0.3"/>
    <row r="2463" customFormat="1" x14ac:dyDescent="0.3"/>
    <row r="2464" customFormat="1" x14ac:dyDescent="0.3"/>
    <row r="2465" customFormat="1" x14ac:dyDescent="0.3"/>
    <row r="2466" customFormat="1" x14ac:dyDescent="0.3"/>
    <row r="2467" customFormat="1" x14ac:dyDescent="0.3"/>
    <row r="2468" customFormat="1" x14ac:dyDescent="0.3"/>
    <row r="2469" customFormat="1" x14ac:dyDescent="0.3"/>
    <row r="2470" customFormat="1" x14ac:dyDescent="0.3"/>
    <row r="2471" customFormat="1" x14ac:dyDescent="0.3"/>
    <row r="2472" customFormat="1" x14ac:dyDescent="0.3"/>
    <row r="2473" customFormat="1" x14ac:dyDescent="0.3"/>
    <row r="2474" customFormat="1" x14ac:dyDescent="0.3"/>
    <row r="2475" customFormat="1" x14ac:dyDescent="0.3"/>
    <row r="2476" customFormat="1" x14ac:dyDescent="0.3"/>
    <row r="2477" customFormat="1" x14ac:dyDescent="0.3"/>
    <row r="2478" customFormat="1" x14ac:dyDescent="0.3"/>
    <row r="2479" customFormat="1" x14ac:dyDescent="0.3"/>
    <row r="2480" customFormat="1" x14ac:dyDescent="0.3"/>
    <row r="2481" customFormat="1" x14ac:dyDescent="0.3"/>
    <row r="2482" customFormat="1" x14ac:dyDescent="0.3"/>
    <row r="2483" customFormat="1" x14ac:dyDescent="0.3"/>
    <row r="2484" customFormat="1" x14ac:dyDescent="0.3"/>
    <row r="2485" customFormat="1" x14ac:dyDescent="0.3"/>
    <row r="2486" customFormat="1" x14ac:dyDescent="0.3"/>
    <row r="2487" customFormat="1" x14ac:dyDescent="0.3"/>
    <row r="2488" customFormat="1" x14ac:dyDescent="0.3"/>
    <row r="2489" customFormat="1" x14ac:dyDescent="0.3"/>
    <row r="2490" customFormat="1" x14ac:dyDescent="0.3"/>
    <row r="2491" customFormat="1" x14ac:dyDescent="0.3"/>
    <row r="2492" customFormat="1" x14ac:dyDescent="0.3"/>
    <row r="2493" customFormat="1" x14ac:dyDescent="0.3"/>
    <row r="2494" customFormat="1" x14ac:dyDescent="0.3"/>
    <row r="2495" customFormat="1" x14ac:dyDescent="0.3"/>
    <row r="2496" customFormat="1" x14ac:dyDescent="0.3"/>
    <row r="2497" customFormat="1" x14ac:dyDescent="0.3"/>
    <row r="2498" customFormat="1" x14ac:dyDescent="0.3"/>
    <row r="2499" customFormat="1" x14ac:dyDescent="0.3"/>
    <row r="2500" customFormat="1" x14ac:dyDescent="0.3"/>
    <row r="2501" customFormat="1" x14ac:dyDescent="0.3"/>
    <row r="2502" customFormat="1" x14ac:dyDescent="0.3"/>
    <row r="2503" customFormat="1" x14ac:dyDescent="0.3"/>
    <row r="2504" customFormat="1" x14ac:dyDescent="0.3"/>
    <row r="2505" customFormat="1" x14ac:dyDescent="0.3"/>
    <row r="2506" customFormat="1" x14ac:dyDescent="0.3"/>
    <row r="2507" customFormat="1" x14ac:dyDescent="0.3"/>
    <row r="2508" customFormat="1" x14ac:dyDescent="0.3"/>
    <row r="2509" customFormat="1" x14ac:dyDescent="0.3"/>
    <row r="2510" customFormat="1" x14ac:dyDescent="0.3"/>
    <row r="2511" customFormat="1" x14ac:dyDescent="0.3"/>
    <row r="2512" customFormat="1" x14ac:dyDescent="0.3"/>
    <row r="2513" customFormat="1" x14ac:dyDescent="0.3"/>
    <row r="2514" customFormat="1" x14ac:dyDescent="0.3"/>
    <row r="2515" customFormat="1" x14ac:dyDescent="0.3"/>
    <row r="2516" customFormat="1" x14ac:dyDescent="0.3"/>
    <row r="2517" customFormat="1" x14ac:dyDescent="0.3"/>
    <row r="2518" customFormat="1" x14ac:dyDescent="0.3"/>
    <row r="2519" customFormat="1" x14ac:dyDescent="0.3"/>
    <row r="2520" customFormat="1" x14ac:dyDescent="0.3"/>
    <row r="2521" customFormat="1" x14ac:dyDescent="0.3"/>
    <row r="2522" customFormat="1" x14ac:dyDescent="0.3"/>
    <row r="2523" customFormat="1" x14ac:dyDescent="0.3"/>
    <row r="2524" customFormat="1" x14ac:dyDescent="0.3"/>
    <row r="2525" customFormat="1" x14ac:dyDescent="0.3"/>
    <row r="2526" customFormat="1" x14ac:dyDescent="0.3"/>
    <row r="2527" customFormat="1" x14ac:dyDescent="0.3"/>
    <row r="2528" customFormat="1" x14ac:dyDescent="0.3"/>
    <row r="2529" customFormat="1" x14ac:dyDescent="0.3"/>
    <row r="2530" customFormat="1" x14ac:dyDescent="0.3"/>
    <row r="2531" customFormat="1" x14ac:dyDescent="0.3"/>
    <row r="2532" customFormat="1" x14ac:dyDescent="0.3"/>
    <row r="2533" customFormat="1" x14ac:dyDescent="0.3"/>
    <row r="2534" customFormat="1" x14ac:dyDescent="0.3"/>
    <row r="2535" customFormat="1" x14ac:dyDescent="0.3"/>
    <row r="2536" customFormat="1" x14ac:dyDescent="0.3"/>
    <row r="2537" customFormat="1" x14ac:dyDescent="0.3"/>
    <row r="2538" customFormat="1" x14ac:dyDescent="0.3"/>
    <row r="2539" customFormat="1" x14ac:dyDescent="0.3"/>
    <row r="2540" customFormat="1" x14ac:dyDescent="0.3"/>
    <row r="2541" customFormat="1" x14ac:dyDescent="0.3"/>
    <row r="2542" customFormat="1" x14ac:dyDescent="0.3"/>
    <row r="2543" customFormat="1" x14ac:dyDescent="0.3"/>
    <row r="2544" customFormat="1" x14ac:dyDescent="0.3"/>
    <row r="2545" customFormat="1" x14ac:dyDescent="0.3"/>
    <row r="2546" customFormat="1" x14ac:dyDescent="0.3"/>
    <row r="2547" customFormat="1" x14ac:dyDescent="0.3"/>
    <row r="2548" customFormat="1" x14ac:dyDescent="0.3"/>
    <row r="2549" customFormat="1" x14ac:dyDescent="0.3"/>
    <row r="2550" customFormat="1" x14ac:dyDescent="0.3"/>
    <row r="2551" customFormat="1" x14ac:dyDescent="0.3"/>
    <row r="2552" customFormat="1" x14ac:dyDescent="0.3"/>
    <row r="2553" customFormat="1" x14ac:dyDescent="0.3"/>
    <row r="2554" customFormat="1" x14ac:dyDescent="0.3"/>
    <row r="2555" customFormat="1" x14ac:dyDescent="0.3"/>
    <row r="2556" customFormat="1" x14ac:dyDescent="0.3"/>
    <row r="2557" customFormat="1" x14ac:dyDescent="0.3"/>
    <row r="2558" customFormat="1" x14ac:dyDescent="0.3"/>
    <row r="2559" customFormat="1" x14ac:dyDescent="0.3"/>
    <row r="2560" customFormat="1" x14ac:dyDescent="0.3"/>
    <row r="2561" customFormat="1" x14ac:dyDescent="0.3"/>
    <row r="2562" customFormat="1" x14ac:dyDescent="0.3"/>
    <row r="2563" customFormat="1" x14ac:dyDescent="0.3"/>
    <row r="2564" customFormat="1" x14ac:dyDescent="0.3"/>
    <row r="2565" customFormat="1" x14ac:dyDescent="0.3"/>
    <row r="2566" customFormat="1" x14ac:dyDescent="0.3"/>
    <row r="2567" customFormat="1" x14ac:dyDescent="0.3"/>
    <row r="2568" customFormat="1" x14ac:dyDescent="0.3"/>
    <row r="2569" customFormat="1" x14ac:dyDescent="0.3"/>
    <row r="2570" customFormat="1" x14ac:dyDescent="0.3"/>
    <row r="2571" customFormat="1" x14ac:dyDescent="0.3"/>
    <row r="2572" customFormat="1" x14ac:dyDescent="0.3"/>
    <row r="2573" customFormat="1" x14ac:dyDescent="0.3"/>
    <row r="2574" customFormat="1" x14ac:dyDescent="0.3"/>
    <row r="2575" customFormat="1" x14ac:dyDescent="0.3"/>
    <row r="2576" customFormat="1" x14ac:dyDescent="0.3"/>
    <row r="2577" customFormat="1" x14ac:dyDescent="0.3"/>
    <row r="2578" customFormat="1" x14ac:dyDescent="0.3"/>
    <row r="2579" customFormat="1" x14ac:dyDescent="0.3"/>
    <row r="2580" customFormat="1" x14ac:dyDescent="0.3"/>
    <row r="2581" customFormat="1" x14ac:dyDescent="0.3"/>
    <row r="2582" customFormat="1" x14ac:dyDescent="0.3"/>
    <row r="2583" customFormat="1" x14ac:dyDescent="0.3"/>
    <row r="2584" customFormat="1" x14ac:dyDescent="0.3"/>
    <row r="2585" customFormat="1" x14ac:dyDescent="0.3"/>
    <row r="2586" customFormat="1" x14ac:dyDescent="0.3"/>
    <row r="2587" customFormat="1" x14ac:dyDescent="0.3"/>
    <row r="2588" customFormat="1" x14ac:dyDescent="0.3"/>
    <row r="2589" customFormat="1" x14ac:dyDescent="0.3"/>
    <row r="2590" customFormat="1" x14ac:dyDescent="0.3"/>
    <row r="2591" customFormat="1" x14ac:dyDescent="0.3"/>
    <row r="2592" customFormat="1" x14ac:dyDescent="0.3"/>
    <row r="2593" customFormat="1" x14ac:dyDescent="0.3"/>
    <row r="2594" customFormat="1" x14ac:dyDescent="0.3"/>
    <row r="2595" customFormat="1" x14ac:dyDescent="0.3"/>
    <row r="2596" customFormat="1" x14ac:dyDescent="0.3"/>
    <row r="2597" customFormat="1" x14ac:dyDescent="0.3"/>
    <row r="2598" customFormat="1" x14ac:dyDescent="0.3"/>
    <row r="2599" customFormat="1" x14ac:dyDescent="0.3"/>
    <row r="2600" customFormat="1" x14ac:dyDescent="0.3"/>
    <row r="2601" customFormat="1" x14ac:dyDescent="0.3"/>
    <row r="2602" customFormat="1" x14ac:dyDescent="0.3"/>
    <row r="2603" customFormat="1" x14ac:dyDescent="0.3"/>
    <row r="2604" customFormat="1" x14ac:dyDescent="0.3"/>
    <row r="2605" customFormat="1" x14ac:dyDescent="0.3"/>
    <row r="2606" customFormat="1" x14ac:dyDescent="0.3"/>
    <row r="2607" customFormat="1" x14ac:dyDescent="0.3"/>
    <row r="2608" customFormat="1" x14ac:dyDescent="0.3"/>
    <row r="2609" customFormat="1" x14ac:dyDescent="0.3"/>
    <row r="2610" customFormat="1" x14ac:dyDescent="0.3"/>
    <row r="2611" customFormat="1" x14ac:dyDescent="0.3"/>
    <row r="2612" customFormat="1" x14ac:dyDescent="0.3"/>
    <row r="2613" customFormat="1" x14ac:dyDescent="0.3"/>
    <row r="2614" customFormat="1" x14ac:dyDescent="0.3"/>
    <row r="2615" customFormat="1" x14ac:dyDescent="0.3"/>
    <row r="2616" customFormat="1" x14ac:dyDescent="0.3"/>
    <row r="2617" customFormat="1" x14ac:dyDescent="0.3"/>
    <row r="2618" customFormat="1" x14ac:dyDescent="0.3"/>
    <row r="2619" customFormat="1" x14ac:dyDescent="0.3"/>
    <row r="2620" customFormat="1" x14ac:dyDescent="0.3"/>
    <row r="2621" customFormat="1" x14ac:dyDescent="0.3"/>
    <row r="2622" customFormat="1" x14ac:dyDescent="0.3"/>
    <row r="2623" customFormat="1" x14ac:dyDescent="0.3"/>
    <row r="2624" customFormat="1" x14ac:dyDescent="0.3"/>
    <row r="2625" customFormat="1" x14ac:dyDescent="0.3"/>
    <row r="2626" customFormat="1" x14ac:dyDescent="0.3"/>
    <row r="2627" customFormat="1" x14ac:dyDescent="0.3"/>
    <row r="2628" customFormat="1" x14ac:dyDescent="0.3"/>
    <row r="2629" customFormat="1" x14ac:dyDescent="0.3"/>
    <row r="2630" customFormat="1" x14ac:dyDescent="0.3"/>
    <row r="2631" customFormat="1" x14ac:dyDescent="0.3"/>
    <row r="2632" customFormat="1" x14ac:dyDescent="0.3"/>
    <row r="2633" customFormat="1" x14ac:dyDescent="0.3"/>
    <row r="2634" customFormat="1" x14ac:dyDescent="0.3"/>
    <row r="2635" customFormat="1" x14ac:dyDescent="0.3"/>
    <row r="2636" customFormat="1" x14ac:dyDescent="0.3"/>
    <row r="2637" customFormat="1" x14ac:dyDescent="0.3"/>
    <row r="2638" customFormat="1" x14ac:dyDescent="0.3"/>
    <row r="2639" customFormat="1" x14ac:dyDescent="0.3"/>
    <row r="2640" customFormat="1" x14ac:dyDescent="0.3"/>
    <row r="2641" customFormat="1" x14ac:dyDescent="0.3"/>
    <row r="2642" customFormat="1" x14ac:dyDescent="0.3"/>
    <row r="2643" customFormat="1" x14ac:dyDescent="0.3"/>
    <row r="2644" customFormat="1" x14ac:dyDescent="0.3"/>
    <row r="2645" customFormat="1" x14ac:dyDescent="0.3"/>
    <row r="2646" customFormat="1" x14ac:dyDescent="0.3"/>
    <row r="2647" customFormat="1" x14ac:dyDescent="0.3"/>
    <row r="2648" customFormat="1" x14ac:dyDescent="0.3"/>
    <row r="2649" customFormat="1" x14ac:dyDescent="0.3"/>
    <row r="2650" customFormat="1" x14ac:dyDescent="0.3"/>
    <row r="2651" customFormat="1" x14ac:dyDescent="0.3"/>
    <row r="2652" customFormat="1" x14ac:dyDescent="0.3"/>
    <row r="2653" customFormat="1" x14ac:dyDescent="0.3"/>
    <row r="2654" customFormat="1" x14ac:dyDescent="0.3"/>
    <row r="2655" customFormat="1" x14ac:dyDescent="0.3"/>
    <row r="2656" customFormat="1" x14ac:dyDescent="0.3"/>
    <row r="2657" customFormat="1" x14ac:dyDescent="0.3"/>
    <row r="2658" customFormat="1" x14ac:dyDescent="0.3"/>
    <row r="2659" customFormat="1" x14ac:dyDescent="0.3"/>
    <row r="2660" customFormat="1" x14ac:dyDescent="0.3"/>
    <row r="2661" customFormat="1" x14ac:dyDescent="0.3"/>
    <row r="2662" customFormat="1" x14ac:dyDescent="0.3"/>
    <row r="2663" customFormat="1" x14ac:dyDescent="0.3"/>
    <row r="2664" customFormat="1" x14ac:dyDescent="0.3"/>
    <row r="2665" customFormat="1" x14ac:dyDescent="0.3"/>
    <row r="2666" customFormat="1" x14ac:dyDescent="0.3"/>
    <row r="2667" customFormat="1" x14ac:dyDescent="0.3"/>
    <row r="2668" customFormat="1" x14ac:dyDescent="0.3"/>
    <row r="2669" customFormat="1" x14ac:dyDescent="0.3"/>
    <row r="2670" customFormat="1" x14ac:dyDescent="0.3"/>
    <row r="2671" customFormat="1" x14ac:dyDescent="0.3"/>
    <row r="2672" customFormat="1" x14ac:dyDescent="0.3"/>
    <row r="2673" customFormat="1" x14ac:dyDescent="0.3"/>
    <row r="2674" customFormat="1" x14ac:dyDescent="0.3"/>
    <row r="2675" customFormat="1" x14ac:dyDescent="0.3"/>
    <row r="2676" customFormat="1" x14ac:dyDescent="0.3"/>
    <row r="2677" customFormat="1" x14ac:dyDescent="0.3"/>
    <row r="2678" customFormat="1" x14ac:dyDescent="0.3"/>
    <row r="2679" customFormat="1" x14ac:dyDescent="0.3"/>
    <row r="2680" customFormat="1" x14ac:dyDescent="0.3"/>
    <row r="2681" customFormat="1" x14ac:dyDescent="0.3"/>
    <row r="2682" customFormat="1" x14ac:dyDescent="0.3"/>
    <row r="2683" customFormat="1" x14ac:dyDescent="0.3"/>
    <row r="2684" customFormat="1" x14ac:dyDescent="0.3"/>
    <row r="2685" customFormat="1" x14ac:dyDescent="0.3"/>
    <row r="2686" customFormat="1" x14ac:dyDescent="0.3"/>
    <row r="2687" customFormat="1" x14ac:dyDescent="0.3"/>
    <row r="2688" customFormat="1" x14ac:dyDescent="0.3"/>
    <row r="2689" customFormat="1" x14ac:dyDescent="0.3"/>
    <row r="2690" customFormat="1" x14ac:dyDescent="0.3"/>
    <row r="2691" customFormat="1" x14ac:dyDescent="0.3"/>
    <row r="2692" customFormat="1" x14ac:dyDescent="0.3"/>
    <row r="2693" customFormat="1" x14ac:dyDescent="0.3"/>
    <row r="2694" customFormat="1" x14ac:dyDescent="0.3"/>
    <row r="2695" customFormat="1" x14ac:dyDescent="0.3"/>
    <row r="2696" customFormat="1" x14ac:dyDescent="0.3"/>
    <row r="2697" customFormat="1" x14ac:dyDescent="0.3"/>
    <row r="2698" customFormat="1" x14ac:dyDescent="0.3"/>
    <row r="2699" customFormat="1" x14ac:dyDescent="0.3"/>
    <row r="2700" customFormat="1" x14ac:dyDescent="0.3"/>
    <row r="2701" customFormat="1" x14ac:dyDescent="0.3"/>
    <row r="2702" customFormat="1" x14ac:dyDescent="0.3"/>
    <row r="2703" customFormat="1" x14ac:dyDescent="0.3"/>
    <row r="2704" customFormat="1" x14ac:dyDescent="0.3"/>
    <row r="2705" customFormat="1" x14ac:dyDescent="0.3"/>
    <row r="2706" customFormat="1" x14ac:dyDescent="0.3"/>
    <row r="2707" customFormat="1" x14ac:dyDescent="0.3"/>
    <row r="2708" customFormat="1" x14ac:dyDescent="0.3"/>
    <row r="2709" customFormat="1" x14ac:dyDescent="0.3"/>
    <row r="2710" customFormat="1" x14ac:dyDescent="0.3"/>
    <row r="2711" customFormat="1" x14ac:dyDescent="0.3"/>
    <row r="2712" customFormat="1" x14ac:dyDescent="0.3"/>
    <row r="2713" customFormat="1" x14ac:dyDescent="0.3"/>
    <row r="2714" customFormat="1" x14ac:dyDescent="0.3"/>
    <row r="2715" customFormat="1" x14ac:dyDescent="0.3"/>
    <row r="2716" customFormat="1" x14ac:dyDescent="0.3"/>
    <row r="2717" customFormat="1" x14ac:dyDescent="0.3"/>
    <row r="2718" customFormat="1" x14ac:dyDescent="0.3"/>
    <row r="2719" customFormat="1" x14ac:dyDescent="0.3"/>
    <row r="2720" customFormat="1" x14ac:dyDescent="0.3"/>
    <row r="2721" customFormat="1" x14ac:dyDescent="0.3"/>
    <row r="2722" customFormat="1" x14ac:dyDescent="0.3"/>
    <row r="2723" customFormat="1" x14ac:dyDescent="0.3"/>
    <row r="2724" customFormat="1" x14ac:dyDescent="0.3"/>
    <row r="2725" customFormat="1" x14ac:dyDescent="0.3"/>
    <row r="2726" customFormat="1" x14ac:dyDescent="0.3"/>
    <row r="2727" customFormat="1" x14ac:dyDescent="0.3"/>
    <row r="2728" customFormat="1" x14ac:dyDescent="0.3"/>
    <row r="2729" customFormat="1" x14ac:dyDescent="0.3"/>
    <row r="2730" customFormat="1" x14ac:dyDescent="0.3"/>
    <row r="2731" customFormat="1" x14ac:dyDescent="0.3"/>
    <row r="2732" customFormat="1" x14ac:dyDescent="0.3"/>
    <row r="2733" customFormat="1" x14ac:dyDescent="0.3"/>
    <row r="2734" customFormat="1" x14ac:dyDescent="0.3"/>
    <row r="2735" customFormat="1" x14ac:dyDescent="0.3"/>
    <row r="2736" customFormat="1" x14ac:dyDescent="0.3"/>
    <row r="2737" customFormat="1" x14ac:dyDescent="0.3"/>
    <row r="2738" customFormat="1" x14ac:dyDescent="0.3"/>
    <row r="2739" customFormat="1" x14ac:dyDescent="0.3"/>
    <row r="2740" customFormat="1" x14ac:dyDescent="0.3"/>
    <row r="2741" customFormat="1" x14ac:dyDescent="0.3"/>
    <row r="2742" customFormat="1" x14ac:dyDescent="0.3"/>
    <row r="2743" customFormat="1" x14ac:dyDescent="0.3"/>
    <row r="2744" customFormat="1" x14ac:dyDescent="0.3"/>
    <row r="2745" customFormat="1" x14ac:dyDescent="0.3"/>
    <row r="2746" customFormat="1" x14ac:dyDescent="0.3"/>
    <row r="2747" customFormat="1" x14ac:dyDescent="0.3"/>
    <row r="2748" customFormat="1" x14ac:dyDescent="0.3"/>
    <row r="2749" customFormat="1" x14ac:dyDescent="0.3"/>
    <row r="2750" customFormat="1" x14ac:dyDescent="0.3"/>
    <row r="2751" customFormat="1" x14ac:dyDescent="0.3"/>
    <row r="2752" customFormat="1" x14ac:dyDescent="0.3"/>
    <row r="2753" customFormat="1" x14ac:dyDescent="0.3"/>
    <row r="2754" customFormat="1" x14ac:dyDescent="0.3"/>
    <row r="2755" customFormat="1" x14ac:dyDescent="0.3"/>
    <row r="2756" customFormat="1" x14ac:dyDescent="0.3"/>
    <row r="2757" customFormat="1" x14ac:dyDescent="0.3"/>
    <row r="2758" customFormat="1" x14ac:dyDescent="0.3"/>
    <row r="2759" customFormat="1" x14ac:dyDescent="0.3"/>
    <row r="2760" customFormat="1" x14ac:dyDescent="0.3"/>
    <row r="2761" customFormat="1" x14ac:dyDescent="0.3"/>
    <row r="2762" customFormat="1" x14ac:dyDescent="0.3"/>
    <row r="2763" customFormat="1" x14ac:dyDescent="0.3"/>
    <row r="2764" customFormat="1" x14ac:dyDescent="0.3"/>
    <row r="2765" customFormat="1" x14ac:dyDescent="0.3"/>
    <row r="2766" customFormat="1" x14ac:dyDescent="0.3"/>
    <row r="2767" customFormat="1" x14ac:dyDescent="0.3"/>
    <row r="2768" customFormat="1" x14ac:dyDescent="0.3"/>
    <row r="2769" customFormat="1" x14ac:dyDescent="0.3"/>
    <row r="2770" customFormat="1" x14ac:dyDescent="0.3"/>
    <row r="2771" customFormat="1" x14ac:dyDescent="0.3"/>
    <row r="2772" customFormat="1" x14ac:dyDescent="0.3"/>
    <row r="2773" customFormat="1" x14ac:dyDescent="0.3"/>
    <row r="2774" customFormat="1" x14ac:dyDescent="0.3"/>
    <row r="2775" customFormat="1" x14ac:dyDescent="0.3"/>
    <row r="2776" customFormat="1" x14ac:dyDescent="0.3"/>
    <row r="2777" customFormat="1" x14ac:dyDescent="0.3"/>
    <row r="2778" customFormat="1" x14ac:dyDescent="0.3"/>
    <row r="2779" customFormat="1" x14ac:dyDescent="0.3"/>
    <row r="2780" customFormat="1" x14ac:dyDescent="0.3"/>
    <row r="2781" customFormat="1" x14ac:dyDescent="0.3"/>
    <row r="2782" customFormat="1" x14ac:dyDescent="0.3"/>
    <row r="2783" customFormat="1" x14ac:dyDescent="0.3"/>
    <row r="2784" customFormat="1" x14ac:dyDescent="0.3"/>
    <row r="2785" customFormat="1" x14ac:dyDescent="0.3"/>
    <row r="2786" customFormat="1" x14ac:dyDescent="0.3"/>
    <row r="2787" customFormat="1" x14ac:dyDescent="0.3"/>
    <row r="2788" customFormat="1" x14ac:dyDescent="0.3"/>
    <row r="2789" customFormat="1" x14ac:dyDescent="0.3"/>
    <row r="2790" customFormat="1" x14ac:dyDescent="0.3"/>
    <row r="2791" customFormat="1" x14ac:dyDescent="0.3"/>
    <row r="2792" customFormat="1" x14ac:dyDescent="0.3"/>
    <row r="2793" customFormat="1" x14ac:dyDescent="0.3"/>
    <row r="2794" customFormat="1" x14ac:dyDescent="0.3"/>
    <row r="2795" customFormat="1" x14ac:dyDescent="0.3"/>
    <row r="2796" customFormat="1" x14ac:dyDescent="0.3"/>
    <row r="2797" customFormat="1" x14ac:dyDescent="0.3"/>
    <row r="2798" customFormat="1" x14ac:dyDescent="0.3"/>
    <row r="2799" customFormat="1" x14ac:dyDescent="0.3"/>
    <row r="2800" customFormat="1" x14ac:dyDescent="0.3"/>
    <row r="2801" customFormat="1" x14ac:dyDescent="0.3"/>
    <row r="2802" customFormat="1" x14ac:dyDescent="0.3"/>
    <row r="2803" customFormat="1" x14ac:dyDescent="0.3"/>
    <row r="2804" customFormat="1" x14ac:dyDescent="0.3"/>
    <row r="2805" customFormat="1" x14ac:dyDescent="0.3"/>
    <row r="2806" customFormat="1" x14ac:dyDescent="0.3"/>
    <row r="2807" customFormat="1" x14ac:dyDescent="0.3"/>
    <row r="2808" customFormat="1" x14ac:dyDescent="0.3"/>
    <row r="2809" customFormat="1" x14ac:dyDescent="0.3"/>
    <row r="2810" customFormat="1" x14ac:dyDescent="0.3"/>
    <row r="2811" customFormat="1" x14ac:dyDescent="0.3"/>
    <row r="2812" customFormat="1" x14ac:dyDescent="0.3"/>
    <row r="2813" customFormat="1" x14ac:dyDescent="0.3"/>
    <row r="2814" customFormat="1" x14ac:dyDescent="0.3"/>
    <row r="2815" customFormat="1" x14ac:dyDescent="0.3"/>
    <row r="2816" customFormat="1" x14ac:dyDescent="0.3"/>
    <row r="2817" customFormat="1" x14ac:dyDescent="0.3"/>
    <row r="2818" customFormat="1" x14ac:dyDescent="0.3"/>
    <row r="2819" customFormat="1" x14ac:dyDescent="0.3"/>
    <row r="2820" customFormat="1" x14ac:dyDescent="0.3"/>
    <row r="2821" customFormat="1" x14ac:dyDescent="0.3"/>
    <row r="2822" customFormat="1" x14ac:dyDescent="0.3"/>
    <row r="2823" customFormat="1" x14ac:dyDescent="0.3"/>
    <row r="2824" customFormat="1" x14ac:dyDescent="0.3"/>
    <row r="2825" customFormat="1" x14ac:dyDescent="0.3"/>
    <row r="2826" customFormat="1" x14ac:dyDescent="0.3"/>
    <row r="2827" customFormat="1" x14ac:dyDescent="0.3"/>
    <row r="2828" customFormat="1" x14ac:dyDescent="0.3"/>
    <row r="2829" customFormat="1" x14ac:dyDescent="0.3"/>
    <row r="2830" customFormat="1" x14ac:dyDescent="0.3"/>
    <row r="2831" customFormat="1" x14ac:dyDescent="0.3"/>
    <row r="2832" customFormat="1" x14ac:dyDescent="0.3"/>
    <row r="2833" customFormat="1" x14ac:dyDescent="0.3"/>
    <row r="2834" customFormat="1" x14ac:dyDescent="0.3"/>
    <row r="2835" customFormat="1" x14ac:dyDescent="0.3"/>
    <row r="2836" customFormat="1" x14ac:dyDescent="0.3"/>
    <row r="2837" customFormat="1" x14ac:dyDescent="0.3"/>
    <row r="2838" customFormat="1" x14ac:dyDescent="0.3"/>
    <row r="2839" customFormat="1" x14ac:dyDescent="0.3"/>
    <row r="2840" customFormat="1" x14ac:dyDescent="0.3"/>
    <row r="2841" customFormat="1" x14ac:dyDescent="0.3"/>
    <row r="2842" customFormat="1" x14ac:dyDescent="0.3"/>
    <row r="2843" customFormat="1" x14ac:dyDescent="0.3"/>
    <row r="2844" customFormat="1" x14ac:dyDescent="0.3"/>
    <row r="2845" customFormat="1" x14ac:dyDescent="0.3"/>
    <row r="2846" customFormat="1" x14ac:dyDescent="0.3"/>
    <row r="2847" customFormat="1" x14ac:dyDescent="0.3"/>
    <row r="2848" customFormat="1" x14ac:dyDescent="0.3"/>
    <row r="2849" customFormat="1" x14ac:dyDescent="0.3"/>
    <row r="2850" customFormat="1" x14ac:dyDescent="0.3"/>
    <row r="2851" customFormat="1" x14ac:dyDescent="0.3"/>
    <row r="2852" customFormat="1" x14ac:dyDescent="0.3"/>
    <row r="2853" customFormat="1" x14ac:dyDescent="0.3"/>
    <row r="2854" customFormat="1" x14ac:dyDescent="0.3"/>
    <row r="2855" customFormat="1" x14ac:dyDescent="0.3"/>
    <row r="2856" customFormat="1" x14ac:dyDescent="0.3"/>
    <row r="2857" customFormat="1" x14ac:dyDescent="0.3"/>
    <row r="2858" customFormat="1" x14ac:dyDescent="0.3"/>
    <row r="2859" customFormat="1" x14ac:dyDescent="0.3"/>
    <row r="2860" customFormat="1" x14ac:dyDescent="0.3"/>
    <row r="2861" customFormat="1" x14ac:dyDescent="0.3"/>
    <row r="2862" customFormat="1" x14ac:dyDescent="0.3"/>
    <row r="2863" customFormat="1" x14ac:dyDescent="0.3"/>
    <row r="2864" customFormat="1" x14ac:dyDescent="0.3"/>
    <row r="2865" customFormat="1" x14ac:dyDescent="0.3"/>
    <row r="2866" customFormat="1" x14ac:dyDescent="0.3"/>
    <row r="2867" customFormat="1" x14ac:dyDescent="0.3"/>
    <row r="2868" customFormat="1" x14ac:dyDescent="0.3"/>
    <row r="2869" customFormat="1" x14ac:dyDescent="0.3"/>
    <row r="2870" customFormat="1" x14ac:dyDescent="0.3"/>
    <row r="2871" customFormat="1" x14ac:dyDescent="0.3"/>
    <row r="2872" customFormat="1" x14ac:dyDescent="0.3"/>
    <row r="2873" customFormat="1" x14ac:dyDescent="0.3"/>
    <row r="2874" customFormat="1" x14ac:dyDescent="0.3"/>
    <row r="2875" customFormat="1" x14ac:dyDescent="0.3"/>
    <row r="2876" customFormat="1" x14ac:dyDescent="0.3"/>
    <row r="2877" customFormat="1" x14ac:dyDescent="0.3"/>
    <row r="2878" customFormat="1" x14ac:dyDescent="0.3"/>
    <row r="2879" customFormat="1" x14ac:dyDescent="0.3"/>
    <row r="2880" customFormat="1" x14ac:dyDescent="0.3"/>
    <row r="2881" customFormat="1" x14ac:dyDescent="0.3"/>
    <row r="2882" customFormat="1" x14ac:dyDescent="0.3"/>
    <row r="2883" customFormat="1" x14ac:dyDescent="0.3"/>
    <row r="2884" customFormat="1" x14ac:dyDescent="0.3"/>
    <row r="2885" customFormat="1" x14ac:dyDescent="0.3"/>
    <row r="2886" customFormat="1" x14ac:dyDescent="0.3"/>
    <row r="2887" customFormat="1" x14ac:dyDescent="0.3"/>
    <row r="2888" customFormat="1" x14ac:dyDescent="0.3"/>
    <row r="2889" customFormat="1" x14ac:dyDescent="0.3"/>
    <row r="2890" customFormat="1" x14ac:dyDescent="0.3"/>
    <row r="2891" customFormat="1" x14ac:dyDescent="0.3"/>
    <row r="2892" customFormat="1" x14ac:dyDescent="0.3"/>
    <row r="2893" customFormat="1" x14ac:dyDescent="0.3"/>
    <row r="2894" customFormat="1" x14ac:dyDescent="0.3"/>
    <row r="2895" customFormat="1" x14ac:dyDescent="0.3"/>
    <row r="2896" customFormat="1" x14ac:dyDescent="0.3"/>
    <row r="2897" customFormat="1" x14ac:dyDescent="0.3"/>
    <row r="2898" customFormat="1" x14ac:dyDescent="0.3"/>
    <row r="2899" customFormat="1" x14ac:dyDescent="0.3"/>
    <row r="2900" customFormat="1" x14ac:dyDescent="0.3"/>
    <row r="2901" customFormat="1" x14ac:dyDescent="0.3"/>
    <row r="2902" customFormat="1" x14ac:dyDescent="0.3"/>
    <row r="2903" customFormat="1" x14ac:dyDescent="0.3"/>
    <row r="2904" customFormat="1" x14ac:dyDescent="0.3"/>
    <row r="2905" customFormat="1" x14ac:dyDescent="0.3"/>
    <row r="2906" customFormat="1" x14ac:dyDescent="0.3"/>
    <row r="2907" customFormat="1" x14ac:dyDescent="0.3"/>
    <row r="2908" customFormat="1" x14ac:dyDescent="0.3"/>
    <row r="2909" customFormat="1" x14ac:dyDescent="0.3"/>
    <row r="2910" customFormat="1" x14ac:dyDescent="0.3"/>
    <row r="2911" customFormat="1" x14ac:dyDescent="0.3"/>
    <row r="2912" customFormat="1" x14ac:dyDescent="0.3"/>
    <row r="2913" customFormat="1" x14ac:dyDescent="0.3"/>
    <row r="2914" customFormat="1" x14ac:dyDescent="0.3"/>
    <row r="2915" customFormat="1" x14ac:dyDescent="0.3"/>
    <row r="2916" customFormat="1" x14ac:dyDescent="0.3"/>
    <row r="2917" customFormat="1" x14ac:dyDescent="0.3"/>
    <row r="2918" customFormat="1" x14ac:dyDescent="0.3"/>
    <row r="2919" customFormat="1" x14ac:dyDescent="0.3"/>
    <row r="2920" customFormat="1" x14ac:dyDescent="0.3"/>
    <row r="2921" customFormat="1" x14ac:dyDescent="0.3"/>
    <row r="2922" customFormat="1" x14ac:dyDescent="0.3"/>
    <row r="2923" customFormat="1" x14ac:dyDescent="0.3"/>
    <row r="2924" customFormat="1" x14ac:dyDescent="0.3"/>
    <row r="2925" customFormat="1" x14ac:dyDescent="0.3"/>
    <row r="2926" customFormat="1" x14ac:dyDescent="0.3"/>
    <row r="2927" customFormat="1" x14ac:dyDescent="0.3"/>
    <row r="2928" customFormat="1" x14ac:dyDescent="0.3"/>
    <row r="2929" customFormat="1" x14ac:dyDescent="0.3"/>
    <row r="2930" customFormat="1" x14ac:dyDescent="0.3"/>
    <row r="2931" customFormat="1" x14ac:dyDescent="0.3"/>
    <row r="2932" customFormat="1" x14ac:dyDescent="0.3"/>
    <row r="2933" customFormat="1" x14ac:dyDescent="0.3"/>
    <row r="2934" customFormat="1" x14ac:dyDescent="0.3"/>
    <row r="2935" customFormat="1" x14ac:dyDescent="0.3"/>
    <row r="2936" customFormat="1" x14ac:dyDescent="0.3"/>
    <row r="2937" customFormat="1" x14ac:dyDescent="0.3"/>
    <row r="2938" customFormat="1" x14ac:dyDescent="0.3"/>
    <row r="2939" customFormat="1" x14ac:dyDescent="0.3"/>
    <row r="2940" customFormat="1" x14ac:dyDescent="0.3"/>
    <row r="2941" customFormat="1" x14ac:dyDescent="0.3"/>
    <row r="2942" customFormat="1" x14ac:dyDescent="0.3"/>
    <row r="2943" customFormat="1" x14ac:dyDescent="0.3"/>
    <row r="2944" customFormat="1" x14ac:dyDescent="0.3"/>
    <row r="2945" customFormat="1" x14ac:dyDescent="0.3"/>
    <row r="2946" customFormat="1" x14ac:dyDescent="0.3"/>
    <row r="2947" customFormat="1" x14ac:dyDescent="0.3"/>
    <row r="2948" customFormat="1" x14ac:dyDescent="0.3"/>
    <row r="2949" customFormat="1" x14ac:dyDescent="0.3"/>
    <row r="2950" customFormat="1" x14ac:dyDescent="0.3"/>
    <row r="2951" customFormat="1" x14ac:dyDescent="0.3"/>
    <row r="2952" customFormat="1" x14ac:dyDescent="0.3"/>
    <row r="2953" customFormat="1" x14ac:dyDescent="0.3"/>
    <row r="2954" customFormat="1" x14ac:dyDescent="0.3"/>
    <row r="2955" customFormat="1" x14ac:dyDescent="0.3"/>
    <row r="2956" customFormat="1" x14ac:dyDescent="0.3"/>
    <row r="2957" customFormat="1" x14ac:dyDescent="0.3"/>
    <row r="2958" customFormat="1" x14ac:dyDescent="0.3"/>
    <row r="2959" customFormat="1" x14ac:dyDescent="0.3"/>
    <row r="2960" customFormat="1" x14ac:dyDescent="0.3"/>
    <row r="2961" customFormat="1" x14ac:dyDescent="0.3"/>
    <row r="2962" customFormat="1" x14ac:dyDescent="0.3"/>
    <row r="2963" customFormat="1" x14ac:dyDescent="0.3"/>
    <row r="2964" customFormat="1" x14ac:dyDescent="0.3"/>
    <row r="2965" customFormat="1" x14ac:dyDescent="0.3"/>
    <row r="2966" customFormat="1" x14ac:dyDescent="0.3"/>
    <row r="2967" customFormat="1" x14ac:dyDescent="0.3"/>
    <row r="2968" customFormat="1" x14ac:dyDescent="0.3"/>
    <row r="2969" customFormat="1" x14ac:dyDescent="0.3"/>
    <row r="2970" customFormat="1" x14ac:dyDescent="0.3"/>
    <row r="2971" customFormat="1" x14ac:dyDescent="0.3"/>
    <row r="2972" customFormat="1" x14ac:dyDescent="0.3"/>
    <row r="2973" customFormat="1" x14ac:dyDescent="0.3"/>
    <row r="2974" customFormat="1" x14ac:dyDescent="0.3"/>
    <row r="2975" customFormat="1" x14ac:dyDescent="0.3"/>
    <row r="2976" customFormat="1" x14ac:dyDescent="0.3"/>
    <row r="2977" customFormat="1" x14ac:dyDescent="0.3"/>
    <row r="2978" customFormat="1" x14ac:dyDescent="0.3"/>
    <row r="2979" customFormat="1" x14ac:dyDescent="0.3"/>
    <row r="2980" customFormat="1" x14ac:dyDescent="0.3"/>
    <row r="2981" customFormat="1" x14ac:dyDescent="0.3"/>
    <row r="2982" customFormat="1" x14ac:dyDescent="0.3"/>
    <row r="2983" customFormat="1" x14ac:dyDescent="0.3"/>
    <row r="2984" customFormat="1" x14ac:dyDescent="0.3"/>
    <row r="2985" customFormat="1" x14ac:dyDescent="0.3"/>
    <row r="2986" customFormat="1" x14ac:dyDescent="0.3"/>
    <row r="2987" customFormat="1" x14ac:dyDescent="0.3"/>
    <row r="2988" customFormat="1" x14ac:dyDescent="0.3"/>
    <row r="2989" customFormat="1" x14ac:dyDescent="0.3"/>
    <row r="2990" customFormat="1" x14ac:dyDescent="0.3"/>
    <row r="2991" customFormat="1" x14ac:dyDescent="0.3"/>
    <row r="2992" customFormat="1" x14ac:dyDescent="0.3"/>
    <row r="2993" customFormat="1" x14ac:dyDescent="0.3"/>
    <row r="2994" customFormat="1" x14ac:dyDescent="0.3"/>
    <row r="2995" customFormat="1" x14ac:dyDescent="0.3"/>
    <row r="2996" customFormat="1" x14ac:dyDescent="0.3"/>
    <row r="2997" customFormat="1" x14ac:dyDescent="0.3"/>
    <row r="2998" customFormat="1" x14ac:dyDescent="0.3"/>
    <row r="2999" customFormat="1" x14ac:dyDescent="0.3"/>
    <row r="3000" customFormat="1" x14ac:dyDescent="0.3"/>
    <row r="3001" customFormat="1" x14ac:dyDescent="0.3"/>
    <row r="3002" customFormat="1" x14ac:dyDescent="0.3"/>
    <row r="3003" customFormat="1" x14ac:dyDescent="0.3"/>
    <row r="3004" customFormat="1" x14ac:dyDescent="0.3"/>
    <row r="3005" customFormat="1" x14ac:dyDescent="0.3"/>
    <row r="3006" customFormat="1" x14ac:dyDescent="0.3"/>
    <row r="3007" customFormat="1" x14ac:dyDescent="0.3"/>
    <row r="3008" customFormat="1" x14ac:dyDescent="0.3"/>
    <row r="3009" customFormat="1" x14ac:dyDescent="0.3"/>
    <row r="3010" customFormat="1" x14ac:dyDescent="0.3"/>
    <row r="3011" customFormat="1" x14ac:dyDescent="0.3"/>
    <row r="3012" customFormat="1" x14ac:dyDescent="0.3"/>
    <row r="3013" customFormat="1" x14ac:dyDescent="0.3"/>
    <row r="3014" customFormat="1" x14ac:dyDescent="0.3"/>
    <row r="3015" customFormat="1" x14ac:dyDescent="0.3"/>
    <row r="3016" customFormat="1" x14ac:dyDescent="0.3"/>
    <row r="3017" customFormat="1" x14ac:dyDescent="0.3"/>
    <row r="3018" customFormat="1" x14ac:dyDescent="0.3"/>
    <row r="3019" customFormat="1" x14ac:dyDescent="0.3"/>
    <row r="3020" customFormat="1" x14ac:dyDescent="0.3"/>
    <row r="3021" customFormat="1" x14ac:dyDescent="0.3"/>
    <row r="3022" customFormat="1" x14ac:dyDescent="0.3"/>
    <row r="3023" customFormat="1" x14ac:dyDescent="0.3"/>
    <row r="3024" customFormat="1" x14ac:dyDescent="0.3"/>
    <row r="3025" customFormat="1" x14ac:dyDescent="0.3"/>
    <row r="3026" customFormat="1" x14ac:dyDescent="0.3"/>
    <row r="3027" customFormat="1" x14ac:dyDescent="0.3"/>
    <row r="3028" customFormat="1" x14ac:dyDescent="0.3"/>
    <row r="3029" customFormat="1" x14ac:dyDescent="0.3"/>
    <row r="3030" customFormat="1" x14ac:dyDescent="0.3"/>
    <row r="3031" customFormat="1" x14ac:dyDescent="0.3"/>
    <row r="3032" customFormat="1" x14ac:dyDescent="0.3"/>
    <row r="3033" customFormat="1" x14ac:dyDescent="0.3"/>
    <row r="3034" customFormat="1" x14ac:dyDescent="0.3"/>
    <row r="3035" customFormat="1" x14ac:dyDescent="0.3"/>
    <row r="3036" customFormat="1" x14ac:dyDescent="0.3"/>
    <row r="3037" customFormat="1" x14ac:dyDescent="0.3"/>
    <row r="3038" customFormat="1" x14ac:dyDescent="0.3"/>
    <row r="3039" customFormat="1" x14ac:dyDescent="0.3"/>
    <row r="3040" customFormat="1" x14ac:dyDescent="0.3"/>
    <row r="3041" customFormat="1" x14ac:dyDescent="0.3"/>
    <row r="3042" customFormat="1" x14ac:dyDescent="0.3"/>
    <row r="3043" customFormat="1" x14ac:dyDescent="0.3"/>
    <row r="3044" customFormat="1" x14ac:dyDescent="0.3"/>
    <row r="3045" customFormat="1" x14ac:dyDescent="0.3"/>
    <row r="3046" customFormat="1" x14ac:dyDescent="0.3"/>
    <row r="3047" customFormat="1" x14ac:dyDescent="0.3"/>
    <row r="3048" customFormat="1" x14ac:dyDescent="0.3"/>
    <row r="3049" customFormat="1" x14ac:dyDescent="0.3"/>
    <row r="3050" customFormat="1" x14ac:dyDescent="0.3"/>
    <row r="3051" customFormat="1" x14ac:dyDescent="0.3"/>
    <row r="3052" customFormat="1" x14ac:dyDescent="0.3"/>
    <row r="3053" customFormat="1" x14ac:dyDescent="0.3"/>
    <row r="3054" customFormat="1" x14ac:dyDescent="0.3"/>
    <row r="3055" customFormat="1" x14ac:dyDescent="0.3"/>
    <row r="3056" customFormat="1" x14ac:dyDescent="0.3"/>
    <row r="3057" customFormat="1" x14ac:dyDescent="0.3"/>
    <row r="3058" customFormat="1" x14ac:dyDescent="0.3"/>
    <row r="3059" customFormat="1" x14ac:dyDescent="0.3"/>
    <row r="3060" customFormat="1" x14ac:dyDescent="0.3"/>
    <row r="3061" customFormat="1" x14ac:dyDescent="0.3"/>
    <row r="3062" customFormat="1" x14ac:dyDescent="0.3"/>
    <row r="3063" customFormat="1" x14ac:dyDescent="0.3"/>
    <row r="3064" customFormat="1" x14ac:dyDescent="0.3"/>
    <row r="3065" customFormat="1" x14ac:dyDescent="0.3"/>
    <row r="3066" customFormat="1" x14ac:dyDescent="0.3"/>
    <row r="3067" customFormat="1" x14ac:dyDescent="0.3"/>
    <row r="3068" customFormat="1" x14ac:dyDescent="0.3"/>
    <row r="3069" customFormat="1" x14ac:dyDescent="0.3"/>
    <row r="3070" customFormat="1" x14ac:dyDescent="0.3"/>
    <row r="3071" customFormat="1" x14ac:dyDescent="0.3"/>
    <row r="3072" customFormat="1" x14ac:dyDescent="0.3"/>
    <row r="3073" customFormat="1" x14ac:dyDescent="0.3"/>
    <row r="3074" customFormat="1" x14ac:dyDescent="0.3"/>
    <row r="3075" customFormat="1" x14ac:dyDescent="0.3"/>
    <row r="3076" customFormat="1" x14ac:dyDescent="0.3"/>
    <row r="3077" customFormat="1" x14ac:dyDescent="0.3"/>
    <row r="3078" customFormat="1" x14ac:dyDescent="0.3"/>
    <row r="3079" customFormat="1" x14ac:dyDescent="0.3"/>
    <row r="3080" customFormat="1" x14ac:dyDescent="0.3"/>
    <row r="3081" customFormat="1" x14ac:dyDescent="0.3"/>
    <row r="3082" customFormat="1" x14ac:dyDescent="0.3"/>
    <row r="3083" customFormat="1" x14ac:dyDescent="0.3"/>
    <row r="3084" customFormat="1" x14ac:dyDescent="0.3"/>
    <row r="3085" customFormat="1" x14ac:dyDescent="0.3"/>
    <row r="3086" customFormat="1" x14ac:dyDescent="0.3"/>
    <row r="3087" customFormat="1" x14ac:dyDescent="0.3"/>
    <row r="3088" customFormat="1" x14ac:dyDescent="0.3"/>
    <row r="3089" customFormat="1" x14ac:dyDescent="0.3"/>
    <row r="3090" customFormat="1" x14ac:dyDescent="0.3"/>
    <row r="3091" customFormat="1" x14ac:dyDescent="0.3"/>
    <row r="3092" customFormat="1" x14ac:dyDescent="0.3"/>
    <row r="3093" customFormat="1" x14ac:dyDescent="0.3"/>
    <row r="3094" customFormat="1" x14ac:dyDescent="0.3"/>
    <row r="3095" customFormat="1" x14ac:dyDescent="0.3"/>
    <row r="3096" customFormat="1" x14ac:dyDescent="0.3"/>
    <row r="3097" customFormat="1" x14ac:dyDescent="0.3"/>
    <row r="3098" customFormat="1" x14ac:dyDescent="0.3"/>
    <row r="3099" customFormat="1" x14ac:dyDescent="0.3"/>
    <row r="3100" customFormat="1" x14ac:dyDescent="0.3"/>
    <row r="3101" customFormat="1" x14ac:dyDescent="0.3"/>
    <row r="3102" customFormat="1" x14ac:dyDescent="0.3"/>
    <row r="3103" customFormat="1" x14ac:dyDescent="0.3"/>
    <row r="3104" customFormat="1" x14ac:dyDescent="0.3"/>
    <row r="3105" customFormat="1" x14ac:dyDescent="0.3"/>
    <row r="3106" customFormat="1" x14ac:dyDescent="0.3"/>
    <row r="3107" customFormat="1" x14ac:dyDescent="0.3"/>
    <row r="3108" customFormat="1" x14ac:dyDescent="0.3"/>
    <row r="3109" customFormat="1" x14ac:dyDescent="0.3"/>
    <row r="3110" customFormat="1" x14ac:dyDescent="0.3"/>
    <row r="3111" customFormat="1" x14ac:dyDescent="0.3"/>
    <row r="3112" customFormat="1" x14ac:dyDescent="0.3"/>
    <row r="3113" customFormat="1" x14ac:dyDescent="0.3"/>
    <row r="3114" customFormat="1" x14ac:dyDescent="0.3"/>
    <row r="3115" customFormat="1" x14ac:dyDescent="0.3"/>
    <row r="3116" customFormat="1" x14ac:dyDescent="0.3"/>
    <row r="3117" customFormat="1" x14ac:dyDescent="0.3"/>
    <row r="3118" customFormat="1" x14ac:dyDescent="0.3"/>
    <row r="3119" customFormat="1" x14ac:dyDescent="0.3"/>
    <row r="3120" customFormat="1" x14ac:dyDescent="0.3"/>
    <row r="3121" customFormat="1" x14ac:dyDescent="0.3"/>
    <row r="3122" customFormat="1" x14ac:dyDescent="0.3"/>
    <row r="3123" customFormat="1" x14ac:dyDescent="0.3"/>
    <row r="3124" customFormat="1" x14ac:dyDescent="0.3"/>
    <row r="3125" customFormat="1" x14ac:dyDescent="0.3"/>
    <row r="3126" customFormat="1" x14ac:dyDescent="0.3"/>
    <row r="3127" customFormat="1" x14ac:dyDescent="0.3"/>
    <row r="3128" customFormat="1" x14ac:dyDescent="0.3"/>
    <row r="3129" customFormat="1" x14ac:dyDescent="0.3"/>
    <row r="3130" customFormat="1" x14ac:dyDescent="0.3"/>
    <row r="3131" customFormat="1" x14ac:dyDescent="0.3"/>
    <row r="3132" customFormat="1" x14ac:dyDescent="0.3"/>
    <row r="3133" customFormat="1" x14ac:dyDescent="0.3"/>
    <row r="3134" customFormat="1" x14ac:dyDescent="0.3"/>
    <row r="3135" customFormat="1" x14ac:dyDescent="0.3"/>
    <row r="3136" customFormat="1" x14ac:dyDescent="0.3"/>
    <row r="3137" customFormat="1" x14ac:dyDescent="0.3"/>
    <row r="3138" customFormat="1" x14ac:dyDescent="0.3"/>
    <row r="3139" customFormat="1" x14ac:dyDescent="0.3"/>
    <row r="3140" customFormat="1" x14ac:dyDescent="0.3"/>
    <row r="3141" customFormat="1" x14ac:dyDescent="0.3"/>
    <row r="3142" customFormat="1" x14ac:dyDescent="0.3"/>
    <row r="3143" customFormat="1" x14ac:dyDescent="0.3"/>
    <row r="3144" customFormat="1" x14ac:dyDescent="0.3"/>
    <row r="3145" customFormat="1" x14ac:dyDescent="0.3"/>
    <row r="3146" customFormat="1" x14ac:dyDescent="0.3"/>
    <row r="3147" customFormat="1" x14ac:dyDescent="0.3"/>
    <row r="3148" customFormat="1" x14ac:dyDescent="0.3"/>
    <row r="3149" customFormat="1" x14ac:dyDescent="0.3"/>
    <row r="3150" customFormat="1" x14ac:dyDescent="0.3"/>
    <row r="3151" customFormat="1" x14ac:dyDescent="0.3"/>
    <row r="3152" customFormat="1" x14ac:dyDescent="0.3"/>
    <row r="3153" customFormat="1" x14ac:dyDescent="0.3"/>
    <row r="3154" customFormat="1" x14ac:dyDescent="0.3"/>
    <row r="3155" customFormat="1" x14ac:dyDescent="0.3"/>
    <row r="3156" customFormat="1" x14ac:dyDescent="0.3"/>
    <row r="3157" customFormat="1" x14ac:dyDescent="0.3"/>
    <row r="3158" customFormat="1" x14ac:dyDescent="0.3"/>
    <row r="3159" customFormat="1" x14ac:dyDescent="0.3"/>
    <row r="3160" customFormat="1" x14ac:dyDescent="0.3"/>
    <row r="3161" customFormat="1" x14ac:dyDescent="0.3"/>
    <row r="3162" customFormat="1" x14ac:dyDescent="0.3"/>
    <row r="3163" customFormat="1" x14ac:dyDescent="0.3"/>
    <row r="3164" customFormat="1" x14ac:dyDescent="0.3"/>
    <row r="3165" customFormat="1" x14ac:dyDescent="0.3"/>
    <row r="3166" customFormat="1" x14ac:dyDescent="0.3"/>
    <row r="3167" customFormat="1" x14ac:dyDescent="0.3"/>
    <row r="3168" customFormat="1" x14ac:dyDescent="0.3"/>
    <row r="3169" customFormat="1" x14ac:dyDescent="0.3"/>
    <row r="3170" customFormat="1" x14ac:dyDescent="0.3"/>
    <row r="3171" customFormat="1" x14ac:dyDescent="0.3"/>
    <row r="3172" customFormat="1" x14ac:dyDescent="0.3"/>
    <row r="3173" customFormat="1" x14ac:dyDescent="0.3"/>
    <row r="3174" customFormat="1" x14ac:dyDescent="0.3"/>
    <row r="3175" customFormat="1" x14ac:dyDescent="0.3"/>
    <row r="3176" customFormat="1" x14ac:dyDescent="0.3"/>
    <row r="3177" customFormat="1" x14ac:dyDescent="0.3"/>
    <row r="3178" customFormat="1" x14ac:dyDescent="0.3"/>
    <row r="3179" customFormat="1" x14ac:dyDescent="0.3"/>
    <row r="3180" customFormat="1" x14ac:dyDescent="0.3"/>
    <row r="3181" customFormat="1" x14ac:dyDescent="0.3"/>
    <row r="3182" customFormat="1" x14ac:dyDescent="0.3"/>
    <row r="3183" customFormat="1" x14ac:dyDescent="0.3"/>
    <row r="3184" customFormat="1" x14ac:dyDescent="0.3"/>
    <row r="3185" customFormat="1" x14ac:dyDescent="0.3"/>
    <row r="3186" customFormat="1" x14ac:dyDescent="0.3"/>
    <row r="3187" customFormat="1" x14ac:dyDescent="0.3"/>
    <row r="3188" customFormat="1" x14ac:dyDescent="0.3"/>
    <row r="3189" customFormat="1" x14ac:dyDescent="0.3"/>
    <row r="3190" customFormat="1" x14ac:dyDescent="0.3"/>
    <row r="3191" customFormat="1" x14ac:dyDescent="0.3"/>
    <row r="3192" customFormat="1" x14ac:dyDescent="0.3"/>
    <row r="3193" customFormat="1" x14ac:dyDescent="0.3"/>
    <row r="3194" customFormat="1" x14ac:dyDescent="0.3"/>
    <row r="3195" customFormat="1" x14ac:dyDescent="0.3"/>
    <row r="3196" customFormat="1" x14ac:dyDescent="0.3"/>
    <row r="3197" customFormat="1" x14ac:dyDescent="0.3"/>
    <row r="3198" customFormat="1" x14ac:dyDescent="0.3"/>
    <row r="3199" customFormat="1" x14ac:dyDescent="0.3"/>
    <row r="3200" customFormat="1" x14ac:dyDescent="0.3"/>
    <row r="3201" customFormat="1" x14ac:dyDescent="0.3"/>
    <row r="3202" customFormat="1" x14ac:dyDescent="0.3"/>
    <row r="3203" customFormat="1" x14ac:dyDescent="0.3"/>
    <row r="3204" customFormat="1" x14ac:dyDescent="0.3"/>
    <row r="3205" customFormat="1" x14ac:dyDescent="0.3"/>
    <row r="3206" customFormat="1" x14ac:dyDescent="0.3"/>
    <row r="3207" customFormat="1" x14ac:dyDescent="0.3"/>
    <row r="3208" customFormat="1" x14ac:dyDescent="0.3"/>
    <row r="3209" customFormat="1" x14ac:dyDescent="0.3"/>
    <row r="3210" customFormat="1" x14ac:dyDescent="0.3"/>
    <row r="3211" customFormat="1" x14ac:dyDescent="0.3"/>
    <row r="3212" customFormat="1" x14ac:dyDescent="0.3"/>
    <row r="3213" customFormat="1" x14ac:dyDescent="0.3"/>
    <row r="3214" customFormat="1" x14ac:dyDescent="0.3"/>
    <row r="3215" customFormat="1" x14ac:dyDescent="0.3"/>
    <row r="3216" customFormat="1" x14ac:dyDescent="0.3"/>
    <row r="3217" customFormat="1" x14ac:dyDescent="0.3"/>
    <row r="3218" customFormat="1" x14ac:dyDescent="0.3"/>
    <row r="3219" customFormat="1" x14ac:dyDescent="0.3"/>
    <row r="3220" customFormat="1" x14ac:dyDescent="0.3"/>
    <row r="3221" customFormat="1" x14ac:dyDescent="0.3"/>
    <row r="3222" customFormat="1" x14ac:dyDescent="0.3"/>
    <row r="3223" customFormat="1" x14ac:dyDescent="0.3"/>
    <row r="3224" customFormat="1" x14ac:dyDescent="0.3"/>
    <row r="3225" customFormat="1" x14ac:dyDescent="0.3"/>
    <row r="3226" customFormat="1" x14ac:dyDescent="0.3"/>
    <row r="3227" customFormat="1" x14ac:dyDescent="0.3"/>
    <row r="3228" customFormat="1" x14ac:dyDescent="0.3"/>
    <row r="3229" customFormat="1" x14ac:dyDescent="0.3"/>
    <row r="3230" customFormat="1" x14ac:dyDescent="0.3"/>
    <row r="3231" customFormat="1" x14ac:dyDescent="0.3"/>
    <row r="3232" customFormat="1" x14ac:dyDescent="0.3"/>
    <row r="3233" customFormat="1" x14ac:dyDescent="0.3"/>
    <row r="3234" customFormat="1" x14ac:dyDescent="0.3"/>
    <row r="3235" customFormat="1" x14ac:dyDescent="0.3"/>
    <row r="3236" customFormat="1" x14ac:dyDescent="0.3"/>
    <row r="3237" customFormat="1" x14ac:dyDescent="0.3"/>
    <row r="3238" customFormat="1" x14ac:dyDescent="0.3"/>
    <row r="3239" customFormat="1" x14ac:dyDescent="0.3"/>
    <row r="3240" customFormat="1" x14ac:dyDescent="0.3"/>
    <row r="3241" customFormat="1" x14ac:dyDescent="0.3"/>
    <row r="3242" customFormat="1" x14ac:dyDescent="0.3"/>
    <row r="3243" customFormat="1" x14ac:dyDescent="0.3"/>
    <row r="3244" customFormat="1" x14ac:dyDescent="0.3"/>
    <row r="3245" customFormat="1" x14ac:dyDescent="0.3"/>
    <row r="3246" customFormat="1" x14ac:dyDescent="0.3"/>
    <row r="3247" customFormat="1" x14ac:dyDescent="0.3"/>
    <row r="3248" customFormat="1" x14ac:dyDescent="0.3"/>
    <row r="3249" customFormat="1" x14ac:dyDescent="0.3"/>
    <row r="3250" customFormat="1" x14ac:dyDescent="0.3"/>
    <row r="3251" customFormat="1" x14ac:dyDescent="0.3"/>
    <row r="3252" customFormat="1" x14ac:dyDescent="0.3"/>
    <row r="3253" customFormat="1" x14ac:dyDescent="0.3"/>
    <row r="3254" customFormat="1" x14ac:dyDescent="0.3"/>
    <row r="3255" customFormat="1" x14ac:dyDescent="0.3"/>
    <row r="3256" customFormat="1" x14ac:dyDescent="0.3"/>
    <row r="3257" customFormat="1" x14ac:dyDescent="0.3"/>
    <row r="3258" customFormat="1" x14ac:dyDescent="0.3"/>
    <row r="3259" customFormat="1" x14ac:dyDescent="0.3"/>
    <row r="3260" customFormat="1" x14ac:dyDescent="0.3"/>
    <row r="3261" customFormat="1" x14ac:dyDescent="0.3"/>
    <row r="3262" customFormat="1" x14ac:dyDescent="0.3"/>
    <row r="3263" customFormat="1" x14ac:dyDescent="0.3"/>
    <row r="3264" customFormat="1" x14ac:dyDescent="0.3"/>
    <row r="3265" customFormat="1" x14ac:dyDescent="0.3"/>
    <row r="3266" customFormat="1" x14ac:dyDescent="0.3"/>
    <row r="3267" customFormat="1" x14ac:dyDescent="0.3"/>
    <row r="3268" customFormat="1" x14ac:dyDescent="0.3"/>
    <row r="3269" customFormat="1" x14ac:dyDescent="0.3"/>
    <row r="3270" customFormat="1" x14ac:dyDescent="0.3"/>
    <row r="3271" customFormat="1" x14ac:dyDescent="0.3"/>
    <row r="3272" customFormat="1" x14ac:dyDescent="0.3"/>
    <row r="3273" customFormat="1" x14ac:dyDescent="0.3"/>
    <row r="3274" customFormat="1" x14ac:dyDescent="0.3"/>
    <row r="3275" customFormat="1" x14ac:dyDescent="0.3"/>
    <row r="3276" customFormat="1" x14ac:dyDescent="0.3"/>
    <row r="3277" customFormat="1" x14ac:dyDescent="0.3"/>
    <row r="3278" customFormat="1" x14ac:dyDescent="0.3"/>
    <row r="3279" customFormat="1" x14ac:dyDescent="0.3"/>
    <row r="3280" customFormat="1" x14ac:dyDescent="0.3"/>
    <row r="3281" customFormat="1" x14ac:dyDescent="0.3"/>
    <row r="3282" customFormat="1" x14ac:dyDescent="0.3"/>
    <row r="3283" customFormat="1" x14ac:dyDescent="0.3"/>
    <row r="3284" customFormat="1" x14ac:dyDescent="0.3"/>
    <row r="3285" customFormat="1" x14ac:dyDescent="0.3"/>
    <row r="3286" customFormat="1" x14ac:dyDescent="0.3"/>
    <row r="3287" customFormat="1" x14ac:dyDescent="0.3"/>
    <row r="3288" customFormat="1" x14ac:dyDescent="0.3"/>
    <row r="3289" customFormat="1" x14ac:dyDescent="0.3"/>
    <row r="3290" customFormat="1" x14ac:dyDescent="0.3"/>
    <row r="3291" customFormat="1" x14ac:dyDescent="0.3"/>
    <row r="3292" customFormat="1" x14ac:dyDescent="0.3"/>
    <row r="3293" customFormat="1" x14ac:dyDescent="0.3"/>
    <row r="3294" customFormat="1" x14ac:dyDescent="0.3"/>
    <row r="3295" customFormat="1" x14ac:dyDescent="0.3"/>
    <row r="3296" customFormat="1" x14ac:dyDescent="0.3"/>
    <row r="3297" customFormat="1" x14ac:dyDescent="0.3"/>
    <row r="3298" customFormat="1" x14ac:dyDescent="0.3"/>
    <row r="3299" customFormat="1" x14ac:dyDescent="0.3"/>
    <row r="3300" customFormat="1" x14ac:dyDescent="0.3"/>
    <row r="3301" customFormat="1" x14ac:dyDescent="0.3"/>
    <row r="3302" customFormat="1" x14ac:dyDescent="0.3"/>
    <row r="3303" customFormat="1" x14ac:dyDescent="0.3"/>
    <row r="3304" customFormat="1" x14ac:dyDescent="0.3"/>
    <row r="3305" customFormat="1" x14ac:dyDescent="0.3"/>
    <row r="3306" customFormat="1" x14ac:dyDescent="0.3"/>
    <row r="3307" customFormat="1" x14ac:dyDescent="0.3"/>
    <row r="3308" customFormat="1" x14ac:dyDescent="0.3"/>
    <row r="3309" customFormat="1" x14ac:dyDescent="0.3"/>
    <row r="3310" customFormat="1" x14ac:dyDescent="0.3"/>
    <row r="3311" customFormat="1" x14ac:dyDescent="0.3"/>
    <row r="3312" customFormat="1" x14ac:dyDescent="0.3"/>
    <row r="3313" customFormat="1" x14ac:dyDescent="0.3"/>
    <row r="3314" customFormat="1" x14ac:dyDescent="0.3"/>
    <row r="3315" customFormat="1" x14ac:dyDescent="0.3"/>
    <row r="3316" customFormat="1" x14ac:dyDescent="0.3"/>
    <row r="3317" customFormat="1" x14ac:dyDescent="0.3"/>
    <row r="3318" customFormat="1" x14ac:dyDescent="0.3"/>
    <row r="3319" customFormat="1" x14ac:dyDescent="0.3"/>
    <row r="3320" customFormat="1" x14ac:dyDescent="0.3"/>
    <row r="3321" customFormat="1" x14ac:dyDescent="0.3"/>
    <row r="3322" customFormat="1" x14ac:dyDescent="0.3"/>
    <row r="3323" customFormat="1" x14ac:dyDescent="0.3"/>
    <row r="3324" customFormat="1" x14ac:dyDescent="0.3"/>
    <row r="3325" customFormat="1" x14ac:dyDescent="0.3"/>
    <row r="3326" customFormat="1" x14ac:dyDescent="0.3"/>
    <row r="3327" customFormat="1" x14ac:dyDescent="0.3"/>
    <row r="3328" customFormat="1" x14ac:dyDescent="0.3"/>
    <row r="3329" customFormat="1" x14ac:dyDescent="0.3"/>
    <row r="3330" customFormat="1" x14ac:dyDescent="0.3"/>
    <row r="3331" customFormat="1" x14ac:dyDescent="0.3"/>
    <row r="3332" customFormat="1" x14ac:dyDescent="0.3"/>
    <row r="3333" customFormat="1" x14ac:dyDescent="0.3"/>
    <row r="3334" customFormat="1" x14ac:dyDescent="0.3"/>
    <row r="3335" customFormat="1" x14ac:dyDescent="0.3"/>
    <row r="3336" customFormat="1" x14ac:dyDescent="0.3"/>
    <row r="3337" customFormat="1" x14ac:dyDescent="0.3"/>
    <row r="3338" customFormat="1" x14ac:dyDescent="0.3"/>
    <row r="3339" customFormat="1" x14ac:dyDescent="0.3"/>
    <row r="3340" customFormat="1" x14ac:dyDescent="0.3"/>
    <row r="3341" customFormat="1" x14ac:dyDescent="0.3"/>
    <row r="3342" customFormat="1" x14ac:dyDescent="0.3"/>
    <row r="3343" customFormat="1" x14ac:dyDescent="0.3"/>
    <row r="3344" customFormat="1" x14ac:dyDescent="0.3"/>
    <row r="3345" customFormat="1" x14ac:dyDescent="0.3"/>
    <row r="3346" customFormat="1" x14ac:dyDescent="0.3"/>
    <row r="3347" customFormat="1" x14ac:dyDescent="0.3"/>
    <row r="3348" customFormat="1" x14ac:dyDescent="0.3"/>
    <row r="3349" customFormat="1" x14ac:dyDescent="0.3"/>
    <row r="3350" customFormat="1" x14ac:dyDescent="0.3"/>
    <row r="3351" customFormat="1" x14ac:dyDescent="0.3"/>
    <row r="3352" customFormat="1" x14ac:dyDescent="0.3"/>
    <row r="3353" customFormat="1" x14ac:dyDescent="0.3"/>
    <row r="3354" customFormat="1" x14ac:dyDescent="0.3"/>
    <row r="3355" customFormat="1" x14ac:dyDescent="0.3"/>
    <row r="3356" customFormat="1" x14ac:dyDescent="0.3"/>
    <row r="3357" customFormat="1" x14ac:dyDescent="0.3"/>
    <row r="3358" customFormat="1" x14ac:dyDescent="0.3"/>
    <row r="3359" customFormat="1" x14ac:dyDescent="0.3"/>
    <row r="3360" customFormat="1" x14ac:dyDescent="0.3"/>
    <row r="3361" customFormat="1" x14ac:dyDescent="0.3"/>
    <row r="3362" customFormat="1" x14ac:dyDescent="0.3"/>
    <row r="3363" customFormat="1" x14ac:dyDescent="0.3"/>
    <row r="3364" customFormat="1" x14ac:dyDescent="0.3"/>
    <row r="3365" customFormat="1" x14ac:dyDescent="0.3"/>
    <row r="3366" customFormat="1" x14ac:dyDescent="0.3"/>
    <row r="3367" customFormat="1" x14ac:dyDescent="0.3"/>
    <row r="3368" customFormat="1" x14ac:dyDescent="0.3"/>
    <row r="3369" customFormat="1" x14ac:dyDescent="0.3"/>
    <row r="3370" customFormat="1" x14ac:dyDescent="0.3"/>
    <row r="3371" customFormat="1" x14ac:dyDescent="0.3"/>
    <row r="3372" customFormat="1" x14ac:dyDescent="0.3"/>
    <row r="3373" customFormat="1" x14ac:dyDescent="0.3"/>
    <row r="3374" customFormat="1" x14ac:dyDescent="0.3"/>
    <row r="3375" customFormat="1" x14ac:dyDescent="0.3"/>
    <row r="3376" customFormat="1" x14ac:dyDescent="0.3"/>
    <row r="3377" customFormat="1" x14ac:dyDescent="0.3"/>
    <row r="3378" customFormat="1" x14ac:dyDescent="0.3"/>
    <row r="3379" customFormat="1" x14ac:dyDescent="0.3"/>
    <row r="3380" customFormat="1" x14ac:dyDescent="0.3"/>
    <row r="3381" customFormat="1" x14ac:dyDescent="0.3"/>
    <row r="3382" customFormat="1" x14ac:dyDescent="0.3"/>
    <row r="3383" customFormat="1" x14ac:dyDescent="0.3"/>
    <row r="3384" customFormat="1" x14ac:dyDescent="0.3"/>
    <row r="3385" customFormat="1" x14ac:dyDescent="0.3"/>
    <row r="3386" customFormat="1" x14ac:dyDescent="0.3"/>
    <row r="3387" customFormat="1" x14ac:dyDescent="0.3"/>
    <row r="3388" customFormat="1" x14ac:dyDescent="0.3"/>
    <row r="3389" customFormat="1" x14ac:dyDescent="0.3"/>
    <row r="3390" customFormat="1" x14ac:dyDescent="0.3"/>
    <row r="3391" customFormat="1" x14ac:dyDescent="0.3"/>
    <row r="3392" customFormat="1" x14ac:dyDescent="0.3"/>
    <row r="3393" customFormat="1" x14ac:dyDescent="0.3"/>
    <row r="3394" customFormat="1" x14ac:dyDescent="0.3"/>
    <row r="3395" customFormat="1" x14ac:dyDescent="0.3"/>
    <row r="3396" customFormat="1" x14ac:dyDescent="0.3"/>
    <row r="3397" customFormat="1" x14ac:dyDescent="0.3"/>
    <row r="3398" customFormat="1" x14ac:dyDescent="0.3"/>
    <row r="3399" customFormat="1" x14ac:dyDescent="0.3"/>
    <row r="3400" customFormat="1" x14ac:dyDescent="0.3"/>
    <row r="3401" customFormat="1" x14ac:dyDescent="0.3"/>
    <row r="3402" customFormat="1" x14ac:dyDescent="0.3"/>
    <row r="3403" customFormat="1" x14ac:dyDescent="0.3"/>
    <row r="3404" customFormat="1" x14ac:dyDescent="0.3"/>
    <row r="3405" customFormat="1" x14ac:dyDescent="0.3"/>
    <row r="3406" customFormat="1" x14ac:dyDescent="0.3"/>
    <row r="3407" customFormat="1" x14ac:dyDescent="0.3"/>
    <row r="3408" customFormat="1" x14ac:dyDescent="0.3"/>
    <row r="3409" customFormat="1" x14ac:dyDescent="0.3"/>
    <row r="3410" customFormat="1" x14ac:dyDescent="0.3"/>
    <row r="3411" customFormat="1" x14ac:dyDescent="0.3"/>
    <row r="3412" customFormat="1" x14ac:dyDescent="0.3"/>
    <row r="3413" customFormat="1" x14ac:dyDescent="0.3"/>
    <row r="3414" customFormat="1" x14ac:dyDescent="0.3"/>
    <row r="3415" customFormat="1" x14ac:dyDescent="0.3"/>
    <row r="3416" customFormat="1" x14ac:dyDescent="0.3"/>
    <row r="3417" customFormat="1" x14ac:dyDescent="0.3"/>
    <row r="3418" customFormat="1" x14ac:dyDescent="0.3"/>
    <row r="3419" customFormat="1" x14ac:dyDescent="0.3"/>
    <row r="3420" customFormat="1" x14ac:dyDescent="0.3"/>
    <row r="3421" customFormat="1" x14ac:dyDescent="0.3"/>
    <row r="3422" customFormat="1" x14ac:dyDescent="0.3"/>
    <row r="3423" customFormat="1" x14ac:dyDescent="0.3"/>
    <row r="3424" customFormat="1" x14ac:dyDescent="0.3"/>
    <row r="3425" customFormat="1" x14ac:dyDescent="0.3"/>
    <row r="3426" customFormat="1" x14ac:dyDescent="0.3"/>
    <row r="3427" customFormat="1" x14ac:dyDescent="0.3"/>
    <row r="3428" customFormat="1" x14ac:dyDescent="0.3"/>
    <row r="3429" customFormat="1" x14ac:dyDescent="0.3"/>
    <row r="3430" customFormat="1" x14ac:dyDescent="0.3"/>
    <row r="3431" customFormat="1" x14ac:dyDescent="0.3"/>
    <row r="3432" customFormat="1" x14ac:dyDescent="0.3"/>
    <row r="3433" customFormat="1" x14ac:dyDescent="0.3"/>
    <row r="3434" customFormat="1" x14ac:dyDescent="0.3"/>
    <row r="3435" customFormat="1" x14ac:dyDescent="0.3"/>
    <row r="3436" customFormat="1" x14ac:dyDescent="0.3"/>
    <row r="3437" customFormat="1" x14ac:dyDescent="0.3"/>
    <row r="3438" customFormat="1" x14ac:dyDescent="0.3"/>
    <row r="3439" customFormat="1" x14ac:dyDescent="0.3"/>
    <row r="3440" customFormat="1" x14ac:dyDescent="0.3"/>
    <row r="3441" customFormat="1" x14ac:dyDescent="0.3"/>
    <row r="3442" customFormat="1" x14ac:dyDescent="0.3"/>
    <row r="3443" customFormat="1" x14ac:dyDescent="0.3"/>
    <row r="3444" customFormat="1" x14ac:dyDescent="0.3"/>
    <row r="3445" customFormat="1" x14ac:dyDescent="0.3"/>
    <row r="3446" customFormat="1" x14ac:dyDescent="0.3"/>
    <row r="3447" customFormat="1" x14ac:dyDescent="0.3"/>
    <row r="3448" customFormat="1" x14ac:dyDescent="0.3"/>
    <row r="3449" customFormat="1" x14ac:dyDescent="0.3"/>
    <row r="3450" customFormat="1" x14ac:dyDescent="0.3"/>
    <row r="3451" customFormat="1" x14ac:dyDescent="0.3"/>
    <row r="3452" customFormat="1" x14ac:dyDescent="0.3"/>
    <row r="3453" customFormat="1" x14ac:dyDescent="0.3"/>
    <row r="3454" customFormat="1" x14ac:dyDescent="0.3"/>
    <row r="3455" customFormat="1" x14ac:dyDescent="0.3"/>
    <row r="3456" customFormat="1" x14ac:dyDescent="0.3"/>
    <row r="3457" customFormat="1" x14ac:dyDescent="0.3"/>
    <row r="3458" customFormat="1" x14ac:dyDescent="0.3"/>
    <row r="3459" customFormat="1" x14ac:dyDescent="0.3"/>
    <row r="3460" customFormat="1" x14ac:dyDescent="0.3"/>
    <row r="3461" customFormat="1" x14ac:dyDescent="0.3"/>
    <row r="3462" customFormat="1" x14ac:dyDescent="0.3"/>
    <row r="3463" customFormat="1" x14ac:dyDescent="0.3"/>
    <row r="3464" customFormat="1" x14ac:dyDescent="0.3"/>
    <row r="3465" customFormat="1" x14ac:dyDescent="0.3"/>
    <row r="3466" customFormat="1" x14ac:dyDescent="0.3"/>
    <row r="3467" customFormat="1" x14ac:dyDescent="0.3"/>
    <row r="3468" customFormat="1" x14ac:dyDescent="0.3"/>
    <row r="3469" customFormat="1" x14ac:dyDescent="0.3"/>
    <row r="3470" customFormat="1" x14ac:dyDescent="0.3"/>
    <row r="3471" customFormat="1" x14ac:dyDescent="0.3"/>
    <row r="3472" customFormat="1" x14ac:dyDescent="0.3"/>
    <row r="3473" customFormat="1" x14ac:dyDescent="0.3"/>
    <row r="3474" customFormat="1" x14ac:dyDescent="0.3"/>
    <row r="3475" customFormat="1" x14ac:dyDescent="0.3"/>
    <row r="3476" customFormat="1" x14ac:dyDescent="0.3"/>
    <row r="3477" customFormat="1" x14ac:dyDescent="0.3"/>
    <row r="3478" customFormat="1" x14ac:dyDescent="0.3"/>
    <row r="3479" customFormat="1" x14ac:dyDescent="0.3"/>
    <row r="3480" customFormat="1" x14ac:dyDescent="0.3"/>
    <row r="3481" customFormat="1" x14ac:dyDescent="0.3"/>
    <row r="3482" customFormat="1" x14ac:dyDescent="0.3"/>
    <row r="3483" customFormat="1" x14ac:dyDescent="0.3"/>
    <row r="3484" customFormat="1" x14ac:dyDescent="0.3"/>
    <row r="3485" customFormat="1" x14ac:dyDescent="0.3"/>
    <row r="3486" customFormat="1" x14ac:dyDescent="0.3"/>
    <row r="3487" customFormat="1" x14ac:dyDescent="0.3"/>
    <row r="3488" customFormat="1" x14ac:dyDescent="0.3"/>
    <row r="3489" customFormat="1" x14ac:dyDescent="0.3"/>
    <row r="3490" customFormat="1" x14ac:dyDescent="0.3"/>
    <row r="3491" customFormat="1" x14ac:dyDescent="0.3"/>
    <row r="3492" customFormat="1" x14ac:dyDescent="0.3"/>
    <row r="3493" customFormat="1" x14ac:dyDescent="0.3"/>
    <row r="3494" customFormat="1" x14ac:dyDescent="0.3"/>
    <row r="3495" customFormat="1" x14ac:dyDescent="0.3"/>
    <row r="3496" customFormat="1" x14ac:dyDescent="0.3"/>
    <row r="3497" customFormat="1" x14ac:dyDescent="0.3"/>
    <row r="3498" customFormat="1" x14ac:dyDescent="0.3"/>
    <row r="3499" customFormat="1" x14ac:dyDescent="0.3"/>
    <row r="3500" customFormat="1" x14ac:dyDescent="0.3"/>
    <row r="3501" customFormat="1" x14ac:dyDescent="0.3"/>
    <row r="3502" customFormat="1" x14ac:dyDescent="0.3"/>
    <row r="3503" customFormat="1" x14ac:dyDescent="0.3"/>
    <row r="3504" customFormat="1" x14ac:dyDescent="0.3"/>
    <row r="3505" customFormat="1" x14ac:dyDescent="0.3"/>
    <row r="3506" customFormat="1" x14ac:dyDescent="0.3"/>
    <row r="3507" customFormat="1" x14ac:dyDescent="0.3"/>
    <row r="3508" customFormat="1" x14ac:dyDescent="0.3"/>
    <row r="3509" customFormat="1" x14ac:dyDescent="0.3"/>
    <row r="3510" customFormat="1" x14ac:dyDescent="0.3"/>
    <row r="3511" customFormat="1" x14ac:dyDescent="0.3"/>
    <row r="3512" customFormat="1" x14ac:dyDescent="0.3"/>
    <row r="3513" customFormat="1" x14ac:dyDescent="0.3"/>
    <row r="3514" customFormat="1" x14ac:dyDescent="0.3"/>
    <row r="3515" customFormat="1" x14ac:dyDescent="0.3"/>
    <row r="3516" customFormat="1" x14ac:dyDescent="0.3"/>
    <row r="3517" customFormat="1" x14ac:dyDescent="0.3"/>
    <row r="3518" customFormat="1" x14ac:dyDescent="0.3"/>
    <row r="3519" customFormat="1" x14ac:dyDescent="0.3"/>
    <row r="3520" customFormat="1" x14ac:dyDescent="0.3"/>
    <row r="3521" customFormat="1" x14ac:dyDescent="0.3"/>
    <row r="3522" customFormat="1" x14ac:dyDescent="0.3"/>
    <row r="3523" customFormat="1" x14ac:dyDescent="0.3"/>
    <row r="3524" customFormat="1" x14ac:dyDescent="0.3"/>
    <row r="3525" customFormat="1" x14ac:dyDescent="0.3"/>
    <row r="3526" customFormat="1" x14ac:dyDescent="0.3"/>
    <row r="3527" customFormat="1" x14ac:dyDescent="0.3"/>
    <row r="3528" customFormat="1" x14ac:dyDescent="0.3"/>
    <row r="3529" customFormat="1" x14ac:dyDescent="0.3"/>
    <row r="3530" customFormat="1" x14ac:dyDescent="0.3"/>
    <row r="3531" customFormat="1" x14ac:dyDescent="0.3"/>
    <row r="3532" customFormat="1" x14ac:dyDescent="0.3"/>
    <row r="3533" customFormat="1" x14ac:dyDescent="0.3"/>
    <row r="3534" customFormat="1" x14ac:dyDescent="0.3"/>
    <row r="3535" customFormat="1" x14ac:dyDescent="0.3"/>
    <row r="3536" customFormat="1" x14ac:dyDescent="0.3"/>
    <row r="3537" customFormat="1" x14ac:dyDescent="0.3"/>
    <row r="3538" customFormat="1" x14ac:dyDescent="0.3"/>
    <row r="3539" customFormat="1" x14ac:dyDescent="0.3"/>
    <row r="3540" customFormat="1" x14ac:dyDescent="0.3"/>
    <row r="3541" customFormat="1" x14ac:dyDescent="0.3"/>
    <row r="3542" customFormat="1" x14ac:dyDescent="0.3"/>
    <row r="3543" customFormat="1" x14ac:dyDescent="0.3"/>
    <row r="3544" customFormat="1" x14ac:dyDescent="0.3"/>
    <row r="3545" customFormat="1" x14ac:dyDescent="0.3"/>
    <row r="3546" customFormat="1" x14ac:dyDescent="0.3"/>
    <row r="3547" customFormat="1" x14ac:dyDescent="0.3"/>
    <row r="3548" customFormat="1" x14ac:dyDescent="0.3"/>
    <row r="3549" customFormat="1" x14ac:dyDescent="0.3"/>
    <row r="3550" customFormat="1" x14ac:dyDescent="0.3"/>
    <row r="3551" customFormat="1" x14ac:dyDescent="0.3"/>
    <row r="3552" customFormat="1" x14ac:dyDescent="0.3"/>
    <row r="3553" customFormat="1" x14ac:dyDescent="0.3"/>
    <row r="3554" customFormat="1" x14ac:dyDescent="0.3"/>
    <row r="3555" customFormat="1" x14ac:dyDescent="0.3"/>
    <row r="3556" customFormat="1" x14ac:dyDescent="0.3"/>
    <row r="3557" customFormat="1" x14ac:dyDescent="0.3"/>
    <row r="3558" customFormat="1" x14ac:dyDescent="0.3"/>
    <row r="3559" customFormat="1" x14ac:dyDescent="0.3"/>
    <row r="3560" customFormat="1" x14ac:dyDescent="0.3"/>
    <row r="3561" customFormat="1" x14ac:dyDescent="0.3"/>
    <row r="3562" customFormat="1" x14ac:dyDescent="0.3"/>
    <row r="3563" customFormat="1" x14ac:dyDescent="0.3"/>
    <row r="3564" customFormat="1" x14ac:dyDescent="0.3"/>
    <row r="3565" customFormat="1" x14ac:dyDescent="0.3"/>
    <row r="3566" customFormat="1" x14ac:dyDescent="0.3"/>
    <row r="3567" customFormat="1" x14ac:dyDescent="0.3"/>
    <row r="3568" customFormat="1" x14ac:dyDescent="0.3"/>
    <row r="3569" customFormat="1" x14ac:dyDescent="0.3"/>
    <row r="3570" customFormat="1" x14ac:dyDescent="0.3"/>
    <row r="3571" customFormat="1" x14ac:dyDescent="0.3"/>
    <row r="3572" customFormat="1" x14ac:dyDescent="0.3"/>
    <row r="3573" customFormat="1" x14ac:dyDescent="0.3"/>
    <row r="3574" customFormat="1" x14ac:dyDescent="0.3"/>
    <row r="3575" customFormat="1" x14ac:dyDescent="0.3"/>
    <row r="3576" customFormat="1" x14ac:dyDescent="0.3"/>
    <row r="3577" customFormat="1" x14ac:dyDescent="0.3"/>
    <row r="3578" customFormat="1" x14ac:dyDescent="0.3"/>
    <row r="3579" customFormat="1" x14ac:dyDescent="0.3"/>
    <row r="3580" customFormat="1" x14ac:dyDescent="0.3"/>
    <row r="3581" customFormat="1" x14ac:dyDescent="0.3"/>
    <row r="3582" customFormat="1" x14ac:dyDescent="0.3"/>
    <row r="3583" customFormat="1" x14ac:dyDescent="0.3"/>
    <row r="3584" customFormat="1" x14ac:dyDescent="0.3"/>
    <row r="3585" customFormat="1" x14ac:dyDescent="0.3"/>
    <row r="3586" customFormat="1" x14ac:dyDescent="0.3"/>
    <row r="3587" customFormat="1" x14ac:dyDescent="0.3"/>
    <row r="3588" customFormat="1" x14ac:dyDescent="0.3"/>
    <row r="3589" customFormat="1" x14ac:dyDescent="0.3"/>
    <row r="3590" customFormat="1" x14ac:dyDescent="0.3"/>
    <row r="3591" customFormat="1" x14ac:dyDescent="0.3"/>
    <row r="3592" customFormat="1" x14ac:dyDescent="0.3"/>
    <row r="3593" customFormat="1" x14ac:dyDescent="0.3"/>
    <row r="3594" customFormat="1" x14ac:dyDescent="0.3"/>
    <row r="3595" customFormat="1" x14ac:dyDescent="0.3"/>
    <row r="3596" customFormat="1" x14ac:dyDescent="0.3"/>
    <row r="3597" customFormat="1" x14ac:dyDescent="0.3"/>
    <row r="3598" customFormat="1" x14ac:dyDescent="0.3"/>
    <row r="3599" customFormat="1" x14ac:dyDescent="0.3"/>
    <row r="3600" customFormat="1" x14ac:dyDescent="0.3"/>
    <row r="3601" customFormat="1" x14ac:dyDescent="0.3"/>
    <row r="3602" customFormat="1" x14ac:dyDescent="0.3"/>
    <row r="3603" customFormat="1" x14ac:dyDescent="0.3"/>
    <row r="3604" customFormat="1" x14ac:dyDescent="0.3"/>
    <row r="3605" customFormat="1" x14ac:dyDescent="0.3"/>
    <row r="3606" customFormat="1" x14ac:dyDescent="0.3"/>
    <row r="3607" customFormat="1" x14ac:dyDescent="0.3"/>
    <row r="3608" customFormat="1" x14ac:dyDescent="0.3"/>
    <row r="3609" customFormat="1" x14ac:dyDescent="0.3"/>
    <row r="3610" customFormat="1" x14ac:dyDescent="0.3"/>
    <row r="3611" customFormat="1" x14ac:dyDescent="0.3"/>
    <row r="3612" customFormat="1" x14ac:dyDescent="0.3"/>
    <row r="3613" customFormat="1" x14ac:dyDescent="0.3"/>
    <row r="3614" customFormat="1" x14ac:dyDescent="0.3"/>
    <row r="3615" customFormat="1" x14ac:dyDescent="0.3"/>
    <row r="3616" customFormat="1" x14ac:dyDescent="0.3"/>
    <row r="3617" customFormat="1" x14ac:dyDescent="0.3"/>
    <row r="3618" customFormat="1" x14ac:dyDescent="0.3"/>
    <row r="3619" customFormat="1" x14ac:dyDescent="0.3"/>
    <row r="3620" customFormat="1" x14ac:dyDescent="0.3"/>
    <row r="3621" customFormat="1" x14ac:dyDescent="0.3"/>
    <row r="3622" customFormat="1" x14ac:dyDescent="0.3"/>
    <row r="3623" customFormat="1" x14ac:dyDescent="0.3"/>
    <row r="3624" customFormat="1" x14ac:dyDescent="0.3"/>
    <row r="3625" customFormat="1" x14ac:dyDescent="0.3"/>
    <row r="3626" customFormat="1" x14ac:dyDescent="0.3"/>
    <row r="3627" customFormat="1" x14ac:dyDescent="0.3"/>
    <row r="3628" customFormat="1" x14ac:dyDescent="0.3"/>
    <row r="3629" customFormat="1" x14ac:dyDescent="0.3"/>
    <row r="3630" customFormat="1" x14ac:dyDescent="0.3"/>
    <row r="3631" customFormat="1" x14ac:dyDescent="0.3"/>
    <row r="3632" customFormat="1" x14ac:dyDescent="0.3"/>
    <row r="3633" customFormat="1" x14ac:dyDescent="0.3"/>
    <row r="3634" customFormat="1" x14ac:dyDescent="0.3"/>
    <row r="3635" customFormat="1" x14ac:dyDescent="0.3"/>
    <row r="3636" customFormat="1" x14ac:dyDescent="0.3"/>
    <row r="3637" customFormat="1" x14ac:dyDescent="0.3"/>
    <row r="3638" customFormat="1" x14ac:dyDescent="0.3"/>
    <row r="3639" customFormat="1" x14ac:dyDescent="0.3"/>
    <row r="3640" customFormat="1" x14ac:dyDescent="0.3"/>
    <row r="3641" customFormat="1" x14ac:dyDescent="0.3"/>
    <row r="3642" customFormat="1" x14ac:dyDescent="0.3"/>
    <row r="3643" customFormat="1" x14ac:dyDescent="0.3"/>
    <row r="3644" customFormat="1" x14ac:dyDescent="0.3"/>
    <row r="3645" customFormat="1" x14ac:dyDescent="0.3"/>
    <row r="3646" customFormat="1" x14ac:dyDescent="0.3"/>
    <row r="3647" customFormat="1" x14ac:dyDescent="0.3"/>
    <row r="3648" customFormat="1" x14ac:dyDescent="0.3"/>
    <row r="3649" customFormat="1" x14ac:dyDescent="0.3"/>
    <row r="3650" customFormat="1" x14ac:dyDescent="0.3"/>
    <row r="3651" customFormat="1" x14ac:dyDescent="0.3"/>
    <row r="3652" customFormat="1" x14ac:dyDescent="0.3"/>
    <row r="3653" customFormat="1" x14ac:dyDescent="0.3"/>
    <row r="3654" customFormat="1" x14ac:dyDescent="0.3"/>
    <row r="3655" customFormat="1" x14ac:dyDescent="0.3"/>
    <row r="3656" customFormat="1" x14ac:dyDescent="0.3"/>
    <row r="3657" customFormat="1" x14ac:dyDescent="0.3"/>
    <row r="3658" customFormat="1" x14ac:dyDescent="0.3"/>
    <row r="3659" customFormat="1" x14ac:dyDescent="0.3"/>
    <row r="3660" customFormat="1" x14ac:dyDescent="0.3"/>
    <row r="3661" customFormat="1" x14ac:dyDescent="0.3"/>
    <row r="3662" customFormat="1" x14ac:dyDescent="0.3"/>
    <row r="3663" customFormat="1" x14ac:dyDescent="0.3"/>
    <row r="3664" customFormat="1" x14ac:dyDescent="0.3"/>
    <row r="3665" customFormat="1" x14ac:dyDescent="0.3"/>
    <row r="3666" customFormat="1" x14ac:dyDescent="0.3"/>
    <row r="3667" customFormat="1" x14ac:dyDescent="0.3"/>
    <row r="3668" customFormat="1" x14ac:dyDescent="0.3"/>
    <row r="3669" customFormat="1" x14ac:dyDescent="0.3"/>
    <row r="3670" customFormat="1" x14ac:dyDescent="0.3"/>
    <row r="3671" customFormat="1" x14ac:dyDescent="0.3"/>
    <row r="3672" customFormat="1" x14ac:dyDescent="0.3"/>
    <row r="3673" customFormat="1" x14ac:dyDescent="0.3"/>
    <row r="3674" customFormat="1" x14ac:dyDescent="0.3"/>
    <row r="3675" customFormat="1" x14ac:dyDescent="0.3"/>
    <row r="3676" customFormat="1" x14ac:dyDescent="0.3"/>
    <row r="3677" customFormat="1" x14ac:dyDescent="0.3"/>
    <row r="3678" customFormat="1" x14ac:dyDescent="0.3"/>
    <row r="3679" customFormat="1" x14ac:dyDescent="0.3"/>
    <row r="3680" customFormat="1" x14ac:dyDescent="0.3"/>
    <row r="3681" customFormat="1" x14ac:dyDescent="0.3"/>
    <row r="3682" customFormat="1" x14ac:dyDescent="0.3"/>
    <row r="3683" customFormat="1" x14ac:dyDescent="0.3"/>
    <row r="3684" customFormat="1" x14ac:dyDescent="0.3"/>
    <row r="3685" customFormat="1" x14ac:dyDescent="0.3"/>
    <row r="3686" customFormat="1" x14ac:dyDescent="0.3"/>
    <row r="3687" customFormat="1" x14ac:dyDescent="0.3"/>
    <row r="3688" customFormat="1" x14ac:dyDescent="0.3"/>
    <row r="3689" customFormat="1" x14ac:dyDescent="0.3"/>
    <row r="3690" customFormat="1" x14ac:dyDescent="0.3"/>
    <row r="3691" customFormat="1" x14ac:dyDescent="0.3"/>
    <row r="3692" customFormat="1" x14ac:dyDescent="0.3"/>
    <row r="3693" customFormat="1" x14ac:dyDescent="0.3"/>
    <row r="3694" customFormat="1" x14ac:dyDescent="0.3"/>
    <row r="3695" customFormat="1" x14ac:dyDescent="0.3"/>
    <row r="3696" customFormat="1" x14ac:dyDescent="0.3"/>
    <row r="3697" customFormat="1" x14ac:dyDescent="0.3"/>
    <row r="3698" customFormat="1" x14ac:dyDescent="0.3"/>
    <row r="3699" customFormat="1" x14ac:dyDescent="0.3"/>
    <row r="3700" customFormat="1" x14ac:dyDescent="0.3"/>
    <row r="3701" customFormat="1" x14ac:dyDescent="0.3"/>
    <row r="3702" customFormat="1" x14ac:dyDescent="0.3"/>
    <row r="3703" customFormat="1" x14ac:dyDescent="0.3"/>
    <row r="3704" customFormat="1" x14ac:dyDescent="0.3"/>
    <row r="3705" customFormat="1" x14ac:dyDescent="0.3"/>
    <row r="3706" customFormat="1" x14ac:dyDescent="0.3"/>
    <row r="3707" customFormat="1" x14ac:dyDescent="0.3"/>
    <row r="3708" customFormat="1" x14ac:dyDescent="0.3"/>
    <row r="3709" customFormat="1" x14ac:dyDescent="0.3"/>
    <row r="3710" customFormat="1" x14ac:dyDescent="0.3"/>
    <row r="3711" customFormat="1" x14ac:dyDescent="0.3"/>
    <row r="3712" customFormat="1" x14ac:dyDescent="0.3"/>
    <row r="3713" customFormat="1" x14ac:dyDescent="0.3"/>
    <row r="3714" customFormat="1" x14ac:dyDescent="0.3"/>
    <row r="3715" customFormat="1" x14ac:dyDescent="0.3"/>
    <row r="3716" customFormat="1" x14ac:dyDescent="0.3"/>
    <row r="3717" customFormat="1" x14ac:dyDescent="0.3"/>
    <row r="3718" customFormat="1" x14ac:dyDescent="0.3"/>
    <row r="3719" customFormat="1" x14ac:dyDescent="0.3"/>
    <row r="3720" customFormat="1" x14ac:dyDescent="0.3"/>
    <row r="3721" customFormat="1" x14ac:dyDescent="0.3"/>
    <row r="3722" customFormat="1" x14ac:dyDescent="0.3"/>
    <row r="3723" customFormat="1" x14ac:dyDescent="0.3"/>
    <row r="3724" customFormat="1" x14ac:dyDescent="0.3"/>
    <row r="3725" customFormat="1" x14ac:dyDescent="0.3"/>
    <row r="3726" customFormat="1" x14ac:dyDescent="0.3"/>
    <row r="3727" customFormat="1" x14ac:dyDescent="0.3"/>
    <row r="3728" customFormat="1" x14ac:dyDescent="0.3"/>
    <row r="3729" customFormat="1" x14ac:dyDescent="0.3"/>
    <row r="3730" customFormat="1" x14ac:dyDescent="0.3"/>
    <row r="3731" customFormat="1" x14ac:dyDescent="0.3"/>
    <row r="3732" customFormat="1" x14ac:dyDescent="0.3"/>
    <row r="3733" customFormat="1" x14ac:dyDescent="0.3"/>
    <row r="3734" customFormat="1" x14ac:dyDescent="0.3"/>
    <row r="3735" customFormat="1" x14ac:dyDescent="0.3"/>
    <row r="3736" customFormat="1" x14ac:dyDescent="0.3"/>
    <row r="3737" customFormat="1" x14ac:dyDescent="0.3"/>
    <row r="3738" customFormat="1" x14ac:dyDescent="0.3"/>
    <row r="3739" customFormat="1" x14ac:dyDescent="0.3"/>
    <row r="3740" customFormat="1" x14ac:dyDescent="0.3"/>
    <row r="3741" customFormat="1" x14ac:dyDescent="0.3"/>
    <row r="3742" customFormat="1" x14ac:dyDescent="0.3"/>
    <row r="3743" customFormat="1" x14ac:dyDescent="0.3"/>
    <row r="3744" customFormat="1" x14ac:dyDescent="0.3"/>
    <row r="3745" customFormat="1" x14ac:dyDescent="0.3"/>
    <row r="3746" customFormat="1" x14ac:dyDescent="0.3"/>
    <row r="3747" customFormat="1" x14ac:dyDescent="0.3"/>
    <row r="3748" customFormat="1" x14ac:dyDescent="0.3"/>
    <row r="3749" customFormat="1" x14ac:dyDescent="0.3"/>
    <row r="3750" customFormat="1" x14ac:dyDescent="0.3"/>
    <row r="3751" customFormat="1" x14ac:dyDescent="0.3"/>
    <row r="3752" customFormat="1" x14ac:dyDescent="0.3"/>
    <row r="3753" customFormat="1" x14ac:dyDescent="0.3"/>
    <row r="3754" customFormat="1" x14ac:dyDescent="0.3"/>
    <row r="3755" customFormat="1" x14ac:dyDescent="0.3"/>
    <row r="3756" customFormat="1" x14ac:dyDescent="0.3"/>
    <row r="3757" customFormat="1" x14ac:dyDescent="0.3"/>
    <row r="3758" customFormat="1" x14ac:dyDescent="0.3"/>
    <row r="3759" customFormat="1" x14ac:dyDescent="0.3"/>
    <row r="3760" customFormat="1" x14ac:dyDescent="0.3"/>
    <row r="3761" customFormat="1" x14ac:dyDescent="0.3"/>
    <row r="3762" customFormat="1" x14ac:dyDescent="0.3"/>
    <row r="3763" customFormat="1" x14ac:dyDescent="0.3"/>
    <row r="3764" customFormat="1" x14ac:dyDescent="0.3"/>
    <row r="3765" customFormat="1" x14ac:dyDescent="0.3"/>
    <row r="3766" customFormat="1" x14ac:dyDescent="0.3"/>
    <row r="3767" customFormat="1" x14ac:dyDescent="0.3"/>
    <row r="3768" customFormat="1" x14ac:dyDescent="0.3"/>
    <row r="3769" customFormat="1" x14ac:dyDescent="0.3"/>
    <row r="3770" customFormat="1" x14ac:dyDescent="0.3"/>
    <row r="3771" customFormat="1" x14ac:dyDescent="0.3"/>
    <row r="3772" customFormat="1" x14ac:dyDescent="0.3"/>
    <row r="3773" customFormat="1" x14ac:dyDescent="0.3"/>
    <row r="3774" customFormat="1" x14ac:dyDescent="0.3"/>
    <row r="3775" customFormat="1" x14ac:dyDescent="0.3"/>
    <row r="3776" customFormat="1" x14ac:dyDescent="0.3"/>
    <row r="3777" customFormat="1" x14ac:dyDescent="0.3"/>
    <row r="3778" customFormat="1" x14ac:dyDescent="0.3"/>
    <row r="3779" customFormat="1" x14ac:dyDescent="0.3"/>
    <row r="3780" customFormat="1" x14ac:dyDescent="0.3"/>
    <row r="3781" customFormat="1" x14ac:dyDescent="0.3"/>
    <row r="3782" customFormat="1" x14ac:dyDescent="0.3"/>
    <row r="3783" customFormat="1" x14ac:dyDescent="0.3"/>
    <row r="3784" customFormat="1" x14ac:dyDescent="0.3"/>
    <row r="3785" customFormat="1" x14ac:dyDescent="0.3"/>
    <row r="3786" customFormat="1" x14ac:dyDescent="0.3"/>
    <row r="3787" customFormat="1" x14ac:dyDescent="0.3"/>
    <row r="3788" customFormat="1" x14ac:dyDescent="0.3"/>
    <row r="3789" customFormat="1" x14ac:dyDescent="0.3"/>
    <row r="3790" customFormat="1" x14ac:dyDescent="0.3"/>
    <row r="3791" customFormat="1" x14ac:dyDescent="0.3"/>
    <row r="3792" customFormat="1" x14ac:dyDescent="0.3"/>
    <row r="3793" customFormat="1" x14ac:dyDescent="0.3"/>
    <row r="3794" customFormat="1" x14ac:dyDescent="0.3"/>
    <row r="3795" customFormat="1" x14ac:dyDescent="0.3"/>
    <row r="3796" customFormat="1" x14ac:dyDescent="0.3"/>
    <row r="3797" customFormat="1" x14ac:dyDescent="0.3"/>
    <row r="3798" customFormat="1" x14ac:dyDescent="0.3"/>
    <row r="3799" customFormat="1" x14ac:dyDescent="0.3"/>
    <row r="3800" customFormat="1" x14ac:dyDescent="0.3"/>
    <row r="3801" customFormat="1" x14ac:dyDescent="0.3"/>
    <row r="3802" customFormat="1" x14ac:dyDescent="0.3"/>
    <row r="3803" customFormat="1" x14ac:dyDescent="0.3"/>
    <row r="3804" customFormat="1" x14ac:dyDescent="0.3"/>
    <row r="3805" customFormat="1" x14ac:dyDescent="0.3"/>
    <row r="3806" customFormat="1" x14ac:dyDescent="0.3"/>
    <row r="3807" customFormat="1" x14ac:dyDescent="0.3"/>
    <row r="3808" customFormat="1" x14ac:dyDescent="0.3"/>
    <row r="3809" customFormat="1" x14ac:dyDescent="0.3"/>
    <row r="3810" customFormat="1" x14ac:dyDescent="0.3"/>
    <row r="3811" customFormat="1" x14ac:dyDescent="0.3"/>
    <row r="3812" customFormat="1" x14ac:dyDescent="0.3"/>
    <row r="3813" customFormat="1" x14ac:dyDescent="0.3"/>
    <row r="3814" customFormat="1" x14ac:dyDescent="0.3"/>
    <row r="3815" customFormat="1" x14ac:dyDescent="0.3"/>
    <row r="3816" customFormat="1" x14ac:dyDescent="0.3"/>
    <row r="3817" customFormat="1" x14ac:dyDescent="0.3"/>
    <row r="3818" customFormat="1" x14ac:dyDescent="0.3"/>
    <row r="3819" customFormat="1" x14ac:dyDescent="0.3"/>
    <row r="3820" customFormat="1" x14ac:dyDescent="0.3"/>
    <row r="3821" customFormat="1" x14ac:dyDescent="0.3"/>
    <row r="3822" customFormat="1" x14ac:dyDescent="0.3"/>
    <row r="3823" customFormat="1" x14ac:dyDescent="0.3"/>
    <row r="3824" customFormat="1" x14ac:dyDescent="0.3"/>
    <row r="3825" customFormat="1" x14ac:dyDescent="0.3"/>
    <row r="3826" customFormat="1" x14ac:dyDescent="0.3"/>
    <row r="3827" customFormat="1" x14ac:dyDescent="0.3"/>
    <row r="3828" customFormat="1" x14ac:dyDescent="0.3"/>
    <row r="3829" customFormat="1" x14ac:dyDescent="0.3"/>
    <row r="3830" customFormat="1" x14ac:dyDescent="0.3"/>
    <row r="3831" customFormat="1" x14ac:dyDescent="0.3"/>
    <row r="3832" customFormat="1" x14ac:dyDescent="0.3"/>
    <row r="3833" customFormat="1" x14ac:dyDescent="0.3"/>
    <row r="3834" customFormat="1" x14ac:dyDescent="0.3"/>
    <row r="3835" customFormat="1" x14ac:dyDescent="0.3"/>
    <row r="3836" customFormat="1" x14ac:dyDescent="0.3"/>
    <row r="3837" customFormat="1" x14ac:dyDescent="0.3"/>
    <row r="3838" customFormat="1" x14ac:dyDescent="0.3"/>
    <row r="3839" customFormat="1" x14ac:dyDescent="0.3"/>
    <row r="3840" customFormat="1" x14ac:dyDescent="0.3"/>
    <row r="3841" customFormat="1" x14ac:dyDescent="0.3"/>
    <row r="3842" customFormat="1" x14ac:dyDescent="0.3"/>
    <row r="3843" customFormat="1" x14ac:dyDescent="0.3"/>
    <row r="3844" customFormat="1" x14ac:dyDescent="0.3"/>
    <row r="3845" customFormat="1" x14ac:dyDescent="0.3"/>
    <row r="3846" customFormat="1" x14ac:dyDescent="0.3"/>
    <row r="3847" customFormat="1" x14ac:dyDescent="0.3"/>
    <row r="3848" customFormat="1" x14ac:dyDescent="0.3"/>
    <row r="3849" customFormat="1" x14ac:dyDescent="0.3"/>
    <row r="3850" customFormat="1" x14ac:dyDescent="0.3"/>
    <row r="3851" customFormat="1" x14ac:dyDescent="0.3"/>
    <row r="3852" customFormat="1" x14ac:dyDescent="0.3"/>
    <row r="3853" customFormat="1" x14ac:dyDescent="0.3"/>
    <row r="3854" customFormat="1" x14ac:dyDescent="0.3"/>
    <row r="3855" customFormat="1" x14ac:dyDescent="0.3"/>
    <row r="3856" customFormat="1" x14ac:dyDescent="0.3"/>
    <row r="3857" customFormat="1" x14ac:dyDescent="0.3"/>
    <row r="3858" customFormat="1" x14ac:dyDescent="0.3"/>
    <row r="3859" customFormat="1" x14ac:dyDescent="0.3"/>
    <row r="3860" customFormat="1" x14ac:dyDescent="0.3"/>
    <row r="3861" customFormat="1" x14ac:dyDescent="0.3"/>
    <row r="3862" customFormat="1" x14ac:dyDescent="0.3"/>
    <row r="3863" customFormat="1" x14ac:dyDescent="0.3"/>
    <row r="3864" customFormat="1" x14ac:dyDescent="0.3"/>
    <row r="3865" customFormat="1" x14ac:dyDescent="0.3"/>
    <row r="3866" customFormat="1" x14ac:dyDescent="0.3"/>
    <row r="3867" customFormat="1" x14ac:dyDescent="0.3"/>
    <row r="3868" customFormat="1" x14ac:dyDescent="0.3"/>
    <row r="3869" customFormat="1" x14ac:dyDescent="0.3"/>
    <row r="3870" customFormat="1" x14ac:dyDescent="0.3"/>
    <row r="3871" customFormat="1" x14ac:dyDescent="0.3"/>
    <row r="3872" customFormat="1" x14ac:dyDescent="0.3"/>
    <row r="3873" customFormat="1" x14ac:dyDescent="0.3"/>
    <row r="3874" customFormat="1" x14ac:dyDescent="0.3"/>
    <row r="3875" customFormat="1" x14ac:dyDescent="0.3"/>
    <row r="3876" customFormat="1" x14ac:dyDescent="0.3"/>
    <row r="3877" customFormat="1" x14ac:dyDescent="0.3"/>
    <row r="3878" customFormat="1" x14ac:dyDescent="0.3"/>
    <row r="3879" customFormat="1" x14ac:dyDescent="0.3"/>
    <row r="3880" customFormat="1" x14ac:dyDescent="0.3"/>
    <row r="3881" customFormat="1" x14ac:dyDescent="0.3"/>
    <row r="3882" customFormat="1" x14ac:dyDescent="0.3"/>
    <row r="3883" customFormat="1" x14ac:dyDescent="0.3"/>
    <row r="3884" customFormat="1" x14ac:dyDescent="0.3"/>
    <row r="3885" customFormat="1" x14ac:dyDescent="0.3"/>
    <row r="3886" customFormat="1" x14ac:dyDescent="0.3"/>
    <row r="3887" customFormat="1" x14ac:dyDescent="0.3"/>
    <row r="3888" customFormat="1" x14ac:dyDescent="0.3"/>
    <row r="3889" customFormat="1" x14ac:dyDescent="0.3"/>
    <row r="3890" customFormat="1" x14ac:dyDescent="0.3"/>
    <row r="3891" customFormat="1" x14ac:dyDescent="0.3"/>
    <row r="3892" customFormat="1" x14ac:dyDescent="0.3"/>
    <row r="3893" customFormat="1" x14ac:dyDescent="0.3"/>
    <row r="3894" customFormat="1" x14ac:dyDescent="0.3"/>
    <row r="3895" customFormat="1" x14ac:dyDescent="0.3"/>
    <row r="3896" customFormat="1" x14ac:dyDescent="0.3"/>
    <row r="3897" customFormat="1" x14ac:dyDescent="0.3"/>
    <row r="3898" customFormat="1" x14ac:dyDescent="0.3"/>
    <row r="3899" customFormat="1" x14ac:dyDescent="0.3"/>
    <row r="3900" customFormat="1" x14ac:dyDescent="0.3"/>
    <row r="3901" customFormat="1" x14ac:dyDescent="0.3"/>
    <row r="3902" customFormat="1" x14ac:dyDescent="0.3"/>
    <row r="3903" customFormat="1" x14ac:dyDescent="0.3"/>
    <row r="3904" customFormat="1" x14ac:dyDescent="0.3"/>
    <row r="3905" customFormat="1" x14ac:dyDescent="0.3"/>
    <row r="3906" customFormat="1" x14ac:dyDescent="0.3"/>
    <row r="3907" customFormat="1" x14ac:dyDescent="0.3"/>
    <row r="3908" customFormat="1" x14ac:dyDescent="0.3"/>
    <row r="3909" customFormat="1" x14ac:dyDescent="0.3"/>
    <row r="3910" customFormat="1" x14ac:dyDescent="0.3"/>
    <row r="3911" customFormat="1" x14ac:dyDescent="0.3"/>
    <row r="3912" customFormat="1" x14ac:dyDescent="0.3"/>
    <row r="3913" customFormat="1" x14ac:dyDescent="0.3"/>
    <row r="3914" customFormat="1" x14ac:dyDescent="0.3"/>
    <row r="3915" customFormat="1" x14ac:dyDescent="0.3"/>
    <row r="3916" customFormat="1" x14ac:dyDescent="0.3"/>
    <row r="3917" customFormat="1" x14ac:dyDescent="0.3"/>
    <row r="3918" customFormat="1" x14ac:dyDescent="0.3"/>
    <row r="3919" customFormat="1" x14ac:dyDescent="0.3"/>
    <row r="3920" customFormat="1" x14ac:dyDescent="0.3"/>
    <row r="3921" customFormat="1" x14ac:dyDescent="0.3"/>
    <row r="3922" customFormat="1" x14ac:dyDescent="0.3"/>
    <row r="3923" customFormat="1" x14ac:dyDescent="0.3"/>
    <row r="3924" customFormat="1" x14ac:dyDescent="0.3"/>
    <row r="3925" customFormat="1" x14ac:dyDescent="0.3"/>
    <row r="3926" customFormat="1" x14ac:dyDescent="0.3"/>
    <row r="3927" customFormat="1" x14ac:dyDescent="0.3"/>
    <row r="3928" customFormat="1" x14ac:dyDescent="0.3"/>
    <row r="3929" customFormat="1" x14ac:dyDescent="0.3"/>
    <row r="3930" customFormat="1" x14ac:dyDescent="0.3"/>
    <row r="3931" customFormat="1" x14ac:dyDescent="0.3"/>
    <row r="3932" customFormat="1" x14ac:dyDescent="0.3"/>
    <row r="3933" customFormat="1" x14ac:dyDescent="0.3"/>
    <row r="3934" customFormat="1" x14ac:dyDescent="0.3"/>
    <row r="3935" customFormat="1" x14ac:dyDescent="0.3"/>
    <row r="3936" customFormat="1" x14ac:dyDescent="0.3"/>
    <row r="3937" customFormat="1" x14ac:dyDescent="0.3"/>
    <row r="3938" customFormat="1" x14ac:dyDescent="0.3"/>
    <row r="3939" customFormat="1" x14ac:dyDescent="0.3"/>
    <row r="3940" customFormat="1" x14ac:dyDescent="0.3"/>
    <row r="3941" customFormat="1" x14ac:dyDescent="0.3"/>
    <row r="3942" customFormat="1" x14ac:dyDescent="0.3"/>
    <row r="3943" customFormat="1" x14ac:dyDescent="0.3"/>
    <row r="3944" customFormat="1" x14ac:dyDescent="0.3"/>
    <row r="3945" customFormat="1" x14ac:dyDescent="0.3"/>
    <row r="3946" customFormat="1" x14ac:dyDescent="0.3"/>
    <row r="3947" customFormat="1" x14ac:dyDescent="0.3"/>
    <row r="3948" customFormat="1" x14ac:dyDescent="0.3"/>
    <row r="3949" customFormat="1" x14ac:dyDescent="0.3"/>
    <row r="3950" customFormat="1" x14ac:dyDescent="0.3"/>
    <row r="3951" customFormat="1" x14ac:dyDescent="0.3"/>
    <row r="3952" customFormat="1" x14ac:dyDescent="0.3"/>
    <row r="3953" customFormat="1" x14ac:dyDescent="0.3"/>
    <row r="3954" customFormat="1" x14ac:dyDescent="0.3"/>
    <row r="3955" customFormat="1" x14ac:dyDescent="0.3"/>
    <row r="3956" customFormat="1" x14ac:dyDescent="0.3"/>
    <row r="3957" customFormat="1" x14ac:dyDescent="0.3"/>
    <row r="3958" customFormat="1" x14ac:dyDescent="0.3"/>
    <row r="3959" customFormat="1" x14ac:dyDescent="0.3"/>
    <row r="3960" customFormat="1" x14ac:dyDescent="0.3"/>
    <row r="3961" customFormat="1" x14ac:dyDescent="0.3"/>
    <row r="3962" customFormat="1" x14ac:dyDescent="0.3"/>
    <row r="3963" customFormat="1" x14ac:dyDescent="0.3"/>
    <row r="3964" customFormat="1" x14ac:dyDescent="0.3"/>
    <row r="3965" customFormat="1" x14ac:dyDescent="0.3"/>
    <row r="3966" customFormat="1" x14ac:dyDescent="0.3"/>
    <row r="3967" customFormat="1" x14ac:dyDescent="0.3"/>
    <row r="3968" customFormat="1" x14ac:dyDescent="0.3"/>
    <row r="3969" customFormat="1" x14ac:dyDescent="0.3"/>
    <row r="3970" customFormat="1" x14ac:dyDescent="0.3"/>
    <row r="3971" customFormat="1" x14ac:dyDescent="0.3"/>
    <row r="3972" customFormat="1" x14ac:dyDescent="0.3"/>
    <row r="3973" customFormat="1" x14ac:dyDescent="0.3"/>
    <row r="3974" customFormat="1" x14ac:dyDescent="0.3"/>
    <row r="3975" customFormat="1" x14ac:dyDescent="0.3"/>
    <row r="3976" customFormat="1" x14ac:dyDescent="0.3"/>
    <row r="3977" customFormat="1" x14ac:dyDescent="0.3"/>
    <row r="3978" customFormat="1" x14ac:dyDescent="0.3"/>
    <row r="3979" customFormat="1" x14ac:dyDescent="0.3"/>
    <row r="3980" customFormat="1" x14ac:dyDescent="0.3"/>
    <row r="3981" customFormat="1" x14ac:dyDescent="0.3"/>
    <row r="3982" customFormat="1" x14ac:dyDescent="0.3"/>
    <row r="3983" customFormat="1" x14ac:dyDescent="0.3"/>
    <row r="3984" customFormat="1" x14ac:dyDescent="0.3"/>
    <row r="3985" customFormat="1" x14ac:dyDescent="0.3"/>
    <row r="3986" customFormat="1" x14ac:dyDescent="0.3"/>
    <row r="3987" customFormat="1" x14ac:dyDescent="0.3"/>
    <row r="3988" customFormat="1" x14ac:dyDescent="0.3"/>
    <row r="3989" customFormat="1" x14ac:dyDescent="0.3"/>
    <row r="3990" customFormat="1" x14ac:dyDescent="0.3"/>
    <row r="3991" customFormat="1" x14ac:dyDescent="0.3"/>
    <row r="3992" customFormat="1" x14ac:dyDescent="0.3"/>
    <row r="3993" customFormat="1" x14ac:dyDescent="0.3"/>
    <row r="3994" customFormat="1" x14ac:dyDescent="0.3"/>
    <row r="3995" customFormat="1" x14ac:dyDescent="0.3"/>
    <row r="3996" customFormat="1" x14ac:dyDescent="0.3"/>
    <row r="3997" customFormat="1" x14ac:dyDescent="0.3"/>
    <row r="3998" customFormat="1" x14ac:dyDescent="0.3"/>
    <row r="3999" customFormat="1" x14ac:dyDescent="0.3"/>
    <row r="4000" customFormat="1" x14ac:dyDescent="0.3"/>
    <row r="4001" customFormat="1" x14ac:dyDescent="0.3"/>
    <row r="4002" customFormat="1" x14ac:dyDescent="0.3"/>
    <row r="4003" customFormat="1" x14ac:dyDescent="0.3"/>
    <row r="4004" customFormat="1" x14ac:dyDescent="0.3"/>
    <row r="4005" customFormat="1" x14ac:dyDescent="0.3"/>
    <row r="4006" customFormat="1" x14ac:dyDescent="0.3"/>
    <row r="4007" customFormat="1" x14ac:dyDescent="0.3"/>
    <row r="4008" customFormat="1" x14ac:dyDescent="0.3"/>
    <row r="4009" customFormat="1" x14ac:dyDescent="0.3"/>
    <row r="4010" customFormat="1" x14ac:dyDescent="0.3"/>
    <row r="4011" customFormat="1" x14ac:dyDescent="0.3"/>
    <row r="4012" customFormat="1" x14ac:dyDescent="0.3"/>
    <row r="4013" customFormat="1" x14ac:dyDescent="0.3"/>
    <row r="4014" customFormat="1" x14ac:dyDescent="0.3"/>
    <row r="4015" customFormat="1" x14ac:dyDescent="0.3"/>
    <row r="4016" customFormat="1" x14ac:dyDescent="0.3"/>
    <row r="4017" customFormat="1" x14ac:dyDescent="0.3"/>
    <row r="4018" customFormat="1" x14ac:dyDescent="0.3"/>
    <row r="4019" customFormat="1" x14ac:dyDescent="0.3"/>
    <row r="4020" customFormat="1" x14ac:dyDescent="0.3"/>
    <row r="4021" customFormat="1" x14ac:dyDescent="0.3"/>
    <row r="4022" customFormat="1" x14ac:dyDescent="0.3"/>
    <row r="4023" customFormat="1" x14ac:dyDescent="0.3"/>
    <row r="4024" customFormat="1" x14ac:dyDescent="0.3"/>
    <row r="4025" customFormat="1" x14ac:dyDescent="0.3"/>
    <row r="4026" customFormat="1" x14ac:dyDescent="0.3"/>
    <row r="4027" customFormat="1" x14ac:dyDescent="0.3"/>
    <row r="4028" customFormat="1" x14ac:dyDescent="0.3"/>
    <row r="4029" customFormat="1" x14ac:dyDescent="0.3"/>
    <row r="4030" customFormat="1" x14ac:dyDescent="0.3"/>
    <row r="4031" customFormat="1" x14ac:dyDescent="0.3"/>
    <row r="4032" customFormat="1" x14ac:dyDescent="0.3"/>
    <row r="4033" customFormat="1" x14ac:dyDescent="0.3"/>
    <row r="4034" customFormat="1" x14ac:dyDescent="0.3"/>
    <row r="4035" customFormat="1" x14ac:dyDescent="0.3"/>
    <row r="4036" customFormat="1" x14ac:dyDescent="0.3"/>
    <row r="4037" customFormat="1" x14ac:dyDescent="0.3"/>
    <row r="4038" customFormat="1" x14ac:dyDescent="0.3"/>
    <row r="4039" customFormat="1" x14ac:dyDescent="0.3"/>
    <row r="4040" customFormat="1" x14ac:dyDescent="0.3"/>
    <row r="4041" customFormat="1" x14ac:dyDescent="0.3"/>
    <row r="4042" customFormat="1" x14ac:dyDescent="0.3"/>
    <row r="4043" customFormat="1" x14ac:dyDescent="0.3"/>
    <row r="4044" customFormat="1" x14ac:dyDescent="0.3"/>
    <row r="4045" customFormat="1" x14ac:dyDescent="0.3"/>
    <row r="4046" customFormat="1" x14ac:dyDescent="0.3"/>
    <row r="4047" customFormat="1" x14ac:dyDescent="0.3"/>
    <row r="4048" customFormat="1" x14ac:dyDescent="0.3"/>
    <row r="4049" customFormat="1" x14ac:dyDescent="0.3"/>
    <row r="4050" customFormat="1" x14ac:dyDescent="0.3"/>
    <row r="4051" customFormat="1" x14ac:dyDescent="0.3"/>
    <row r="4052" customFormat="1" x14ac:dyDescent="0.3"/>
    <row r="4053" customFormat="1" x14ac:dyDescent="0.3"/>
    <row r="4054" customFormat="1" x14ac:dyDescent="0.3"/>
    <row r="4055" customFormat="1" x14ac:dyDescent="0.3"/>
    <row r="4056" customFormat="1" x14ac:dyDescent="0.3"/>
    <row r="4057" customFormat="1" x14ac:dyDescent="0.3"/>
    <row r="4058" customFormat="1" x14ac:dyDescent="0.3"/>
    <row r="4059" customFormat="1" x14ac:dyDescent="0.3"/>
    <row r="4060" customFormat="1" x14ac:dyDescent="0.3"/>
    <row r="4061" customFormat="1" x14ac:dyDescent="0.3"/>
    <row r="4062" customFormat="1" x14ac:dyDescent="0.3"/>
    <row r="4063" customFormat="1" x14ac:dyDescent="0.3"/>
    <row r="4064" customFormat="1" x14ac:dyDescent="0.3"/>
    <row r="4065" customFormat="1" x14ac:dyDescent="0.3"/>
    <row r="4066" customFormat="1" x14ac:dyDescent="0.3"/>
    <row r="4067" customFormat="1" x14ac:dyDescent="0.3"/>
    <row r="4068" customFormat="1" x14ac:dyDescent="0.3"/>
    <row r="4069" customFormat="1" x14ac:dyDescent="0.3"/>
    <row r="4070" customFormat="1" x14ac:dyDescent="0.3"/>
    <row r="4071" customFormat="1" x14ac:dyDescent="0.3"/>
    <row r="4072" customFormat="1" x14ac:dyDescent="0.3"/>
    <row r="4073" customFormat="1" x14ac:dyDescent="0.3"/>
    <row r="4074" customFormat="1" x14ac:dyDescent="0.3"/>
    <row r="4075" customFormat="1" x14ac:dyDescent="0.3"/>
    <row r="4076" customFormat="1" x14ac:dyDescent="0.3"/>
    <row r="4077" customFormat="1" x14ac:dyDescent="0.3"/>
    <row r="4078" customFormat="1" x14ac:dyDescent="0.3"/>
    <row r="4079" customFormat="1" x14ac:dyDescent="0.3"/>
    <row r="4080" customFormat="1" x14ac:dyDescent="0.3"/>
    <row r="4081" customFormat="1" x14ac:dyDescent="0.3"/>
    <row r="4082" customFormat="1" x14ac:dyDescent="0.3"/>
    <row r="4083" customFormat="1" x14ac:dyDescent="0.3"/>
    <row r="4084" customFormat="1" x14ac:dyDescent="0.3"/>
    <row r="4085" customFormat="1" x14ac:dyDescent="0.3"/>
    <row r="4086" customFormat="1" x14ac:dyDescent="0.3"/>
    <row r="4087" customFormat="1" x14ac:dyDescent="0.3"/>
    <row r="4088" customFormat="1" x14ac:dyDescent="0.3"/>
    <row r="4089" customFormat="1" x14ac:dyDescent="0.3"/>
    <row r="4090" customFormat="1" x14ac:dyDescent="0.3"/>
    <row r="4091" customFormat="1" x14ac:dyDescent="0.3"/>
    <row r="4092" customFormat="1" x14ac:dyDescent="0.3"/>
    <row r="4093" customFormat="1" x14ac:dyDescent="0.3"/>
    <row r="4094" customFormat="1" x14ac:dyDescent="0.3"/>
    <row r="4095" customFormat="1" x14ac:dyDescent="0.3"/>
    <row r="4096" customFormat="1" x14ac:dyDescent="0.3"/>
    <row r="4097" customFormat="1" x14ac:dyDescent="0.3"/>
    <row r="4098" customFormat="1" x14ac:dyDescent="0.3"/>
    <row r="4099" customFormat="1" x14ac:dyDescent="0.3"/>
    <row r="4100" customFormat="1" x14ac:dyDescent="0.3"/>
    <row r="4101" customFormat="1" x14ac:dyDescent="0.3"/>
    <row r="4102" customFormat="1" x14ac:dyDescent="0.3"/>
    <row r="4103" customFormat="1" x14ac:dyDescent="0.3"/>
    <row r="4104" customFormat="1" x14ac:dyDescent="0.3"/>
    <row r="4105" customFormat="1" x14ac:dyDescent="0.3"/>
    <row r="4106" customFormat="1" x14ac:dyDescent="0.3"/>
    <row r="4107" customFormat="1" x14ac:dyDescent="0.3"/>
    <row r="4108" customFormat="1" x14ac:dyDescent="0.3"/>
    <row r="4109" customFormat="1" x14ac:dyDescent="0.3"/>
    <row r="4110" customFormat="1" x14ac:dyDescent="0.3"/>
    <row r="4111" customFormat="1" x14ac:dyDescent="0.3"/>
    <row r="4112" customFormat="1" x14ac:dyDescent="0.3"/>
    <row r="4113" customFormat="1" x14ac:dyDescent="0.3"/>
    <row r="4114" customFormat="1" x14ac:dyDescent="0.3"/>
    <row r="4115" customFormat="1" x14ac:dyDescent="0.3"/>
    <row r="4116" customFormat="1" x14ac:dyDescent="0.3"/>
    <row r="4117" customFormat="1" x14ac:dyDescent="0.3"/>
    <row r="4118" customFormat="1" x14ac:dyDescent="0.3"/>
    <row r="4119" customFormat="1" x14ac:dyDescent="0.3"/>
    <row r="4120" customFormat="1" x14ac:dyDescent="0.3"/>
    <row r="4121" customFormat="1" x14ac:dyDescent="0.3"/>
    <row r="4122" customFormat="1" x14ac:dyDescent="0.3"/>
    <row r="4123" customFormat="1" x14ac:dyDescent="0.3"/>
    <row r="4124" customFormat="1" x14ac:dyDescent="0.3"/>
    <row r="4125" customFormat="1" x14ac:dyDescent="0.3"/>
    <row r="4126" customFormat="1" x14ac:dyDescent="0.3"/>
    <row r="4127" customFormat="1" x14ac:dyDescent="0.3"/>
    <row r="4128" customFormat="1" x14ac:dyDescent="0.3"/>
    <row r="4129" customFormat="1" x14ac:dyDescent="0.3"/>
    <row r="4130" customFormat="1" x14ac:dyDescent="0.3"/>
    <row r="4131" customFormat="1" x14ac:dyDescent="0.3"/>
    <row r="4132" customFormat="1" x14ac:dyDescent="0.3"/>
    <row r="4133" customFormat="1" x14ac:dyDescent="0.3"/>
    <row r="4134" customFormat="1" x14ac:dyDescent="0.3"/>
    <row r="4135" customFormat="1" x14ac:dyDescent="0.3"/>
    <row r="4136" customFormat="1" x14ac:dyDescent="0.3"/>
    <row r="4137" customFormat="1" x14ac:dyDescent="0.3"/>
    <row r="4138" customFormat="1" x14ac:dyDescent="0.3"/>
    <row r="4139" customFormat="1" x14ac:dyDescent="0.3"/>
    <row r="4140" customFormat="1" x14ac:dyDescent="0.3"/>
    <row r="4141" customFormat="1" x14ac:dyDescent="0.3"/>
    <row r="4142" customFormat="1" x14ac:dyDescent="0.3"/>
    <row r="4143" customFormat="1" x14ac:dyDescent="0.3"/>
    <row r="4144" customFormat="1" x14ac:dyDescent="0.3"/>
    <row r="4145" customFormat="1" x14ac:dyDescent="0.3"/>
    <row r="4146" customFormat="1" x14ac:dyDescent="0.3"/>
    <row r="4147" customFormat="1" x14ac:dyDescent="0.3"/>
    <row r="4148" customFormat="1" x14ac:dyDescent="0.3"/>
    <row r="4149" customFormat="1" x14ac:dyDescent="0.3"/>
    <row r="4150" customFormat="1" x14ac:dyDescent="0.3"/>
    <row r="4151" customFormat="1" x14ac:dyDescent="0.3"/>
    <row r="4152" customFormat="1" x14ac:dyDescent="0.3"/>
    <row r="4153" customFormat="1" x14ac:dyDescent="0.3"/>
    <row r="4154" customFormat="1" x14ac:dyDescent="0.3"/>
    <row r="4155" customFormat="1" x14ac:dyDescent="0.3"/>
    <row r="4156" customFormat="1" x14ac:dyDescent="0.3"/>
    <row r="4157" customFormat="1" x14ac:dyDescent="0.3"/>
    <row r="4158" customFormat="1" x14ac:dyDescent="0.3"/>
    <row r="4159" customFormat="1" x14ac:dyDescent="0.3"/>
    <row r="4160" customFormat="1" x14ac:dyDescent="0.3"/>
    <row r="4161" customFormat="1" x14ac:dyDescent="0.3"/>
    <row r="4162" customFormat="1" x14ac:dyDescent="0.3"/>
    <row r="4163" customFormat="1" x14ac:dyDescent="0.3"/>
    <row r="4164" customFormat="1" x14ac:dyDescent="0.3"/>
    <row r="4165" customFormat="1" x14ac:dyDescent="0.3"/>
    <row r="4166" customFormat="1" x14ac:dyDescent="0.3"/>
    <row r="4167" customFormat="1" x14ac:dyDescent="0.3"/>
    <row r="4168" customFormat="1" x14ac:dyDescent="0.3"/>
    <row r="4169" customFormat="1" x14ac:dyDescent="0.3"/>
    <row r="4170" customFormat="1" x14ac:dyDescent="0.3"/>
    <row r="4171" customFormat="1" x14ac:dyDescent="0.3"/>
    <row r="4172" customFormat="1" x14ac:dyDescent="0.3"/>
    <row r="4173" customFormat="1" x14ac:dyDescent="0.3"/>
    <row r="4174" customFormat="1" x14ac:dyDescent="0.3"/>
    <row r="4175" customFormat="1" x14ac:dyDescent="0.3"/>
    <row r="4176" customFormat="1" x14ac:dyDescent="0.3"/>
    <row r="4177" customFormat="1" x14ac:dyDescent="0.3"/>
    <row r="4178" customFormat="1" x14ac:dyDescent="0.3"/>
    <row r="4179" customFormat="1" x14ac:dyDescent="0.3"/>
    <row r="4180" customFormat="1" x14ac:dyDescent="0.3"/>
    <row r="4181" customFormat="1" x14ac:dyDescent="0.3"/>
    <row r="4182" customFormat="1" x14ac:dyDescent="0.3"/>
    <row r="4183" customFormat="1" x14ac:dyDescent="0.3"/>
    <row r="4184" customFormat="1" x14ac:dyDescent="0.3"/>
    <row r="4185" customFormat="1" x14ac:dyDescent="0.3"/>
    <row r="4186" customFormat="1" x14ac:dyDescent="0.3"/>
    <row r="4187" customFormat="1" x14ac:dyDescent="0.3"/>
    <row r="4188" customFormat="1" x14ac:dyDescent="0.3"/>
    <row r="4189" customFormat="1" x14ac:dyDescent="0.3"/>
    <row r="4190" customFormat="1" x14ac:dyDescent="0.3"/>
    <row r="4191" customFormat="1" x14ac:dyDescent="0.3"/>
    <row r="4192" customFormat="1" x14ac:dyDescent="0.3"/>
    <row r="4193" customFormat="1" x14ac:dyDescent="0.3"/>
    <row r="4194" customFormat="1" x14ac:dyDescent="0.3"/>
    <row r="4195" customFormat="1" x14ac:dyDescent="0.3"/>
    <row r="4196" customFormat="1" x14ac:dyDescent="0.3"/>
    <row r="4197" customFormat="1" x14ac:dyDescent="0.3"/>
    <row r="4198" customFormat="1" x14ac:dyDescent="0.3"/>
    <row r="4199" customFormat="1" x14ac:dyDescent="0.3"/>
    <row r="4200" customFormat="1" x14ac:dyDescent="0.3"/>
    <row r="4201" customFormat="1" x14ac:dyDescent="0.3"/>
    <row r="4202" customFormat="1" x14ac:dyDescent="0.3"/>
    <row r="4203" customFormat="1" x14ac:dyDescent="0.3"/>
    <row r="4204" customFormat="1" x14ac:dyDescent="0.3"/>
    <row r="4205" customFormat="1" x14ac:dyDescent="0.3"/>
    <row r="4206" customFormat="1" x14ac:dyDescent="0.3"/>
    <row r="4207" customFormat="1" x14ac:dyDescent="0.3"/>
    <row r="4208" customFormat="1" x14ac:dyDescent="0.3"/>
    <row r="4209" customFormat="1" x14ac:dyDescent="0.3"/>
    <row r="4210" customFormat="1" x14ac:dyDescent="0.3"/>
    <row r="4211" customFormat="1" x14ac:dyDescent="0.3"/>
    <row r="4212" customFormat="1" x14ac:dyDescent="0.3"/>
    <row r="4213" customFormat="1" x14ac:dyDescent="0.3"/>
    <row r="4214" customFormat="1" x14ac:dyDescent="0.3"/>
    <row r="4215" customFormat="1" x14ac:dyDescent="0.3"/>
    <row r="4216" customFormat="1" x14ac:dyDescent="0.3"/>
    <row r="4217" customFormat="1" x14ac:dyDescent="0.3"/>
    <row r="4218" customFormat="1" x14ac:dyDescent="0.3"/>
    <row r="4219" customFormat="1" x14ac:dyDescent="0.3"/>
    <row r="4220" customFormat="1" x14ac:dyDescent="0.3"/>
    <row r="4221" customFormat="1" x14ac:dyDescent="0.3"/>
    <row r="4222" customFormat="1" x14ac:dyDescent="0.3"/>
    <row r="4223" customFormat="1" x14ac:dyDescent="0.3"/>
    <row r="4224" customFormat="1" x14ac:dyDescent="0.3"/>
    <row r="4225" customFormat="1" x14ac:dyDescent="0.3"/>
    <row r="4226" customFormat="1" x14ac:dyDescent="0.3"/>
    <row r="4227" customFormat="1" x14ac:dyDescent="0.3"/>
    <row r="4228" customFormat="1" x14ac:dyDescent="0.3"/>
    <row r="4229" customFormat="1" x14ac:dyDescent="0.3"/>
    <row r="4230" customFormat="1" x14ac:dyDescent="0.3"/>
    <row r="4231" customFormat="1" x14ac:dyDescent="0.3"/>
    <row r="4232" customFormat="1" x14ac:dyDescent="0.3"/>
    <row r="4233" customFormat="1" x14ac:dyDescent="0.3"/>
    <row r="4234" customFormat="1" x14ac:dyDescent="0.3"/>
    <row r="4235" customFormat="1" x14ac:dyDescent="0.3"/>
    <row r="4236" customFormat="1" x14ac:dyDescent="0.3"/>
    <row r="4237" customFormat="1" x14ac:dyDescent="0.3"/>
    <row r="4238" customFormat="1" x14ac:dyDescent="0.3"/>
    <row r="4239" customFormat="1" x14ac:dyDescent="0.3"/>
    <row r="4240" customFormat="1" x14ac:dyDescent="0.3"/>
    <row r="4241" customFormat="1" x14ac:dyDescent="0.3"/>
    <row r="4242" customFormat="1" x14ac:dyDescent="0.3"/>
    <row r="4243" customFormat="1" x14ac:dyDescent="0.3"/>
    <row r="4244" customFormat="1" x14ac:dyDescent="0.3"/>
    <row r="4245" customFormat="1" x14ac:dyDescent="0.3"/>
    <row r="4246" customFormat="1" x14ac:dyDescent="0.3"/>
    <row r="4247" customFormat="1" x14ac:dyDescent="0.3"/>
    <row r="4248" customFormat="1" x14ac:dyDescent="0.3"/>
    <row r="4249" customFormat="1" x14ac:dyDescent="0.3"/>
    <row r="4250" customFormat="1" x14ac:dyDescent="0.3"/>
    <row r="4251" customFormat="1" x14ac:dyDescent="0.3"/>
    <row r="4252" customFormat="1" x14ac:dyDescent="0.3"/>
    <row r="4253" customFormat="1" x14ac:dyDescent="0.3"/>
    <row r="4254" customFormat="1" x14ac:dyDescent="0.3"/>
    <row r="4255" customFormat="1" x14ac:dyDescent="0.3"/>
    <row r="4256" customFormat="1" x14ac:dyDescent="0.3"/>
    <row r="4257" customFormat="1" x14ac:dyDescent="0.3"/>
    <row r="4258" customFormat="1" x14ac:dyDescent="0.3"/>
    <row r="4259" customFormat="1" x14ac:dyDescent="0.3"/>
    <row r="4260" customFormat="1" x14ac:dyDescent="0.3"/>
    <row r="4261" customFormat="1" x14ac:dyDescent="0.3"/>
    <row r="4262" customFormat="1" x14ac:dyDescent="0.3"/>
    <row r="4263" customFormat="1" x14ac:dyDescent="0.3"/>
    <row r="4264" customFormat="1" x14ac:dyDescent="0.3"/>
    <row r="4265" customFormat="1" x14ac:dyDescent="0.3"/>
    <row r="4266" customFormat="1" x14ac:dyDescent="0.3"/>
    <row r="4267" customFormat="1" x14ac:dyDescent="0.3"/>
    <row r="4268" customFormat="1" x14ac:dyDescent="0.3"/>
    <row r="4269" customFormat="1" x14ac:dyDescent="0.3"/>
    <row r="4270" customFormat="1" x14ac:dyDescent="0.3"/>
    <row r="4271" customFormat="1" x14ac:dyDescent="0.3"/>
    <row r="4272" customFormat="1" x14ac:dyDescent="0.3"/>
    <row r="4273" customFormat="1" x14ac:dyDescent="0.3"/>
    <row r="4274" customFormat="1" x14ac:dyDescent="0.3"/>
    <row r="4275" customFormat="1" x14ac:dyDescent="0.3"/>
    <row r="4276" customFormat="1" x14ac:dyDescent="0.3"/>
    <row r="4277" customFormat="1" x14ac:dyDescent="0.3"/>
    <row r="4278" customFormat="1" x14ac:dyDescent="0.3"/>
    <row r="4279" customFormat="1" x14ac:dyDescent="0.3"/>
    <row r="4280" customFormat="1" x14ac:dyDescent="0.3"/>
    <row r="4281" customFormat="1" x14ac:dyDescent="0.3"/>
    <row r="4282" customFormat="1" x14ac:dyDescent="0.3"/>
    <row r="4283" customFormat="1" x14ac:dyDescent="0.3"/>
    <row r="4284" customFormat="1" x14ac:dyDescent="0.3"/>
    <row r="4285" customFormat="1" x14ac:dyDescent="0.3"/>
    <row r="4286" customFormat="1" x14ac:dyDescent="0.3"/>
    <row r="4287" customFormat="1" x14ac:dyDescent="0.3"/>
    <row r="4288" customFormat="1" x14ac:dyDescent="0.3"/>
    <row r="4289" customFormat="1" x14ac:dyDescent="0.3"/>
    <row r="4290" customFormat="1" x14ac:dyDescent="0.3"/>
    <row r="4291" customFormat="1" x14ac:dyDescent="0.3"/>
    <row r="4292" customFormat="1" x14ac:dyDescent="0.3"/>
    <row r="4293" customFormat="1" x14ac:dyDescent="0.3"/>
    <row r="4294" customFormat="1" x14ac:dyDescent="0.3"/>
    <row r="4295" customFormat="1" x14ac:dyDescent="0.3"/>
    <row r="4296" customFormat="1" x14ac:dyDescent="0.3"/>
    <row r="4297" customFormat="1" x14ac:dyDescent="0.3"/>
    <row r="4298" customFormat="1" x14ac:dyDescent="0.3"/>
    <row r="4299" customFormat="1" x14ac:dyDescent="0.3"/>
    <row r="4300" customFormat="1" x14ac:dyDescent="0.3"/>
    <row r="4301" customFormat="1" x14ac:dyDescent="0.3"/>
    <row r="4302" customFormat="1" x14ac:dyDescent="0.3"/>
    <row r="4303" customFormat="1" x14ac:dyDescent="0.3"/>
    <row r="4304" customFormat="1" x14ac:dyDescent="0.3"/>
    <row r="4305" customFormat="1" x14ac:dyDescent="0.3"/>
    <row r="4306" customFormat="1" x14ac:dyDescent="0.3"/>
    <row r="4307" customFormat="1" x14ac:dyDescent="0.3"/>
    <row r="4308" customFormat="1" x14ac:dyDescent="0.3"/>
    <row r="4309" customFormat="1" x14ac:dyDescent="0.3"/>
    <row r="4310" customFormat="1" x14ac:dyDescent="0.3"/>
    <row r="4311" customFormat="1" x14ac:dyDescent="0.3"/>
    <row r="4312" customFormat="1" x14ac:dyDescent="0.3"/>
    <row r="4313" customFormat="1" x14ac:dyDescent="0.3"/>
    <row r="4314" customFormat="1" x14ac:dyDescent="0.3"/>
    <row r="4315" customFormat="1" x14ac:dyDescent="0.3"/>
    <row r="4316" customFormat="1" x14ac:dyDescent="0.3"/>
    <row r="4317" customFormat="1" x14ac:dyDescent="0.3"/>
    <row r="4318" customFormat="1" x14ac:dyDescent="0.3"/>
    <row r="4319" customFormat="1" x14ac:dyDescent="0.3"/>
    <row r="4320" customFormat="1" x14ac:dyDescent="0.3"/>
    <row r="4321" customFormat="1" x14ac:dyDescent="0.3"/>
    <row r="4322" customFormat="1" x14ac:dyDescent="0.3"/>
    <row r="4323" customFormat="1" x14ac:dyDescent="0.3"/>
    <row r="4324" customFormat="1" x14ac:dyDescent="0.3"/>
    <row r="4325" customFormat="1" x14ac:dyDescent="0.3"/>
    <row r="4326" customFormat="1" x14ac:dyDescent="0.3"/>
    <row r="4327" customFormat="1" x14ac:dyDescent="0.3"/>
    <row r="4328" customFormat="1" x14ac:dyDescent="0.3"/>
    <row r="4329" customFormat="1" x14ac:dyDescent="0.3"/>
    <row r="4330" customFormat="1" x14ac:dyDescent="0.3"/>
    <row r="4331" customFormat="1" x14ac:dyDescent="0.3"/>
    <row r="4332" customFormat="1" x14ac:dyDescent="0.3"/>
    <row r="4333" customFormat="1" x14ac:dyDescent="0.3"/>
    <row r="4334" customFormat="1" x14ac:dyDescent="0.3"/>
    <row r="4335" customFormat="1" x14ac:dyDescent="0.3"/>
    <row r="4336" customFormat="1" x14ac:dyDescent="0.3"/>
    <row r="4337" customFormat="1" x14ac:dyDescent="0.3"/>
    <row r="4338" customFormat="1" x14ac:dyDescent="0.3"/>
    <row r="4339" customFormat="1" x14ac:dyDescent="0.3"/>
    <row r="4340" customFormat="1" x14ac:dyDescent="0.3"/>
    <row r="4341" customFormat="1" x14ac:dyDescent="0.3"/>
    <row r="4342" customFormat="1" x14ac:dyDescent="0.3"/>
    <row r="4343" customFormat="1" x14ac:dyDescent="0.3"/>
    <row r="4344" customFormat="1" x14ac:dyDescent="0.3"/>
    <row r="4345" customFormat="1" x14ac:dyDescent="0.3"/>
    <row r="4346" customFormat="1" x14ac:dyDescent="0.3"/>
    <row r="4347" customFormat="1" x14ac:dyDescent="0.3"/>
    <row r="4348" customFormat="1" x14ac:dyDescent="0.3"/>
    <row r="4349" customFormat="1" x14ac:dyDescent="0.3"/>
    <row r="4350" customFormat="1" x14ac:dyDescent="0.3"/>
    <row r="4351" customFormat="1" x14ac:dyDescent="0.3"/>
    <row r="4352" customFormat="1" x14ac:dyDescent="0.3"/>
    <row r="4353" customFormat="1" x14ac:dyDescent="0.3"/>
    <row r="4354" customFormat="1" x14ac:dyDescent="0.3"/>
    <row r="4355" customFormat="1" x14ac:dyDescent="0.3"/>
    <row r="4356" customFormat="1" x14ac:dyDescent="0.3"/>
    <row r="4357" customFormat="1" x14ac:dyDescent="0.3"/>
    <row r="4358" customFormat="1" x14ac:dyDescent="0.3"/>
    <row r="4359" customFormat="1" x14ac:dyDescent="0.3"/>
    <row r="4360" customFormat="1" x14ac:dyDescent="0.3"/>
    <row r="4361" customFormat="1" x14ac:dyDescent="0.3"/>
    <row r="4362" customFormat="1" x14ac:dyDescent="0.3"/>
    <row r="4363" customFormat="1" x14ac:dyDescent="0.3"/>
    <row r="4364" customFormat="1" x14ac:dyDescent="0.3"/>
    <row r="4365" customFormat="1" x14ac:dyDescent="0.3"/>
    <row r="4366" customFormat="1" x14ac:dyDescent="0.3"/>
    <row r="4367" customFormat="1" x14ac:dyDescent="0.3"/>
    <row r="4368" customFormat="1" x14ac:dyDescent="0.3"/>
    <row r="4369" customFormat="1" x14ac:dyDescent="0.3"/>
    <row r="4370" customFormat="1" x14ac:dyDescent="0.3"/>
    <row r="4371" customFormat="1" x14ac:dyDescent="0.3"/>
    <row r="4372" customFormat="1" x14ac:dyDescent="0.3"/>
    <row r="4373" customFormat="1" x14ac:dyDescent="0.3"/>
    <row r="4374" customFormat="1" x14ac:dyDescent="0.3"/>
    <row r="4375" customFormat="1" x14ac:dyDescent="0.3"/>
    <row r="4376" customFormat="1" x14ac:dyDescent="0.3"/>
    <row r="4377" customFormat="1" x14ac:dyDescent="0.3"/>
    <row r="4378" customFormat="1" x14ac:dyDescent="0.3"/>
    <row r="4379" customFormat="1" x14ac:dyDescent="0.3"/>
    <row r="4380" customFormat="1" x14ac:dyDescent="0.3"/>
    <row r="4381" customFormat="1" x14ac:dyDescent="0.3"/>
    <row r="4382" customFormat="1" x14ac:dyDescent="0.3"/>
    <row r="4383" customFormat="1" x14ac:dyDescent="0.3"/>
    <row r="4384" customFormat="1" x14ac:dyDescent="0.3"/>
    <row r="4385" customFormat="1" x14ac:dyDescent="0.3"/>
    <row r="4386" customFormat="1" x14ac:dyDescent="0.3"/>
    <row r="4387" customFormat="1" x14ac:dyDescent="0.3"/>
    <row r="4388" customFormat="1" x14ac:dyDescent="0.3"/>
    <row r="4389" customFormat="1" x14ac:dyDescent="0.3"/>
    <row r="4390" customFormat="1" x14ac:dyDescent="0.3"/>
    <row r="4391" customFormat="1" x14ac:dyDescent="0.3"/>
    <row r="4392" customFormat="1" x14ac:dyDescent="0.3"/>
    <row r="4393" customFormat="1" x14ac:dyDescent="0.3"/>
    <row r="4394" customFormat="1" x14ac:dyDescent="0.3"/>
    <row r="4395" customFormat="1" x14ac:dyDescent="0.3"/>
    <row r="4396" customFormat="1" x14ac:dyDescent="0.3"/>
    <row r="4397" customFormat="1" x14ac:dyDescent="0.3"/>
    <row r="4398" customFormat="1" x14ac:dyDescent="0.3"/>
    <row r="4399" customFormat="1" x14ac:dyDescent="0.3"/>
    <row r="4400" customFormat="1" x14ac:dyDescent="0.3"/>
    <row r="4401" customFormat="1" x14ac:dyDescent="0.3"/>
    <row r="4402" customFormat="1" x14ac:dyDescent="0.3"/>
    <row r="4403" customFormat="1" x14ac:dyDescent="0.3"/>
    <row r="4404" customFormat="1" x14ac:dyDescent="0.3"/>
    <row r="4405" customFormat="1" x14ac:dyDescent="0.3"/>
    <row r="4406" customFormat="1" x14ac:dyDescent="0.3"/>
    <row r="4407" customFormat="1" x14ac:dyDescent="0.3"/>
    <row r="4408" customFormat="1" x14ac:dyDescent="0.3"/>
    <row r="4409" customFormat="1" x14ac:dyDescent="0.3"/>
    <row r="4410" customFormat="1" x14ac:dyDescent="0.3"/>
    <row r="4411" customFormat="1" x14ac:dyDescent="0.3"/>
    <row r="4412" customFormat="1" x14ac:dyDescent="0.3"/>
    <row r="4413" customFormat="1" x14ac:dyDescent="0.3"/>
    <row r="4414" customFormat="1" x14ac:dyDescent="0.3"/>
    <row r="4415" customFormat="1" x14ac:dyDescent="0.3"/>
    <row r="4416" customFormat="1" x14ac:dyDescent="0.3"/>
    <row r="4417" customFormat="1" x14ac:dyDescent="0.3"/>
    <row r="4418" customFormat="1" x14ac:dyDescent="0.3"/>
    <row r="4419" customFormat="1" x14ac:dyDescent="0.3"/>
    <row r="4420" customFormat="1" x14ac:dyDescent="0.3"/>
    <row r="4421" customFormat="1" x14ac:dyDescent="0.3"/>
    <row r="4422" customFormat="1" x14ac:dyDescent="0.3"/>
    <row r="4423" customFormat="1" x14ac:dyDescent="0.3"/>
    <row r="4424" customFormat="1" x14ac:dyDescent="0.3"/>
    <row r="4425" customFormat="1" x14ac:dyDescent="0.3"/>
    <row r="4426" customFormat="1" x14ac:dyDescent="0.3"/>
    <row r="4427" customFormat="1" x14ac:dyDescent="0.3"/>
    <row r="4428" customFormat="1" x14ac:dyDescent="0.3"/>
    <row r="4429" customFormat="1" x14ac:dyDescent="0.3"/>
    <row r="4430" customFormat="1" x14ac:dyDescent="0.3"/>
    <row r="4431" customFormat="1" x14ac:dyDescent="0.3"/>
    <row r="4432" customFormat="1" x14ac:dyDescent="0.3"/>
    <row r="4433" customFormat="1" x14ac:dyDescent="0.3"/>
    <row r="4434" customFormat="1" x14ac:dyDescent="0.3"/>
    <row r="4435" customFormat="1" x14ac:dyDescent="0.3"/>
    <row r="4436" customFormat="1" x14ac:dyDescent="0.3"/>
    <row r="4437" customFormat="1" x14ac:dyDescent="0.3"/>
    <row r="4438" customFormat="1" x14ac:dyDescent="0.3"/>
    <row r="4439" customFormat="1" x14ac:dyDescent="0.3"/>
    <row r="4440" customFormat="1" x14ac:dyDescent="0.3"/>
    <row r="4441" customFormat="1" x14ac:dyDescent="0.3"/>
    <row r="4442" customFormat="1" x14ac:dyDescent="0.3"/>
    <row r="4443" customFormat="1" x14ac:dyDescent="0.3"/>
    <row r="4444" customFormat="1" x14ac:dyDescent="0.3"/>
    <row r="4445" customFormat="1" x14ac:dyDescent="0.3"/>
    <row r="4446" customFormat="1" x14ac:dyDescent="0.3"/>
    <row r="4447" customFormat="1" x14ac:dyDescent="0.3"/>
    <row r="4448" customFormat="1" x14ac:dyDescent="0.3"/>
    <row r="4449" customFormat="1" x14ac:dyDescent="0.3"/>
    <row r="4450" customFormat="1" x14ac:dyDescent="0.3"/>
    <row r="4451" customFormat="1" x14ac:dyDescent="0.3"/>
    <row r="4452" customFormat="1" x14ac:dyDescent="0.3"/>
    <row r="4453" customFormat="1" x14ac:dyDescent="0.3"/>
    <row r="4454" customFormat="1" x14ac:dyDescent="0.3"/>
    <row r="4455" customFormat="1" x14ac:dyDescent="0.3"/>
    <row r="4456" customFormat="1" x14ac:dyDescent="0.3"/>
    <row r="4457" customFormat="1" x14ac:dyDescent="0.3"/>
    <row r="4458" customFormat="1" x14ac:dyDescent="0.3"/>
    <row r="4459" customFormat="1" x14ac:dyDescent="0.3"/>
    <row r="4460" customFormat="1" x14ac:dyDescent="0.3"/>
    <row r="4461" customFormat="1" x14ac:dyDescent="0.3"/>
    <row r="4462" customFormat="1" x14ac:dyDescent="0.3"/>
    <row r="4463" customFormat="1" x14ac:dyDescent="0.3"/>
    <row r="4464" customFormat="1" x14ac:dyDescent="0.3"/>
    <row r="4465" customFormat="1" x14ac:dyDescent="0.3"/>
    <row r="4466" customFormat="1" x14ac:dyDescent="0.3"/>
    <row r="4467" customFormat="1" x14ac:dyDescent="0.3"/>
    <row r="4468" customFormat="1" x14ac:dyDescent="0.3"/>
    <row r="4469" customFormat="1" x14ac:dyDescent="0.3"/>
    <row r="4470" customFormat="1" x14ac:dyDescent="0.3"/>
    <row r="4471" customFormat="1" x14ac:dyDescent="0.3"/>
    <row r="4472" customFormat="1" x14ac:dyDescent="0.3"/>
    <row r="4473" customFormat="1" x14ac:dyDescent="0.3"/>
    <row r="4474" customFormat="1" x14ac:dyDescent="0.3"/>
    <row r="4475" customFormat="1" x14ac:dyDescent="0.3"/>
    <row r="4476" customFormat="1" x14ac:dyDescent="0.3"/>
    <row r="4477" customFormat="1" x14ac:dyDescent="0.3"/>
    <row r="4478" customFormat="1" x14ac:dyDescent="0.3"/>
    <row r="4479" customFormat="1" x14ac:dyDescent="0.3"/>
    <row r="4480" customFormat="1" x14ac:dyDescent="0.3"/>
    <row r="4481" customFormat="1" x14ac:dyDescent="0.3"/>
    <row r="4482" customFormat="1" x14ac:dyDescent="0.3"/>
    <row r="4483" customFormat="1" x14ac:dyDescent="0.3"/>
    <row r="4484" customFormat="1" x14ac:dyDescent="0.3"/>
    <row r="4485" customFormat="1" x14ac:dyDescent="0.3"/>
    <row r="4486" customFormat="1" x14ac:dyDescent="0.3"/>
    <row r="4487" customFormat="1" x14ac:dyDescent="0.3"/>
    <row r="4488" customFormat="1" x14ac:dyDescent="0.3"/>
    <row r="4489" customFormat="1" x14ac:dyDescent="0.3"/>
    <row r="4490" customFormat="1" x14ac:dyDescent="0.3"/>
    <row r="4491" customFormat="1" x14ac:dyDescent="0.3"/>
    <row r="4492" customFormat="1" x14ac:dyDescent="0.3"/>
    <row r="4493" customFormat="1" x14ac:dyDescent="0.3"/>
    <row r="4494" customFormat="1" x14ac:dyDescent="0.3"/>
    <row r="4495" customFormat="1" x14ac:dyDescent="0.3"/>
    <row r="4496" customFormat="1" x14ac:dyDescent="0.3"/>
    <row r="4497" customFormat="1" x14ac:dyDescent="0.3"/>
    <row r="4498" customFormat="1" x14ac:dyDescent="0.3"/>
    <row r="4499" customFormat="1" x14ac:dyDescent="0.3"/>
    <row r="4500" customFormat="1" x14ac:dyDescent="0.3"/>
    <row r="4501" customFormat="1" x14ac:dyDescent="0.3"/>
    <row r="4502" customFormat="1" x14ac:dyDescent="0.3"/>
    <row r="4503" customFormat="1" x14ac:dyDescent="0.3"/>
    <row r="4504" customFormat="1" x14ac:dyDescent="0.3"/>
    <row r="4505" customFormat="1" x14ac:dyDescent="0.3"/>
    <row r="4506" customFormat="1" x14ac:dyDescent="0.3"/>
    <row r="4507" customFormat="1" x14ac:dyDescent="0.3"/>
    <row r="4508" customFormat="1" x14ac:dyDescent="0.3"/>
    <row r="4509" customFormat="1" x14ac:dyDescent="0.3"/>
    <row r="4510" customFormat="1" x14ac:dyDescent="0.3"/>
    <row r="4511" customFormat="1" x14ac:dyDescent="0.3"/>
    <row r="4512" customFormat="1" x14ac:dyDescent="0.3"/>
    <row r="4513" customFormat="1" x14ac:dyDescent="0.3"/>
    <row r="4514" customFormat="1" x14ac:dyDescent="0.3"/>
    <row r="4515" customFormat="1" x14ac:dyDescent="0.3"/>
    <row r="4516" customFormat="1" x14ac:dyDescent="0.3"/>
    <row r="4517" customFormat="1" x14ac:dyDescent="0.3"/>
    <row r="4518" customFormat="1" x14ac:dyDescent="0.3"/>
    <row r="4519" customFormat="1" x14ac:dyDescent="0.3"/>
    <row r="4520" customFormat="1" x14ac:dyDescent="0.3"/>
    <row r="4521" customFormat="1" x14ac:dyDescent="0.3"/>
    <row r="4522" customFormat="1" x14ac:dyDescent="0.3"/>
    <row r="4523" customFormat="1" x14ac:dyDescent="0.3"/>
    <row r="4524" customFormat="1" x14ac:dyDescent="0.3"/>
    <row r="4525" customFormat="1" x14ac:dyDescent="0.3"/>
    <row r="4526" customFormat="1" x14ac:dyDescent="0.3"/>
    <row r="4527" customFormat="1" x14ac:dyDescent="0.3"/>
    <row r="4528" customFormat="1" x14ac:dyDescent="0.3"/>
    <row r="4529" customFormat="1" x14ac:dyDescent="0.3"/>
    <row r="4530" customFormat="1" x14ac:dyDescent="0.3"/>
    <row r="4531" customFormat="1" x14ac:dyDescent="0.3"/>
    <row r="4532" customFormat="1" x14ac:dyDescent="0.3"/>
    <row r="4533" customFormat="1" x14ac:dyDescent="0.3"/>
    <row r="4534" customFormat="1" x14ac:dyDescent="0.3"/>
    <row r="4535" customFormat="1" x14ac:dyDescent="0.3"/>
    <row r="4536" customFormat="1" x14ac:dyDescent="0.3"/>
    <row r="4537" customFormat="1" x14ac:dyDescent="0.3"/>
    <row r="4538" customFormat="1" x14ac:dyDescent="0.3"/>
    <row r="4539" customFormat="1" x14ac:dyDescent="0.3"/>
    <row r="4540" customFormat="1" x14ac:dyDescent="0.3"/>
    <row r="4541" customFormat="1" x14ac:dyDescent="0.3"/>
    <row r="4542" customFormat="1" x14ac:dyDescent="0.3"/>
    <row r="4543" customFormat="1" x14ac:dyDescent="0.3"/>
    <row r="4544" customFormat="1" x14ac:dyDescent="0.3"/>
    <row r="4545" customFormat="1" x14ac:dyDescent="0.3"/>
    <row r="4546" customFormat="1" x14ac:dyDescent="0.3"/>
    <row r="4547" customFormat="1" x14ac:dyDescent="0.3"/>
    <row r="4548" customFormat="1" x14ac:dyDescent="0.3"/>
    <row r="4549" customFormat="1" x14ac:dyDescent="0.3"/>
    <row r="4550" customFormat="1" x14ac:dyDescent="0.3"/>
    <row r="4551" customFormat="1" x14ac:dyDescent="0.3"/>
    <row r="4552" customFormat="1" x14ac:dyDescent="0.3"/>
    <row r="4553" customFormat="1" x14ac:dyDescent="0.3"/>
    <row r="4554" customFormat="1" x14ac:dyDescent="0.3"/>
    <row r="4555" customFormat="1" x14ac:dyDescent="0.3"/>
    <row r="4556" customFormat="1" x14ac:dyDescent="0.3"/>
    <row r="4557" customFormat="1" x14ac:dyDescent="0.3"/>
    <row r="4558" customFormat="1" x14ac:dyDescent="0.3"/>
    <row r="4559" customFormat="1" x14ac:dyDescent="0.3"/>
    <row r="4560" customFormat="1" x14ac:dyDescent="0.3"/>
    <row r="4561" customFormat="1" x14ac:dyDescent="0.3"/>
    <row r="4562" customFormat="1" x14ac:dyDescent="0.3"/>
    <row r="4563" customFormat="1" x14ac:dyDescent="0.3"/>
    <row r="4564" customFormat="1" x14ac:dyDescent="0.3"/>
    <row r="4565" customFormat="1" x14ac:dyDescent="0.3"/>
    <row r="4566" customFormat="1" x14ac:dyDescent="0.3"/>
    <row r="4567" customFormat="1" x14ac:dyDescent="0.3"/>
    <row r="4568" customFormat="1" x14ac:dyDescent="0.3"/>
    <row r="4569" customFormat="1" x14ac:dyDescent="0.3"/>
    <row r="4570" customFormat="1" x14ac:dyDescent="0.3"/>
    <row r="4571" customFormat="1" x14ac:dyDescent="0.3"/>
    <row r="4572" customFormat="1" x14ac:dyDescent="0.3"/>
    <row r="4573" customFormat="1" x14ac:dyDescent="0.3"/>
    <row r="4574" customFormat="1" x14ac:dyDescent="0.3"/>
    <row r="4575" customFormat="1" x14ac:dyDescent="0.3"/>
    <row r="4576" customFormat="1" x14ac:dyDescent="0.3"/>
    <row r="4577" customFormat="1" x14ac:dyDescent="0.3"/>
    <row r="4578" customFormat="1" x14ac:dyDescent="0.3"/>
    <row r="4579" customFormat="1" x14ac:dyDescent="0.3"/>
    <row r="4580" customFormat="1" x14ac:dyDescent="0.3"/>
    <row r="4581" customFormat="1" x14ac:dyDescent="0.3"/>
    <row r="4582" customFormat="1" x14ac:dyDescent="0.3"/>
    <row r="4583" customFormat="1" x14ac:dyDescent="0.3"/>
    <row r="4584" customFormat="1" x14ac:dyDescent="0.3"/>
    <row r="4585" customFormat="1" x14ac:dyDescent="0.3"/>
    <row r="4586" customFormat="1" x14ac:dyDescent="0.3"/>
    <row r="4587" customFormat="1" x14ac:dyDescent="0.3"/>
    <row r="4588" customFormat="1" x14ac:dyDescent="0.3"/>
    <row r="4589" customFormat="1" x14ac:dyDescent="0.3"/>
    <row r="4590" customFormat="1" x14ac:dyDescent="0.3"/>
    <row r="4591" customFormat="1" x14ac:dyDescent="0.3"/>
    <row r="4592" customFormat="1" x14ac:dyDescent="0.3"/>
    <row r="4593" customFormat="1" x14ac:dyDescent="0.3"/>
    <row r="4594" customFormat="1" x14ac:dyDescent="0.3"/>
    <row r="4595" customFormat="1" x14ac:dyDescent="0.3"/>
    <row r="4596" customFormat="1" x14ac:dyDescent="0.3"/>
    <row r="4597" customFormat="1" x14ac:dyDescent="0.3"/>
    <row r="4598" customFormat="1" x14ac:dyDescent="0.3"/>
    <row r="4599" customFormat="1" x14ac:dyDescent="0.3"/>
    <row r="4600" customFormat="1" x14ac:dyDescent="0.3"/>
    <row r="4601" customFormat="1" x14ac:dyDescent="0.3"/>
    <row r="4602" customFormat="1" x14ac:dyDescent="0.3"/>
    <row r="4603" customFormat="1" x14ac:dyDescent="0.3"/>
    <row r="4604" customFormat="1" x14ac:dyDescent="0.3"/>
    <row r="4605" customFormat="1" x14ac:dyDescent="0.3"/>
    <row r="4606" customFormat="1" x14ac:dyDescent="0.3"/>
    <row r="4607" customFormat="1" x14ac:dyDescent="0.3"/>
    <row r="4608" customFormat="1" x14ac:dyDescent="0.3"/>
    <row r="4609" customFormat="1" x14ac:dyDescent="0.3"/>
    <row r="4610" customFormat="1" x14ac:dyDescent="0.3"/>
    <row r="4611" customFormat="1" x14ac:dyDescent="0.3"/>
    <row r="4612" customFormat="1" x14ac:dyDescent="0.3"/>
    <row r="4613" customFormat="1" x14ac:dyDescent="0.3"/>
    <row r="4614" customFormat="1" x14ac:dyDescent="0.3"/>
    <row r="4615" customFormat="1" x14ac:dyDescent="0.3"/>
    <row r="4616" customFormat="1" x14ac:dyDescent="0.3"/>
    <row r="4617" customFormat="1" x14ac:dyDescent="0.3"/>
    <row r="4618" customFormat="1" x14ac:dyDescent="0.3"/>
    <row r="4619" customFormat="1" x14ac:dyDescent="0.3"/>
    <row r="4620" customFormat="1" x14ac:dyDescent="0.3"/>
    <row r="4621" customFormat="1" x14ac:dyDescent="0.3"/>
    <row r="4622" customFormat="1" x14ac:dyDescent="0.3"/>
    <row r="4623" customFormat="1" x14ac:dyDescent="0.3"/>
    <row r="4624" customFormat="1" x14ac:dyDescent="0.3"/>
    <row r="4625" customFormat="1" x14ac:dyDescent="0.3"/>
    <row r="4626" customFormat="1" x14ac:dyDescent="0.3"/>
    <row r="4627" customFormat="1" x14ac:dyDescent="0.3"/>
    <row r="4628" customFormat="1" x14ac:dyDescent="0.3"/>
    <row r="4629" customFormat="1" x14ac:dyDescent="0.3"/>
    <row r="4630" customFormat="1" x14ac:dyDescent="0.3"/>
    <row r="4631" customFormat="1" x14ac:dyDescent="0.3"/>
    <row r="4632" customFormat="1" x14ac:dyDescent="0.3"/>
    <row r="4633" customFormat="1" x14ac:dyDescent="0.3"/>
    <row r="4634" customFormat="1" x14ac:dyDescent="0.3"/>
    <row r="4635" customFormat="1" x14ac:dyDescent="0.3"/>
    <row r="4636" customFormat="1" x14ac:dyDescent="0.3"/>
    <row r="4637" customFormat="1" x14ac:dyDescent="0.3"/>
    <row r="4638" customFormat="1" x14ac:dyDescent="0.3"/>
    <row r="4639" customFormat="1" x14ac:dyDescent="0.3"/>
    <row r="4640" customFormat="1" x14ac:dyDescent="0.3"/>
    <row r="4641" customFormat="1" x14ac:dyDescent="0.3"/>
    <row r="4642" customFormat="1" x14ac:dyDescent="0.3"/>
    <row r="4643" customFormat="1" x14ac:dyDescent="0.3"/>
    <row r="4644" customFormat="1" x14ac:dyDescent="0.3"/>
    <row r="4645" customFormat="1" x14ac:dyDescent="0.3"/>
    <row r="4646" customFormat="1" x14ac:dyDescent="0.3"/>
    <row r="4647" customFormat="1" x14ac:dyDescent="0.3"/>
    <row r="4648" customFormat="1" x14ac:dyDescent="0.3"/>
    <row r="4649" customFormat="1" x14ac:dyDescent="0.3"/>
    <row r="4650" customFormat="1" x14ac:dyDescent="0.3"/>
    <row r="4651" customFormat="1" x14ac:dyDescent="0.3"/>
    <row r="4652" customFormat="1" x14ac:dyDescent="0.3"/>
    <row r="4653" customFormat="1" x14ac:dyDescent="0.3"/>
    <row r="4654" customFormat="1" x14ac:dyDescent="0.3"/>
    <row r="4655" customFormat="1" x14ac:dyDescent="0.3"/>
    <row r="4656" customFormat="1" x14ac:dyDescent="0.3"/>
    <row r="4657" customFormat="1" x14ac:dyDescent="0.3"/>
    <row r="4658" customFormat="1" x14ac:dyDescent="0.3"/>
    <row r="4659" customFormat="1" x14ac:dyDescent="0.3"/>
    <row r="4660" customFormat="1" x14ac:dyDescent="0.3"/>
    <row r="4661" customFormat="1" x14ac:dyDescent="0.3"/>
    <row r="4662" customFormat="1" x14ac:dyDescent="0.3"/>
    <row r="4663" customFormat="1" x14ac:dyDescent="0.3"/>
    <row r="4664" customFormat="1" x14ac:dyDescent="0.3"/>
    <row r="4665" customFormat="1" x14ac:dyDescent="0.3"/>
    <row r="4666" customFormat="1" x14ac:dyDescent="0.3"/>
    <row r="4667" customFormat="1" x14ac:dyDescent="0.3"/>
    <row r="4668" customFormat="1" x14ac:dyDescent="0.3"/>
    <row r="4669" customFormat="1" x14ac:dyDescent="0.3"/>
    <row r="4670" customFormat="1" x14ac:dyDescent="0.3"/>
    <row r="4671" customFormat="1" x14ac:dyDescent="0.3"/>
    <row r="4672" customFormat="1" x14ac:dyDescent="0.3"/>
    <row r="4673" customFormat="1" x14ac:dyDescent="0.3"/>
    <row r="4674" customFormat="1" x14ac:dyDescent="0.3"/>
    <row r="4675" customFormat="1" x14ac:dyDescent="0.3"/>
    <row r="4676" customFormat="1" x14ac:dyDescent="0.3"/>
    <row r="4677" customFormat="1" x14ac:dyDescent="0.3"/>
    <row r="4678" customFormat="1" x14ac:dyDescent="0.3"/>
    <row r="4679" customFormat="1" x14ac:dyDescent="0.3"/>
    <row r="4680" customFormat="1" x14ac:dyDescent="0.3"/>
    <row r="4681" customFormat="1" x14ac:dyDescent="0.3"/>
    <row r="4682" customFormat="1" x14ac:dyDescent="0.3"/>
    <row r="4683" customFormat="1" x14ac:dyDescent="0.3"/>
    <row r="4684" customFormat="1" x14ac:dyDescent="0.3"/>
    <row r="4685" customFormat="1" x14ac:dyDescent="0.3"/>
    <row r="4686" customFormat="1" x14ac:dyDescent="0.3"/>
    <row r="4687" customFormat="1" x14ac:dyDescent="0.3"/>
    <row r="4688" customFormat="1" x14ac:dyDescent="0.3"/>
    <row r="4689" customFormat="1" x14ac:dyDescent="0.3"/>
    <row r="4690" customFormat="1" x14ac:dyDescent="0.3"/>
    <row r="4691" customFormat="1" x14ac:dyDescent="0.3"/>
    <row r="4692" customFormat="1" x14ac:dyDescent="0.3"/>
    <row r="4693" customFormat="1" x14ac:dyDescent="0.3"/>
    <row r="4694" customFormat="1" x14ac:dyDescent="0.3"/>
    <row r="4695" customFormat="1" x14ac:dyDescent="0.3"/>
    <row r="4696" customFormat="1" x14ac:dyDescent="0.3"/>
    <row r="4697" customFormat="1" x14ac:dyDescent="0.3"/>
    <row r="4698" customFormat="1" x14ac:dyDescent="0.3"/>
    <row r="4699" customFormat="1" x14ac:dyDescent="0.3"/>
    <row r="4700" customFormat="1" x14ac:dyDescent="0.3"/>
    <row r="4701" customFormat="1" x14ac:dyDescent="0.3"/>
    <row r="4702" customFormat="1" x14ac:dyDescent="0.3"/>
    <row r="4703" customFormat="1" x14ac:dyDescent="0.3"/>
    <row r="4704" customFormat="1" x14ac:dyDescent="0.3"/>
    <row r="4705" customFormat="1" x14ac:dyDescent="0.3"/>
    <row r="4706" customFormat="1" x14ac:dyDescent="0.3"/>
    <row r="4707" customFormat="1" x14ac:dyDescent="0.3"/>
    <row r="4708" customFormat="1" x14ac:dyDescent="0.3"/>
    <row r="4709" customFormat="1" x14ac:dyDescent="0.3"/>
    <row r="4710" customFormat="1" x14ac:dyDescent="0.3"/>
    <row r="4711" customFormat="1" x14ac:dyDescent="0.3"/>
    <row r="4712" customFormat="1" x14ac:dyDescent="0.3"/>
    <row r="4713" customFormat="1" x14ac:dyDescent="0.3"/>
    <row r="4714" customFormat="1" x14ac:dyDescent="0.3"/>
    <row r="4715" customFormat="1" x14ac:dyDescent="0.3"/>
    <row r="4716" customFormat="1" x14ac:dyDescent="0.3"/>
    <row r="4717" customFormat="1" x14ac:dyDescent="0.3"/>
    <row r="4718" customFormat="1" x14ac:dyDescent="0.3"/>
    <row r="4719" customFormat="1" x14ac:dyDescent="0.3"/>
    <row r="4720" customFormat="1" x14ac:dyDescent="0.3"/>
    <row r="4721" customFormat="1" x14ac:dyDescent="0.3"/>
    <row r="4722" customFormat="1" x14ac:dyDescent="0.3"/>
    <row r="4723" customFormat="1" x14ac:dyDescent="0.3"/>
    <row r="4724" customFormat="1" x14ac:dyDescent="0.3"/>
    <row r="4725" customFormat="1" x14ac:dyDescent="0.3"/>
    <row r="4726" customFormat="1" x14ac:dyDescent="0.3"/>
    <row r="4727" customFormat="1" x14ac:dyDescent="0.3"/>
    <row r="4728" customFormat="1" x14ac:dyDescent="0.3"/>
    <row r="4729" customFormat="1" x14ac:dyDescent="0.3"/>
    <row r="4730" customFormat="1" x14ac:dyDescent="0.3"/>
    <row r="4731" customFormat="1" x14ac:dyDescent="0.3"/>
    <row r="4732" customFormat="1" x14ac:dyDescent="0.3"/>
    <row r="4733" customFormat="1" x14ac:dyDescent="0.3"/>
    <row r="4734" customFormat="1" x14ac:dyDescent="0.3"/>
    <row r="4735" customFormat="1" x14ac:dyDescent="0.3"/>
    <row r="4736" customFormat="1" x14ac:dyDescent="0.3"/>
    <row r="4737" customFormat="1" x14ac:dyDescent="0.3"/>
    <row r="4738" customFormat="1" x14ac:dyDescent="0.3"/>
    <row r="4739" customFormat="1" x14ac:dyDescent="0.3"/>
    <row r="4740" customFormat="1" x14ac:dyDescent="0.3"/>
    <row r="4741" customFormat="1" x14ac:dyDescent="0.3"/>
    <row r="4742" customFormat="1" x14ac:dyDescent="0.3"/>
    <row r="4743" customFormat="1" x14ac:dyDescent="0.3"/>
    <row r="4744" customFormat="1" x14ac:dyDescent="0.3"/>
    <row r="4745" customFormat="1" x14ac:dyDescent="0.3"/>
    <row r="4746" customFormat="1" x14ac:dyDescent="0.3"/>
    <row r="4747" customFormat="1" x14ac:dyDescent="0.3"/>
    <row r="4748" customFormat="1" x14ac:dyDescent="0.3"/>
    <row r="4749" customFormat="1" x14ac:dyDescent="0.3"/>
    <row r="4750" customFormat="1" x14ac:dyDescent="0.3"/>
    <row r="4751" customFormat="1" x14ac:dyDescent="0.3"/>
    <row r="4752" customFormat="1" x14ac:dyDescent="0.3"/>
    <row r="4753" customFormat="1" x14ac:dyDescent="0.3"/>
    <row r="4754" customFormat="1" x14ac:dyDescent="0.3"/>
    <row r="4755" customFormat="1" x14ac:dyDescent="0.3"/>
    <row r="4756" customFormat="1" x14ac:dyDescent="0.3"/>
    <row r="4757" customFormat="1" x14ac:dyDescent="0.3"/>
    <row r="4758" customFormat="1" x14ac:dyDescent="0.3"/>
    <row r="4759" customFormat="1" x14ac:dyDescent="0.3"/>
    <row r="4760" customFormat="1" x14ac:dyDescent="0.3"/>
    <row r="4761" customFormat="1" x14ac:dyDescent="0.3"/>
    <row r="4762" customFormat="1" x14ac:dyDescent="0.3"/>
    <row r="4763" customFormat="1" x14ac:dyDescent="0.3"/>
    <row r="4764" customFormat="1" x14ac:dyDescent="0.3"/>
    <row r="4765" customFormat="1" x14ac:dyDescent="0.3"/>
    <row r="4766" customFormat="1" x14ac:dyDescent="0.3"/>
    <row r="4767" customFormat="1" x14ac:dyDescent="0.3"/>
    <row r="4768" customFormat="1" x14ac:dyDescent="0.3"/>
    <row r="4769" customFormat="1" x14ac:dyDescent="0.3"/>
    <row r="4770" customFormat="1" x14ac:dyDescent="0.3"/>
    <row r="4771" customFormat="1" x14ac:dyDescent="0.3"/>
    <row r="4772" customFormat="1" x14ac:dyDescent="0.3"/>
    <row r="4773" customFormat="1" x14ac:dyDescent="0.3"/>
    <row r="4774" customFormat="1" x14ac:dyDescent="0.3"/>
    <row r="4775" customFormat="1" x14ac:dyDescent="0.3"/>
    <row r="4776" customFormat="1" x14ac:dyDescent="0.3"/>
    <row r="4777" customFormat="1" x14ac:dyDescent="0.3"/>
    <row r="4778" customFormat="1" x14ac:dyDescent="0.3"/>
    <row r="4779" customFormat="1" x14ac:dyDescent="0.3"/>
    <row r="4780" customFormat="1" x14ac:dyDescent="0.3"/>
    <row r="4781" customFormat="1" x14ac:dyDescent="0.3"/>
    <row r="4782" customFormat="1" x14ac:dyDescent="0.3"/>
    <row r="4783" customFormat="1" x14ac:dyDescent="0.3"/>
    <row r="4784" customFormat="1" x14ac:dyDescent="0.3"/>
    <row r="4785" customFormat="1" x14ac:dyDescent="0.3"/>
    <row r="4786" customFormat="1" x14ac:dyDescent="0.3"/>
    <row r="4787" customFormat="1" x14ac:dyDescent="0.3"/>
    <row r="4788" customFormat="1" x14ac:dyDescent="0.3"/>
    <row r="4789" customFormat="1" x14ac:dyDescent="0.3"/>
    <row r="4790" customFormat="1" x14ac:dyDescent="0.3"/>
    <row r="4791" customFormat="1" x14ac:dyDescent="0.3"/>
    <row r="4792" customFormat="1" x14ac:dyDescent="0.3"/>
    <row r="4793" customFormat="1" x14ac:dyDescent="0.3"/>
    <row r="4794" customFormat="1" x14ac:dyDescent="0.3"/>
    <row r="4795" customFormat="1" x14ac:dyDescent="0.3"/>
    <row r="4796" customFormat="1" x14ac:dyDescent="0.3"/>
    <row r="4797" customFormat="1" x14ac:dyDescent="0.3"/>
    <row r="4798" customFormat="1" x14ac:dyDescent="0.3"/>
    <row r="4799" customFormat="1" x14ac:dyDescent="0.3"/>
    <row r="4800" customFormat="1" x14ac:dyDescent="0.3"/>
    <row r="4801" customFormat="1" x14ac:dyDescent="0.3"/>
    <row r="4802" customFormat="1" x14ac:dyDescent="0.3"/>
    <row r="4803" customFormat="1" x14ac:dyDescent="0.3"/>
    <row r="4804" customFormat="1" x14ac:dyDescent="0.3"/>
    <row r="4805" customFormat="1" x14ac:dyDescent="0.3"/>
    <row r="4806" customFormat="1" x14ac:dyDescent="0.3"/>
    <row r="4807" customFormat="1" x14ac:dyDescent="0.3"/>
    <row r="4808" customFormat="1" x14ac:dyDescent="0.3"/>
    <row r="4809" customFormat="1" x14ac:dyDescent="0.3"/>
    <row r="4810" customFormat="1" x14ac:dyDescent="0.3"/>
    <row r="4811" customFormat="1" x14ac:dyDescent="0.3"/>
    <row r="4812" customFormat="1" x14ac:dyDescent="0.3"/>
    <row r="4813" customFormat="1" x14ac:dyDescent="0.3"/>
    <row r="4814" customFormat="1" x14ac:dyDescent="0.3"/>
    <row r="4815" customFormat="1" x14ac:dyDescent="0.3"/>
    <row r="4816" customFormat="1" x14ac:dyDescent="0.3"/>
    <row r="4817" customFormat="1" x14ac:dyDescent="0.3"/>
    <row r="4818" customFormat="1" x14ac:dyDescent="0.3"/>
    <row r="4819" customFormat="1" x14ac:dyDescent="0.3"/>
    <row r="4820" customFormat="1" x14ac:dyDescent="0.3"/>
    <row r="4821" customFormat="1" x14ac:dyDescent="0.3"/>
    <row r="4822" customFormat="1" x14ac:dyDescent="0.3"/>
    <row r="4823" customFormat="1" x14ac:dyDescent="0.3"/>
    <row r="4824" customFormat="1" x14ac:dyDescent="0.3"/>
    <row r="4825" customFormat="1" x14ac:dyDescent="0.3"/>
    <row r="4826" customFormat="1" x14ac:dyDescent="0.3"/>
    <row r="4827" customFormat="1" x14ac:dyDescent="0.3"/>
    <row r="4828" customFormat="1" x14ac:dyDescent="0.3"/>
    <row r="4829" customFormat="1" x14ac:dyDescent="0.3"/>
    <row r="4830" customFormat="1" x14ac:dyDescent="0.3"/>
    <row r="4831" customFormat="1" x14ac:dyDescent="0.3"/>
    <row r="4832" customFormat="1" x14ac:dyDescent="0.3"/>
    <row r="4833" customFormat="1" x14ac:dyDescent="0.3"/>
    <row r="4834" customFormat="1" x14ac:dyDescent="0.3"/>
    <row r="4835" customFormat="1" x14ac:dyDescent="0.3"/>
    <row r="4836" customFormat="1" x14ac:dyDescent="0.3"/>
    <row r="4837" customFormat="1" x14ac:dyDescent="0.3"/>
    <row r="4838" customFormat="1" x14ac:dyDescent="0.3"/>
    <row r="4839" customFormat="1" x14ac:dyDescent="0.3"/>
    <row r="4840" customFormat="1" x14ac:dyDescent="0.3"/>
    <row r="4841" customFormat="1" x14ac:dyDescent="0.3"/>
    <row r="4842" customFormat="1" x14ac:dyDescent="0.3"/>
    <row r="4843" customFormat="1" x14ac:dyDescent="0.3"/>
    <row r="4844" customFormat="1" x14ac:dyDescent="0.3"/>
    <row r="4845" customFormat="1" x14ac:dyDescent="0.3"/>
    <row r="4846" customFormat="1" x14ac:dyDescent="0.3"/>
    <row r="4847" customFormat="1" x14ac:dyDescent="0.3"/>
    <row r="4848" customFormat="1" x14ac:dyDescent="0.3"/>
    <row r="4849" customFormat="1" x14ac:dyDescent="0.3"/>
    <row r="4850" customFormat="1" x14ac:dyDescent="0.3"/>
    <row r="4851" customFormat="1" x14ac:dyDescent="0.3"/>
    <row r="4852" customFormat="1" x14ac:dyDescent="0.3"/>
    <row r="4853" customFormat="1" x14ac:dyDescent="0.3"/>
    <row r="4854" customFormat="1" x14ac:dyDescent="0.3"/>
    <row r="4855" customFormat="1" x14ac:dyDescent="0.3"/>
    <row r="4856" customFormat="1" x14ac:dyDescent="0.3"/>
    <row r="4857" customFormat="1" x14ac:dyDescent="0.3"/>
    <row r="4858" customFormat="1" x14ac:dyDescent="0.3"/>
    <row r="4859" customFormat="1" x14ac:dyDescent="0.3"/>
    <row r="4860" customFormat="1" x14ac:dyDescent="0.3"/>
    <row r="4861" customFormat="1" x14ac:dyDescent="0.3"/>
    <row r="4862" customFormat="1" x14ac:dyDescent="0.3"/>
    <row r="4863" customFormat="1" x14ac:dyDescent="0.3"/>
    <row r="4864" customFormat="1" x14ac:dyDescent="0.3"/>
    <row r="4865" customFormat="1" x14ac:dyDescent="0.3"/>
    <row r="4866" customFormat="1" x14ac:dyDescent="0.3"/>
    <row r="4867" customFormat="1" x14ac:dyDescent="0.3"/>
    <row r="4868" customFormat="1" x14ac:dyDescent="0.3"/>
    <row r="4869" customFormat="1" x14ac:dyDescent="0.3"/>
    <row r="4870" customFormat="1" x14ac:dyDescent="0.3"/>
    <row r="4871" customFormat="1" x14ac:dyDescent="0.3"/>
    <row r="4872" customFormat="1" x14ac:dyDescent="0.3"/>
    <row r="4873" customFormat="1" x14ac:dyDescent="0.3"/>
    <row r="4874" customFormat="1" x14ac:dyDescent="0.3"/>
    <row r="4875" customFormat="1" x14ac:dyDescent="0.3"/>
    <row r="4876" customFormat="1" x14ac:dyDescent="0.3"/>
    <row r="4877" customFormat="1" x14ac:dyDescent="0.3"/>
    <row r="4878" customFormat="1" x14ac:dyDescent="0.3"/>
    <row r="4879" customFormat="1" x14ac:dyDescent="0.3"/>
    <row r="4880" customFormat="1" x14ac:dyDescent="0.3"/>
    <row r="4881" customFormat="1" x14ac:dyDescent="0.3"/>
    <row r="4882" customFormat="1" x14ac:dyDescent="0.3"/>
    <row r="4883" customFormat="1" x14ac:dyDescent="0.3"/>
    <row r="4884" customFormat="1" x14ac:dyDescent="0.3"/>
    <row r="4885" customFormat="1" x14ac:dyDescent="0.3"/>
    <row r="4886" customFormat="1" x14ac:dyDescent="0.3"/>
    <row r="4887" customFormat="1" x14ac:dyDescent="0.3"/>
    <row r="4888" customFormat="1" x14ac:dyDescent="0.3"/>
    <row r="4889" customFormat="1" x14ac:dyDescent="0.3"/>
    <row r="4890" customFormat="1" x14ac:dyDescent="0.3"/>
    <row r="4891" customFormat="1" x14ac:dyDescent="0.3"/>
    <row r="4892" customFormat="1" x14ac:dyDescent="0.3"/>
    <row r="4893" customFormat="1" x14ac:dyDescent="0.3"/>
    <row r="4894" customFormat="1" x14ac:dyDescent="0.3"/>
    <row r="4895" customFormat="1" x14ac:dyDescent="0.3"/>
    <row r="4896" customFormat="1" x14ac:dyDescent="0.3"/>
    <row r="4897" customFormat="1" x14ac:dyDescent="0.3"/>
    <row r="4898" customFormat="1" x14ac:dyDescent="0.3"/>
    <row r="4899" customFormat="1" x14ac:dyDescent="0.3"/>
    <row r="4900" customFormat="1" x14ac:dyDescent="0.3"/>
    <row r="4901" customFormat="1" x14ac:dyDescent="0.3"/>
    <row r="4902" customFormat="1" x14ac:dyDescent="0.3"/>
    <row r="4903" customFormat="1" x14ac:dyDescent="0.3"/>
    <row r="4904" customFormat="1" x14ac:dyDescent="0.3"/>
    <row r="4905" customFormat="1" x14ac:dyDescent="0.3"/>
    <row r="4906" customFormat="1" x14ac:dyDescent="0.3"/>
    <row r="4907" customFormat="1" x14ac:dyDescent="0.3"/>
    <row r="4908" customFormat="1" x14ac:dyDescent="0.3"/>
    <row r="4909" customFormat="1" x14ac:dyDescent="0.3"/>
    <row r="4910" customFormat="1" x14ac:dyDescent="0.3"/>
    <row r="4911" customFormat="1" x14ac:dyDescent="0.3"/>
    <row r="4912" customFormat="1" x14ac:dyDescent="0.3"/>
    <row r="4913" customFormat="1" x14ac:dyDescent="0.3"/>
    <row r="4914" customFormat="1" x14ac:dyDescent="0.3"/>
    <row r="4915" customFormat="1" x14ac:dyDescent="0.3"/>
    <row r="4916" customFormat="1" x14ac:dyDescent="0.3"/>
    <row r="4917" customFormat="1" x14ac:dyDescent="0.3"/>
    <row r="4918" customFormat="1" x14ac:dyDescent="0.3"/>
    <row r="4919" customFormat="1" x14ac:dyDescent="0.3"/>
    <row r="4920" customFormat="1" x14ac:dyDescent="0.3"/>
    <row r="4921" customFormat="1" x14ac:dyDescent="0.3"/>
    <row r="4922" customFormat="1" x14ac:dyDescent="0.3"/>
    <row r="4923" customFormat="1" x14ac:dyDescent="0.3"/>
    <row r="4924" customFormat="1" x14ac:dyDescent="0.3"/>
    <row r="4925" customFormat="1" x14ac:dyDescent="0.3"/>
    <row r="4926" customFormat="1" x14ac:dyDescent="0.3"/>
    <row r="4927" customFormat="1" x14ac:dyDescent="0.3"/>
    <row r="4928" customFormat="1" x14ac:dyDescent="0.3"/>
    <row r="4929" customFormat="1" x14ac:dyDescent="0.3"/>
    <row r="4930" customFormat="1" x14ac:dyDescent="0.3"/>
    <row r="4931" customFormat="1" x14ac:dyDescent="0.3"/>
    <row r="4932" customFormat="1" x14ac:dyDescent="0.3"/>
    <row r="4933" customFormat="1" x14ac:dyDescent="0.3"/>
    <row r="4934" customFormat="1" x14ac:dyDescent="0.3"/>
    <row r="4935" customFormat="1" x14ac:dyDescent="0.3"/>
    <row r="4936" customFormat="1" x14ac:dyDescent="0.3"/>
    <row r="4937" customFormat="1" x14ac:dyDescent="0.3"/>
    <row r="4938" customFormat="1" x14ac:dyDescent="0.3"/>
    <row r="4939" customFormat="1" x14ac:dyDescent="0.3"/>
    <row r="4940" customFormat="1" x14ac:dyDescent="0.3"/>
    <row r="4941" customFormat="1" x14ac:dyDescent="0.3"/>
    <row r="4942" customFormat="1" x14ac:dyDescent="0.3"/>
    <row r="4943" customFormat="1" x14ac:dyDescent="0.3"/>
    <row r="4944" customFormat="1" x14ac:dyDescent="0.3"/>
    <row r="4945" customFormat="1" x14ac:dyDescent="0.3"/>
    <row r="4946" customFormat="1" x14ac:dyDescent="0.3"/>
    <row r="4947" customFormat="1" x14ac:dyDescent="0.3"/>
    <row r="4948" customFormat="1" x14ac:dyDescent="0.3"/>
    <row r="4949" customFormat="1" x14ac:dyDescent="0.3"/>
    <row r="4950" customFormat="1" x14ac:dyDescent="0.3"/>
    <row r="4951" customFormat="1" x14ac:dyDescent="0.3"/>
    <row r="4952" customFormat="1" x14ac:dyDescent="0.3"/>
    <row r="4953" customFormat="1" x14ac:dyDescent="0.3"/>
    <row r="4954" customFormat="1" x14ac:dyDescent="0.3"/>
    <row r="4955" customFormat="1" x14ac:dyDescent="0.3"/>
    <row r="4956" customFormat="1" x14ac:dyDescent="0.3"/>
    <row r="4957" customFormat="1" x14ac:dyDescent="0.3"/>
    <row r="4958" customFormat="1" x14ac:dyDescent="0.3"/>
    <row r="4959" customFormat="1" x14ac:dyDescent="0.3"/>
    <row r="4960" customFormat="1" x14ac:dyDescent="0.3"/>
    <row r="4961" customFormat="1" x14ac:dyDescent="0.3"/>
    <row r="4962" customFormat="1" x14ac:dyDescent="0.3"/>
    <row r="4963" customFormat="1" x14ac:dyDescent="0.3"/>
    <row r="4964" customFormat="1" x14ac:dyDescent="0.3"/>
    <row r="4965" customFormat="1" x14ac:dyDescent="0.3"/>
    <row r="4966" customFormat="1" x14ac:dyDescent="0.3"/>
    <row r="4967" customFormat="1" x14ac:dyDescent="0.3"/>
    <row r="4968" customFormat="1" x14ac:dyDescent="0.3"/>
    <row r="4969" customFormat="1" x14ac:dyDescent="0.3"/>
    <row r="4970" customFormat="1" x14ac:dyDescent="0.3"/>
    <row r="4971" customFormat="1" x14ac:dyDescent="0.3"/>
    <row r="4972" customFormat="1" x14ac:dyDescent="0.3"/>
    <row r="4973" customFormat="1" x14ac:dyDescent="0.3"/>
    <row r="4974" customFormat="1" x14ac:dyDescent="0.3"/>
    <row r="4975" customFormat="1" x14ac:dyDescent="0.3"/>
    <row r="4976" customFormat="1" x14ac:dyDescent="0.3"/>
    <row r="4977" customFormat="1" x14ac:dyDescent="0.3"/>
    <row r="4978" customFormat="1" x14ac:dyDescent="0.3"/>
    <row r="4979" customFormat="1" x14ac:dyDescent="0.3"/>
    <row r="4980" customFormat="1" x14ac:dyDescent="0.3"/>
    <row r="4981" customFormat="1" x14ac:dyDescent="0.3"/>
    <row r="4982" customFormat="1" x14ac:dyDescent="0.3"/>
    <row r="4983" customFormat="1" x14ac:dyDescent="0.3"/>
    <row r="4984" customFormat="1" x14ac:dyDescent="0.3"/>
    <row r="4985" customFormat="1" x14ac:dyDescent="0.3"/>
    <row r="4986" customFormat="1" x14ac:dyDescent="0.3"/>
    <row r="4987" customFormat="1" x14ac:dyDescent="0.3"/>
    <row r="4988" customFormat="1" x14ac:dyDescent="0.3"/>
    <row r="4989" customFormat="1" x14ac:dyDescent="0.3"/>
    <row r="4990" customFormat="1" x14ac:dyDescent="0.3"/>
    <row r="4991" customFormat="1" x14ac:dyDescent="0.3"/>
    <row r="4992" customFormat="1" x14ac:dyDescent="0.3"/>
    <row r="4993" customFormat="1" x14ac:dyDescent="0.3"/>
    <row r="4994" customFormat="1" x14ac:dyDescent="0.3"/>
    <row r="4995" customFormat="1" x14ac:dyDescent="0.3"/>
    <row r="4996" customFormat="1" x14ac:dyDescent="0.3"/>
    <row r="4997" customFormat="1" x14ac:dyDescent="0.3"/>
    <row r="4998" customFormat="1" x14ac:dyDescent="0.3"/>
    <row r="4999" customFormat="1" x14ac:dyDescent="0.3"/>
    <row r="5000" customFormat="1" x14ac:dyDescent="0.3"/>
    <row r="5001" customFormat="1" x14ac:dyDescent="0.3"/>
    <row r="5002" customFormat="1" x14ac:dyDescent="0.3"/>
    <row r="5003" customFormat="1" x14ac:dyDescent="0.3"/>
    <row r="5004" customFormat="1" x14ac:dyDescent="0.3"/>
    <row r="5005" customFormat="1" x14ac:dyDescent="0.3"/>
    <row r="5006" customFormat="1" x14ac:dyDescent="0.3"/>
    <row r="5007" customFormat="1" x14ac:dyDescent="0.3"/>
    <row r="5008" customFormat="1" x14ac:dyDescent="0.3"/>
    <row r="5009" customFormat="1" x14ac:dyDescent="0.3"/>
    <row r="5010" customFormat="1" x14ac:dyDescent="0.3"/>
    <row r="5011" customFormat="1" x14ac:dyDescent="0.3"/>
    <row r="5012" customFormat="1" x14ac:dyDescent="0.3"/>
    <row r="5013" customFormat="1" x14ac:dyDescent="0.3"/>
    <row r="5014" customFormat="1" x14ac:dyDescent="0.3"/>
    <row r="5015" customFormat="1" x14ac:dyDescent="0.3"/>
    <row r="5016" customFormat="1" x14ac:dyDescent="0.3"/>
    <row r="5017" customFormat="1" x14ac:dyDescent="0.3"/>
    <row r="5018" customFormat="1" x14ac:dyDescent="0.3"/>
    <row r="5019" customFormat="1" x14ac:dyDescent="0.3"/>
    <row r="5020" customFormat="1" x14ac:dyDescent="0.3"/>
    <row r="5021" customFormat="1" x14ac:dyDescent="0.3"/>
    <row r="5022" customFormat="1" x14ac:dyDescent="0.3"/>
    <row r="5023" customFormat="1" x14ac:dyDescent="0.3"/>
    <row r="5024" customFormat="1" x14ac:dyDescent="0.3"/>
    <row r="5025" customFormat="1" x14ac:dyDescent="0.3"/>
    <row r="5026" customFormat="1" x14ac:dyDescent="0.3"/>
    <row r="5027" customFormat="1" x14ac:dyDescent="0.3"/>
    <row r="5028" customFormat="1" x14ac:dyDescent="0.3"/>
    <row r="5029" customFormat="1" x14ac:dyDescent="0.3"/>
    <row r="5030" customFormat="1" x14ac:dyDescent="0.3"/>
    <row r="5031" customFormat="1" x14ac:dyDescent="0.3"/>
    <row r="5032" customFormat="1" x14ac:dyDescent="0.3"/>
    <row r="5033" customFormat="1" x14ac:dyDescent="0.3"/>
    <row r="5034" customFormat="1" x14ac:dyDescent="0.3"/>
    <row r="5035" customFormat="1" x14ac:dyDescent="0.3"/>
    <row r="5036" customFormat="1" x14ac:dyDescent="0.3"/>
    <row r="5037" customFormat="1" x14ac:dyDescent="0.3"/>
    <row r="5038" customFormat="1" x14ac:dyDescent="0.3"/>
    <row r="5039" customFormat="1" x14ac:dyDescent="0.3"/>
    <row r="5040" customFormat="1" x14ac:dyDescent="0.3"/>
    <row r="5041" customFormat="1" x14ac:dyDescent="0.3"/>
    <row r="5042" customFormat="1" x14ac:dyDescent="0.3"/>
    <row r="5043" customFormat="1" x14ac:dyDescent="0.3"/>
    <row r="5044" customFormat="1" x14ac:dyDescent="0.3"/>
    <row r="5045" customFormat="1" x14ac:dyDescent="0.3"/>
    <row r="5046" customFormat="1" x14ac:dyDescent="0.3"/>
    <row r="5047" customFormat="1" x14ac:dyDescent="0.3"/>
    <row r="5048" customFormat="1" x14ac:dyDescent="0.3"/>
    <row r="5049" customFormat="1" x14ac:dyDescent="0.3"/>
    <row r="5050" customFormat="1" x14ac:dyDescent="0.3"/>
    <row r="5051" customFormat="1" x14ac:dyDescent="0.3"/>
    <row r="5052" customFormat="1" x14ac:dyDescent="0.3"/>
    <row r="5053" customFormat="1" x14ac:dyDescent="0.3"/>
    <row r="5054" customFormat="1" x14ac:dyDescent="0.3"/>
    <row r="5055" customFormat="1" x14ac:dyDescent="0.3"/>
    <row r="5056" customFormat="1" x14ac:dyDescent="0.3"/>
    <row r="5057" customFormat="1" x14ac:dyDescent="0.3"/>
    <row r="5058" customFormat="1" x14ac:dyDescent="0.3"/>
    <row r="5059" customFormat="1" x14ac:dyDescent="0.3"/>
    <row r="5060" customFormat="1" x14ac:dyDescent="0.3"/>
    <row r="5061" customFormat="1" x14ac:dyDescent="0.3"/>
    <row r="5062" customFormat="1" x14ac:dyDescent="0.3"/>
    <row r="5063" customFormat="1" x14ac:dyDescent="0.3"/>
    <row r="5064" customFormat="1" x14ac:dyDescent="0.3"/>
    <row r="5065" customFormat="1" x14ac:dyDescent="0.3"/>
    <row r="5066" customFormat="1" x14ac:dyDescent="0.3"/>
    <row r="5067" customFormat="1" x14ac:dyDescent="0.3"/>
    <row r="5068" customFormat="1" x14ac:dyDescent="0.3"/>
    <row r="5069" customFormat="1" x14ac:dyDescent="0.3"/>
    <row r="5070" customFormat="1" x14ac:dyDescent="0.3"/>
    <row r="5071" customFormat="1" x14ac:dyDescent="0.3"/>
    <row r="5072" customFormat="1" x14ac:dyDescent="0.3"/>
    <row r="5073" customFormat="1" x14ac:dyDescent="0.3"/>
    <row r="5074" customFormat="1" x14ac:dyDescent="0.3"/>
    <row r="5075" customFormat="1" x14ac:dyDescent="0.3"/>
    <row r="5076" customFormat="1" x14ac:dyDescent="0.3"/>
    <row r="5077" customFormat="1" x14ac:dyDescent="0.3"/>
    <row r="5078" customFormat="1" x14ac:dyDescent="0.3"/>
    <row r="5079" customFormat="1" x14ac:dyDescent="0.3"/>
    <row r="5080" customFormat="1" x14ac:dyDescent="0.3"/>
    <row r="5081" customFormat="1" x14ac:dyDescent="0.3"/>
    <row r="5082" customFormat="1" x14ac:dyDescent="0.3"/>
    <row r="5083" customFormat="1" x14ac:dyDescent="0.3"/>
    <row r="5084" customFormat="1" x14ac:dyDescent="0.3"/>
    <row r="5085" customFormat="1" x14ac:dyDescent="0.3"/>
    <row r="5086" customFormat="1" x14ac:dyDescent="0.3"/>
    <row r="5087" customFormat="1" x14ac:dyDescent="0.3"/>
    <row r="5088" customFormat="1" x14ac:dyDescent="0.3"/>
    <row r="5089" customFormat="1" x14ac:dyDescent="0.3"/>
    <row r="5090" customFormat="1" x14ac:dyDescent="0.3"/>
    <row r="5091" customFormat="1" x14ac:dyDescent="0.3"/>
    <row r="5092" customFormat="1" x14ac:dyDescent="0.3"/>
    <row r="5093" customFormat="1" x14ac:dyDescent="0.3"/>
    <row r="5094" customFormat="1" x14ac:dyDescent="0.3"/>
    <row r="5095" customFormat="1" x14ac:dyDescent="0.3"/>
    <row r="5096" customFormat="1" x14ac:dyDescent="0.3"/>
    <row r="5097" customFormat="1" x14ac:dyDescent="0.3"/>
    <row r="5098" customFormat="1" x14ac:dyDescent="0.3"/>
    <row r="5099" customFormat="1" x14ac:dyDescent="0.3"/>
    <row r="5100" customFormat="1" x14ac:dyDescent="0.3"/>
    <row r="5101" customFormat="1" x14ac:dyDescent="0.3"/>
    <row r="5102" customFormat="1" x14ac:dyDescent="0.3"/>
    <row r="5103" customFormat="1" x14ac:dyDescent="0.3"/>
    <row r="5104" customFormat="1" x14ac:dyDescent="0.3"/>
    <row r="5105" customFormat="1" x14ac:dyDescent="0.3"/>
    <row r="5106" customFormat="1" x14ac:dyDescent="0.3"/>
    <row r="5107" customFormat="1" x14ac:dyDescent="0.3"/>
    <row r="5108" customFormat="1" x14ac:dyDescent="0.3"/>
    <row r="5109" customFormat="1" x14ac:dyDescent="0.3"/>
    <row r="5110" customFormat="1" x14ac:dyDescent="0.3"/>
    <row r="5111" customFormat="1" x14ac:dyDescent="0.3"/>
    <row r="5112" customFormat="1" x14ac:dyDescent="0.3"/>
    <row r="5113" customFormat="1" x14ac:dyDescent="0.3"/>
    <row r="5114" customFormat="1" x14ac:dyDescent="0.3"/>
    <row r="5115" customFormat="1" x14ac:dyDescent="0.3"/>
    <row r="5116" customFormat="1" x14ac:dyDescent="0.3"/>
    <row r="5117" customFormat="1" x14ac:dyDescent="0.3"/>
    <row r="5118" customFormat="1" x14ac:dyDescent="0.3"/>
    <row r="5119" customFormat="1" x14ac:dyDescent="0.3"/>
    <row r="5120" customFormat="1" x14ac:dyDescent="0.3"/>
    <row r="5121" customFormat="1" x14ac:dyDescent="0.3"/>
    <row r="5122" customFormat="1" x14ac:dyDescent="0.3"/>
    <row r="5123" customFormat="1" x14ac:dyDescent="0.3"/>
    <row r="5124" customFormat="1" x14ac:dyDescent="0.3"/>
    <row r="5125" customFormat="1" x14ac:dyDescent="0.3"/>
    <row r="5126" customFormat="1" x14ac:dyDescent="0.3"/>
    <row r="5127" customFormat="1" x14ac:dyDescent="0.3"/>
    <row r="5128" customFormat="1" x14ac:dyDescent="0.3"/>
    <row r="5129" customFormat="1" x14ac:dyDescent="0.3"/>
    <row r="5130" customFormat="1" x14ac:dyDescent="0.3"/>
    <row r="5131" customFormat="1" x14ac:dyDescent="0.3"/>
    <row r="5132" customFormat="1" x14ac:dyDescent="0.3"/>
    <row r="5133" customFormat="1" x14ac:dyDescent="0.3"/>
    <row r="5134" customFormat="1" x14ac:dyDescent="0.3"/>
    <row r="5135" customFormat="1" x14ac:dyDescent="0.3"/>
    <row r="5136" customFormat="1" x14ac:dyDescent="0.3"/>
    <row r="5137" customFormat="1" x14ac:dyDescent="0.3"/>
    <row r="5138" customFormat="1" x14ac:dyDescent="0.3"/>
    <row r="5139" customFormat="1" x14ac:dyDescent="0.3"/>
    <row r="5140" customFormat="1" x14ac:dyDescent="0.3"/>
    <row r="5141" customFormat="1" x14ac:dyDescent="0.3"/>
    <row r="5142" customFormat="1" x14ac:dyDescent="0.3"/>
    <row r="5143" customFormat="1" x14ac:dyDescent="0.3"/>
    <row r="5144" customFormat="1" x14ac:dyDescent="0.3"/>
    <row r="5145" customFormat="1" x14ac:dyDescent="0.3"/>
    <row r="5146" customFormat="1" x14ac:dyDescent="0.3"/>
    <row r="5147" customFormat="1" x14ac:dyDescent="0.3"/>
    <row r="5148" customFormat="1" x14ac:dyDescent="0.3"/>
    <row r="5149" customFormat="1" x14ac:dyDescent="0.3"/>
    <row r="5150" customFormat="1" x14ac:dyDescent="0.3"/>
    <row r="5151" customFormat="1" x14ac:dyDescent="0.3"/>
    <row r="5152" customFormat="1" x14ac:dyDescent="0.3"/>
    <row r="5153" customFormat="1" x14ac:dyDescent="0.3"/>
    <row r="5154" customFormat="1" x14ac:dyDescent="0.3"/>
    <row r="5155" customFormat="1" x14ac:dyDescent="0.3"/>
    <row r="5156" customFormat="1" x14ac:dyDescent="0.3"/>
    <row r="5157" customFormat="1" x14ac:dyDescent="0.3"/>
    <row r="5158" customFormat="1" x14ac:dyDescent="0.3"/>
    <row r="5159" customFormat="1" x14ac:dyDescent="0.3"/>
    <row r="5160" customFormat="1" x14ac:dyDescent="0.3"/>
    <row r="5161" customFormat="1" x14ac:dyDescent="0.3"/>
    <row r="5162" customFormat="1" x14ac:dyDescent="0.3"/>
    <row r="5163" customFormat="1" x14ac:dyDescent="0.3"/>
    <row r="5164" customFormat="1" x14ac:dyDescent="0.3"/>
    <row r="5165" customFormat="1" x14ac:dyDescent="0.3"/>
    <row r="5166" customFormat="1" x14ac:dyDescent="0.3"/>
    <row r="5167" customFormat="1" x14ac:dyDescent="0.3"/>
    <row r="5168" customFormat="1" x14ac:dyDescent="0.3"/>
    <row r="5169" customFormat="1" x14ac:dyDescent="0.3"/>
    <row r="5170" customFormat="1" x14ac:dyDescent="0.3"/>
    <row r="5171" customFormat="1" x14ac:dyDescent="0.3"/>
    <row r="5172" customFormat="1" x14ac:dyDescent="0.3"/>
    <row r="5173" customFormat="1" x14ac:dyDescent="0.3"/>
    <row r="5174" customFormat="1" x14ac:dyDescent="0.3"/>
    <row r="5175" customFormat="1" x14ac:dyDescent="0.3"/>
    <row r="5176" customFormat="1" x14ac:dyDescent="0.3"/>
    <row r="5177" customFormat="1" x14ac:dyDescent="0.3"/>
    <row r="5178" customFormat="1" x14ac:dyDescent="0.3"/>
    <row r="5179" customFormat="1" x14ac:dyDescent="0.3"/>
    <row r="5180" customFormat="1" x14ac:dyDescent="0.3"/>
    <row r="5181" customFormat="1" x14ac:dyDescent="0.3"/>
    <row r="5182" customFormat="1" x14ac:dyDescent="0.3"/>
    <row r="5183" customFormat="1" x14ac:dyDescent="0.3"/>
    <row r="5184" customFormat="1" x14ac:dyDescent="0.3"/>
    <row r="5185" customFormat="1" x14ac:dyDescent="0.3"/>
    <row r="5186" customFormat="1" x14ac:dyDescent="0.3"/>
    <row r="5187" customFormat="1" x14ac:dyDescent="0.3"/>
    <row r="5188" customFormat="1" x14ac:dyDescent="0.3"/>
    <row r="5189" customFormat="1" x14ac:dyDescent="0.3"/>
    <row r="5190" customFormat="1" x14ac:dyDescent="0.3"/>
    <row r="5191" customFormat="1" x14ac:dyDescent="0.3"/>
    <row r="5192" customFormat="1" x14ac:dyDescent="0.3"/>
    <row r="5193" customFormat="1" x14ac:dyDescent="0.3"/>
    <row r="5194" customFormat="1" x14ac:dyDescent="0.3"/>
    <row r="5195" customFormat="1" x14ac:dyDescent="0.3"/>
    <row r="5196" customFormat="1" x14ac:dyDescent="0.3"/>
    <row r="5197" customFormat="1" x14ac:dyDescent="0.3"/>
    <row r="5198" customFormat="1" x14ac:dyDescent="0.3"/>
    <row r="5199" customFormat="1" x14ac:dyDescent="0.3"/>
    <row r="5200" customFormat="1" x14ac:dyDescent="0.3"/>
    <row r="5201" customFormat="1" x14ac:dyDescent="0.3"/>
    <row r="5202" customFormat="1" x14ac:dyDescent="0.3"/>
    <row r="5203" customFormat="1" x14ac:dyDescent="0.3"/>
    <row r="5204" customFormat="1" x14ac:dyDescent="0.3"/>
    <row r="5205" customFormat="1" x14ac:dyDescent="0.3"/>
    <row r="5206" customFormat="1" x14ac:dyDescent="0.3"/>
    <row r="5207" customFormat="1" x14ac:dyDescent="0.3"/>
    <row r="5208" customFormat="1" x14ac:dyDescent="0.3"/>
    <row r="5209" customFormat="1" x14ac:dyDescent="0.3"/>
    <row r="5210" customFormat="1" x14ac:dyDescent="0.3"/>
    <row r="5211" customFormat="1" x14ac:dyDescent="0.3"/>
    <row r="5212" customFormat="1" x14ac:dyDescent="0.3"/>
    <row r="5213" customFormat="1" x14ac:dyDescent="0.3"/>
    <row r="5214" customFormat="1" x14ac:dyDescent="0.3"/>
    <row r="5215" customFormat="1" x14ac:dyDescent="0.3"/>
    <row r="5216" customFormat="1" x14ac:dyDescent="0.3"/>
    <row r="5217" customFormat="1" x14ac:dyDescent="0.3"/>
    <row r="5218" customFormat="1" x14ac:dyDescent="0.3"/>
    <row r="5219" customFormat="1" x14ac:dyDescent="0.3"/>
    <row r="5220" customFormat="1" x14ac:dyDescent="0.3"/>
    <row r="5221" customFormat="1" x14ac:dyDescent="0.3"/>
    <row r="5222" customFormat="1" x14ac:dyDescent="0.3"/>
    <row r="5223" customFormat="1" x14ac:dyDescent="0.3"/>
    <row r="5224" customFormat="1" x14ac:dyDescent="0.3"/>
    <row r="5225" customFormat="1" x14ac:dyDescent="0.3"/>
    <row r="5226" customFormat="1" x14ac:dyDescent="0.3"/>
    <row r="5227" customFormat="1" x14ac:dyDescent="0.3"/>
    <row r="5228" customFormat="1" x14ac:dyDescent="0.3"/>
    <row r="5229" customFormat="1" x14ac:dyDescent="0.3"/>
    <row r="5230" customFormat="1" x14ac:dyDescent="0.3"/>
    <row r="5231" customFormat="1" x14ac:dyDescent="0.3"/>
    <row r="5232" customFormat="1" x14ac:dyDescent="0.3"/>
    <row r="5233" customFormat="1" x14ac:dyDescent="0.3"/>
    <row r="5234" customFormat="1" x14ac:dyDescent="0.3"/>
    <row r="5235" customFormat="1" x14ac:dyDescent="0.3"/>
    <row r="5236" customFormat="1" x14ac:dyDescent="0.3"/>
    <row r="5237" customFormat="1" x14ac:dyDescent="0.3"/>
    <row r="5238" customFormat="1" x14ac:dyDescent="0.3"/>
    <row r="5239" customFormat="1" x14ac:dyDescent="0.3"/>
    <row r="5240" customFormat="1" x14ac:dyDescent="0.3"/>
    <row r="5241" customFormat="1" x14ac:dyDescent="0.3"/>
    <row r="5242" customFormat="1" x14ac:dyDescent="0.3"/>
    <row r="5243" customFormat="1" x14ac:dyDescent="0.3"/>
    <row r="5244" customFormat="1" x14ac:dyDescent="0.3"/>
    <row r="5245" customFormat="1" x14ac:dyDescent="0.3"/>
    <row r="5246" customFormat="1" x14ac:dyDescent="0.3"/>
    <row r="5247" customFormat="1" x14ac:dyDescent="0.3"/>
    <row r="5248" customFormat="1" x14ac:dyDescent="0.3"/>
    <row r="5249" customFormat="1" x14ac:dyDescent="0.3"/>
    <row r="5250" customFormat="1" x14ac:dyDescent="0.3"/>
    <row r="5251" customFormat="1" x14ac:dyDescent="0.3"/>
    <row r="5252" customFormat="1" x14ac:dyDescent="0.3"/>
    <row r="5253" customFormat="1" x14ac:dyDescent="0.3"/>
    <row r="5254" customFormat="1" x14ac:dyDescent="0.3"/>
    <row r="5255" customFormat="1" x14ac:dyDescent="0.3"/>
    <row r="5256" customFormat="1" x14ac:dyDescent="0.3"/>
    <row r="5257" customFormat="1" x14ac:dyDescent="0.3"/>
    <row r="5258" customFormat="1" x14ac:dyDescent="0.3"/>
    <row r="5259" customFormat="1" x14ac:dyDescent="0.3"/>
    <row r="5260" customFormat="1" x14ac:dyDescent="0.3"/>
    <row r="5261" customFormat="1" x14ac:dyDescent="0.3"/>
    <row r="5262" customFormat="1" x14ac:dyDescent="0.3"/>
    <row r="5263" customFormat="1" x14ac:dyDescent="0.3"/>
    <row r="5264" customFormat="1" x14ac:dyDescent="0.3"/>
    <row r="5265" customFormat="1" x14ac:dyDescent="0.3"/>
    <row r="5266" customFormat="1" x14ac:dyDescent="0.3"/>
    <row r="5267" customFormat="1" x14ac:dyDescent="0.3"/>
    <row r="5268" customFormat="1" x14ac:dyDescent="0.3"/>
    <row r="5269" customFormat="1" x14ac:dyDescent="0.3"/>
    <row r="5270" customFormat="1" x14ac:dyDescent="0.3"/>
    <row r="5271" customFormat="1" x14ac:dyDescent="0.3"/>
    <row r="5272" customFormat="1" x14ac:dyDescent="0.3"/>
    <row r="5273" customFormat="1" x14ac:dyDescent="0.3"/>
    <row r="5274" customFormat="1" x14ac:dyDescent="0.3"/>
    <row r="5275" customFormat="1" x14ac:dyDescent="0.3"/>
    <row r="5276" customFormat="1" x14ac:dyDescent="0.3"/>
    <row r="5277" customFormat="1" x14ac:dyDescent="0.3"/>
    <row r="5278" customFormat="1" x14ac:dyDescent="0.3"/>
    <row r="5279" customFormat="1" x14ac:dyDescent="0.3"/>
    <row r="5280" customFormat="1" x14ac:dyDescent="0.3"/>
    <row r="5281" customFormat="1" x14ac:dyDescent="0.3"/>
    <row r="5282" customFormat="1" x14ac:dyDescent="0.3"/>
    <row r="5283" customFormat="1" x14ac:dyDescent="0.3"/>
    <row r="5284" customFormat="1" x14ac:dyDescent="0.3"/>
    <row r="5285" customFormat="1" x14ac:dyDescent="0.3"/>
    <row r="5286" customFormat="1" x14ac:dyDescent="0.3"/>
    <row r="5287" customFormat="1" x14ac:dyDescent="0.3"/>
    <row r="5288" customFormat="1" x14ac:dyDescent="0.3"/>
    <row r="5289" customFormat="1" x14ac:dyDescent="0.3"/>
    <row r="5290" customFormat="1" x14ac:dyDescent="0.3"/>
    <row r="5291" customFormat="1" x14ac:dyDescent="0.3"/>
    <row r="5292" customFormat="1" x14ac:dyDescent="0.3"/>
    <row r="5293" customFormat="1" x14ac:dyDescent="0.3"/>
    <row r="5294" customFormat="1" x14ac:dyDescent="0.3"/>
    <row r="5295" customFormat="1" x14ac:dyDescent="0.3"/>
    <row r="5296" customFormat="1" x14ac:dyDescent="0.3"/>
    <row r="5297" customFormat="1" x14ac:dyDescent="0.3"/>
    <row r="5298" customFormat="1" x14ac:dyDescent="0.3"/>
    <row r="5299" customFormat="1" x14ac:dyDescent="0.3"/>
    <row r="5300" customFormat="1" x14ac:dyDescent="0.3"/>
    <row r="5301" customFormat="1" x14ac:dyDescent="0.3"/>
    <row r="5302" customFormat="1" x14ac:dyDescent="0.3"/>
    <row r="5303" customFormat="1" x14ac:dyDescent="0.3"/>
    <row r="5304" customFormat="1" x14ac:dyDescent="0.3"/>
    <row r="5305" customFormat="1" x14ac:dyDescent="0.3"/>
    <row r="5306" customFormat="1" x14ac:dyDescent="0.3"/>
    <row r="5307" customFormat="1" x14ac:dyDescent="0.3"/>
    <row r="5308" customFormat="1" x14ac:dyDescent="0.3"/>
    <row r="5309" customFormat="1" x14ac:dyDescent="0.3"/>
    <row r="5310" customFormat="1" x14ac:dyDescent="0.3"/>
    <row r="5311" customFormat="1" x14ac:dyDescent="0.3"/>
    <row r="5312" customFormat="1" x14ac:dyDescent="0.3"/>
    <row r="5313" customFormat="1" x14ac:dyDescent="0.3"/>
    <row r="5314" customFormat="1" x14ac:dyDescent="0.3"/>
    <row r="5315" customFormat="1" x14ac:dyDescent="0.3"/>
    <row r="5316" customFormat="1" x14ac:dyDescent="0.3"/>
    <row r="5317" customFormat="1" x14ac:dyDescent="0.3"/>
    <row r="5318" customFormat="1" x14ac:dyDescent="0.3"/>
    <row r="5319" customFormat="1" x14ac:dyDescent="0.3"/>
    <row r="5320" customFormat="1" x14ac:dyDescent="0.3"/>
    <row r="5321" customFormat="1" x14ac:dyDescent="0.3"/>
    <row r="5322" customFormat="1" x14ac:dyDescent="0.3"/>
    <row r="5323" customFormat="1" x14ac:dyDescent="0.3"/>
    <row r="5324" customFormat="1" x14ac:dyDescent="0.3"/>
    <row r="5325" customFormat="1" x14ac:dyDescent="0.3"/>
    <row r="5326" customFormat="1" x14ac:dyDescent="0.3"/>
    <row r="5327" customFormat="1" x14ac:dyDescent="0.3"/>
    <row r="5328" customFormat="1" x14ac:dyDescent="0.3"/>
    <row r="5329" customFormat="1" x14ac:dyDescent="0.3"/>
    <row r="5330" customFormat="1" x14ac:dyDescent="0.3"/>
    <row r="5331" customFormat="1" x14ac:dyDescent="0.3"/>
    <row r="5332" customFormat="1" x14ac:dyDescent="0.3"/>
    <row r="5333" customFormat="1" x14ac:dyDescent="0.3"/>
    <row r="5334" customFormat="1" x14ac:dyDescent="0.3"/>
    <row r="5335" customFormat="1" x14ac:dyDescent="0.3"/>
    <row r="5336" customFormat="1" x14ac:dyDescent="0.3"/>
    <row r="5337" customFormat="1" x14ac:dyDescent="0.3"/>
    <row r="5338" customFormat="1" x14ac:dyDescent="0.3"/>
    <row r="5339" customFormat="1" x14ac:dyDescent="0.3"/>
    <row r="5340" customFormat="1" x14ac:dyDescent="0.3"/>
    <row r="5341" customFormat="1" x14ac:dyDescent="0.3"/>
    <row r="5342" customFormat="1" x14ac:dyDescent="0.3"/>
    <row r="5343" customFormat="1" x14ac:dyDescent="0.3"/>
    <row r="5344" customFormat="1" x14ac:dyDescent="0.3"/>
    <row r="5345" customFormat="1" x14ac:dyDescent="0.3"/>
    <row r="5346" customFormat="1" x14ac:dyDescent="0.3"/>
    <row r="5347" customFormat="1" x14ac:dyDescent="0.3"/>
    <row r="5348" customFormat="1" x14ac:dyDescent="0.3"/>
    <row r="5349" customFormat="1" x14ac:dyDescent="0.3"/>
    <row r="5350" customFormat="1" x14ac:dyDescent="0.3"/>
    <row r="5351" customFormat="1" x14ac:dyDescent="0.3"/>
    <row r="5352" customFormat="1" x14ac:dyDescent="0.3"/>
    <row r="5353" customFormat="1" x14ac:dyDescent="0.3"/>
    <row r="5354" customFormat="1" x14ac:dyDescent="0.3"/>
    <row r="5355" customFormat="1" x14ac:dyDescent="0.3"/>
    <row r="5356" customFormat="1" x14ac:dyDescent="0.3"/>
    <row r="5357" customFormat="1" x14ac:dyDescent="0.3"/>
    <row r="5358" customFormat="1" x14ac:dyDescent="0.3"/>
    <row r="5359" customFormat="1" x14ac:dyDescent="0.3"/>
    <row r="5360" customFormat="1" x14ac:dyDescent="0.3"/>
    <row r="5361" customFormat="1" x14ac:dyDescent="0.3"/>
    <row r="5362" customFormat="1" x14ac:dyDescent="0.3"/>
    <row r="5363" customFormat="1" x14ac:dyDescent="0.3"/>
    <row r="5364" customFormat="1" x14ac:dyDescent="0.3"/>
    <row r="5365" customFormat="1" x14ac:dyDescent="0.3"/>
    <row r="5366" customFormat="1" x14ac:dyDescent="0.3"/>
    <row r="5367" customFormat="1" x14ac:dyDescent="0.3"/>
    <row r="5368" customFormat="1" x14ac:dyDescent="0.3"/>
    <row r="5369" customFormat="1" x14ac:dyDescent="0.3"/>
    <row r="5370" customFormat="1" x14ac:dyDescent="0.3"/>
    <row r="5371" customFormat="1" x14ac:dyDescent="0.3"/>
    <row r="5372" customFormat="1" x14ac:dyDescent="0.3"/>
    <row r="5373" customFormat="1" x14ac:dyDescent="0.3"/>
    <row r="5374" customFormat="1" x14ac:dyDescent="0.3"/>
    <row r="5375" customFormat="1" x14ac:dyDescent="0.3"/>
    <row r="5376" customFormat="1" x14ac:dyDescent="0.3"/>
    <row r="5377" customFormat="1" x14ac:dyDescent="0.3"/>
    <row r="5378" customFormat="1" x14ac:dyDescent="0.3"/>
    <row r="5379" customFormat="1" x14ac:dyDescent="0.3"/>
    <row r="5380" customFormat="1" x14ac:dyDescent="0.3"/>
    <row r="5381" customFormat="1" x14ac:dyDescent="0.3"/>
    <row r="5382" customFormat="1" x14ac:dyDescent="0.3"/>
    <row r="5383" customFormat="1" x14ac:dyDescent="0.3"/>
    <row r="5384" customFormat="1" x14ac:dyDescent="0.3"/>
    <row r="5385" customFormat="1" x14ac:dyDescent="0.3"/>
    <row r="5386" customFormat="1" x14ac:dyDescent="0.3"/>
    <row r="5387" customFormat="1" x14ac:dyDescent="0.3"/>
    <row r="5388" customFormat="1" x14ac:dyDescent="0.3"/>
    <row r="5389" customFormat="1" x14ac:dyDescent="0.3"/>
    <row r="5390" customFormat="1" x14ac:dyDescent="0.3"/>
    <row r="5391" customFormat="1" x14ac:dyDescent="0.3"/>
    <row r="5392" customFormat="1" x14ac:dyDescent="0.3"/>
    <row r="5393" customFormat="1" x14ac:dyDescent="0.3"/>
    <row r="5394" customFormat="1" x14ac:dyDescent="0.3"/>
    <row r="5395" customFormat="1" x14ac:dyDescent="0.3"/>
    <row r="5396" customFormat="1" x14ac:dyDescent="0.3"/>
    <row r="5397" customFormat="1" x14ac:dyDescent="0.3"/>
    <row r="5398" customFormat="1" x14ac:dyDescent="0.3"/>
    <row r="5399" customFormat="1" x14ac:dyDescent="0.3"/>
    <row r="5400" customFormat="1" x14ac:dyDescent="0.3"/>
    <row r="5401" customFormat="1" x14ac:dyDescent="0.3"/>
    <row r="5402" customFormat="1" x14ac:dyDescent="0.3"/>
    <row r="5403" customFormat="1" x14ac:dyDescent="0.3"/>
    <row r="5404" customFormat="1" x14ac:dyDescent="0.3"/>
    <row r="5405" customFormat="1" x14ac:dyDescent="0.3"/>
    <row r="5406" customFormat="1" x14ac:dyDescent="0.3"/>
    <row r="5407" customFormat="1" x14ac:dyDescent="0.3"/>
    <row r="5408" customFormat="1" x14ac:dyDescent="0.3"/>
    <row r="5409" customFormat="1" x14ac:dyDescent="0.3"/>
    <row r="5410" customFormat="1" x14ac:dyDescent="0.3"/>
    <row r="5411" customFormat="1" x14ac:dyDescent="0.3"/>
    <row r="5412" customFormat="1" x14ac:dyDescent="0.3"/>
    <row r="5413" customFormat="1" x14ac:dyDescent="0.3"/>
    <row r="5414" customFormat="1" x14ac:dyDescent="0.3"/>
    <row r="5415" customFormat="1" x14ac:dyDescent="0.3"/>
    <row r="5416" customFormat="1" x14ac:dyDescent="0.3"/>
    <row r="5417" customFormat="1" x14ac:dyDescent="0.3"/>
    <row r="5418" customFormat="1" x14ac:dyDescent="0.3"/>
    <row r="5419" customFormat="1" x14ac:dyDescent="0.3"/>
    <row r="5420" customFormat="1" x14ac:dyDescent="0.3"/>
    <row r="5421" customFormat="1" x14ac:dyDescent="0.3"/>
    <row r="5422" customFormat="1" x14ac:dyDescent="0.3"/>
    <row r="5423" customFormat="1" x14ac:dyDescent="0.3"/>
    <row r="5424" customFormat="1" x14ac:dyDescent="0.3"/>
    <row r="5425" customFormat="1" x14ac:dyDescent="0.3"/>
    <row r="5426" customFormat="1" x14ac:dyDescent="0.3"/>
    <row r="5427" customFormat="1" x14ac:dyDescent="0.3"/>
    <row r="5428" customFormat="1" x14ac:dyDescent="0.3"/>
    <row r="5429" customFormat="1" x14ac:dyDescent="0.3"/>
    <row r="5430" customFormat="1" x14ac:dyDescent="0.3"/>
    <row r="5431" customFormat="1" x14ac:dyDescent="0.3"/>
    <row r="5432" customFormat="1" x14ac:dyDescent="0.3"/>
    <row r="5433" customFormat="1" x14ac:dyDescent="0.3"/>
    <row r="5434" customFormat="1" x14ac:dyDescent="0.3"/>
    <row r="5435" customFormat="1" x14ac:dyDescent="0.3"/>
    <row r="5436" customFormat="1" x14ac:dyDescent="0.3"/>
    <row r="5437" customFormat="1" x14ac:dyDescent="0.3"/>
    <row r="5438" customFormat="1" x14ac:dyDescent="0.3"/>
    <row r="5439" customFormat="1" x14ac:dyDescent="0.3"/>
    <row r="5440" customFormat="1" x14ac:dyDescent="0.3"/>
    <row r="5441" customFormat="1" x14ac:dyDescent="0.3"/>
    <row r="5442" customFormat="1" x14ac:dyDescent="0.3"/>
    <row r="5443" customFormat="1" x14ac:dyDescent="0.3"/>
    <row r="5444" customFormat="1" x14ac:dyDescent="0.3"/>
    <row r="5445" customFormat="1" x14ac:dyDescent="0.3"/>
    <row r="5446" customFormat="1" x14ac:dyDescent="0.3"/>
    <row r="5447" customFormat="1" x14ac:dyDescent="0.3"/>
    <row r="5448" customFormat="1" x14ac:dyDescent="0.3"/>
    <row r="5449" customFormat="1" x14ac:dyDescent="0.3"/>
    <row r="5450" customFormat="1" x14ac:dyDescent="0.3"/>
    <row r="5451" customFormat="1" x14ac:dyDescent="0.3"/>
    <row r="5452" customFormat="1" x14ac:dyDescent="0.3"/>
    <row r="5453" customFormat="1" x14ac:dyDescent="0.3"/>
    <row r="5454" customFormat="1" x14ac:dyDescent="0.3"/>
    <row r="5455" customFormat="1" x14ac:dyDescent="0.3"/>
    <row r="5456" customFormat="1" x14ac:dyDescent="0.3"/>
    <row r="5457" customFormat="1" x14ac:dyDescent="0.3"/>
    <row r="5458" customFormat="1" x14ac:dyDescent="0.3"/>
    <row r="5459" customFormat="1" x14ac:dyDescent="0.3"/>
    <row r="5460" customFormat="1" x14ac:dyDescent="0.3"/>
    <row r="5461" customFormat="1" x14ac:dyDescent="0.3"/>
    <row r="5462" customFormat="1" x14ac:dyDescent="0.3"/>
    <row r="5463" customFormat="1" x14ac:dyDescent="0.3"/>
    <row r="5464" customFormat="1" x14ac:dyDescent="0.3"/>
    <row r="5465" customFormat="1" x14ac:dyDescent="0.3"/>
    <row r="5466" customFormat="1" x14ac:dyDescent="0.3"/>
    <row r="5467" customFormat="1" x14ac:dyDescent="0.3"/>
    <row r="5468" customFormat="1" x14ac:dyDescent="0.3"/>
    <row r="5469" customFormat="1" x14ac:dyDescent="0.3"/>
    <row r="5470" customFormat="1" x14ac:dyDescent="0.3"/>
    <row r="5471" customFormat="1" x14ac:dyDescent="0.3"/>
    <row r="5472" customFormat="1" x14ac:dyDescent="0.3"/>
    <row r="5473" customFormat="1" x14ac:dyDescent="0.3"/>
    <row r="5474" customFormat="1" x14ac:dyDescent="0.3"/>
    <row r="5475" customFormat="1" x14ac:dyDescent="0.3"/>
    <row r="5476" customFormat="1" x14ac:dyDescent="0.3"/>
    <row r="5477" customFormat="1" x14ac:dyDescent="0.3"/>
    <row r="5478" customFormat="1" x14ac:dyDescent="0.3"/>
    <row r="5479" customFormat="1" x14ac:dyDescent="0.3"/>
    <row r="5480" customFormat="1" x14ac:dyDescent="0.3"/>
    <row r="5481" customFormat="1" x14ac:dyDescent="0.3"/>
    <row r="5482" customFormat="1" x14ac:dyDescent="0.3"/>
    <row r="5483" customFormat="1" x14ac:dyDescent="0.3"/>
    <row r="5484" customFormat="1" x14ac:dyDescent="0.3"/>
    <row r="5485" customFormat="1" x14ac:dyDescent="0.3"/>
    <row r="5486" customFormat="1" x14ac:dyDescent="0.3"/>
    <row r="5487" customFormat="1" x14ac:dyDescent="0.3"/>
    <row r="5488" customFormat="1" x14ac:dyDescent="0.3"/>
    <row r="5489" customFormat="1" x14ac:dyDescent="0.3"/>
    <row r="5490" customFormat="1" x14ac:dyDescent="0.3"/>
    <row r="5491" customFormat="1" x14ac:dyDescent="0.3"/>
    <row r="5492" customFormat="1" x14ac:dyDescent="0.3"/>
    <row r="5493" customFormat="1" x14ac:dyDescent="0.3"/>
    <row r="5494" customFormat="1" x14ac:dyDescent="0.3"/>
    <row r="5495" customFormat="1" x14ac:dyDescent="0.3"/>
    <row r="5496" customFormat="1" x14ac:dyDescent="0.3"/>
    <row r="5497" customFormat="1" x14ac:dyDescent="0.3"/>
    <row r="5498" customFormat="1" x14ac:dyDescent="0.3"/>
    <row r="5499" customFormat="1" x14ac:dyDescent="0.3"/>
    <row r="5500" customFormat="1" x14ac:dyDescent="0.3"/>
    <row r="5501" customFormat="1" x14ac:dyDescent="0.3"/>
    <row r="5502" customFormat="1" x14ac:dyDescent="0.3"/>
    <row r="5503" customFormat="1" x14ac:dyDescent="0.3"/>
    <row r="5504" customFormat="1" x14ac:dyDescent="0.3"/>
    <row r="5505" customFormat="1" x14ac:dyDescent="0.3"/>
    <row r="5506" customFormat="1" x14ac:dyDescent="0.3"/>
    <row r="5507" customFormat="1" x14ac:dyDescent="0.3"/>
    <row r="5508" customFormat="1" x14ac:dyDescent="0.3"/>
    <row r="5509" customFormat="1" x14ac:dyDescent="0.3"/>
    <row r="5510" customFormat="1" x14ac:dyDescent="0.3"/>
    <row r="5511" customFormat="1" x14ac:dyDescent="0.3"/>
    <row r="5512" customFormat="1" x14ac:dyDescent="0.3"/>
    <row r="5513" customFormat="1" x14ac:dyDescent="0.3"/>
    <row r="5514" customFormat="1" x14ac:dyDescent="0.3"/>
    <row r="5515" customFormat="1" x14ac:dyDescent="0.3"/>
    <row r="5516" customFormat="1" x14ac:dyDescent="0.3"/>
    <row r="5517" customFormat="1" x14ac:dyDescent="0.3"/>
    <row r="5518" customFormat="1" x14ac:dyDescent="0.3"/>
    <row r="5519" customFormat="1" x14ac:dyDescent="0.3"/>
    <row r="5520" customFormat="1" x14ac:dyDescent="0.3"/>
    <row r="5521" customFormat="1" x14ac:dyDescent="0.3"/>
    <row r="5522" customFormat="1" x14ac:dyDescent="0.3"/>
    <row r="5523" customFormat="1" x14ac:dyDescent="0.3"/>
    <row r="5524" customFormat="1" x14ac:dyDescent="0.3"/>
    <row r="5525" customFormat="1" x14ac:dyDescent="0.3"/>
    <row r="5526" customFormat="1" x14ac:dyDescent="0.3"/>
    <row r="5527" customFormat="1" x14ac:dyDescent="0.3"/>
    <row r="5528" customFormat="1" x14ac:dyDescent="0.3"/>
    <row r="5529" customFormat="1" x14ac:dyDescent="0.3"/>
    <row r="5530" customFormat="1" x14ac:dyDescent="0.3"/>
    <row r="5531" customFormat="1" x14ac:dyDescent="0.3"/>
    <row r="5532" customFormat="1" x14ac:dyDescent="0.3"/>
    <row r="5533" customFormat="1" x14ac:dyDescent="0.3"/>
    <row r="5534" customFormat="1" x14ac:dyDescent="0.3"/>
    <row r="5535" customFormat="1" x14ac:dyDescent="0.3"/>
    <row r="5536" customFormat="1" x14ac:dyDescent="0.3"/>
    <row r="5537" customFormat="1" x14ac:dyDescent="0.3"/>
    <row r="5538" customFormat="1" x14ac:dyDescent="0.3"/>
    <row r="5539" customFormat="1" x14ac:dyDescent="0.3"/>
    <row r="5540" customFormat="1" x14ac:dyDescent="0.3"/>
    <row r="5541" customFormat="1" x14ac:dyDescent="0.3"/>
    <row r="5542" customFormat="1" x14ac:dyDescent="0.3"/>
    <row r="5543" customFormat="1" x14ac:dyDescent="0.3"/>
    <row r="5544" customFormat="1" x14ac:dyDescent="0.3"/>
    <row r="5545" customFormat="1" x14ac:dyDescent="0.3"/>
    <row r="5546" customFormat="1" x14ac:dyDescent="0.3"/>
    <row r="5547" customFormat="1" x14ac:dyDescent="0.3"/>
    <row r="5548" customFormat="1" x14ac:dyDescent="0.3"/>
    <row r="5549" customFormat="1" x14ac:dyDescent="0.3"/>
    <row r="5550" customFormat="1" x14ac:dyDescent="0.3"/>
    <row r="5551" customFormat="1" x14ac:dyDescent="0.3"/>
    <row r="5552" customFormat="1" x14ac:dyDescent="0.3"/>
    <row r="5553" customFormat="1" x14ac:dyDescent="0.3"/>
    <row r="5554" customFormat="1" x14ac:dyDescent="0.3"/>
    <row r="5555" customFormat="1" x14ac:dyDescent="0.3"/>
    <row r="5556" customFormat="1" x14ac:dyDescent="0.3"/>
    <row r="5557" customFormat="1" x14ac:dyDescent="0.3"/>
    <row r="5558" customFormat="1" x14ac:dyDescent="0.3"/>
    <row r="5559" customFormat="1" x14ac:dyDescent="0.3"/>
    <row r="5560" customFormat="1" x14ac:dyDescent="0.3"/>
    <row r="5561" customFormat="1" x14ac:dyDescent="0.3"/>
    <row r="5562" customFormat="1" x14ac:dyDescent="0.3"/>
    <row r="5563" customFormat="1" x14ac:dyDescent="0.3"/>
    <row r="5564" customFormat="1" x14ac:dyDescent="0.3"/>
    <row r="5565" customFormat="1" x14ac:dyDescent="0.3"/>
    <row r="5566" customFormat="1" x14ac:dyDescent="0.3"/>
    <row r="5567" customFormat="1" x14ac:dyDescent="0.3"/>
    <row r="5568" customFormat="1" x14ac:dyDescent="0.3"/>
    <row r="5569" customFormat="1" x14ac:dyDescent="0.3"/>
    <row r="5570" customFormat="1" x14ac:dyDescent="0.3"/>
    <row r="5571" customFormat="1" x14ac:dyDescent="0.3"/>
    <row r="5572" customFormat="1" x14ac:dyDescent="0.3"/>
    <row r="5573" customFormat="1" x14ac:dyDescent="0.3"/>
    <row r="5574" customFormat="1" x14ac:dyDescent="0.3"/>
    <row r="5575" customFormat="1" x14ac:dyDescent="0.3"/>
    <row r="5576" customFormat="1" x14ac:dyDescent="0.3"/>
    <row r="5577" customFormat="1" x14ac:dyDescent="0.3"/>
    <row r="5578" customFormat="1" x14ac:dyDescent="0.3"/>
    <row r="5579" customFormat="1" x14ac:dyDescent="0.3"/>
    <row r="5580" customFormat="1" x14ac:dyDescent="0.3"/>
    <row r="5581" customFormat="1" x14ac:dyDescent="0.3"/>
    <row r="5582" customFormat="1" x14ac:dyDescent="0.3"/>
    <row r="5583" customFormat="1" x14ac:dyDescent="0.3"/>
    <row r="5584" customFormat="1" x14ac:dyDescent="0.3"/>
    <row r="5585" customFormat="1" x14ac:dyDescent="0.3"/>
    <row r="5586" customFormat="1" x14ac:dyDescent="0.3"/>
    <row r="5587" customFormat="1" x14ac:dyDescent="0.3"/>
    <row r="5588" customFormat="1" x14ac:dyDescent="0.3"/>
    <row r="5589" customFormat="1" x14ac:dyDescent="0.3"/>
    <row r="5590" customFormat="1" x14ac:dyDescent="0.3"/>
    <row r="5591" customFormat="1" x14ac:dyDescent="0.3"/>
    <row r="5592" customFormat="1" x14ac:dyDescent="0.3"/>
    <row r="5593" customFormat="1" x14ac:dyDescent="0.3"/>
    <row r="5594" customFormat="1" x14ac:dyDescent="0.3"/>
    <row r="5595" customFormat="1" x14ac:dyDescent="0.3"/>
    <row r="5596" customFormat="1" x14ac:dyDescent="0.3"/>
    <row r="5597" customFormat="1" x14ac:dyDescent="0.3"/>
    <row r="5598" customFormat="1" x14ac:dyDescent="0.3"/>
    <row r="5599" customFormat="1" x14ac:dyDescent="0.3"/>
    <row r="5600" customFormat="1" x14ac:dyDescent="0.3"/>
    <row r="5601" customFormat="1" x14ac:dyDescent="0.3"/>
    <row r="5602" customFormat="1" x14ac:dyDescent="0.3"/>
    <row r="5603" customFormat="1" x14ac:dyDescent="0.3"/>
    <row r="5604" customFormat="1" x14ac:dyDescent="0.3"/>
    <row r="5605" customFormat="1" x14ac:dyDescent="0.3"/>
    <row r="5606" customFormat="1" x14ac:dyDescent="0.3"/>
    <row r="5607" customFormat="1" x14ac:dyDescent="0.3"/>
    <row r="5608" customFormat="1" x14ac:dyDescent="0.3"/>
    <row r="5609" customFormat="1" x14ac:dyDescent="0.3"/>
    <row r="5610" customFormat="1" x14ac:dyDescent="0.3"/>
    <row r="5611" customFormat="1" x14ac:dyDescent="0.3"/>
    <row r="5612" customFormat="1" x14ac:dyDescent="0.3"/>
    <row r="5613" customFormat="1" x14ac:dyDescent="0.3"/>
    <row r="5614" customFormat="1" x14ac:dyDescent="0.3"/>
    <row r="5615" customFormat="1" x14ac:dyDescent="0.3"/>
    <row r="5616" customFormat="1" x14ac:dyDescent="0.3"/>
    <row r="5617" customFormat="1" x14ac:dyDescent="0.3"/>
    <row r="5618" customFormat="1" x14ac:dyDescent="0.3"/>
    <row r="5619" customFormat="1" x14ac:dyDescent="0.3"/>
    <row r="5620" customFormat="1" x14ac:dyDescent="0.3"/>
    <row r="5621" customFormat="1" x14ac:dyDescent="0.3"/>
    <row r="5622" customFormat="1" x14ac:dyDescent="0.3"/>
    <row r="5623" customFormat="1" x14ac:dyDescent="0.3"/>
    <row r="5624" customFormat="1" x14ac:dyDescent="0.3"/>
    <row r="5625" customFormat="1" x14ac:dyDescent="0.3"/>
    <row r="5626" customFormat="1" x14ac:dyDescent="0.3"/>
    <row r="5627" customFormat="1" x14ac:dyDescent="0.3"/>
    <row r="5628" customFormat="1" x14ac:dyDescent="0.3"/>
    <row r="5629" customFormat="1" x14ac:dyDescent="0.3"/>
    <row r="5630" customFormat="1" x14ac:dyDescent="0.3"/>
    <row r="5631" customFormat="1" x14ac:dyDescent="0.3"/>
    <row r="5632" customFormat="1" x14ac:dyDescent="0.3"/>
    <row r="5633" customFormat="1" x14ac:dyDescent="0.3"/>
    <row r="5634" customFormat="1" x14ac:dyDescent="0.3"/>
    <row r="5635" customFormat="1" x14ac:dyDescent="0.3"/>
    <row r="5636" customFormat="1" x14ac:dyDescent="0.3"/>
    <row r="5637" customFormat="1" x14ac:dyDescent="0.3"/>
    <row r="5638" customFormat="1" x14ac:dyDescent="0.3"/>
    <row r="5639" customFormat="1" x14ac:dyDescent="0.3"/>
    <row r="5640" customFormat="1" x14ac:dyDescent="0.3"/>
    <row r="5641" customFormat="1" x14ac:dyDescent="0.3"/>
    <row r="5642" customFormat="1" x14ac:dyDescent="0.3"/>
    <row r="5643" customFormat="1" x14ac:dyDescent="0.3"/>
    <row r="5644" customFormat="1" x14ac:dyDescent="0.3"/>
    <row r="5645" customFormat="1" x14ac:dyDescent="0.3"/>
    <row r="5646" customFormat="1" x14ac:dyDescent="0.3"/>
    <row r="5647" customFormat="1" x14ac:dyDescent="0.3"/>
    <row r="5648" customFormat="1" x14ac:dyDescent="0.3"/>
    <row r="5649" customFormat="1" x14ac:dyDescent="0.3"/>
    <row r="5650" customFormat="1" x14ac:dyDescent="0.3"/>
    <row r="5651" customFormat="1" x14ac:dyDescent="0.3"/>
    <row r="5652" customFormat="1" x14ac:dyDescent="0.3"/>
    <row r="5653" customFormat="1" x14ac:dyDescent="0.3"/>
    <row r="5654" customFormat="1" x14ac:dyDescent="0.3"/>
    <row r="5655" customFormat="1" x14ac:dyDescent="0.3"/>
    <row r="5656" customFormat="1" x14ac:dyDescent="0.3"/>
    <row r="5657" customFormat="1" x14ac:dyDescent="0.3"/>
    <row r="5658" customFormat="1" x14ac:dyDescent="0.3"/>
    <row r="5659" customFormat="1" x14ac:dyDescent="0.3"/>
    <row r="5660" customFormat="1" x14ac:dyDescent="0.3"/>
    <row r="5661" customFormat="1" x14ac:dyDescent="0.3"/>
    <row r="5662" customFormat="1" x14ac:dyDescent="0.3"/>
    <row r="5663" customFormat="1" x14ac:dyDescent="0.3"/>
    <row r="5664" customFormat="1" x14ac:dyDescent="0.3"/>
    <row r="5665" customFormat="1" x14ac:dyDescent="0.3"/>
    <row r="5666" customFormat="1" x14ac:dyDescent="0.3"/>
    <row r="5667" customFormat="1" x14ac:dyDescent="0.3"/>
    <row r="5668" customFormat="1" x14ac:dyDescent="0.3"/>
    <row r="5669" customFormat="1" x14ac:dyDescent="0.3"/>
    <row r="5670" customFormat="1" x14ac:dyDescent="0.3"/>
    <row r="5671" customFormat="1" x14ac:dyDescent="0.3"/>
    <row r="5672" customFormat="1" x14ac:dyDescent="0.3"/>
    <row r="5673" customFormat="1" x14ac:dyDescent="0.3"/>
    <row r="5674" customFormat="1" x14ac:dyDescent="0.3"/>
    <row r="5675" customFormat="1" x14ac:dyDescent="0.3"/>
    <row r="5676" customFormat="1" x14ac:dyDescent="0.3"/>
    <row r="5677" customFormat="1" x14ac:dyDescent="0.3"/>
    <row r="5678" customFormat="1" x14ac:dyDescent="0.3"/>
    <row r="5679" customFormat="1" x14ac:dyDescent="0.3"/>
    <row r="5680" customFormat="1" x14ac:dyDescent="0.3"/>
    <row r="5681" customFormat="1" x14ac:dyDescent="0.3"/>
    <row r="5682" customFormat="1" x14ac:dyDescent="0.3"/>
    <row r="5683" customFormat="1" x14ac:dyDescent="0.3"/>
    <row r="5684" customFormat="1" x14ac:dyDescent="0.3"/>
    <row r="5685" customFormat="1" x14ac:dyDescent="0.3"/>
    <row r="5686" customFormat="1" x14ac:dyDescent="0.3"/>
    <row r="5687" customFormat="1" x14ac:dyDescent="0.3"/>
    <row r="5688" customFormat="1" x14ac:dyDescent="0.3"/>
    <row r="5689" customFormat="1" x14ac:dyDescent="0.3"/>
    <row r="5690" customFormat="1" x14ac:dyDescent="0.3"/>
    <row r="5691" customFormat="1" x14ac:dyDescent="0.3"/>
    <row r="5692" customFormat="1" x14ac:dyDescent="0.3"/>
    <row r="5693" customFormat="1" x14ac:dyDescent="0.3"/>
    <row r="5694" customFormat="1" x14ac:dyDescent="0.3"/>
    <row r="5695" customFormat="1" x14ac:dyDescent="0.3"/>
    <row r="5696" customFormat="1" x14ac:dyDescent="0.3"/>
    <row r="5697" customFormat="1" x14ac:dyDescent="0.3"/>
    <row r="5698" customFormat="1" x14ac:dyDescent="0.3"/>
    <row r="5699" customFormat="1" x14ac:dyDescent="0.3"/>
    <row r="5700" customFormat="1" x14ac:dyDescent="0.3"/>
    <row r="5701" customFormat="1" x14ac:dyDescent="0.3"/>
    <row r="5702" customFormat="1" x14ac:dyDescent="0.3"/>
    <row r="5703" customFormat="1" x14ac:dyDescent="0.3"/>
    <row r="5704" customFormat="1" x14ac:dyDescent="0.3"/>
    <row r="5705" customFormat="1" x14ac:dyDescent="0.3"/>
    <row r="5706" customFormat="1" x14ac:dyDescent="0.3"/>
    <row r="5707" customFormat="1" x14ac:dyDescent="0.3"/>
    <row r="5708" customFormat="1" x14ac:dyDescent="0.3"/>
    <row r="5709" customFormat="1" x14ac:dyDescent="0.3"/>
    <row r="5710" customFormat="1" x14ac:dyDescent="0.3"/>
    <row r="5711" customFormat="1" x14ac:dyDescent="0.3"/>
    <row r="5712" customFormat="1" x14ac:dyDescent="0.3"/>
    <row r="5713" customFormat="1" x14ac:dyDescent="0.3"/>
    <row r="5714" customFormat="1" x14ac:dyDescent="0.3"/>
    <row r="5715" customFormat="1" x14ac:dyDescent="0.3"/>
    <row r="5716" customFormat="1" x14ac:dyDescent="0.3"/>
    <row r="5717" customFormat="1" x14ac:dyDescent="0.3"/>
    <row r="5718" customFormat="1" x14ac:dyDescent="0.3"/>
    <row r="5719" customFormat="1" x14ac:dyDescent="0.3"/>
    <row r="5720" customFormat="1" x14ac:dyDescent="0.3"/>
    <row r="5721" customFormat="1" x14ac:dyDescent="0.3"/>
    <row r="5722" customFormat="1" x14ac:dyDescent="0.3"/>
    <row r="5723" customFormat="1" x14ac:dyDescent="0.3"/>
    <row r="5724" customFormat="1" x14ac:dyDescent="0.3"/>
    <row r="5725" customFormat="1" x14ac:dyDescent="0.3"/>
    <row r="5726" customFormat="1" x14ac:dyDescent="0.3"/>
    <row r="5727" customFormat="1" x14ac:dyDescent="0.3"/>
    <row r="5728" customFormat="1" x14ac:dyDescent="0.3"/>
    <row r="5729" customFormat="1" x14ac:dyDescent="0.3"/>
    <row r="5730" customFormat="1" x14ac:dyDescent="0.3"/>
    <row r="5731" customFormat="1" x14ac:dyDescent="0.3"/>
    <row r="5732" customFormat="1" x14ac:dyDescent="0.3"/>
    <row r="5733" customFormat="1" x14ac:dyDescent="0.3"/>
    <row r="5734" customFormat="1" x14ac:dyDescent="0.3"/>
    <row r="5735" customFormat="1" x14ac:dyDescent="0.3"/>
    <row r="5736" customFormat="1" x14ac:dyDescent="0.3"/>
    <row r="5737" customFormat="1" x14ac:dyDescent="0.3"/>
    <row r="5738" customFormat="1" x14ac:dyDescent="0.3"/>
    <row r="5739" customFormat="1" x14ac:dyDescent="0.3"/>
    <row r="5740" customFormat="1" x14ac:dyDescent="0.3"/>
    <row r="5741" customFormat="1" x14ac:dyDescent="0.3"/>
    <row r="5742" customFormat="1" x14ac:dyDescent="0.3"/>
    <row r="5743" customFormat="1" x14ac:dyDescent="0.3"/>
    <row r="5744" customFormat="1" x14ac:dyDescent="0.3"/>
    <row r="5745" customFormat="1" x14ac:dyDescent="0.3"/>
    <row r="5746" customFormat="1" x14ac:dyDescent="0.3"/>
    <row r="5747" customFormat="1" x14ac:dyDescent="0.3"/>
    <row r="5748" customFormat="1" x14ac:dyDescent="0.3"/>
    <row r="5749" customFormat="1" x14ac:dyDescent="0.3"/>
    <row r="5750" customFormat="1" x14ac:dyDescent="0.3"/>
    <row r="5751" customFormat="1" x14ac:dyDescent="0.3"/>
    <row r="5752" customFormat="1" x14ac:dyDescent="0.3"/>
    <row r="5753" customFormat="1" x14ac:dyDescent="0.3"/>
    <row r="5754" customFormat="1" x14ac:dyDescent="0.3"/>
    <row r="5755" customFormat="1" x14ac:dyDescent="0.3"/>
    <row r="5756" customFormat="1" x14ac:dyDescent="0.3"/>
    <row r="5757" customFormat="1" x14ac:dyDescent="0.3"/>
    <row r="5758" customFormat="1" x14ac:dyDescent="0.3"/>
    <row r="5759" customFormat="1" x14ac:dyDescent="0.3"/>
    <row r="5760" customFormat="1" x14ac:dyDescent="0.3"/>
    <row r="5761" customFormat="1" x14ac:dyDescent="0.3"/>
    <row r="5762" customFormat="1" x14ac:dyDescent="0.3"/>
    <row r="5763" customFormat="1" x14ac:dyDescent="0.3"/>
    <row r="5764" customFormat="1" x14ac:dyDescent="0.3"/>
    <row r="5765" customFormat="1" x14ac:dyDescent="0.3"/>
    <row r="5766" customFormat="1" x14ac:dyDescent="0.3"/>
    <row r="5767" customFormat="1" x14ac:dyDescent="0.3"/>
    <row r="5768" customFormat="1" x14ac:dyDescent="0.3"/>
    <row r="5769" customFormat="1" x14ac:dyDescent="0.3"/>
    <row r="5770" customFormat="1" x14ac:dyDescent="0.3"/>
    <row r="5771" customFormat="1" x14ac:dyDescent="0.3"/>
    <row r="5772" customFormat="1" x14ac:dyDescent="0.3"/>
    <row r="5773" customFormat="1" x14ac:dyDescent="0.3"/>
    <row r="5774" customFormat="1" x14ac:dyDescent="0.3"/>
    <row r="5775" customFormat="1" x14ac:dyDescent="0.3"/>
    <row r="5776" customFormat="1" x14ac:dyDescent="0.3"/>
    <row r="5777" customFormat="1" x14ac:dyDescent="0.3"/>
    <row r="5778" customFormat="1" x14ac:dyDescent="0.3"/>
    <row r="5779" customFormat="1" x14ac:dyDescent="0.3"/>
    <row r="5780" customFormat="1" x14ac:dyDescent="0.3"/>
    <row r="5781" customFormat="1" x14ac:dyDescent="0.3"/>
    <row r="5782" customFormat="1" x14ac:dyDescent="0.3"/>
    <row r="5783" customFormat="1" x14ac:dyDescent="0.3"/>
    <row r="5784" customFormat="1" x14ac:dyDescent="0.3"/>
    <row r="5785" customFormat="1" x14ac:dyDescent="0.3"/>
    <row r="5786" customFormat="1" x14ac:dyDescent="0.3"/>
    <row r="5787" customFormat="1" x14ac:dyDescent="0.3"/>
    <row r="5788" customFormat="1" x14ac:dyDescent="0.3"/>
    <row r="5789" customFormat="1" x14ac:dyDescent="0.3"/>
    <row r="5790" customFormat="1" x14ac:dyDescent="0.3"/>
    <row r="5791" customFormat="1" x14ac:dyDescent="0.3"/>
    <row r="5792" customFormat="1" x14ac:dyDescent="0.3"/>
    <row r="5793" customFormat="1" x14ac:dyDescent="0.3"/>
    <row r="5794" customFormat="1" x14ac:dyDescent="0.3"/>
    <row r="5795" customFormat="1" x14ac:dyDescent="0.3"/>
    <row r="5796" customFormat="1" x14ac:dyDescent="0.3"/>
    <row r="5797" customFormat="1" x14ac:dyDescent="0.3"/>
    <row r="5798" customFormat="1" x14ac:dyDescent="0.3"/>
    <row r="5799" customFormat="1" x14ac:dyDescent="0.3"/>
    <row r="5800" customFormat="1" x14ac:dyDescent="0.3"/>
    <row r="5801" customFormat="1" x14ac:dyDescent="0.3"/>
    <row r="5802" customFormat="1" x14ac:dyDescent="0.3"/>
    <row r="5803" customFormat="1" x14ac:dyDescent="0.3"/>
    <row r="5804" customFormat="1" x14ac:dyDescent="0.3"/>
    <row r="5805" customFormat="1" x14ac:dyDescent="0.3"/>
    <row r="5806" customFormat="1" x14ac:dyDescent="0.3"/>
    <row r="5807" customFormat="1" x14ac:dyDescent="0.3"/>
    <row r="5808" customFormat="1" x14ac:dyDescent="0.3"/>
    <row r="5809" customFormat="1" x14ac:dyDescent="0.3"/>
    <row r="5810" customFormat="1" x14ac:dyDescent="0.3"/>
    <row r="5811" customFormat="1" x14ac:dyDescent="0.3"/>
    <row r="5812" customFormat="1" x14ac:dyDescent="0.3"/>
    <row r="5813" customFormat="1" x14ac:dyDescent="0.3"/>
    <row r="5814" customFormat="1" x14ac:dyDescent="0.3"/>
    <row r="5815" customFormat="1" x14ac:dyDescent="0.3"/>
    <row r="5816" customFormat="1" x14ac:dyDescent="0.3"/>
    <row r="5817" customFormat="1" x14ac:dyDescent="0.3"/>
    <row r="5818" customFormat="1" x14ac:dyDescent="0.3"/>
    <row r="5819" customFormat="1" x14ac:dyDescent="0.3"/>
    <row r="5820" customFormat="1" x14ac:dyDescent="0.3"/>
    <row r="5821" customFormat="1" x14ac:dyDescent="0.3"/>
    <row r="5822" customFormat="1" x14ac:dyDescent="0.3"/>
    <row r="5823" customFormat="1" x14ac:dyDescent="0.3"/>
    <row r="5824" customFormat="1" x14ac:dyDescent="0.3"/>
    <row r="5825" customFormat="1" x14ac:dyDescent="0.3"/>
    <row r="5826" customFormat="1" x14ac:dyDescent="0.3"/>
    <row r="5827" customFormat="1" x14ac:dyDescent="0.3"/>
    <row r="5828" customFormat="1" x14ac:dyDescent="0.3"/>
    <row r="5829" customFormat="1" x14ac:dyDescent="0.3"/>
    <row r="5830" customFormat="1" x14ac:dyDescent="0.3"/>
    <row r="5831" customFormat="1" x14ac:dyDescent="0.3"/>
    <row r="5832" customFormat="1" x14ac:dyDescent="0.3"/>
    <row r="5833" customFormat="1" x14ac:dyDescent="0.3"/>
    <row r="5834" customFormat="1" x14ac:dyDescent="0.3"/>
    <row r="5835" customFormat="1" x14ac:dyDescent="0.3"/>
    <row r="5836" customFormat="1" x14ac:dyDescent="0.3"/>
    <row r="5837" customFormat="1" x14ac:dyDescent="0.3"/>
    <row r="5838" customFormat="1" x14ac:dyDescent="0.3"/>
    <row r="5839" customFormat="1" x14ac:dyDescent="0.3"/>
    <row r="5840" customFormat="1" x14ac:dyDescent="0.3"/>
    <row r="5841" customFormat="1" x14ac:dyDescent="0.3"/>
    <row r="5842" customFormat="1" x14ac:dyDescent="0.3"/>
    <row r="5843" customFormat="1" x14ac:dyDescent="0.3"/>
    <row r="5844" customFormat="1" x14ac:dyDescent="0.3"/>
    <row r="5845" customFormat="1" x14ac:dyDescent="0.3"/>
    <row r="5846" customFormat="1" x14ac:dyDescent="0.3"/>
    <row r="5847" customFormat="1" x14ac:dyDescent="0.3"/>
    <row r="5848" customFormat="1" x14ac:dyDescent="0.3"/>
    <row r="5849" customFormat="1" x14ac:dyDescent="0.3"/>
    <row r="5850" customFormat="1" x14ac:dyDescent="0.3"/>
    <row r="5851" customFormat="1" x14ac:dyDescent="0.3"/>
    <row r="5852" customFormat="1" x14ac:dyDescent="0.3"/>
    <row r="5853" customFormat="1" x14ac:dyDescent="0.3"/>
    <row r="5854" customFormat="1" x14ac:dyDescent="0.3"/>
    <row r="5855" customFormat="1" x14ac:dyDescent="0.3"/>
    <row r="5856" customFormat="1" x14ac:dyDescent="0.3"/>
    <row r="5857" customFormat="1" x14ac:dyDescent="0.3"/>
    <row r="5858" customFormat="1" x14ac:dyDescent="0.3"/>
    <row r="5859" customFormat="1" x14ac:dyDescent="0.3"/>
    <row r="5860" customFormat="1" x14ac:dyDescent="0.3"/>
    <row r="5861" customFormat="1" x14ac:dyDescent="0.3"/>
    <row r="5862" customFormat="1" x14ac:dyDescent="0.3"/>
    <row r="5863" customFormat="1" x14ac:dyDescent="0.3"/>
    <row r="5864" customFormat="1" x14ac:dyDescent="0.3"/>
    <row r="5865" customFormat="1" x14ac:dyDescent="0.3"/>
    <row r="5866" customFormat="1" x14ac:dyDescent="0.3"/>
    <row r="5867" customFormat="1" x14ac:dyDescent="0.3"/>
    <row r="5868" customFormat="1" x14ac:dyDescent="0.3"/>
    <row r="5869" customFormat="1" x14ac:dyDescent="0.3"/>
    <row r="5870" customFormat="1" x14ac:dyDescent="0.3"/>
    <row r="5871" customFormat="1" x14ac:dyDescent="0.3"/>
    <row r="5872" customFormat="1" x14ac:dyDescent="0.3"/>
    <row r="5873" customFormat="1" x14ac:dyDescent="0.3"/>
    <row r="5874" customFormat="1" x14ac:dyDescent="0.3"/>
    <row r="5875" customFormat="1" x14ac:dyDescent="0.3"/>
    <row r="5876" customFormat="1" x14ac:dyDescent="0.3"/>
    <row r="5877" customFormat="1" x14ac:dyDescent="0.3"/>
    <row r="5878" customFormat="1" x14ac:dyDescent="0.3"/>
    <row r="5879" customFormat="1" x14ac:dyDescent="0.3"/>
    <row r="5880" customFormat="1" x14ac:dyDescent="0.3"/>
    <row r="5881" customFormat="1" x14ac:dyDescent="0.3"/>
    <row r="5882" customFormat="1" x14ac:dyDescent="0.3"/>
    <row r="5883" customFormat="1" x14ac:dyDescent="0.3"/>
    <row r="5884" customFormat="1" x14ac:dyDescent="0.3"/>
    <row r="5885" customFormat="1" x14ac:dyDescent="0.3"/>
    <row r="5886" customFormat="1" x14ac:dyDescent="0.3"/>
    <row r="5887" customFormat="1" x14ac:dyDescent="0.3"/>
    <row r="5888" customFormat="1" x14ac:dyDescent="0.3"/>
    <row r="5889" customFormat="1" x14ac:dyDescent="0.3"/>
    <row r="5890" customFormat="1" x14ac:dyDescent="0.3"/>
    <row r="5891" customFormat="1" x14ac:dyDescent="0.3"/>
    <row r="5892" customFormat="1" x14ac:dyDescent="0.3"/>
    <row r="5893" customFormat="1" x14ac:dyDescent="0.3"/>
    <row r="5894" customFormat="1" x14ac:dyDescent="0.3"/>
    <row r="5895" customFormat="1" x14ac:dyDescent="0.3"/>
    <row r="5896" customFormat="1" x14ac:dyDescent="0.3"/>
    <row r="5897" customFormat="1" x14ac:dyDescent="0.3"/>
    <row r="5898" customFormat="1" x14ac:dyDescent="0.3"/>
    <row r="5899" customFormat="1" x14ac:dyDescent="0.3"/>
    <row r="5900" customFormat="1" x14ac:dyDescent="0.3"/>
    <row r="5901" customFormat="1" x14ac:dyDescent="0.3"/>
    <row r="5902" customFormat="1" x14ac:dyDescent="0.3"/>
    <row r="5903" customFormat="1" x14ac:dyDescent="0.3"/>
    <row r="5904" customFormat="1" x14ac:dyDescent="0.3"/>
    <row r="5905" customFormat="1" x14ac:dyDescent="0.3"/>
    <row r="5906" customFormat="1" x14ac:dyDescent="0.3"/>
    <row r="5907" customFormat="1" x14ac:dyDescent="0.3"/>
    <row r="5908" customFormat="1" x14ac:dyDescent="0.3"/>
    <row r="5909" customFormat="1" x14ac:dyDescent="0.3"/>
    <row r="5910" customFormat="1" x14ac:dyDescent="0.3"/>
    <row r="5911" customFormat="1" x14ac:dyDescent="0.3"/>
    <row r="5912" customFormat="1" x14ac:dyDescent="0.3"/>
    <row r="5913" customFormat="1" x14ac:dyDescent="0.3"/>
    <row r="5914" customFormat="1" x14ac:dyDescent="0.3"/>
    <row r="5915" customFormat="1" x14ac:dyDescent="0.3"/>
    <row r="5916" customFormat="1" x14ac:dyDescent="0.3"/>
    <row r="5917" customFormat="1" x14ac:dyDescent="0.3"/>
    <row r="5918" customFormat="1" x14ac:dyDescent="0.3"/>
    <row r="5919" customFormat="1" x14ac:dyDescent="0.3"/>
    <row r="5920" customFormat="1" x14ac:dyDescent="0.3"/>
    <row r="5921" customFormat="1" x14ac:dyDescent="0.3"/>
    <row r="5922" customFormat="1" x14ac:dyDescent="0.3"/>
    <row r="5923" customFormat="1" x14ac:dyDescent="0.3"/>
    <row r="5924" customFormat="1" x14ac:dyDescent="0.3"/>
    <row r="5925" customFormat="1" x14ac:dyDescent="0.3"/>
    <row r="5926" customFormat="1" x14ac:dyDescent="0.3"/>
    <row r="5927" customFormat="1" x14ac:dyDescent="0.3"/>
    <row r="5928" customFormat="1" x14ac:dyDescent="0.3"/>
    <row r="5929" customFormat="1" x14ac:dyDescent="0.3"/>
    <row r="5930" customFormat="1" x14ac:dyDescent="0.3"/>
    <row r="5931" customFormat="1" x14ac:dyDescent="0.3"/>
    <row r="5932" customFormat="1" x14ac:dyDescent="0.3"/>
    <row r="5933" customFormat="1" x14ac:dyDescent="0.3"/>
    <row r="5934" customFormat="1" x14ac:dyDescent="0.3"/>
    <row r="5935" customFormat="1" x14ac:dyDescent="0.3"/>
    <row r="5936" customFormat="1" x14ac:dyDescent="0.3"/>
    <row r="5937" customFormat="1" x14ac:dyDescent="0.3"/>
    <row r="5938" customFormat="1" x14ac:dyDescent="0.3"/>
    <row r="5939" customFormat="1" x14ac:dyDescent="0.3"/>
    <row r="5940" customFormat="1" x14ac:dyDescent="0.3"/>
    <row r="5941" customFormat="1" x14ac:dyDescent="0.3"/>
    <row r="5942" customFormat="1" x14ac:dyDescent="0.3"/>
    <row r="5943" customFormat="1" x14ac:dyDescent="0.3"/>
    <row r="5944" customFormat="1" x14ac:dyDescent="0.3"/>
    <row r="5945" customFormat="1" x14ac:dyDescent="0.3"/>
    <row r="5946" customFormat="1" x14ac:dyDescent="0.3"/>
    <row r="5947" customFormat="1" x14ac:dyDescent="0.3"/>
    <row r="5948" customFormat="1" x14ac:dyDescent="0.3"/>
    <row r="5949" customFormat="1" x14ac:dyDescent="0.3"/>
    <row r="5950" customFormat="1" x14ac:dyDescent="0.3"/>
    <row r="5951" customFormat="1" x14ac:dyDescent="0.3"/>
    <row r="5952" customFormat="1" x14ac:dyDescent="0.3"/>
    <row r="5953" customFormat="1" x14ac:dyDescent="0.3"/>
    <row r="5954" customFormat="1" x14ac:dyDescent="0.3"/>
    <row r="5955" customFormat="1" x14ac:dyDescent="0.3"/>
    <row r="5956" customFormat="1" x14ac:dyDescent="0.3"/>
    <row r="5957" customFormat="1" x14ac:dyDescent="0.3"/>
    <row r="5958" customFormat="1" x14ac:dyDescent="0.3"/>
    <row r="5959" customFormat="1" x14ac:dyDescent="0.3"/>
    <row r="5960" customFormat="1" x14ac:dyDescent="0.3"/>
    <row r="5961" customFormat="1" x14ac:dyDescent="0.3"/>
    <row r="5962" customFormat="1" x14ac:dyDescent="0.3"/>
    <row r="5963" customFormat="1" x14ac:dyDescent="0.3"/>
    <row r="5964" customFormat="1" x14ac:dyDescent="0.3"/>
    <row r="5965" customFormat="1" x14ac:dyDescent="0.3"/>
    <row r="5966" customFormat="1" x14ac:dyDescent="0.3"/>
    <row r="5967" customFormat="1" x14ac:dyDescent="0.3"/>
    <row r="5968" customFormat="1" x14ac:dyDescent="0.3"/>
    <row r="5969" customFormat="1" x14ac:dyDescent="0.3"/>
    <row r="5970" customFormat="1" x14ac:dyDescent="0.3"/>
    <row r="5971" customFormat="1" x14ac:dyDescent="0.3"/>
    <row r="5972" customFormat="1" x14ac:dyDescent="0.3"/>
    <row r="5973" customFormat="1" x14ac:dyDescent="0.3"/>
    <row r="5974" customFormat="1" x14ac:dyDescent="0.3"/>
    <row r="5975" customFormat="1" x14ac:dyDescent="0.3"/>
    <row r="5976" customFormat="1" x14ac:dyDescent="0.3"/>
    <row r="5977" customFormat="1" x14ac:dyDescent="0.3"/>
    <row r="5978" customFormat="1" x14ac:dyDescent="0.3"/>
    <row r="5979" customFormat="1" x14ac:dyDescent="0.3"/>
    <row r="5980" customFormat="1" x14ac:dyDescent="0.3"/>
    <row r="5981" customFormat="1" x14ac:dyDescent="0.3"/>
    <row r="5982" customFormat="1" x14ac:dyDescent="0.3"/>
    <row r="5983" customFormat="1" x14ac:dyDescent="0.3"/>
    <row r="5984" customFormat="1" x14ac:dyDescent="0.3"/>
    <row r="5985" customFormat="1" x14ac:dyDescent="0.3"/>
    <row r="5986" customFormat="1" x14ac:dyDescent="0.3"/>
    <row r="5987" customFormat="1" x14ac:dyDescent="0.3"/>
    <row r="5988" customFormat="1" x14ac:dyDescent="0.3"/>
    <row r="5989" customFormat="1" x14ac:dyDescent="0.3"/>
    <row r="5990" customFormat="1" x14ac:dyDescent="0.3"/>
    <row r="5991" customFormat="1" x14ac:dyDescent="0.3"/>
    <row r="5992" customFormat="1" x14ac:dyDescent="0.3"/>
    <row r="5993" customFormat="1" x14ac:dyDescent="0.3"/>
    <row r="5994" customFormat="1" x14ac:dyDescent="0.3"/>
    <row r="5995" customFormat="1" x14ac:dyDescent="0.3"/>
    <row r="5996" customFormat="1" x14ac:dyDescent="0.3"/>
    <row r="5997" customFormat="1" x14ac:dyDescent="0.3"/>
    <row r="5998" customFormat="1" x14ac:dyDescent="0.3"/>
    <row r="5999" customFormat="1" x14ac:dyDescent="0.3"/>
    <row r="6000" customFormat="1" x14ac:dyDescent="0.3"/>
    <row r="6001" customFormat="1" x14ac:dyDescent="0.3"/>
    <row r="6002" customFormat="1" x14ac:dyDescent="0.3"/>
    <row r="6003" customFormat="1" x14ac:dyDescent="0.3"/>
    <row r="6004" customFormat="1" x14ac:dyDescent="0.3"/>
    <row r="6005" customFormat="1" x14ac:dyDescent="0.3"/>
    <row r="6006" customFormat="1" x14ac:dyDescent="0.3"/>
    <row r="6007" customFormat="1" x14ac:dyDescent="0.3"/>
    <row r="6008" customFormat="1" x14ac:dyDescent="0.3"/>
    <row r="6009" customFormat="1" x14ac:dyDescent="0.3"/>
    <row r="6010" customFormat="1" x14ac:dyDescent="0.3"/>
    <row r="6011" customFormat="1" x14ac:dyDescent="0.3"/>
    <row r="6012" customFormat="1" x14ac:dyDescent="0.3"/>
    <row r="6013" customFormat="1" x14ac:dyDescent="0.3"/>
    <row r="6014" customFormat="1" x14ac:dyDescent="0.3"/>
    <row r="6015" customFormat="1" x14ac:dyDescent="0.3"/>
    <row r="6016" customFormat="1" x14ac:dyDescent="0.3"/>
    <row r="6017" customFormat="1" x14ac:dyDescent="0.3"/>
    <row r="6018" customFormat="1" x14ac:dyDescent="0.3"/>
    <row r="6019" customFormat="1" x14ac:dyDescent="0.3"/>
    <row r="6020" customFormat="1" x14ac:dyDescent="0.3"/>
    <row r="6021" customFormat="1" x14ac:dyDescent="0.3"/>
    <row r="6022" customFormat="1" x14ac:dyDescent="0.3"/>
    <row r="6023" customFormat="1" x14ac:dyDescent="0.3"/>
    <row r="6024" customFormat="1" x14ac:dyDescent="0.3"/>
    <row r="6025" customFormat="1" x14ac:dyDescent="0.3"/>
    <row r="6026" customFormat="1" x14ac:dyDescent="0.3"/>
    <row r="6027" customFormat="1" x14ac:dyDescent="0.3"/>
    <row r="6028" customFormat="1" x14ac:dyDescent="0.3"/>
    <row r="6029" customFormat="1" x14ac:dyDescent="0.3"/>
    <row r="6030" customFormat="1" x14ac:dyDescent="0.3"/>
    <row r="6031" customFormat="1" x14ac:dyDescent="0.3"/>
    <row r="6032" customFormat="1" x14ac:dyDescent="0.3"/>
    <row r="6033" customFormat="1" x14ac:dyDescent="0.3"/>
    <row r="6034" customFormat="1" x14ac:dyDescent="0.3"/>
    <row r="6035" customFormat="1" x14ac:dyDescent="0.3"/>
    <row r="6036" customFormat="1" x14ac:dyDescent="0.3"/>
    <row r="6037" customFormat="1" x14ac:dyDescent="0.3"/>
    <row r="6038" customFormat="1" x14ac:dyDescent="0.3"/>
    <row r="6039" customFormat="1" x14ac:dyDescent="0.3"/>
    <row r="6040" customFormat="1" x14ac:dyDescent="0.3"/>
    <row r="6041" customFormat="1" x14ac:dyDescent="0.3"/>
    <row r="6042" customFormat="1" x14ac:dyDescent="0.3"/>
    <row r="6043" customFormat="1" x14ac:dyDescent="0.3"/>
    <row r="6044" customFormat="1" x14ac:dyDescent="0.3"/>
    <row r="6045" customFormat="1" x14ac:dyDescent="0.3"/>
    <row r="6046" customFormat="1" x14ac:dyDescent="0.3"/>
    <row r="6047" customFormat="1" x14ac:dyDescent="0.3"/>
    <row r="6048" customFormat="1" x14ac:dyDescent="0.3"/>
    <row r="6049" customFormat="1" x14ac:dyDescent="0.3"/>
    <row r="6050" customFormat="1" x14ac:dyDescent="0.3"/>
    <row r="6051" customFormat="1" x14ac:dyDescent="0.3"/>
    <row r="6052" customFormat="1" x14ac:dyDescent="0.3"/>
    <row r="6053" customFormat="1" x14ac:dyDescent="0.3"/>
    <row r="6054" customFormat="1" x14ac:dyDescent="0.3"/>
    <row r="6055" customFormat="1" x14ac:dyDescent="0.3"/>
    <row r="6056" customFormat="1" x14ac:dyDescent="0.3"/>
    <row r="6057" customFormat="1" x14ac:dyDescent="0.3"/>
    <row r="6058" customFormat="1" x14ac:dyDescent="0.3"/>
    <row r="6059" customFormat="1" x14ac:dyDescent="0.3"/>
    <row r="6060" customFormat="1" x14ac:dyDescent="0.3"/>
    <row r="6061" customFormat="1" x14ac:dyDescent="0.3"/>
    <row r="6062" customFormat="1" x14ac:dyDescent="0.3"/>
    <row r="6063" customFormat="1" x14ac:dyDescent="0.3"/>
    <row r="6064" customFormat="1" x14ac:dyDescent="0.3"/>
    <row r="6065" customFormat="1" x14ac:dyDescent="0.3"/>
    <row r="6066" customFormat="1" x14ac:dyDescent="0.3"/>
    <row r="6067" customFormat="1" x14ac:dyDescent="0.3"/>
    <row r="6068" customFormat="1" x14ac:dyDescent="0.3"/>
    <row r="6069" customFormat="1" x14ac:dyDescent="0.3"/>
    <row r="6070" customFormat="1" x14ac:dyDescent="0.3"/>
    <row r="6071" customFormat="1" x14ac:dyDescent="0.3"/>
    <row r="6072" customFormat="1" x14ac:dyDescent="0.3"/>
    <row r="6073" customFormat="1" x14ac:dyDescent="0.3"/>
    <row r="6074" customFormat="1" x14ac:dyDescent="0.3"/>
    <row r="6075" customFormat="1" x14ac:dyDescent="0.3"/>
    <row r="6076" customFormat="1" x14ac:dyDescent="0.3"/>
    <row r="6077" customFormat="1" x14ac:dyDescent="0.3"/>
    <row r="6078" customFormat="1" x14ac:dyDescent="0.3"/>
    <row r="6079" customFormat="1" x14ac:dyDescent="0.3"/>
    <row r="6080" customFormat="1" x14ac:dyDescent="0.3"/>
    <row r="6081" customFormat="1" x14ac:dyDescent="0.3"/>
    <row r="6082" customFormat="1" x14ac:dyDescent="0.3"/>
    <row r="6083" customFormat="1" x14ac:dyDescent="0.3"/>
    <row r="6084" customFormat="1" x14ac:dyDescent="0.3"/>
    <row r="6085" customFormat="1" x14ac:dyDescent="0.3"/>
    <row r="6086" customFormat="1" x14ac:dyDescent="0.3"/>
    <row r="6087" customFormat="1" x14ac:dyDescent="0.3"/>
    <row r="6088" customFormat="1" x14ac:dyDescent="0.3"/>
    <row r="6089" customFormat="1" x14ac:dyDescent="0.3"/>
    <row r="6090" customFormat="1" x14ac:dyDescent="0.3"/>
    <row r="6091" customFormat="1" x14ac:dyDescent="0.3"/>
    <row r="6092" customFormat="1" x14ac:dyDescent="0.3"/>
    <row r="6093" customFormat="1" x14ac:dyDescent="0.3"/>
    <row r="6094" customFormat="1" x14ac:dyDescent="0.3"/>
    <row r="6095" customFormat="1" x14ac:dyDescent="0.3"/>
    <row r="6096" customFormat="1" x14ac:dyDescent="0.3"/>
    <row r="6097" customFormat="1" x14ac:dyDescent="0.3"/>
    <row r="6098" customFormat="1" x14ac:dyDescent="0.3"/>
    <row r="6099" customFormat="1" x14ac:dyDescent="0.3"/>
    <row r="6100" customFormat="1" x14ac:dyDescent="0.3"/>
    <row r="6101" customFormat="1" x14ac:dyDescent="0.3"/>
    <row r="6102" customFormat="1" x14ac:dyDescent="0.3"/>
    <row r="6103" customFormat="1" x14ac:dyDescent="0.3"/>
    <row r="6104" customFormat="1" x14ac:dyDescent="0.3"/>
    <row r="6105" customFormat="1" x14ac:dyDescent="0.3"/>
    <row r="6106" customFormat="1" x14ac:dyDescent="0.3"/>
    <row r="6107" customFormat="1" x14ac:dyDescent="0.3"/>
    <row r="6108" customFormat="1" x14ac:dyDescent="0.3"/>
    <row r="6109" customFormat="1" x14ac:dyDescent="0.3"/>
    <row r="6110" customFormat="1" x14ac:dyDescent="0.3"/>
    <row r="6111" customFormat="1" x14ac:dyDescent="0.3"/>
    <row r="6112" customFormat="1" x14ac:dyDescent="0.3"/>
    <row r="6113" customFormat="1" x14ac:dyDescent="0.3"/>
    <row r="6114" customFormat="1" x14ac:dyDescent="0.3"/>
    <row r="6115" customFormat="1" x14ac:dyDescent="0.3"/>
    <row r="6116" customFormat="1" x14ac:dyDescent="0.3"/>
    <row r="6117" customFormat="1" x14ac:dyDescent="0.3"/>
    <row r="6118" customFormat="1" x14ac:dyDescent="0.3"/>
    <row r="6119" customFormat="1" x14ac:dyDescent="0.3"/>
    <row r="6120" customFormat="1" x14ac:dyDescent="0.3"/>
    <row r="6121" customFormat="1" x14ac:dyDescent="0.3"/>
    <row r="6122" customFormat="1" x14ac:dyDescent="0.3"/>
    <row r="6123" customFormat="1" x14ac:dyDescent="0.3"/>
    <row r="6124" customFormat="1" x14ac:dyDescent="0.3"/>
    <row r="6125" customFormat="1" x14ac:dyDescent="0.3"/>
    <row r="6126" customFormat="1" x14ac:dyDescent="0.3"/>
    <row r="6127" customFormat="1" x14ac:dyDescent="0.3"/>
    <row r="6128" customFormat="1" x14ac:dyDescent="0.3"/>
    <row r="6129" customFormat="1" x14ac:dyDescent="0.3"/>
    <row r="6130" customFormat="1" x14ac:dyDescent="0.3"/>
    <row r="6131" customFormat="1" x14ac:dyDescent="0.3"/>
    <row r="6132" customFormat="1" x14ac:dyDescent="0.3"/>
    <row r="6133" customFormat="1" x14ac:dyDescent="0.3"/>
    <row r="6134" customFormat="1" x14ac:dyDescent="0.3"/>
    <row r="6135" customFormat="1" x14ac:dyDescent="0.3"/>
    <row r="6136" customFormat="1" x14ac:dyDescent="0.3"/>
    <row r="6137" customFormat="1" x14ac:dyDescent="0.3"/>
    <row r="6138" customFormat="1" x14ac:dyDescent="0.3"/>
    <row r="6139" customFormat="1" x14ac:dyDescent="0.3"/>
    <row r="6140" customFormat="1" x14ac:dyDescent="0.3"/>
    <row r="6141" customFormat="1" x14ac:dyDescent="0.3"/>
    <row r="6142" customFormat="1" x14ac:dyDescent="0.3"/>
    <row r="6143" customFormat="1" x14ac:dyDescent="0.3"/>
    <row r="6144" customFormat="1" x14ac:dyDescent="0.3"/>
    <row r="6145" customFormat="1" x14ac:dyDescent="0.3"/>
    <row r="6146" customFormat="1" x14ac:dyDescent="0.3"/>
    <row r="6147" customFormat="1" x14ac:dyDescent="0.3"/>
    <row r="6148" customFormat="1" x14ac:dyDescent="0.3"/>
    <row r="6149" customFormat="1" x14ac:dyDescent="0.3"/>
    <row r="6150" customFormat="1" x14ac:dyDescent="0.3"/>
    <row r="6151" customFormat="1" x14ac:dyDescent="0.3"/>
    <row r="6152" customFormat="1" x14ac:dyDescent="0.3"/>
    <row r="6153" customFormat="1" x14ac:dyDescent="0.3"/>
    <row r="6154" customFormat="1" x14ac:dyDescent="0.3"/>
    <row r="6155" customFormat="1" x14ac:dyDescent="0.3"/>
    <row r="6156" customFormat="1" x14ac:dyDescent="0.3"/>
    <row r="6157" customFormat="1" x14ac:dyDescent="0.3"/>
    <row r="6158" customFormat="1" x14ac:dyDescent="0.3"/>
    <row r="6159" customFormat="1" x14ac:dyDescent="0.3"/>
    <row r="6160" customFormat="1" x14ac:dyDescent="0.3"/>
    <row r="6161" customFormat="1" x14ac:dyDescent="0.3"/>
    <row r="6162" customFormat="1" x14ac:dyDescent="0.3"/>
    <row r="6163" customFormat="1" x14ac:dyDescent="0.3"/>
    <row r="6164" customFormat="1" x14ac:dyDescent="0.3"/>
    <row r="6165" customFormat="1" x14ac:dyDescent="0.3"/>
    <row r="6166" customFormat="1" x14ac:dyDescent="0.3"/>
    <row r="6167" customFormat="1" x14ac:dyDescent="0.3"/>
    <row r="6168" customFormat="1" x14ac:dyDescent="0.3"/>
    <row r="6169" customFormat="1" x14ac:dyDescent="0.3"/>
    <row r="6170" customFormat="1" x14ac:dyDescent="0.3"/>
    <row r="6171" customFormat="1" x14ac:dyDescent="0.3"/>
    <row r="6172" customFormat="1" x14ac:dyDescent="0.3"/>
    <row r="6173" customFormat="1" x14ac:dyDescent="0.3"/>
    <row r="6174" customFormat="1" x14ac:dyDescent="0.3"/>
    <row r="6175" customFormat="1" x14ac:dyDescent="0.3"/>
    <row r="6176" customFormat="1" x14ac:dyDescent="0.3"/>
    <row r="6177" customFormat="1" x14ac:dyDescent="0.3"/>
    <row r="6178" customFormat="1" x14ac:dyDescent="0.3"/>
    <row r="6179" customFormat="1" x14ac:dyDescent="0.3"/>
    <row r="6180" customFormat="1" x14ac:dyDescent="0.3"/>
    <row r="6181" customFormat="1" x14ac:dyDescent="0.3"/>
    <row r="6182" customFormat="1" x14ac:dyDescent="0.3"/>
    <row r="6183" customFormat="1" x14ac:dyDescent="0.3"/>
    <row r="6184" customFormat="1" x14ac:dyDescent="0.3"/>
    <row r="6185" customFormat="1" x14ac:dyDescent="0.3"/>
    <row r="6186" customFormat="1" x14ac:dyDescent="0.3"/>
    <row r="6187" customFormat="1" x14ac:dyDescent="0.3"/>
    <row r="6188" customFormat="1" x14ac:dyDescent="0.3"/>
    <row r="6189" customFormat="1" x14ac:dyDescent="0.3"/>
    <row r="6190" customFormat="1" x14ac:dyDescent="0.3"/>
    <row r="6191" customFormat="1" x14ac:dyDescent="0.3"/>
    <row r="6192" customFormat="1" x14ac:dyDescent="0.3"/>
    <row r="6193" customFormat="1" x14ac:dyDescent="0.3"/>
    <row r="6194" customFormat="1" x14ac:dyDescent="0.3"/>
    <row r="6195" customFormat="1" x14ac:dyDescent="0.3"/>
    <row r="6196" customFormat="1" x14ac:dyDescent="0.3"/>
    <row r="6197" customFormat="1" x14ac:dyDescent="0.3"/>
    <row r="6198" customFormat="1" x14ac:dyDescent="0.3"/>
    <row r="6199" customFormat="1" x14ac:dyDescent="0.3"/>
    <row r="6200" customFormat="1" x14ac:dyDescent="0.3"/>
    <row r="6201" customFormat="1" x14ac:dyDescent="0.3"/>
    <row r="6202" customFormat="1" x14ac:dyDescent="0.3"/>
    <row r="6203" customFormat="1" x14ac:dyDescent="0.3"/>
    <row r="6204" customFormat="1" x14ac:dyDescent="0.3"/>
    <row r="6205" customFormat="1" x14ac:dyDescent="0.3"/>
    <row r="6206" customFormat="1" x14ac:dyDescent="0.3"/>
    <row r="6207" customFormat="1" x14ac:dyDescent="0.3"/>
    <row r="6208" customFormat="1" x14ac:dyDescent="0.3"/>
    <row r="6209" customFormat="1" x14ac:dyDescent="0.3"/>
    <row r="6210" customFormat="1" x14ac:dyDescent="0.3"/>
    <row r="6211" customFormat="1" x14ac:dyDescent="0.3"/>
    <row r="6212" customFormat="1" x14ac:dyDescent="0.3"/>
    <row r="6213" customFormat="1" x14ac:dyDescent="0.3"/>
    <row r="6214" customFormat="1" x14ac:dyDescent="0.3"/>
    <row r="6215" customFormat="1" x14ac:dyDescent="0.3"/>
    <row r="6216" customFormat="1" x14ac:dyDescent="0.3"/>
    <row r="6217" customFormat="1" x14ac:dyDescent="0.3"/>
    <row r="6218" customFormat="1" x14ac:dyDescent="0.3"/>
    <row r="6219" customFormat="1" x14ac:dyDescent="0.3"/>
    <row r="6220" customFormat="1" x14ac:dyDescent="0.3"/>
    <row r="6221" customFormat="1" x14ac:dyDescent="0.3"/>
    <row r="6222" customFormat="1" x14ac:dyDescent="0.3"/>
    <row r="6223" customFormat="1" x14ac:dyDescent="0.3"/>
    <row r="6224" customFormat="1" x14ac:dyDescent="0.3"/>
    <row r="6225" customFormat="1" x14ac:dyDescent="0.3"/>
    <row r="6226" customFormat="1" x14ac:dyDescent="0.3"/>
    <row r="6227" customFormat="1" x14ac:dyDescent="0.3"/>
    <row r="6228" customFormat="1" x14ac:dyDescent="0.3"/>
    <row r="6229" customFormat="1" x14ac:dyDescent="0.3"/>
    <row r="6230" customFormat="1" x14ac:dyDescent="0.3"/>
    <row r="6231" customFormat="1" x14ac:dyDescent="0.3"/>
    <row r="6232" customFormat="1" x14ac:dyDescent="0.3"/>
    <row r="6233" customFormat="1" x14ac:dyDescent="0.3"/>
    <row r="6234" customFormat="1" x14ac:dyDescent="0.3"/>
    <row r="6235" customFormat="1" x14ac:dyDescent="0.3"/>
    <row r="6236" customFormat="1" x14ac:dyDescent="0.3"/>
    <row r="6237" customFormat="1" x14ac:dyDescent="0.3"/>
    <row r="6238" customFormat="1" x14ac:dyDescent="0.3"/>
    <row r="6239" customFormat="1" x14ac:dyDescent="0.3"/>
    <row r="6240" customFormat="1" x14ac:dyDescent="0.3"/>
    <row r="6241" customFormat="1" x14ac:dyDescent="0.3"/>
    <row r="6242" customFormat="1" x14ac:dyDescent="0.3"/>
    <row r="6243" customFormat="1" x14ac:dyDescent="0.3"/>
    <row r="6244" customFormat="1" x14ac:dyDescent="0.3"/>
    <row r="6245" customFormat="1" x14ac:dyDescent="0.3"/>
    <row r="6246" customFormat="1" x14ac:dyDescent="0.3"/>
    <row r="6247" customFormat="1" x14ac:dyDescent="0.3"/>
    <row r="6248" customFormat="1" x14ac:dyDescent="0.3"/>
    <row r="6249" customFormat="1" x14ac:dyDescent="0.3"/>
    <row r="6250" customFormat="1" x14ac:dyDescent="0.3"/>
    <row r="6251" customFormat="1" x14ac:dyDescent="0.3"/>
    <row r="6252" customFormat="1" x14ac:dyDescent="0.3"/>
    <row r="6253" customFormat="1" x14ac:dyDescent="0.3"/>
    <row r="6254" customFormat="1" x14ac:dyDescent="0.3"/>
    <row r="6255" customFormat="1" x14ac:dyDescent="0.3"/>
    <row r="6256" customFormat="1" x14ac:dyDescent="0.3"/>
    <row r="6257" customFormat="1" x14ac:dyDescent="0.3"/>
    <row r="6258" customFormat="1" x14ac:dyDescent="0.3"/>
    <row r="6259" customFormat="1" x14ac:dyDescent="0.3"/>
    <row r="6260" customFormat="1" x14ac:dyDescent="0.3"/>
    <row r="6261" customFormat="1" x14ac:dyDescent="0.3"/>
    <row r="6262" customFormat="1" x14ac:dyDescent="0.3"/>
    <row r="6263" customFormat="1" x14ac:dyDescent="0.3"/>
    <row r="6264" customFormat="1" x14ac:dyDescent="0.3"/>
    <row r="6265" customFormat="1" x14ac:dyDescent="0.3"/>
    <row r="6266" customFormat="1" x14ac:dyDescent="0.3"/>
    <row r="6267" customFormat="1" x14ac:dyDescent="0.3"/>
    <row r="6268" customFormat="1" x14ac:dyDescent="0.3"/>
    <row r="6269" customFormat="1" x14ac:dyDescent="0.3"/>
    <row r="6270" customFormat="1" x14ac:dyDescent="0.3"/>
    <row r="6271" customFormat="1" x14ac:dyDescent="0.3"/>
    <row r="6272" customFormat="1" x14ac:dyDescent="0.3"/>
    <row r="6273" customFormat="1" x14ac:dyDescent="0.3"/>
    <row r="6274" customFormat="1" x14ac:dyDescent="0.3"/>
    <row r="6275" customFormat="1" x14ac:dyDescent="0.3"/>
    <row r="6276" customFormat="1" x14ac:dyDescent="0.3"/>
    <row r="6277" customFormat="1" x14ac:dyDescent="0.3"/>
    <row r="6278" customFormat="1" x14ac:dyDescent="0.3"/>
    <row r="6279" customFormat="1" x14ac:dyDescent="0.3"/>
    <row r="6280" customFormat="1" x14ac:dyDescent="0.3"/>
    <row r="6281" customFormat="1" x14ac:dyDescent="0.3"/>
    <row r="6282" customFormat="1" x14ac:dyDescent="0.3"/>
    <row r="6283" customFormat="1" x14ac:dyDescent="0.3"/>
    <row r="6284" customFormat="1" x14ac:dyDescent="0.3"/>
    <row r="6285" customFormat="1" x14ac:dyDescent="0.3"/>
    <row r="6286" customFormat="1" x14ac:dyDescent="0.3"/>
    <row r="6287" customFormat="1" x14ac:dyDescent="0.3"/>
    <row r="6288" customFormat="1" x14ac:dyDescent="0.3"/>
    <row r="6289" customFormat="1" x14ac:dyDescent="0.3"/>
    <row r="6290" customFormat="1" x14ac:dyDescent="0.3"/>
    <row r="6291" customFormat="1" x14ac:dyDescent="0.3"/>
    <row r="6292" customFormat="1" x14ac:dyDescent="0.3"/>
    <row r="6293" customFormat="1" x14ac:dyDescent="0.3"/>
    <row r="6294" customFormat="1" x14ac:dyDescent="0.3"/>
    <row r="6295" customFormat="1" x14ac:dyDescent="0.3"/>
    <row r="6296" customFormat="1" x14ac:dyDescent="0.3"/>
    <row r="6297" customFormat="1" x14ac:dyDescent="0.3"/>
    <row r="6298" customFormat="1" x14ac:dyDescent="0.3"/>
    <row r="6299" customFormat="1" x14ac:dyDescent="0.3"/>
    <row r="6300" customFormat="1" x14ac:dyDescent="0.3"/>
    <row r="6301" customFormat="1" x14ac:dyDescent="0.3"/>
    <row r="6302" customFormat="1" x14ac:dyDescent="0.3"/>
    <row r="6303" customFormat="1" x14ac:dyDescent="0.3"/>
    <row r="6304" customFormat="1" x14ac:dyDescent="0.3"/>
    <row r="6305" customFormat="1" x14ac:dyDescent="0.3"/>
    <row r="6306" customFormat="1" x14ac:dyDescent="0.3"/>
    <row r="6307" customFormat="1" x14ac:dyDescent="0.3"/>
    <row r="6308" customFormat="1" x14ac:dyDescent="0.3"/>
    <row r="6309" customFormat="1" x14ac:dyDescent="0.3"/>
    <row r="6310" customFormat="1" x14ac:dyDescent="0.3"/>
    <row r="6311" customFormat="1" x14ac:dyDescent="0.3"/>
    <row r="6312" customFormat="1" x14ac:dyDescent="0.3"/>
    <row r="6313" customFormat="1" x14ac:dyDescent="0.3"/>
    <row r="6314" customFormat="1" x14ac:dyDescent="0.3"/>
    <row r="6315" customFormat="1" x14ac:dyDescent="0.3"/>
    <row r="6316" customFormat="1" x14ac:dyDescent="0.3"/>
    <row r="6317" customFormat="1" x14ac:dyDescent="0.3"/>
    <row r="6318" customFormat="1" x14ac:dyDescent="0.3"/>
    <row r="6319" customFormat="1" x14ac:dyDescent="0.3"/>
    <row r="6320" customFormat="1" x14ac:dyDescent="0.3"/>
    <row r="6321" customFormat="1" x14ac:dyDescent="0.3"/>
    <row r="6322" customFormat="1" x14ac:dyDescent="0.3"/>
    <row r="6323" customFormat="1" x14ac:dyDescent="0.3"/>
    <row r="6324" customFormat="1" x14ac:dyDescent="0.3"/>
    <row r="6325" customFormat="1" x14ac:dyDescent="0.3"/>
    <row r="6326" customFormat="1" x14ac:dyDescent="0.3"/>
    <row r="6327" customFormat="1" x14ac:dyDescent="0.3"/>
    <row r="6328" customFormat="1" x14ac:dyDescent="0.3"/>
    <row r="6329" customFormat="1" x14ac:dyDescent="0.3"/>
    <row r="6330" customFormat="1" x14ac:dyDescent="0.3"/>
    <row r="6331" customFormat="1" x14ac:dyDescent="0.3"/>
    <row r="6332" customFormat="1" x14ac:dyDescent="0.3"/>
    <row r="6333" customFormat="1" x14ac:dyDescent="0.3"/>
    <row r="6334" customFormat="1" x14ac:dyDescent="0.3"/>
    <row r="6335" customFormat="1" x14ac:dyDescent="0.3"/>
    <row r="6336" customFormat="1" x14ac:dyDescent="0.3"/>
    <row r="6337" customFormat="1" x14ac:dyDescent="0.3"/>
    <row r="6338" customFormat="1" x14ac:dyDescent="0.3"/>
    <row r="6339" customFormat="1" x14ac:dyDescent="0.3"/>
    <row r="6340" customFormat="1" x14ac:dyDescent="0.3"/>
    <row r="6341" customFormat="1" x14ac:dyDescent="0.3"/>
    <row r="6342" customFormat="1" x14ac:dyDescent="0.3"/>
    <row r="6343" customFormat="1" x14ac:dyDescent="0.3"/>
    <row r="6344" customFormat="1" x14ac:dyDescent="0.3"/>
    <row r="6345" customFormat="1" x14ac:dyDescent="0.3"/>
    <row r="6346" customFormat="1" x14ac:dyDescent="0.3"/>
    <row r="6347" customFormat="1" x14ac:dyDescent="0.3"/>
    <row r="6348" customFormat="1" x14ac:dyDescent="0.3"/>
    <row r="6349" customFormat="1" x14ac:dyDescent="0.3"/>
    <row r="6350" customFormat="1" x14ac:dyDescent="0.3"/>
    <row r="6351" customFormat="1" x14ac:dyDescent="0.3"/>
    <row r="6352" customFormat="1" x14ac:dyDescent="0.3"/>
    <row r="6353" customFormat="1" x14ac:dyDescent="0.3"/>
    <row r="6354" customFormat="1" x14ac:dyDescent="0.3"/>
    <row r="6355" customFormat="1" x14ac:dyDescent="0.3"/>
    <row r="6356" customFormat="1" x14ac:dyDescent="0.3"/>
    <row r="6357" customFormat="1" x14ac:dyDescent="0.3"/>
    <row r="6358" customFormat="1" x14ac:dyDescent="0.3"/>
    <row r="6359" customFormat="1" x14ac:dyDescent="0.3"/>
    <row r="6360" customFormat="1" x14ac:dyDescent="0.3"/>
    <row r="6361" customFormat="1" x14ac:dyDescent="0.3"/>
    <row r="6362" customFormat="1" x14ac:dyDescent="0.3"/>
    <row r="6363" customFormat="1" x14ac:dyDescent="0.3"/>
    <row r="6364" customFormat="1" x14ac:dyDescent="0.3"/>
    <row r="6365" customFormat="1" x14ac:dyDescent="0.3"/>
    <row r="6366" customFormat="1" x14ac:dyDescent="0.3"/>
    <row r="6367" customFormat="1" x14ac:dyDescent="0.3"/>
    <row r="6368" customFormat="1" x14ac:dyDescent="0.3"/>
    <row r="6369" customFormat="1" x14ac:dyDescent="0.3"/>
    <row r="6370" customFormat="1" x14ac:dyDescent="0.3"/>
    <row r="6371" customFormat="1" x14ac:dyDescent="0.3"/>
    <row r="6372" customFormat="1" x14ac:dyDescent="0.3"/>
    <row r="6373" customFormat="1" x14ac:dyDescent="0.3"/>
    <row r="6374" customFormat="1" x14ac:dyDescent="0.3"/>
    <row r="6375" customFormat="1" x14ac:dyDescent="0.3"/>
    <row r="6376" customFormat="1" x14ac:dyDescent="0.3"/>
    <row r="6377" customFormat="1" x14ac:dyDescent="0.3"/>
    <row r="6378" customFormat="1" x14ac:dyDescent="0.3"/>
    <row r="6379" customFormat="1" x14ac:dyDescent="0.3"/>
    <row r="6380" customFormat="1" x14ac:dyDescent="0.3"/>
    <row r="6381" customFormat="1" x14ac:dyDescent="0.3"/>
    <row r="6382" customFormat="1" x14ac:dyDescent="0.3"/>
    <row r="6383" customFormat="1" x14ac:dyDescent="0.3"/>
    <row r="6384" customFormat="1" x14ac:dyDescent="0.3"/>
    <row r="6385" customFormat="1" x14ac:dyDescent="0.3"/>
    <row r="6386" customFormat="1" x14ac:dyDescent="0.3"/>
    <row r="6387" customFormat="1" x14ac:dyDescent="0.3"/>
    <row r="6388" customFormat="1" x14ac:dyDescent="0.3"/>
    <row r="6389" customFormat="1" x14ac:dyDescent="0.3"/>
    <row r="6390" customFormat="1" x14ac:dyDescent="0.3"/>
    <row r="6391" customFormat="1" x14ac:dyDescent="0.3"/>
    <row r="6392" customFormat="1" x14ac:dyDescent="0.3"/>
    <row r="6393" customFormat="1" x14ac:dyDescent="0.3"/>
    <row r="6394" customFormat="1" x14ac:dyDescent="0.3"/>
    <row r="6395" customFormat="1" x14ac:dyDescent="0.3"/>
    <row r="6396" customFormat="1" x14ac:dyDescent="0.3"/>
    <row r="6397" customFormat="1" x14ac:dyDescent="0.3"/>
    <row r="6398" customFormat="1" x14ac:dyDescent="0.3"/>
    <row r="6399" customFormat="1" x14ac:dyDescent="0.3"/>
    <row r="6400" customFormat="1" x14ac:dyDescent="0.3"/>
    <row r="6401" customFormat="1" x14ac:dyDescent="0.3"/>
    <row r="6402" customFormat="1" x14ac:dyDescent="0.3"/>
    <row r="6403" customFormat="1" x14ac:dyDescent="0.3"/>
    <row r="6404" customFormat="1" x14ac:dyDescent="0.3"/>
    <row r="6405" customFormat="1" x14ac:dyDescent="0.3"/>
    <row r="6406" customFormat="1" x14ac:dyDescent="0.3"/>
    <row r="6407" customFormat="1" x14ac:dyDescent="0.3"/>
    <row r="6408" customFormat="1" x14ac:dyDescent="0.3"/>
    <row r="6409" customFormat="1" x14ac:dyDescent="0.3"/>
    <row r="6410" customFormat="1" x14ac:dyDescent="0.3"/>
    <row r="6411" customFormat="1" x14ac:dyDescent="0.3"/>
    <row r="6412" customFormat="1" x14ac:dyDescent="0.3"/>
    <row r="6413" customFormat="1" x14ac:dyDescent="0.3"/>
    <row r="6414" customFormat="1" x14ac:dyDescent="0.3"/>
    <row r="6415" customFormat="1" x14ac:dyDescent="0.3"/>
    <row r="6416" customFormat="1" x14ac:dyDescent="0.3"/>
    <row r="6417" customFormat="1" x14ac:dyDescent="0.3"/>
    <row r="6418" customFormat="1" x14ac:dyDescent="0.3"/>
    <row r="6419" customFormat="1" x14ac:dyDescent="0.3"/>
    <row r="6420" customFormat="1" x14ac:dyDescent="0.3"/>
    <row r="6421" customFormat="1" x14ac:dyDescent="0.3"/>
    <row r="6422" customFormat="1" x14ac:dyDescent="0.3"/>
    <row r="6423" customFormat="1" x14ac:dyDescent="0.3"/>
    <row r="6424" customFormat="1" x14ac:dyDescent="0.3"/>
    <row r="6425" customFormat="1" x14ac:dyDescent="0.3"/>
    <row r="6426" customFormat="1" x14ac:dyDescent="0.3"/>
    <row r="6427" customFormat="1" x14ac:dyDescent="0.3"/>
    <row r="6428" customFormat="1" x14ac:dyDescent="0.3"/>
    <row r="6429" customFormat="1" x14ac:dyDescent="0.3"/>
    <row r="6430" customFormat="1" x14ac:dyDescent="0.3"/>
    <row r="6431" customFormat="1" x14ac:dyDescent="0.3"/>
    <row r="6432" customFormat="1" x14ac:dyDescent="0.3"/>
    <row r="6433" customFormat="1" x14ac:dyDescent="0.3"/>
    <row r="6434" customFormat="1" x14ac:dyDescent="0.3"/>
    <row r="6435" customFormat="1" x14ac:dyDescent="0.3"/>
    <row r="6436" customFormat="1" x14ac:dyDescent="0.3"/>
    <row r="6437" customFormat="1" x14ac:dyDescent="0.3"/>
    <row r="6438" customFormat="1" x14ac:dyDescent="0.3"/>
    <row r="6439" customFormat="1" x14ac:dyDescent="0.3"/>
    <row r="6440" customFormat="1" x14ac:dyDescent="0.3"/>
    <row r="6441" customFormat="1" x14ac:dyDescent="0.3"/>
    <row r="6442" customFormat="1" x14ac:dyDescent="0.3"/>
    <row r="6443" customFormat="1" x14ac:dyDescent="0.3"/>
    <row r="6444" customFormat="1" x14ac:dyDescent="0.3"/>
    <row r="6445" customFormat="1" x14ac:dyDescent="0.3"/>
    <row r="6446" customFormat="1" x14ac:dyDescent="0.3"/>
    <row r="6447" customFormat="1" x14ac:dyDescent="0.3"/>
    <row r="6448" customFormat="1" x14ac:dyDescent="0.3"/>
    <row r="6449" customFormat="1" x14ac:dyDescent="0.3"/>
    <row r="6450" customFormat="1" x14ac:dyDescent="0.3"/>
    <row r="6451" customFormat="1" x14ac:dyDescent="0.3"/>
    <row r="6452" customFormat="1" x14ac:dyDescent="0.3"/>
    <row r="6453" customFormat="1" x14ac:dyDescent="0.3"/>
    <row r="6454" customFormat="1" x14ac:dyDescent="0.3"/>
    <row r="6455" customFormat="1" x14ac:dyDescent="0.3"/>
    <row r="6456" customFormat="1" x14ac:dyDescent="0.3"/>
    <row r="6457" customFormat="1" x14ac:dyDescent="0.3"/>
    <row r="6458" customFormat="1" x14ac:dyDescent="0.3"/>
    <row r="6459" customFormat="1" x14ac:dyDescent="0.3"/>
    <row r="6460" customFormat="1" x14ac:dyDescent="0.3"/>
    <row r="6461" customFormat="1" x14ac:dyDescent="0.3"/>
    <row r="6462" customFormat="1" x14ac:dyDescent="0.3"/>
    <row r="6463" customFormat="1" x14ac:dyDescent="0.3"/>
    <row r="6464" customFormat="1" x14ac:dyDescent="0.3"/>
    <row r="6465" customFormat="1" x14ac:dyDescent="0.3"/>
    <row r="6466" customFormat="1" x14ac:dyDescent="0.3"/>
    <row r="6467" customFormat="1" x14ac:dyDescent="0.3"/>
    <row r="6468" customFormat="1" x14ac:dyDescent="0.3"/>
    <row r="6469" customFormat="1" x14ac:dyDescent="0.3"/>
    <row r="6470" customFormat="1" x14ac:dyDescent="0.3"/>
    <row r="6471" customFormat="1" x14ac:dyDescent="0.3"/>
    <row r="6472" customFormat="1" x14ac:dyDescent="0.3"/>
    <row r="6473" customFormat="1" x14ac:dyDescent="0.3"/>
    <row r="6474" customFormat="1" x14ac:dyDescent="0.3"/>
    <row r="6475" customFormat="1" x14ac:dyDescent="0.3"/>
    <row r="6476" customFormat="1" x14ac:dyDescent="0.3"/>
    <row r="6477" customFormat="1" x14ac:dyDescent="0.3"/>
    <row r="6478" customFormat="1" x14ac:dyDescent="0.3"/>
    <row r="6479" customFormat="1" x14ac:dyDescent="0.3"/>
    <row r="6480" customFormat="1" x14ac:dyDescent="0.3"/>
    <row r="6481" customFormat="1" x14ac:dyDescent="0.3"/>
    <row r="6482" customFormat="1" x14ac:dyDescent="0.3"/>
    <row r="6483" customFormat="1" x14ac:dyDescent="0.3"/>
    <row r="6484" customFormat="1" x14ac:dyDescent="0.3"/>
    <row r="6485" customFormat="1" x14ac:dyDescent="0.3"/>
    <row r="6486" customFormat="1" x14ac:dyDescent="0.3"/>
    <row r="6487" customFormat="1" x14ac:dyDescent="0.3"/>
    <row r="6488" customFormat="1" x14ac:dyDescent="0.3"/>
    <row r="6489" customFormat="1" x14ac:dyDescent="0.3"/>
    <row r="6490" customFormat="1" x14ac:dyDescent="0.3"/>
    <row r="6491" customFormat="1" x14ac:dyDescent="0.3"/>
    <row r="6492" customFormat="1" x14ac:dyDescent="0.3"/>
    <row r="6493" customFormat="1" x14ac:dyDescent="0.3"/>
    <row r="6494" customFormat="1" x14ac:dyDescent="0.3"/>
    <row r="6495" customFormat="1" x14ac:dyDescent="0.3"/>
    <row r="6496" customFormat="1" x14ac:dyDescent="0.3"/>
    <row r="6497" customFormat="1" x14ac:dyDescent="0.3"/>
    <row r="6498" customFormat="1" x14ac:dyDescent="0.3"/>
    <row r="6499" customFormat="1" x14ac:dyDescent="0.3"/>
    <row r="6500" customFormat="1" x14ac:dyDescent="0.3"/>
    <row r="6501" customFormat="1" x14ac:dyDescent="0.3"/>
    <row r="6502" customFormat="1" x14ac:dyDescent="0.3"/>
    <row r="6503" customFormat="1" x14ac:dyDescent="0.3"/>
    <row r="6504" customFormat="1" x14ac:dyDescent="0.3"/>
    <row r="6505" customFormat="1" x14ac:dyDescent="0.3"/>
    <row r="6506" customFormat="1" x14ac:dyDescent="0.3"/>
    <row r="6507" customFormat="1" x14ac:dyDescent="0.3"/>
    <row r="6508" customFormat="1" x14ac:dyDescent="0.3"/>
    <row r="6509" customFormat="1" x14ac:dyDescent="0.3"/>
    <row r="6510" customFormat="1" x14ac:dyDescent="0.3"/>
    <row r="6511" customFormat="1" x14ac:dyDescent="0.3"/>
    <row r="6512" customFormat="1" x14ac:dyDescent="0.3"/>
    <row r="6513" customFormat="1" x14ac:dyDescent="0.3"/>
    <row r="6514" customFormat="1" x14ac:dyDescent="0.3"/>
    <row r="6515" customFormat="1" x14ac:dyDescent="0.3"/>
    <row r="6516" customFormat="1" x14ac:dyDescent="0.3"/>
    <row r="6517" customFormat="1" x14ac:dyDescent="0.3"/>
    <row r="6518" customFormat="1" x14ac:dyDescent="0.3"/>
    <row r="6519" customFormat="1" x14ac:dyDescent="0.3"/>
    <row r="6520" customFormat="1" x14ac:dyDescent="0.3"/>
    <row r="6521" customFormat="1" x14ac:dyDescent="0.3"/>
    <row r="6522" customFormat="1" x14ac:dyDescent="0.3"/>
    <row r="6523" customFormat="1" x14ac:dyDescent="0.3"/>
    <row r="6524" customFormat="1" x14ac:dyDescent="0.3"/>
    <row r="6525" customFormat="1" x14ac:dyDescent="0.3"/>
    <row r="6526" customFormat="1" x14ac:dyDescent="0.3"/>
    <row r="6527" customFormat="1" x14ac:dyDescent="0.3"/>
    <row r="6528" customFormat="1" x14ac:dyDescent="0.3"/>
    <row r="6529" customFormat="1" x14ac:dyDescent="0.3"/>
    <row r="6530" customFormat="1" x14ac:dyDescent="0.3"/>
    <row r="6531" customFormat="1" x14ac:dyDescent="0.3"/>
    <row r="6532" customFormat="1" x14ac:dyDescent="0.3"/>
    <row r="6533" customFormat="1" x14ac:dyDescent="0.3"/>
    <row r="6534" customFormat="1" x14ac:dyDescent="0.3"/>
    <row r="6535" customFormat="1" x14ac:dyDescent="0.3"/>
    <row r="6536" customFormat="1" x14ac:dyDescent="0.3"/>
    <row r="6537" customFormat="1" x14ac:dyDescent="0.3"/>
    <row r="6538" customFormat="1" x14ac:dyDescent="0.3"/>
    <row r="6539" customFormat="1" x14ac:dyDescent="0.3"/>
    <row r="6540" customFormat="1" x14ac:dyDescent="0.3"/>
    <row r="6541" customFormat="1" x14ac:dyDescent="0.3"/>
    <row r="6542" customFormat="1" x14ac:dyDescent="0.3"/>
    <row r="6543" customFormat="1" x14ac:dyDescent="0.3"/>
    <row r="6544" customFormat="1" x14ac:dyDescent="0.3"/>
    <row r="6545" customFormat="1" x14ac:dyDescent="0.3"/>
    <row r="6546" customFormat="1" x14ac:dyDescent="0.3"/>
    <row r="6547" customFormat="1" x14ac:dyDescent="0.3"/>
    <row r="6548" customFormat="1" x14ac:dyDescent="0.3"/>
    <row r="6549" customFormat="1" x14ac:dyDescent="0.3"/>
    <row r="6550" customFormat="1" x14ac:dyDescent="0.3"/>
    <row r="6551" customFormat="1" x14ac:dyDescent="0.3"/>
    <row r="6552" customFormat="1" x14ac:dyDescent="0.3"/>
    <row r="6553" customFormat="1" x14ac:dyDescent="0.3"/>
    <row r="6554" customFormat="1" x14ac:dyDescent="0.3"/>
    <row r="6555" customFormat="1" x14ac:dyDescent="0.3"/>
    <row r="6556" customFormat="1" x14ac:dyDescent="0.3"/>
    <row r="6557" customFormat="1" x14ac:dyDescent="0.3"/>
    <row r="6558" customFormat="1" x14ac:dyDescent="0.3"/>
    <row r="6559" customFormat="1" x14ac:dyDescent="0.3"/>
    <row r="6560" customFormat="1" x14ac:dyDescent="0.3"/>
    <row r="6561" customFormat="1" x14ac:dyDescent="0.3"/>
    <row r="6562" customFormat="1" x14ac:dyDescent="0.3"/>
    <row r="6563" customFormat="1" x14ac:dyDescent="0.3"/>
    <row r="6564" customFormat="1" x14ac:dyDescent="0.3"/>
    <row r="6565" customFormat="1" x14ac:dyDescent="0.3"/>
    <row r="6566" customFormat="1" x14ac:dyDescent="0.3"/>
    <row r="6567" customFormat="1" x14ac:dyDescent="0.3"/>
    <row r="6568" customFormat="1" x14ac:dyDescent="0.3"/>
    <row r="6569" customFormat="1" x14ac:dyDescent="0.3"/>
    <row r="6570" customFormat="1" x14ac:dyDescent="0.3"/>
    <row r="6571" customFormat="1" x14ac:dyDescent="0.3"/>
    <row r="6572" customFormat="1" x14ac:dyDescent="0.3"/>
    <row r="6573" customFormat="1" x14ac:dyDescent="0.3"/>
    <row r="6574" customFormat="1" x14ac:dyDescent="0.3"/>
    <row r="6575" customFormat="1" x14ac:dyDescent="0.3"/>
    <row r="6576" customFormat="1" x14ac:dyDescent="0.3"/>
    <row r="6577" customFormat="1" x14ac:dyDescent="0.3"/>
    <row r="6578" customFormat="1" x14ac:dyDescent="0.3"/>
    <row r="6579" customFormat="1" x14ac:dyDescent="0.3"/>
    <row r="6580" customFormat="1" x14ac:dyDescent="0.3"/>
    <row r="6581" customFormat="1" x14ac:dyDescent="0.3"/>
    <row r="6582" customFormat="1" x14ac:dyDescent="0.3"/>
    <row r="6583" customFormat="1" x14ac:dyDescent="0.3"/>
    <row r="6584" customFormat="1" x14ac:dyDescent="0.3"/>
    <row r="6585" customFormat="1" x14ac:dyDescent="0.3"/>
    <row r="6586" customFormat="1" x14ac:dyDescent="0.3"/>
    <row r="6587" customFormat="1" x14ac:dyDescent="0.3"/>
    <row r="6588" customFormat="1" x14ac:dyDescent="0.3"/>
    <row r="6589" customFormat="1" x14ac:dyDescent="0.3"/>
    <row r="6590" customFormat="1" x14ac:dyDescent="0.3"/>
    <row r="6591" customFormat="1" x14ac:dyDescent="0.3"/>
    <row r="6592" customFormat="1" x14ac:dyDescent="0.3"/>
    <row r="6593" customFormat="1" x14ac:dyDescent="0.3"/>
    <row r="6594" customFormat="1" x14ac:dyDescent="0.3"/>
    <row r="6595" customFormat="1" x14ac:dyDescent="0.3"/>
    <row r="6596" customFormat="1" x14ac:dyDescent="0.3"/>
    <row r="6597" customFormat="1" x14ac:dyDescent="0.3"/>
    <row r="6598" customFormat="1" x14ac:dyDescent="0.3"/>
    <row r="6599" customFormat="1" x14ac:dyDescent="0.3"/>
    <row r="6600" customFormat="1" x14ac:dyDescent="0.3"/>
    <row r="6601" customFormat="1" x14ac:dyDescent="0.3"/>
    <row r="6602" customFormat="1" x14ac:dyDescent="0.3"/>
    <row r="6603" customFormat="1" x14ac:dyDescent="0.3"/>
    <row r="6604" customFormat="1" x14ac:dyDescent="0.3"/>
    <row r="6605" customFormat="1" x14ac:dyDescent="0.3"/>
    <row r="6606" customFormat="1" x14ac:dyDescent="0.3"/>
    <row r="6607" customFormat="1" x14ac:dyDescent="0.3"/>
    <row r="6608" customFormat="1" x14ac:dyDescent="0.3"/>
    <row r="6609" customFormat="1" x14ac:dyDescent="0.3"/>
    <row r="6610" customFormat="1" x14ac:dyDescent="0.3"/>
    <row r="6611" customFormat="1" x14ac:dyDescent="0.3"/>
    <row r="6612" customFormat="1" x14ac:dyDescent="0.3"/>
    <row r="6613" customFormat="1" x14ac:dyDescent="0.3"/>
    <row r="6614" customFormat="1" x14ac:dyDescent="0.3"/>
    <row r="6615" customFormat="1" x14ac:dyDescent="0.3"/>
    <row r="6616" customFormat="1" x14ac:dyDescent="0.3"/>
    <row r="6617" customFormat="1" x14ac:dyDescent="0.3"/>
    <row r="6618" customFormat="1" x14ac:dyDescent="0.3"/>
    <row r="6619" customFormat="1" x14ac:dyDescent="0.3"/>
    <row r="6620" customFormat="1" x14ac:dyDescent="0.3"/>
    <row r="6621" customFormat="1" x14ac:dyDescent="0.3"/>
    <row r="6622" customFormat="1" x14ac:dyDescent="0.3"/>
    <row r="6623" customFormat="1" x14ac:dyDescent="0.3"/>
    <row r="6624" customFormat="1" x14ac:dyDescent="0.3"/>
    <row r="6625" customFormat="1" x14ac:dyDescent="0.3"/>
    <row r="6626" customFormat="1" x14ac:dyDescent="0.3"/>
    <row r="6627" customFormat="1" x14ac:dyDescent="0.3"/>
    <row r="6628" customFormat="1" x14ac:dyDescent="0.3"/>
    <row r="6629" customFormat="1" x14ac:dyDescent="0.3"/>
    <row r="6630" customFormat="1" x14ac:dyDescent="0.3"/>
    <row r="6631" customFormat="1" x14ac:dyDescent="0.3"/>
    <row r="6632" customFormat="1" x14ac:dyDescent="0.3"/>
    <row r="6633" customFormat="1" x14ac:dyDescent="0.3"/>
    <row r="6634" customFormat="1" x14ac:dyDescent="0.3"/>
    <row r="6635" customFormat="1" x14ac:dyDescent="0.3"/>
    <row r="6636" customFormat="1" x14ac:dyDescent="0.3"/>
    <row r="6637" customFormat="1" x14ac:dyDescent="0.3"/>
    <row r="6638" customFormat="1" x14ac:dyDescent="0.3"/>
    <row r="6639" customFormat="1" x14ac:dyDescent="0.3"/>
    <row r="6640" customFormat="1" x14ac:dyDescent="0.3"/>
    <row r="6641" customFormat="1" x14ac:dyDescent="0.3"/>
    <row r="6642" customFormat="1" x14ac:dyDescent="0.3"/>
    <row r="6643" customFormat="1" x14ac:dyDescent="0.3"/>
    <row r="6644" customFormat="1" x14ac:dyDescent="0.3"/>
    <row r="6645" customFormat="1" x14ac:dyDescent="0.3"/>
    <row r="6646" customFormat="1" x14ac:dyDescent="0.3"/>
    <row r="6647" customFormat="1" x14ac:dyDescent="0.3"/>
    <row r="6648" customFormat="1" x14ac:dyDescent="0.3"/>
    <row r="6649" customFormat="1" x14ac:dyDescent="0.3"/>
    <row r="6650" customFormat="1" x14ac:dyDescent="0.3"/>
    <row r="6651" customFormat="1" x14ac:dyDescent="0.3"/>
    <row r="6652" customFormat="1" x14ac:dyDescent="0.3"/>
    <row r="6653" customFormat="1" x14ac:dyDescent="0.3"/>
    <row r="6654" customFormat="1" x14ac:dyDescent="0.3"/>
    <row r="6655" customFormat="1" x14ac:dyDescent="0.3"/>
    <row r="6656" customFormat="1" x14ac:dyDescent="0.3"/>
    <row r="6657" customFormat="1" x14ac:dyDescent="0.3"/>
    <row r="6658" customFormat="1" x14ac:dyDescent="0.3"/>
    <row r="6659" customFormat="1" x14ac:dyDescent="0.3"/>
    <row r="6660" customFormat="1" x14ac:dyDescent="0.3"/>
    <row r="6661" customFormat="1" x14ac:dyDescent="0.3"/>
    <row r="6662" customFormat="1" x14ac:dyDescent="0.3"/>
    <row r="6663" customFormat="1" x14ac:dyDescent="0.3"/>
    <row r="6664" customFormat="1" x14ac:dyDescent="0.3"/>
    <row r="6665" customFormat="1" x14ac:dyDescent="0.3"/>
    <row r="6666" customFormat="1" x14ac:dyDescent="0.3"/>
    <row r="6667" customFormat="1" x14ac:dyDescent="0.3"/>
    <row r="6668" customFormat="1" x14ac:dyDescent="0.3"/>
    <row r="6669" customFormat="1" x14ac:dyDescent="0.3"/>
    <row r="6670" customFormat="1" x14ac:dyDescent="0.3"/>
    <row r="6671" customFormat="1" x14ac:dyDescent="0.3"/>
    <row r="6672" customFormat="1" x14ac:dyDescent="0.3"/>
    <row r="6673" customFormat="1" x14ac:dyDescent="0.3"/>
    <row r="6674" customFormat="1" x14ac:dyDescent="0.3"/>
    <row r="6675" customFormat="1" x14ac:dyDescent="0.3"/>
    <row r="6676" customFormat="1" x14ac:dyDescent="0.3"/>
    <row r="6677" customFormat="1" x14ac:dyDescent="0.3"/>
    <row r="6678" customFormat="1" x14ac:dyDescent="0.3"/>
    <row r="6679" customFormat="1" x14ac:dyDescent="0.3"/>
    <row r="6680" customFormat="1" x14ac:dyDescent="0.3"/>
    <row r="6681" customFormat="1" x14ac:dyDescent="0.3"/>
    <row r="6682" customFormat="1" x14ac:dyDescent="0.3"/>
    <row r="6683" customFormat="1" x14ac:dyDescent="0.3"/>
    <row r="6684" customFormat="1" x14ac:dyDescent="0.3"/>
    <row r="6685" customFormat="1" x14ac:dyDescent="0.3"/>
    <row r="6686" customFormat="1" x14ac:dyDescent="0.3"/>
    <row r="6687" customFormat="1" x14ac:dyDescent="0.3"/>
    <row r="6688" customFormat="1" x14ac:dyDescent="0.3"/>
    <row r="6689" customFormat="1" x14ac:dyDescent="0.3"/>
    <row r="6690" customFormat="1" x14ac:dyDescent="0.3"/>
    <row r="6691" customFormat="1" x14ac:dyDescent="0.3"/>
    <row r="6692" customFormat="1" x14ac:dyDescent="0.3"/>
    <row r="6693" customFormat="1" x14ac:dyDescent="0.3"/>
    <row r="6694" customFormat="1" x14ac:dyDescent="0.3"/>
    <row r="6695" customFormat="1" x14ac:dyDescent="0.3"/>
    <row r="6696" customFormat="1" x14ac:dyDescent="0.3"/>
    <row r="6697" customFormat="1" x14ac:dyDescent="0.3"/>
    <row r="6698" customFormat="1" x14ac:dyDescent="0.3"/>
    <row r="6699" customFormat="1" x14ac:dyDescent="0.3"/>
    <row r="6700" customFormat="1" x14ac:dyDescent="0.3"/>
    <row r="6701" customFormat="1" x14ac:dyDescent="0.3"/>
    <row r="6702" customFormat="1" x14ac:dyDescent="0.3"/>
    <row r="6703" customFormat="1" x14ac:dyDescent="0.3"/>
    <row r="6704" customFormat="1" x14ac:dyDescent="0.3"/>
    <row r="6705" customFormat="1" x14ac:dyDescent="0.3"/>
    <row r="6706" customFormat="1" x14ac:dyDescent="0.3"/>
    <row r="6707" customFormat="1" x14ac:dyDescent="0.3"/>
    <row r="6708" customFormat="1" x14ac:dyDescent="0.3"/>
    <row r="6709" customFormat="1" x14ac:dyDescent="0.3"/>
    <row r="6710" customFormat="1" x14ac:dyDescent="0.3"/>
    <row r="6711" customFormat="1" x14ac:dyDescent="0.3"/>
    <row r="6712" customFormat="1" x14ac:dyDescent="0.3"/>
    <row r="6713" customFormat="1" x14ac:dyDescent="0.3"/>
    <row r="6714" customFormat="1" x14ac:dyDescent="0.3"/>
    <row r="6715" customFormat="1" x14ac:dyDescent="0.3"/>
    <row r="6716" customFormat="1" x14ac:dyDescent="0.3"/>
    <row r="6717" customFormat="1" x14ac:dyDescent="0.3"/>
    <row r="6718" customFormat="1" x14ac:dyDescent="0.3"/>
    <row r="6719" customFormat="1" x14ac:dyDescent="0.3"/>
    <row r="6720" customFormat="1" x14ac:dyDescent="0.3"/>
    <row r="6721" customFormat="1" x14ac:dyDescent="0.3"/>
    <row r="6722" customFormat="1" x14ac:dyDescent="0.3"/>
    <row r="6723" customFormat="1" x14ac:dyDescent="0.3"/>
    <row r="6724" customFormat="1" x14ac:dyDescent="0.3"/>
    <row r="6725" customFormat="1" x14ac:dyDescent="0.3"/>
    <row r="6726" customFormat="1" x14ac:dyDescent="0.3"/>
    <row r="6727" customFormat="1" x14ac:dyDescent="0.3"/>
    <row r="6728" customFormat="1" x14ac:dyDescent="0.3"/>
    <row r="6729" customFormat="1" x14ac:dyDescent="0.3"/>
    <row r="6730" customFormat="1" x14ac:dyDescent="0.3"/>
    <row r="6731" customFormat="1" x14ac:dyDescent="0.3"/>
    <row r="6732" customFormat="1" x14ac:dyDescent="0.3"/>
    <row r="6733" customFormat="1" x14ac:dyDescent="0.3"/>
    <row r="6734" customFormat="1" x14ac:dyDescent="0.3"/>
    <row r="6735" customFormat="1" x14ac:dyDescent="0.3"/>
    <row r="6736" customFormat="1" x14ac:dyDescent="0.3"/>
    <row r="6737" customFormat="1" x14ac:dyDescent="0.3"/>
    <row r="6738" customFormat="1" x14ac:dyDescent="0.3"/>
    <row r="6739" customFormat="1" x14ac:dyDescent="0.3"/>
    <row r="6740" customFormat="1" x14ac:dyDescent="0.3"/>
    <row r="6741" customFormat="1" x14ac:dyDescent="0.3"/>
    <row r="6742" customFormat="1" x14ac:dyDescent="0.3"/>
    <row r="6743" customFormat="1" x14ac:dyDescent="0.3"/>
    <row r="6744" customFormat="1" x14ac:dyDescent="0.3"/>
    <row r="6745" customFormat="1" x14ac:dyDescent="0.3"/>
    <row r="6746" customFormat="1" x14ac:dyDescent="0.3"/>
    <row r="6747" customFormat="1" x14ac:dyDescent="0.3"/>
    <row r="6748" customFormat="1" x14ac:dyDescent="0.3"/>
    <row r="6749" customFormat="1" x14ac:dyDescent="0.3"/>
    <row r="6750" customFormat="1" x14ac:dyDescent="0.3"/>
    <row r="6751" customFormat="1" x14ac:dyDescent="0.3"/>
    <row r="6752" customFormat="1" x14ac:dyDescent="0.3"/>
    <row r="6753" customFormat="1" x14ac:dyDescent="0.3"/>
    <row r="6754" customFormat="1" x14ac:dyDescent="0.3"/>
    <row r="6755" customFormat="1" x14ac:dyDescent="0.3"/>
    <row r="6756" customFormat="1" x14ac:dyDescent="0.3"/>
    <row r="6757" customFormat="1" x14ac:dyDescent="0.3"/>
    <row r="6758" customFormat="1" x14ac:dyDescent="0.3"/>
    <row r="6759" customFormat="1" x14ac:dyDescent="0.3"/>
    <row r="6760" customFormat="1" x14ac:dyDescent="0.3"/>
    <row r="6761" customFormat="1" x14ac:dyDescent="0.3"/>
    <row r="6762" customFormat="1" x14ac:dyDescent="0.3"/>
    <row r="6763" customFormat="1" x14ac:dyDescent="0.3"/>
    <row r="6764" customFormat="1" x14ac:dyDescent="0.3"/>
    <row r="6765" customFormat="1" x14ac:dyDescent="0.3"/>
    <row r="6766" customFormat="1" x14ac:dyDescent="0.3"/>
    <row r="6767" customFormat="1" x14ac:dyDescent="0.3"/>
    <row r="6768" customFormat="1" x14ac:dyDescent="0.3"/>
    <row r="6769" customFormat="1" x14ac:dyDescent="0.3"/>
    <row r="6770" customFormat="1" x14ac:dyDescent="0.3"/>
    <row r="6771" customFormat="1" x14ac:dyDescent="0.3"/>
    <row r="6772" customFormat="1" x14ac:dyDescent="0.3"/>
    <row r="6773" customFormat="1" x14ac:dyDescent="0.3"/>
    <row r="6774" customFormat="1" x14ac:dyDescent="0.3"/>
    <row r="6775" customFormat="1" x14ac:dyDescent="0.3"/>
    <row r="6776" customFormat="1" x14ac:dyDescent="0.3"/>
    <row r="6777" customFormat="1" x14ac:dyDescent="0.3"/>
    <row r="6778" customFormat="1" x14ac:dyDescent="0.3"/>
    <row r="6779" customFormat="1" x14ac:dyDescent="0.3"/>
    <row r="6780" customFormat="1" x14ac:dyDescent="0.3"/>
    <row r="6781" customFormat="1" x14ac:dyDescent="0.3"/>
    <row r="6782" customFormat="1" x14ac:dyDescent="0.3"/>
    <row r="6783" customFormat="1" x14ac:dyDescent="0.3"/>
    <row r="6784" customFormat="1" x14ac:dyDescent="0.3"/>
    <row r="6785" customFormat="1" x14ac:dyDescent="0.3"/>
    <row r="6786" customFormat="1" x14ac:dyDescent="0.3"/>
    <row r="6787" customFormat="1" x14ac:dyDescent="0.3"/>
    <row r="6788" customFormat="1" x14ac:dyDescent="0.3"/>
    <row r="6789" customFormat="1" x14ac:dyDescent="0.3"/>
    <row r="6790" customFormat="1" x14ac:dyDescent="0.3"/>
    <row r="6791" customFormat="1" x14ac:dyDescent="0.3"/>
    <row r="6792" customFormat="1" x14ac:dyDescent="0.3"/>
    <row r="6793" customFormat="1" x14ac:dyDescent="0.3"/>
    <row r="6794" customFormat="1" x14ac:dyDescent="0.3"/>
    <row r="6795" customFormat="1" x14ac:dyDescent="0.3"/>
    <row r="6796" customFormat="1" x14ac:dyDescent="0.3"/>
    <row r="6797" customFormat="1" x14ac:dyDescent="0.3"/>
    <row r="6798" customFormat="1" x14ac:dyDescent="0.3"/>
    <row r="6799" customFormat="1" x14ac:dyDescent="0.3"/>
    <row r="6800" customFormat="1" x14ac:dyDescent="0.3"/>
    <row r="6801" customFormat="1" x14ac:dyDescent="0.3"/>
    <row r="6802" customFormat="1" x14ac:dyDescent="0.3"/>
    <row r="6803" customFormat="1" x14ac:dyDescent="0.3"/>
    <row r="6804" customFormat="1" x14ac:dyDescent="0.3"/>
    <row r="6805" customFormat="1" x14ac:dyDescent="0.3"/>
    <row r="6806" customFormat="1" x14ac:dyDescent="0.3"/>
    <row r="6807" customFormat="1" x14ac:dyDescent="0.3"/>
    <row r="6808" customFormat="1" x14ac:dyDescent="0.3"/>
    <row r="6809" customFormat="1" x14ac:dyDescent="0.3"/>
    <row r="6810" customFormat="1" x14ac:dyDescent="0.3"/>
    <row r="6811" customFormat="1" x14ac:dyDescent="0.3"/>
    <row r="6812" customFormat="1" x14ac:dyDescent="0.3"/>
    <row r="6813" customFormat="1" x14ac:dyDescent="0.3"/>
    <row r="6814" customFormat="1" x14ac:dyDescent="0.3"/>
    <row r="6815" customFormat="1" x14ac:dyDescent="0.3"/>
    <row r="6816" customFormat="1" x14ac:dyDescent="0.3"/>
    <row r="6817" customFormat="1" x14ac:dyDescent="0.3"/>
    <row r="6818" customFormat="1" x14ac:dyDescent="0.3"/>
    <row r="6819" customFormat="1" x14ac:dyDescent="0.3"/>
    <row r="6820" customFormat="1" x14ac:dyDescent="0.3"/>
    <row r="6821" customFormat="1" x14ac:dyDescent="0.3"/>
    <row r="6822" customFormat="1" x14ac:dyDescent="0.3"/>
    <row r="6823" customFormat="1" x14ac:dyDescent="0.3"/>
    <row r="6824" customFormat="1" x14ac:dyDescent="0.3"/>
    <row r="6825" customFormat="1" x14ac:dyDescent="0.3"/>
    <row r="6826" customFormat="1" x14ac:dyDescent="0.3"/>
    <row r="6827" customFormat="1" x14ac:dyDescent="0.3"/>
    <row r="6828" customFormat="1" x14ac:dyDescent="0.3"/>
    <row r="6829" customFormat="1" x14ac:dyDescent="0.3"/>
    <row r="6830" customFormat="1" x14ac:dyDescent="0.3"/>
    <row r="6831" customFormat="1" x14ac:dyDescent="0.3"/>
    <row r="6832" customFormat="1" x14ac:dyDescent="0.3"/>
    <row r="6833" customFormat="1" x14ac:dyDescent="0.3"/>
    <row r="6834" customFormat="1" x14ac:dyDescent="0.3"/>
    <row r="6835" customFormat="1" x14ac:dyDescent="0.3"/>
    <row r="6836" customFormat="1" x14ac:dyDescent="0.3"/>
    <row r="6837" customFormat="1" x14ac:dyDescent="0.3"/>
    <row r="6838" customFormat="1" x14ac:dyDescent="0.3"/>
    <row r="6839" customFormat="1" x14ac:dyDescent="0.3"/>
    <row r="6840" customFormat="1" x14ac:dyDescent="0.3"/>
    <row r="6841" customFormat="1" x14ac:dyDescent="0.3"/>
    <row r="6842" customFormat="1" x14ac:dyDescent="0.3"/>
    <row r="6843" customFormat="1" x14ac:dyDescent="0.3"/>
    <row r="6844" customFormat="1" x14ac:dyDescent="0.3"/>
    <row r="6845" customFormat="1" x14ac:dyDescent="0.3"/>
    <row r="6846" customFormat="1" x14ac:dyDescent="0.3"/>
    <row r="6847" customFormat="1" x14ac:dyDescent="0.3"/>
    <row r="6848" customFormat="1" x14ac:dyDescent="0.3"/>
    <row r="6849" customFormat="1" x14ac:dyDescent="0.3"/>
    <row r="6850" customFormat="1" x14ac:dyDescent="0.3"/>
    <row r="6851" customFormat="1" x14ac:dyDescent="0.3"/>
    <row r="6852" customFormat="1" x14ac:dyDescent="0.3"/>
    <row r="6853" customFormat="1" x14ac:dyDescent="0.3"/>
    <row r="6854" customFormat="1" x14ac:dyDescent="0.3"/>
    <row r="6855" customFormat="1" x14ac:dyDescent="0.3"/>
    <row r="6856" customFormat="1" x14ac:dyDescent="0.3"/>
    <row r="6857" customFormat="1" x14ac:dyDescent="0.3"/>
    <row r="6858" customFormat="1" x14ac:dyDescent="0.3"/>
    <row r="6859" customFormat="1" x14ac:dyDescent="0.3"/>
    <row r="6860" customFormat="1" x14ac:dyDescent="0.3"/>
    <row r="6861" customFormat="1" x14ac:dyDescent="0.3"/>
    <row r="6862" customFormat="1" x14ac:dyDescent="0.3"/>
    <row r="6863" customFormat="1" x14ac:dyDescent="0.3"/>
    <row r="6864" customFormat="1" x14ac:dyDescent="0.3"/>
    <row r="6865" customFormat="1" x14ac:dyDescent="0.3"/>
    <row r="6866" customFormat="1" x14ac:dyDescent="0.3"/>
    <row r="6867" customFormat="1" x14ac:dyDescent="0.3"/>
    <row r="6868" customFormat="1" x14ac:dyDescent="0.3"/>
    <row r="6869" customFormat="1" x14ac:dyDescent="0.3"/>
    <row r="6870" customFormat="1" x14ac:dyDescent="0.3"/>
    <row r="6871" customFormat="1" x14ac:dyDescent="0.3"/>
    <row r="6872" customFormat="1" x14ac:dyDescent="0.3"/>
    <row r="6873" customFormat="1" x14ac:dyDescent="0.3"/>
    <row r="6874" customFormat="1" x14ac:dyDescent="0.3"/>
    <row r="6875" customFormat="1" x14ac:dyDescent="0.3"/>
    <row r="6876" customFormat="1" x14ac:dyDescent="0.3"/>
    <row r="6877" customFormat="1" x14ac:dyDescent="0.3"/>
    <row r="6878" customFormat="1" x14ac:dyDescent="0.3"/>
    <row r="6879" customFormat="1" x14ac:dyDescent="0.3"/>
    <row r="6880" customFormat="1" x14ac:dyDescent="0.3"/>
    <row r="6881" customFormat="1" x14ac:dyDescent="0.3"/>
    <row r="6882" customFormat="1" x14ac:dyDescent="0.3"/>
    <row r="6883" customFormat="1" x14ac:dyDescent="0.3"/>
    <row r="6884" customFormat="1" x14ac:dyDescent="0.3"/>
    <row r="6885" customFormat="1" x14ac:dyDescent="0.3"/>
    <row r="6886" customFormat="1" x14ac:dyDescent="0.3"/>
    <row r="6887" customFormat="1" x14ac:dyDescent="0.3"/>
    <row r="6888" customFormat="1" x14ac:dyDescent="0.3"/>
    <row r="6889" customFormat="1" x14ac:dyDescent="0.3"/>
    <row r="6890" customFormat="1" x14ac:dyDescent="0.3"/>
    <row r="6891" customFormat="1" x14ac:dyDescent="0.3"/>
    <row r="6892" customFormat="1" x14ac:dyDescent="0.3"/>
    <row r="6893" customFormat="1" x14ac:dyDescent="0.3"/>
    <row r="6894" customFormat="1" x14ac:dyDescent="0.3"/>
    <row r="6895" customFormat="1" x14ac:dyDescent="0.3"/>
    <row r="6896" customFormat="1" x14ac:dyDescent="0.3"/>
    <row r="6897" customFormat="1" x14ac:dyDescent="0.3"/>
    <row r="6898" customFormat="1" x14ac:dyDescent="0.3"/>
    <row r="6899" customFormat="1" x14ac:dyDescent="0.3"/>
    <row r="6900" customFormat="1" x14ac:dyDescent="0.3"/>
    <row r="6901" customFormat="1" x14ac:dyDescent="0.3"/>
    <row r="6902" customFormat="1" x14ac:dyDescent="0.3"/>
    <row r="6903" customFormat="1" x14ac:dyDescent="0.3"/>
    <row r="6904" customFormat="1" x14ac:dyDescent="0.3"/>
    <row r="6905" customFormat="1" x14ac:dyDescent="0.3"/>
    <row r="6906" customFormat="1" x14ac:dyDescent="0.3"/>
    <row r="6907" customFormat="1" x14ac:dyDescent="0.3"/>
    <row r="6908" customFormat="1" x14ac:dyDescent="0.3"/>
    <row r="6909" customFormat="1" x14ac:dyDescent="0.3"/>
    <row r="6910" customFormat="1" x14ac:dyDescent="0.3"/>
    <row r="6911" customFormat="1" x14ac:dyDescent="0.3"/>
    <row r="6912" customFormat="1" x14ac:dyDescent="0.3"/>
    <row r="6913" customFormat="1" x14ac:dyDescent="0.3"/>
    <row r="6914" customFormat="1" x14ac:dyDescent="0.3"/>
    <row r="6915" customFormat="1" x14ac:dyDescent="0.3"/>
    <row r="6916" customFormat="1" x14ac:dyDescent="0.3"/>
    <row r="6917" customFormat="1" x14ac:dyDescent="0.3"/>
    <row r="6918" customFormat="1" x14ac:dyDescent="0.3"/>
    <row r="6919" customFormat="1" x14ac:dyDescent="0.3"/>
    <row r="6920" customFormat="1" x14ac:dyDescent="0.3"/>
    <row r="6921" customFormat="1" x14ac:dyDescent="0.3"/>
    <row r="6922" customFormat="1" x14ac:dyDescent="0.3"/>
    <row r="6923" customFormat="1" x14ac:dyDescent="0.3"/>
    <row r="6924" customFormat="1" x14ac:dyDescent="0.3"/>
    <row r="6925" customFormat="1" x14ac:dyDescent="0.3"/>
    <row r="6926" customFormat="1" x14ac:dyDescent="0.3"/>
    <row r="6927" customFormat="1" x14ac:dyDescent="0.3"/>
    <row r="6928" customFormat="1" x14ac:dyDescent="0.3"/>
    <row r="6929" customFormat="1" x14ac:dyDescent="0.3"/>
    <row r="6930" customFormat="1" x14ac:dyDescent="0.3"/>
    <row r="6931" customFormat="1" x14ac:dyDescent="0.3"/>
    <row r="6932" customFormat="1" x14ac:dyDescent="0.3"/>
    <row r="6933" customFormat="1" x14ac:dyDescent="0.3"/>
    <row r="6934" customFormat="1" x14ac:dyDescent="0.3"/>
    <row r="6935" customFormat="1" x14ac:dyDescent="0.3"/>
    <row r="6936" customFormat="1" x14ac:dyDescent="0.3"/>
    <row r="6937" customFormat="1" x14ac:dyDescent="0.3"/>
    <row r="6938" customFormat="1" x14ac:dyDescent="0.3"/>
    <row r="6939" customFormat="1" x14ac:dyDescent="0.3"/>
    <row r="6940" customFormat="1" x14ac:dyDescent="0.3"/>
    <row r="6941" customFormat="1" x14ac:dyDescent="0.3"/>
    <row r="6942" customFormat="1" x14ac:dyDescent="0.3"/>
    <row r="6943" customFormat="1" x14ac:dyDescent="0.3"/>
    <row r="6944" customFormat="1" x14ac:dyDescent="0.3"/>
    <row r="6945" customFormat="1" x14ac:dyDescent="0.3"/>
    <row r="6946" customFormat="1" x14ac:dyDescent="0.3"/>
    <row r="6947" customFormat="1" x14ac:dyDescent="0.3"/>
    <row r="6948" customFormat="1" x14ac:dyDescent="0.3"/>
    <row r="6949" customFormat="1" x14ac:dyDescent="0.3"/>
    <row r="6950" customFormat="1" x14ac:dyDescent="0.3"/>
    <row r="6951" customFormat="1" x14ac:dyDescent="0.3"/>
    <row r="6952" customFormat="1" x14ac:dyDescent="0.3"/>
    <row r="6953" customFormat="1" x14ac:dyDescent="0.3"/>
    <row r="6954" customFormat="1" x14ac:dyDescent="0.3"/>
    <row r="6955" customFormat="1" x14ac:dyDescent="0.3"/>
    <row r="6956" customFormat="1" x14ac:dyDescent="0.3"/>
    <row r="6957" customFormat="1" x14ac:dyDescent="0.3"/>
    <row r="6958" customFormat="1" x14ac:dyDescent="0.3"/>
    <row r="6959" customFormat="1" x14ac:dyDescent="0.3"/>
    <row r="6960" customFormat="1" x14ac:dyDescent="0.3"/>
    <row r="6961" customFormat="1" x14ac:dyDescent="0.3"/>
    <row r="6962" customFormat="1" x14ac:dyDescent="0.3"/>
    <row r="6963" customFormat="1" x14ac:dyDescent="0.3"/>
    <row r="6964" customFormat="1" x14ac:dyDescent="0.3"/>
    <row r="6965" customFormat="1" x14ac:dyDescent="0.3"/>
    <row r="6966" customFormat="1" x14ac:dyDescent="0.3"/>
    <row r="6967" customFormat="1" x14ac:dyDescent="0.3"/>
    <row r="6968" customFormat="1" x14ac:dyDescent="0.3"/>
    <row r="6969" customFormat="1" x14ac:dyDescent="0.3"/>
    <row r="6970" customFormat="1" x14ac:dyDescent="0.3"/>
    <row r="6971" customFormat="1" x14ac:dyDescent="0.3"/>
    <row r="6972" customFormat="1" x14ac:dyDescent="0.3"/>
    <row r="6973" customFormat="1" x14ac:dyDescent="0.3"/>
    <row r="6974" customFormat="1" x14ac:dyDescent="0.3"/>
    <row r="6975" customFormat="1" x14ac:dyDescent="0.3"/>
    <row r="6976" customFormat="1" x14ac:dyDescent="0.3"/>
    <row r="6977" customFormat="1" x14ac:dyDescent="0.3"/>
    <row r="6978" customFormat="1" x14ac:dyDescent="0.3"/>
    <row r="6979" customFormat="1" x14ac:dyDescent="0.3"/>
    <row r="6980" customFormat="1" x14ac:dyDescent="0.3"/>
    <row r="6981" customFormat="1" x14ac:dyDescent="0.3"/>
    <row r="6982" customFormat="1" x14ac:dyDescent="0.3"/>
    <row r="6983" customFormat="1" x14ac:dyDescent="0.3"/>
    <row r="6984" customFormat="1" x14ac:dyDescent="0.3"/>
    <row r="6985" customFormat="1" x14ac:dyDescent="0.3"/>
    <row r="6986" customFormat="1" x14ac:dyDescent="0.3"/>
    <row r="6987" customFormat="1" x14ac:dyDescent="0.3"/>
    <row r="6988" customFormat="1" x14ac:dyDescent="0.3"/>
    <row r="6989" customFormat="1" x14ac:dyDescent="0.3"/>
    <row r="6990" customFormat="1" x14ac:dyDescent="0.3"/>
    <row r="6991" customFormat="1" x14ac:dyDescent="0.3"/>
    <row r="6992" customFormat="1" x14ac:dyDescent="0.3"/>
    <row r="6993" customFormat="1" x14ac:dyDescent="0.3"/>
    <row r="6994" customFormat="1" x14ac:dyDescent="0.3"/>
    <row r="6995" customFormat="1" x14ac:dyDescent="0.3"/>
    <row r="6996" customFormat="1" x14ac:dyDescent="0.3"/>
    <row r="6997" customFormat="1" x14ac:dyDescent="0.3"/>
    <row r="6998" customFormat="1" x14ac:dyDescent="0.3"/>
    <row r="6999" customFormat="1" x14ac:dyDescent="0.3"/>
    <row r="7000" customFormat="1" x14ac:dyDescent="0.3"/>
    <row r="7001" customFormat="1" x14ac:dyDescent="0.3"/>
    <row r="7002" customFormat="1" x14ac:dyDescent="0.3"/>
    <row r="7003" customFormat="1" x14ac:dyDescent="0.3"/>
    <row r="7004" customFormat="1" x14ac:dyDescent="0.3"/>
    <row r="7005" customFormat="1" x14ac:dyDescent="0.3"/>
    <row r="7006" customFormat="1" x14ac:dyDescent="0.3"/>
    <row r="7007" customFormat="1" x14ac:dyDescent="0.3"/>
    <row r="7008" customFormat="1" x14ac:dyDescent="0.3"/>
    <row r="7009" customFormat="1" x14ac:dyDescent="0.3"/>
    <row r="7010" customFormat="1" x14ac:dyDescent="0.3"/>
    <row r="7011" customFormat="1" x14ac:dyDescent="0.3"/>
    <row r="7012" customFormat="1" x14ac:dyDescent="0.3"/>
    <row r="7013" customFormat="1" x14ac:dyDescent="0.3"/>
    <row r="7014" customFormat="1" x14ac:dyDescent="0.3"/>
    <row r="7015" customFormat="1" x14ac:dyDescent="0.3"/>
    <row r="7016" customFormat="1" x14ac:dyDescent="0.3"/>
    <row r="7017" customFormat="1" x14ac:dyDescent="0.3"/>
    <row r="7018" customFormat="1" x14ac:dyDescent="0.3"/>
    <row r="7019" customFormat="1" x14ac:dyDescent="0.3"/>
    <row r="7020" customFormat="1" x14ac:dyDescent="0.3"/>
    <row r="7021" customFormat="1" x14ac:dyDescent="0.3"/>
    <row r="7022" customFormat="1" x14ac:dyDescent="0.3"/>
    <row r="7023" customFormat="1" x14ac:dyDescent="0.3"/>
    <row r="7024" customFormat="1" x14ac:dyDescent="0.3"/>
    <row r="7025" customFormat="1" x14ac:dyDescent="0.3"/>
    <row r="7026" customFormat="1" x14ac:dyDescent="0.3"/>
    <row r="7027" customFormat="1" x14ac:dyDescent="0.3"/>
    <row r="7028" customFormat="1" x14ac:dyDescent="0.3"/>
    <row r="7029" customFormat="1" x14ac:dyDescent="0.3"/>
    <row r="7030" customFormat="1" x14ac:dyDescent="0.3"/>
    <row r="7031" customFormat="1" x14ac:dyDescent="0.3"/>
    <row r="7032" customFormat="1" x14ac:dyDescent="0.3"/>
    <row r="7033" customFormat="1" x14ac:dyDescent="0.3"/>
    <row r="7034" customFormat="1" x14ac:dyDescent="0.3"/>
    <row r="7035" customFormat="1" x14ac:dyDescent="0.3"/>
    <row r="7036" customFormat="1" x14ac:dyDescent="0.3"/>
    <row r="7037" customFormat="1" x14ac:dyDescent="0.3"/>
    <row r="7038" customFormat="1" x14ac:dyDescent="0.3"/>
    <row r="7039" customFormat="1" x14ac:dyDescent="0.3"/>
    <row r="7040" customFormat="1" x14ac:dyDescent="0.3"/>
    <row r="7041" customFormat="1" x14ac:dyDescent="0.3"/>
    <row r="7042" customFormat="1" x14ac:dyDescent="0.3"/>
    <row r="7043" customFormat="1" x14ac:dyDescent="0.3"/>
    <row r="7044" customFormat="1" x14ac:dyDescent="0.3"/>
    <row r="7045" customFormat="1" x14ac:dyDescent="0.3"/>
    <row r="7046" customFormat="1" x14ac:dyDescent="0.3"/>
    <row r="7047" customFormat="1" x14ac:dyDescent="0.3"/>
    <row r="7048" customFormat="1" x14ac:dyDescent="0.3"/>
    <row r="7049" customFormat="1" x14ac:dyDescent="0.3"/>
    <row r="7050" customFormat="1" x14ac:dyDescent="0.3"/>
    <row r="7051" customFormat="1" x14ac:dyDescent="0.3"/>
    <row r="7052" customFormat="1" x14ac:dyDescent="0.3"/>
    <row r="7053" customFormat="1" x14ac:dyDescent="0.3"/>
    <row r="7054" customFormat="1" x14ac:dyDescent="0.3"/>
    <row r="7055" customFormat="1" x14ac:dyDescent="0.3"/>
    <row r="7056" customFormat="1" x14ac:dyDescent="0.3"/>
    <row r="7057" customFormat="1" x14ac:dyDescent="0.3"/>
    <row r="7058" customFormat="1" x14ac:dyDescent="0.3"/>
    <row r="7059" customFormat="1" x14ac:dyDescent="0.3"/>
    <row r="7060" customFormat="1" x14ac:dyDescent="0.3"/>
    <row r="7061" customFormat="1" x14ac:dyDescent="0.3"/>
    <row r="7062" customFormat="1" x14ac:dyDescent="0.3"/>
    <row r="7063" customFormat="1" x14ac:dyDescent="0.3"/>
    <row r="7064" customFormat="1" x14ac:dyDescent="0.3"/>
    <row r="7065" customFormat="1" x14ac:dyDescent="0.3"/>
    <row r="7066" customFormat="1" x14ac:dyDescent="0.3"/>
    <row r="7067" customFormat="1" x14ac:dyDescent="0.3"/>
    <row r="7068" customFormat="1" x14ac:dyDescent="0.3"/>
    <row r="7069" customFormat="1" x14ac:dyDescent="0.3"/>
    <row r="7070" customFormat="1" x14ac:dyDescent="0.3"/>
    <row r="7071" customFormat="1" x14ac:dyDescent="0.3"/>
    <row r="7072" customFormat="1" x14ac:dyDescent="0.3"/>
    <row r="7073" customFormat="1" x14ac:dyDescent="0.3"/>
    <row r="7074" customFormat="1" x14ac:dyDescent="0.3"/>
    <row r="7075" customFormat="1" x14ac:dyDescent="0.3"/>
    <row r="7076" customFormat="1" x14ac:dyDescent="0.3"/>
    <row r="7077" customFormat="1" x14ac:dyDescent="0.3"/>
    <row r="7078" customFormat="1" x14ac:dyDescent="0.3"/>
    <row r="7079" customFormat="1" x14ac:dyDescent="0.3"/>
    <row r="7080" customFormat="1" x14ac:dyDescent="0.3"/>
    <row r="7081" customFormat="1" x14ac:dyDescent="0.3"/>
    <row r="7082" customFormat="1" x14ac:dyDescent="0.3"/>
    <row r="7083" customFormat="1" x14ac:dyDescent="0.3"/>
    <row r="7084" customFormat="1" x14ac:dyDescent="0.3"/>
    <row r="7085" customFormat="1" x14ac:dyDescent="0.3"/>
    <row r="7086" customFormat="1" x14ac:dyDescent="0.3"/>
    <row r="7087" customFormat="1" x14ac:dyDescent="0.3"/>
    <row r="7088" customFormat="1" x14ac:dyDescent="0.3"/>
    <row r="7089" customFormat="1" x14ac:dyDescent="0.3"/>
    <row r="7090" customFormat="1" x14ac:dyDescent="0.3"/>
    <row r="7091" customFormat="1" x14ac:dyDescent="0.3"/>
    <row r="7092" customFormat="1" x14ac:dyDescent="0.3"/>
    <row r="7093" customFormat="1" x14ac:dyDescent="0.3"/>
    <row r="7094" customFormat="1" x14ac:dyDescent="0.3"/>
    <row r="7095" customFormat="1" x14ac:dyDescent="0.3"/>
    <row r="7096" customFormat="1" x14ac:dyDescent="0.3"/>
    <row r="7097" customFormat="1" x14ac:dyDescent="0.3"/>
    <row r="7098" customFormat="1" x14ac:dyDescent="0.3"/>
    <row r="7099" customFormat="1" x14ac:dyDescent="0.3"/>
    <row r="7100" customFormat="1" x14ac:dyDescent="0.3"/>
    <row r="7101" customFormat="1" x14ac:dyDescent="0.3"/>
    <row r="7102" customFormat="1" x14ac:dyDescent="0.3"/>
    <row r="7103" customFormat="1" x14ac:dyDescent="0.3"/>
    <row r="7104" customFormat="1" x14ac:dyDescent="0.3"/>
    <row r="7105" customFormat="1" x14ac:dyDescent="0.3"/>
    <row r="7106" customFormat="1" x14ac:dyDescent="0.3"/>
    <row r="7107" customFormat="1" x14ac:dyDescent="0.3"/>
    <row r="7108" customFormat="1" x14ac:dyDescent="0.3"/>
    <row r="7109" customFormat="1" x14ac:dyDescent="0.3"/>
    <row r="7110" customFormat="1" x14ac:dyDescent="0.3"/>
    <row r="7111" customFormat="1" x14ac:dyDescent="0.3"/>
    <row r="7112" customFormat="1" x14ac:dyDescent="0.3"/>
    <row r="7113" customFormat="1" x14ac:dyDescent="0.3"/>
    <row r="7114" customFormat="1" x14ac:dyDescent="0.3"/>
    <row r="7115" customFormat="1" x14ac:dyDescent="0.3"/>
    <row r="7116" customFormat="1" x14ac:dyDescent="0.3"/>
    <row r="7117" customFormat="1" x14ac:dyDescent="0.3"/>
    <row r="7118" customFormat="1" x14ac:dyDescent="0.3"/>
    <row r="7119" customFormat="1" x14ac:dyDescent="0.3"/>
    <row r="7120" customFormat="1" x14ac:dyDescent="0.3"/>
    <row r="7121" customFormat="1" x14ac:dyDescent="0.3"/>
    <row r="7122" customFormat="1" x14ac:dyDescent="0.3"/>
    <row r="7123" customFormat="1" x14ac:dyDescent="0.3"/>
    <row r="7124" customFormat="1" x14ac:dyDescent="0.3"/>
    <row r="7125" customFormat="1" x14ac:dyDescent="0.3"/>
    <row r="7126" customFormat="1" x14ac:dyDescent="0.3"/>
    <row r="7127" customFormat="1" x14ac:dyDescent="0.3"/>
    <row r="7128" customFormat="1" x14ac:dyDescent="0.3"/>
    <row r="7129" customFormat="1" x14ac:dyDescent="0.3"/>
    <row r="7130" customFormat="1" x14ac:dyDescent="0.3"/>
    <row r="7131" customFormat="1" x14ac:dyDescent="0.3"/>
    <row r="7132" customFormat="1" x14ac:dyDescent="0.3"/>
    <row r="7133" customFormat="1" x14ac:dyDescent="0.3"/>
    <row r="7134" customFormat="1" x14ac:dyDescent="0.3"/>
    <row r="7135" customFormat="1" x14ac:dyDescent="0.3"/>
    <row r="7136" customFormat="1" x14ac:dyDescent="0.3"/>
    <row r="7137" customFormat="1" x14ac:dyDescent="0.3"/>
    <row r="7138" customFormat="1" x14ac:dyDescent="0.3"/>
    <row r="7139" customFormat="1" x14ac:dyDescent="0.3"/>
    <row r="7140" customFormat="1" x14ac:dyDescent="0.3"/>
    <row r="7141" customFormat="1" x14ac:dyDescent="0.3"/>
    <row r="7142" customFormat="1" x14ac:dyDescent="0.3"/>
    <row r="7143" customFormat="1" x14ac:dyDescent="0.3"/>
    <row r="7144" customFormat="1" x14ac:dyDescent="0.3"/>
    <row r="7145" customFormat="1" x14ac:dyDescent="0.3"/>
    <row r="7146" customFormat="1" x14ac:dyDescent="0.3"/>
    <row r="7147" customFormat="1" x14ac:dyDescent="0.3"/>
    <row r="7148" customFormat="1" x14ac:dyDescent="0.3"/>
    <row r="7149" customFormat="1" x14ac:dyDescent="0.3"/>
    <row r="7150" customFormat="1" x14ac:dyDescent="0.3"/>
    <row r="7151" customFormat="1" x14ac:dyDescent="0.3"/>
    <row r="7152" customFormat="1" x14ac:dyDescent="0.3"/>
    <row r="7153" customFormat="1" x14ac:dyDescent="0.3"/>
    <row r="7154" customFormat="1" x14ac:dyDescent="0.3"/>
    <row r="7155" customFormat="1" x14ac:dyDescent="0.3"/>
    <row r="7156" customFormat="1" x14ac:dyDescent="0.3"/>
    <row r="7157" customFormat="1" x14ac:dyDescent="0.3"/>
    <row r="7158" customFormat="1" x14ac:dyDescent="0.3"/>
    <row r="7159" customFormat="1" x14ac:dyDescent="0.3"/>
    <row r="7160" customFormat="1" x14ac:dyDescent="0.3"/>
    <row r="7161" customFormat="1" x14ac:dyDescent="0.3"/>
    <row r="7162" customFormat="1" x14ac:dyDescent="0.3"/>
    <row r="7163" customFormat="1" x14ac:dyDescent="0.3"/>
    <row r="7164" customFormat="1" x14ac:dyDescent="0.3"/>
    <row r="7165" customFormat="1" x14ac:dyDescent="0.3"/>
    <row r="7166" customFormat="1" x14ac:dyDescent="0.3"/>
    <row r="7167" customFormat="1" x14ac:dyDescent="0.3"/>
    <row r="7168" customFormat="1" x14ac:dyDescent="0.3"/>
    <row r="7169" customFormat="1" x14ac:dyDescent="0.3"/>
    <row r="7170" customFormat="1" x14ac:dyDescent="0.3"/>
    <row r="7171" customFormat="1" x14ac:dyDescent="0.3"/>
    <row r="7172" customFormat="1" x14ac:dyDescent="0.3"/>
    <row r="7173" customFormat="1" x14ac:dyDescent="0.3"/>
    <row r="7174" customFormat="1" x14ac:dyDescent="0.3"/>
    <row r="7175" customFormat="1" x14ac:dyDescent="0.3"/>
    <row r="7176" customFormat="1" x14ac:dyDescent="0.3"/>
    <row r="7177" customFormat="1" x14ac:dyDescent="0.3"/>
    <row r="7178" customFormat="1" x14ac:dyDescent="0.3"/>
    <row r="7179" customFormat="1" x14ac:dyDescent="0.3"/>
    <row r="7180" customFormat="1" x14ac:dyDescent="0.3"/>
    <row r="7181" customFormat="1" x14ac:dyDescent="0.3"/>
    <row r="7182" customFormat="1" x14ac:dyDescent="0.3"/>
    <row r="7183" customFormat="1" x14ac:dyDescent="0.3"/>
    <row r="7184" customFormat="1" x14ac:dyDescent="0.3"/>
    <row r="7185" customFormat="1" x14ac:dyDescent="0.3"/>
    <row r="7186" customFormat="1" x14ac:dyDescent="0.3"/>
    <row r="7187" customFormat="1" x14ac:dyDescent="0.3"/>
    <row r="7188" customFormat="1" x14ac:dyDescent="0.3"/>
    <row r="7189" customFormat="1" x14ac:dyDescent="0.3"/>
    <row r="7190" customFormat="1" x14ac:dyDescent="0.3"/>
    <row r="7191" customFormat="1" x14ac:dyDescent="0.3"/>
    <row r="7192" customFormat="1" x14ac:dyDescent="0.3"/>
    <row r="7193" customFormat="1" x14ac:dyDescent="0.3"/>
    <row r="7194" customFormat="1" x14ac:dyDescent="0.3"/>
    <row r="7195" customFormat="1" x14ac:dyDescent="0.3"/>
    <row r="7196" customFormat="1" x14ac:dyDescent="0.3"/>
    <row r="7197" customFormat="1" x14ac:dyDescent="0.3"/>
    <row r="7198" customFormat="1" x14ac:dyDescent="0.3"/>
    <row r="7199" customFormat="1" x14ac:dyDescent="0.3"/>
    <row r="7200" customFormat="1" x14ac:dyDescent="0.3"/>
    <row r="7201" customFormat="1" x14ac:dyDescent="0.3"/>
    <row r="7202" customFormat="1" x14ac:dyDescent="0.3"/>
    <row r="7203" customFormat="1" x14ac:dyDescent="0.3"/>
    <row r="7204" customFormat="1" x14ac:dyDescent="0.3"/>
    <row r="7205" customFormat="1" x14ac:dyDescent="0.3"/>
    <row r="7206" customFormat="1" x14ac:dyDescent="0.3"/>
    <row r="7207" customFormat="1" x14ac:dyDescent="0.3"/>
    <row r="7208" customFormat="1" x14ac:dyDescent="0.3"/>
  </sheetData>
  <conditionalFormatting pivot="1" sqref="G5:G39">
    <cfRule type="cellIs" dxfId="45" priority="17" operator="lessThan">
      <formula>0.45</formula>
    </cfRule>
  </conditionalFormatting>
  <conditionalFormatting pivot="1" sqref="G5:G39">
    <cfRule type="cellIs" dxfId="44" priority="16" operator="greaterThan">
      <formula>0.45</formula>
    </cfRule>
  </conditionalFormatting>
  <conditionalFormatting pivot="1" sqref="N5:N39">
    <cfRule type="cellIs" dxfId="43" priority="15" operator="between">
      <formula>-1000%</formula>
      <formula>0.1</formula>
    </cfRule>
  </conditionalFormatting>
  <conditionalFormatting pivot="1" sqref="N5:N39">
    <cfRule type="cellIs" dxfId="42" priority="13" operator="between">
      <formula>0.1001</formula>
      <formula>0.2</formula>
    </cfRule>
  </conditionalFormatting>
  <conditionalFormatting pivot="1" sqref="N5:N39">
    <cfRule type="cellIs" dxfId="41" priority="12" operator="between">
      <formula>0.2001</formula>
      <formula>100</formula>
    </cfRule>
  </conditionalFormatting>
  <conditionalFormatting sqref="Q1:Q3 Q7209:Q65536 R2">
    <cfRule type="cellIs" dxfId="40" priority="11" operator="lessThan">
      <formula>0</formula>
    </cfRule>
  </conditionalFormatting>
  <conditionalFormatting sqref="M1 M627:M65536 M3:M4">
    <cfRule type="cellIs" dxfId="39" priority="10" stopIfTrue="1" operator="between">
      <formula>0.4</formula>
      <formula>0.4499</formula>
    </cfRule>
  </conditionalFormatting>
  <conditionalFormatting sqref="H627:H65536">
    <cfRule type="cellIs" dxfId="38" priority="4" stopIfTrue="1" operator="lessThan">
      <formula>0.179</formula>
    </cfRule>
    <cfRule type="cellIs" dxfId="37" priority="5" stopIfTrue="1" operator="between">
      <formula>0.18</formula>
      <formula>0.199</formula>
    </cfRule>
    <cfRule type="cellIs" dxfId="36" priority="6" operator="greaterThan">
      <formula>0.2</formula>
    </cfRule>
  </conditionalFormatting>
  <conditionalFormatting sqref="K627:K65536">
    <cfRule type="cellIs" dxfId="35" priority="1" stopIfTrue="1" operator="lessThan">
      <formula>0.179</formula>
    </cfRule>
    <cfRule type="cellIs" dxfId="34" priority="2" stopIfTrue="1" operator="between">
      <formula>0.18</formula>
      <formula>0.199</formula>
    </cfRule>
    <cfRule type="cellIs" dxfId="33" priority="3" stopIfTrue="1" operator="greaterThan">
      <formula>0.2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529610-F1EB-4DDE-9224-96BD883CE85E}">
  <dimension ref="A1:D7208"/>
  <sheetViews>
    <sheetView showGridLines="0" zoomScale="95" zoomScaleNormal="100" workbookViewId="0">
      <pane xSplit="3" ySplit="4" topLeftCell="D5" activePane="bottomRight" state="frozen"/>
      <selection pane="topRight" activeCell="D1" sqref="D1"/>
      <selection pane="bottomLeft" activeCell="A5" sqref="A5"/>
      <selection pane="bottomRight" activeCell="C20" sqref="C20"/>
    </sheetView>
  </sheetViews>
  <sheetFormatPr defaultRowHeight="14.4" x14ac:dyDescent="0.3"/>
  <cols>
    <col min="1" max="1" width="16.44140625" bestFit="1" customWidth="1"/>
    <col min="2" max="2" width="13.109375" bestFit="1" customWidth="1"/>
    <col min="3" max="3" width="14.77734375" style="5" bestFit="1" customWidth="1"/>
    <col min="4" max="5" width="15.33203125" bestFit="1" customWidth="1"/>
    <col min="6" max="6" width="17.109375" bestFit="1" customWidth="1"/>
  </cols>
  <sheetData>
    <row r="1" spans="1:4" x14ac:dyDescent="0.3">
      <c r="A1" s="8" t="s">
        <v>9</v>
      </c>
      <c r="B1" t="s">
        <v>167</v>
      </c>
    </row>
    <row r="2" spans="1:4" x14ac:dyDescent="0.3">
      <c r="B2" s="37">
        <f>SUM(B6:B5000)</f>
        <v>1942.25</v>
      </c>
      <c r="C2" s="37">
        <f>SUM(C6:C5000)</f>
        <v>737.94</v>
      </c>
      <c r="D2" s="38"/>
    </row>
    <row r="3" spans="1:4" x14ac:dyDescent="0.3">
      <c r="B3" s="8" t="s">
        <v>74</v>
      </c>
      <c r="C3"/>
    </row>
    <row r="4" spans="1:4" x14ac:dyDescent="0.3">
      <c r="A4" s="8" t="s">
        <v>75</v>
      </c>
      <c r="B4" s="9" t="s">
        <v>89</v>
      </c>
      <c r="C4" s="9" t="s">
        <v>86</v>
      </c>
    </row>
    <row r="5" spans="1:4" x14ac:dyDescent="0.3">
      <c r="A5" s="89" t="s">
        <v>391</v>
      </c>
      <c r="B5" s="13">
        <v>11648.45</v>
      </c>
      <c r="C5" s="13">
        <v>4191.7200000000012</v>
      </c>
    </row>
    <row r="6" spans="1:4" x14ac:dyDescent="0.3">
      <c r="A6" s="90" t="s">
        <v>396</v>
      </c>
      <c r="B6" s="141">
        <v>512.91</v>
      </c>
      <c r="C6" s="141">
        <v>244.50999999999996</v>
      </c>
    </row>
    <row r="7" spans="1:4" s="39" customFormat="1" x14ac:dyDescent="0.3">
      <c r="A7" s="12" t="s">
        <v>615</v>
      </c>
      <c r="B7" s="141">
        <v>1429.3400000000001</v>
      </c>
      <c r="C7" s="141">
        <v>493.43000000000006</v>
      </c>
    </row>
    <row r="8" spans="1:4" s="39" customFormat="1" x14ac:dyDescent="0.3">
      <c r="A8" s="12" t="s">
        <v>88</v>
      </c>
      <c r="B8" s="16"/>
      <c r="C8" s="16">
        <v>0</v>
      </c>
    </row>
    <row r="9" spans="1:4" s="39" customFormat="1" x14ac:dyDescent="0.3">
      <c r="A9"/>
      <c r="B9"/>
      <c r="C9"/>
    </row>
    <row r="10" spans="1:4" s="39" customFormat="1" x14ac:dyDescent="0.3">
      <c r="A10"/>
      <c r="B10"/>
      <c r="C10"/>
    </row>
    <row r="11" spans="1:4" s="39" customFormat="1" x14ac:dyDescent="0.3">
      <c r="A11"/>
      <c r="B11"/>
      <c r="C11"/>
    </row>
    <row r="12" spans="1:4" s="39" customFormat="1" x14ac:dyDescent="0.3">
      <c r="A12"/>
      <c r="B12"/>
      <c r="C12"/>
    </row>
    <row r="13" spans="1:4" s="39" customFormat="1" x14ac:dyDescent="0.3">
      <c r="A13"/>
      <c r="B13"/>
      <c r="C13"/>
    </row>
    <row r="14" spans="1:4" s="39" customFormat="1" x14ac:dyDescent="0.3">
      <c r="A14"/>
      <c r="B14"/>
      <c r="C14"/>
    </row>
    <row r="15" spans="1:4" s="39" customFormat="1" x14ac:dyDescent="0.3">
      <c r="A15"/>
      <c r="B15"/>
      <c r="C15"/>
    </row>
    <row r="16" spans="1:4" s="39" customFormat="1" x14ac:dyDescent="0.3">
      <c r="A16"/>
      <c r="B16"/>
      <c r="C16"/>
    </row>
    <row r="17" spans="1:3" s="39" customFormat="1" x14ac:dyDescent="0.3">
      <c r="A17"/>
      <c r="B17"/>
      <c r="C17"/>
    </row>
    <row r="18" spans="1:3" s="39" customFormat="1" x14ac:dyDescent="0.3">
      <c r="A18"/>
      <c r="B18"/>
      <c r="C18"/>
    </row>
    <row r="19" spans="1:3" s="39" customFormat="1" x14ac:dyDescent="0.3">
      <c r="A19"/>
      <c r="B19"/>
      <c r="C19"/>
    </row>
    <row r="20" spans="1:3" s="39" customFormat="1" x14ac:dyDescent="0.3">
      <c r="A20"/>
      <c r="B20"/>
      <c r="C20"/>
    </row>
    <row r="21" spans="1:3" s="39" customFormat="1" x14ac:dyDescent="0.3">
      <c r="A21"/>
      <c r="B21"/>
      <c r="C21"/>
    </row>
    <row r="22" spans="1:3" s="39" customFormat="1" x14ac:dyDescent="0.3">
      <c r="A22"/>
      <c r="B22"/>
      <c r="C22"/>
    </row>
    <row r="23" spans="1:3" s="39" customFormat="1" x14ac:dyDescent="0.3">
      <c r="A23"/>
      <c r="B23"/>
      <c r="C23"/>
    </row>
    <row r="24" spans="1:3" s="39" customFormat="1" x14ac:dyDescent="0.3">
      <c r="A24"/>
      <c r="B24"/>
      <c r="C24"/>
    </row>
    <row r="25" spans="1:3" s="39" customFormat="1" x14ac:dyDescent="0.3">
      <c r="A25"/>
      <c r="B25"/>
      <c r="C25"/>
    </row>
    <row r="26" spans="1:3" s="39" customFormat="1" x14ac:dyDescent="0.3">
      <c r="A26"/>
      <c r="B26"/>
      <c r="C26"/>
    </row>
    <row r="27" spans="1:3" s="39" customFormat="1" x14ac:dyDescent="0.3">
      <c r="A27"/>
      <c r="B27"/>
      <c r="C27"/>
    </row>
    <row r="28" spans="1:3" s="39" customFormat="1" x14ac:dyDescent="0.3">
      <c r="A28"/>
      <c r="B28"/>
      <c r="C28"/>
    </row>
    <row r="29" spans="1:3" s="39" customFormat="1" x14ac:dyDescent="0.3">
      <c r="A29"/>
      <c r="B29"/>
      <c r="C29"/>
    </row>
    <row r="30" spans="1:3" s="39" customFormat="1" x14ac:dyDescent="0.3">
      <c r="A30"/>
      <c r="B30"/>
      <c r="C30"/>
    </row>
    <row r="31" spans="1:3" s="39" customFormat="1" x14ac:dyDescent="0.3">
      <c r="A31"/>
      <c r="B31"/>
      <c r="C31"/>
    </row>
    <row r="32" spans="1:3" s="39" customFormat="1" x14ac:dyDescent="0.3">
      <c r="A32"/>
      <c r="B32"/>
      <c r="C32"/>
    </row>
    <row r="33" spans="1:3" s="39" customFormat="1" x14ac:dyDescent="0.3">
      <c r="A33"/>
      <c r="B33"/>
      <c r="C33"/>
    </row>
    <row r="34" spans="1:3" s="39" customFormat="1" x14ac:dyDescent="0.3">
      <c r="A34"/>
      <c r="B34"/>
      <c r="C34"/>
    </row>
    <row r="35" spans="1:3" s="39" customFormat="1" x14ac:dyDescent="0.3">
      <c r="A35"/>
      <c r="B35"/>
      <c r="C35"/>
    </row>
    <row r="36" spans="1:3" s="39" customFormat="1" x14ac:dyDescent="0.3">
      <c r="A36"/>
      <c r="B36"/>
      <c r="C36"/>
    </row>
    <row r="37" spans="1:3" s="39" customFormat="1" x14ac:dyDescent="0.3">
      <c r="A37"/>
      <c r="B37"/>
      <c r="C37"/>
    </row>
    <row r="38" spans="1:3" s="39" customFormat="1" x14ac:dyDescent="0.3">
      <c r="A38"/>
      <c r="B38"/>
      <c r="C38"/>
    </row>
    <row r="39" spans="1:3" s="39" customFormat="1" x14ac:dyDescent="0.3">
      <c r="A39"/>
      <c r="B39"/>
      <c r="C39"/>
    </row>
    <row r="40" spans="1:3" s="39" customFormat="1" x14ac:dyDescent="0.3">
      <c r="A40"/>
      <c r="B40"/>
      <c r="C40"/>
    </row>
    <row r="41" spans="1:3" s="39" customFormat="1" x14ac:dyDescent="0.3">
      <c r="A41"/>
      <c r="B41"/>
      <c r="C41"/>
    </row>
    <row r="42" spans="1:3" s="39" customFormat="1" x14ac:dyDescent="0.3">
      <c r="A42"/>
      <c r="B42"/>
      <c r="C42"/>
    </row>
    <row r="43" spans="1:3" s="39" customFormat="1" x14ac:dyDescent="0.3">
      <c r="A43"/>
      <c r="B43"/>
      <c r="C43"/>
    </row>
    <row r="44" spans="1:3" s="39" customFormat="1" x14ac:dyDescent="0.3">
      <c r="A44"/>
      <c r="B44"/>
      <c r="C44"/>
    </row>
    <row r="45" spans="1:3" s="39" customFormat="1" x14ac:dyDescent="0.3">
      <c r="A45"/>
      <c r="B45"/>
      <c r="C45"/>
    </row>
    <row r="46" spans="1:3" s="39" customFormat="1" x14ac:dyDescent="0.3">
      <c r="A46"/>
      <c r="B46"/>
      <c r="C46"/>
    </row>
    <row r="47" spans="1:3" s="39" customFormat="1" x14ac:dyDescent="0.3">
      <c r="A47"/>
      <c r="B47"/>
      <c r="C47"/>
    </row>
    <row r="48" spans="1:3" s="39" customFormat="1" x14ac:dyDescent="0.3">
      <c r="A48"/>
      <c r="B48"/>
      <c r="C48"/>
    </row>
    <row r="49" spans="1:3" s="39" customFormat="1" x14ac:dyDescent="0.3">
      <c r="A49"/>
      <c r="B49"/>
      <c r="C49"/>
    </row>
    <row r="50" spans="1:3" s="39" customFormat="1" x14ac:dyDescent="0.3"/>
    <row r="51" spans="1:3" s="39" customFormat="1" x14ac:dyDescent="0.3"/>
    <row r="52" spans="1:3" s="39" customFormat="1" x14ac:dyDescent="0.3"/>
    <row r="53" spans="1:3" s="39" customFormat="1" x14ac:dyDescent="0.3"/>
    <row r="54" spans="1:3" s="39" customFormat="1" x14ac:dyDescent="0.3"/>
    <row r="55" spans="1:3" s="39" customFormat="1" x14ac:dyDescent="0.3"/>
    <row r="56" spans="1:3" s="39" customFormat="1" x14ac:dyDescent="0.3"/>
    <row r="57" spans="1:3" s="39" customFormat="1" x14ac:dyDescent="0.3"/>
    <row r="58" spans="1:3" s="39" customFormat="1" x14ac:dyDescent="0.3"/>
    <row r="59" spans="1:3" s="39" customFormat="1" x14ac:dyDescent="0.3"/>
    <row r="60" spans="1:3" s="39" customFormat="1" x14ac:dyDescent="0.3"/>
    <row r="61" spans="1:3" s="39" customFormat="1" x14ac:dyDescent="0.3"/>
    <row r="62" spans="1:3" s="39" customFormat="1" x14ac:dyDescent="0.3"/>
    <row r="63" spans="1:3" s="39" customFormat="1" x14ac:dyDescent="0.3"/>
    <row r="64" spans="1:3" s="39" customFormat="1" x14ac:dyDescent="0.3"/>
    <row r="65" s="39" customFormat="1" x14ac:dyDescent="0.3"/>
    <row r="66" s="39" customFormat="1" x14ac:dyDescent="0.3"/>
    <row r="67" s="39" customFormat="1" x14ac:dyDescent="0.3"/>
    <row r="68" s="39" customFormat="1" x14ac:dyDescent="0.3"/>
    <row r="69" customFormat="1" x14ac:dyDescent="0.3"/>
    <row r="70" customFormat="1" x14ac:dyDescent="0.3"/>
    <row r="71" customFormat="1" x14ac:dyDescent="0.3"/>
    <row r="72" customFormat="1" x14ac:dyDescent="0.3"/>
    <row r="73" customFormat="1" x14ac:dyDescent="0.3"/>
    <row r="74" customFormat="1" x14ac:dyDescent="0.3"/>
    <row r="75" customFormat="1" x14ac:dyDescent="0.3"/>
    <row r="76" customFormat="1" x14ac:dyDescent="0.3"/>
    <row r="77" customFormat="1" x14ac:dyDescent="0.3"/>
    <row r="78" customFormat="1" x14ac:dyDescent="0.3"/>
    <row r="79" customFormat="1" x14ac:dyDescent="0.3"/>
    <row r="80" customFormat="1" x14ac:dyDescent="0.3"/>
    <row r="81" customFormat="1" x14ac:dyDescent="0.3"/>
    <row r="82" customFormat="1" x14ac:dyDescent="0.3"/>
    <row r="83" customFormat="1" x14ac:dyDescent="0.3"/>
    <row r="84" customFormat="1" x14ac:dyDescent="0.3"/>
    <row r="85" customFormat="1" x14ac:dyDescent="0.3"/>
    <row r="86" customFormat="1" x14ac:dyDescent="0.3"/>
    <row r="87" customFormat="1" x14ac:dyDescent="0.3"/>
    <row r="88" customFormat="1" x14ac:dyDescent="0.3"/>
    <row r="89" customFormat="1" x14ac:dyDescent="0.3"/>
    <row r="90" customFormat="1" x14ac:dyDescent="0.3"/>
    <row r="91" customFormat="1" x14ac:dyDescent="0.3"/>
    <row r="92" customFormat="1" x14ac:dyDescent="0.3"/>
    <row r="93" customFormat="1" x14ac:dyDescent="0.3"/>
    <row r="94" customFormat="1" x14ac:dyDescent="0.3"/>
    <row r="95" customFormat="1" x14ac:dyDescent="0.3"/>
    <row r="96" customFormat="1" x14ac:dyDescent="0.3"/>
    <row r="97" customFormat="1" x14ac:dyDescent="0.3"/>
    <row r="98" customFormat="1" x14ac:dyDescent="0.3"/>
    <row r="99" customFormat="1" x14ac:dyDescent="0.3"/>
    <row r="100" customFormat="1" x14ac:dyDescent="0.3"/>
    <row r="101" customFormat="1" x14ac:dyDescent="0.3"/>
    <row r="102" customFormat="1" x14ac:dyDescent="0.3"/>
    <row r="103" customFormat="1" x14ac:dyDescent="0.3"/>
    <row r="104" customFormat="1" x14ac:dyDescent="0.3"/>
    <row r="105" customFormat="1" x14ac:dyDescent="0.3"/>
    <row r="106" customFormat="1" x14ac:dyDescent="0.3"/>
    <row r="107" customFormat="1" x14ac:dyDescent="0.3"/>
    <row r="108" customFormat="1" x14ac:dyDescent="0.3"/>
    <row r="109" customFormat="1" x14ac:dyDescent="0.3"/>
    <row r="110" customFormat="1" x14ac:dyDescent="0.3"/>
    <row r="111" customFormat="1" x14ac:dyDescent="0.3"/>
    <row r="112" customFormat="1" x14ac:dyDescent="0.3"/>
    <row r="113" customFormat="1" x14ac:dyDescent="0.3"/>
    <row r="114" customFormat="1" x14ac:dyDescent="0.3"/>
    <row r="115" customFormat="1" x14ac:dyDescent="0.3"/>
    <row r="116" customFormat="1" x14ac:dyDescent="0.3"/>
    <row r="117" customFormat="1" x14ac:dyDescent="0.3"/>
    <row r="118" customFormat="1" x14ac:dyDescent="0.3"/>
    <row r="119" customFormat="1" x14ac:dyDescent="0.3"/>
    <row r="120" customFormat="1" x14ac:dyDescent="0.3"/>
    <row r="121" customFormat="1" x14ac:dyDescent="0.3"/>
    <row r="122" customFormat="1" x14ac:dyDescent="0.3"/>
    <row r="123" customFormat="1" x14ac:dyDescent="0.3"/>
    <row r="124" customFormat="1" x14ac:dyDescent="0.3"/>
    <row r="125" customFormat="1" x14ac:dyDescent="0.3"/>
    <row r="126" customFormat="1" x14ac:dyDescent="0.3"/>
    <row r="127" customFormat="1" x14ac:dyDescent="0.3"/>
    <row r="128" customFormat="1" x14ac:dyDescent="0.3"/>
    <row r="129" customFormat="1" x14ac:dyDescent="0.3"/>
    <row r="130" customFormat="1" x14ac:dyDescent="0.3"/>
    <row r="131" customFormat="1" x14ac:dyDescent="0.3"/>
    <row r="132" customFormat="1" x14ac:dyDescent="0.3"/>
    <row r="133" customFormat="1" x14ac:dyDescent="0.3"/>
    <row r="134" customFormat="1" x14ac:dyDescent="0.3"/>
    <row r="135" customFormat="1" x14ac:dyDescent="0.3"/>
    <row r="136" customFormat="1" x14ac:dyDescent="0.3"/>
    <row r="137" customFormat="1" x14ac:dyDescent="0.3"/>
    <row r="138" customFormat="1" x14ac:dyDescent="0.3"/>
    <row r="139" customFormat="1" x14ac:dyDescent="0.3"/>
    <row r="140" customFormat="1" x14ac:dyDescent="0.3"/>
    <row r="141" customFormat="1" x14ac:dyDescent="0.3"/>
    <row r="142" customFormat="1" x14ac:dyDescent="0.3"/>
    <row r="143" customFormat="1" x14ac:dyDescent="0.3"/>
    <row r="144" customFormat="1" x14ac:dyDescent="0.3"/>
    <row r="145" customFormat="1" x14ac:dyDescent="0.3"/>
    <row r="146" customFormat="1" x14ac:dyDescent="0.3"/>
    <row r="147" customFormat="1" x14ac:dyDescent="0.3"/>
    <row r="148" customFormat="1" x14ac:dyDescent="0.3"/>
    <row r="149" customFormat="1" x14ac:dyDescent="0.3"/>
    <row r="150" customFormat="1" x14ac:dyDescent="0.3"/>
    <row r="151" customFormat="1" x14ac:dyDescent="0.3"/>
    <row r="152" customFormat="1" x14ac:dyDescent="0.3"/>
    <row r="153" customFormat="1" x14ac:dyDescent="0.3"/>
    <row r="154" customFormat="1" x14ac:dyDescent="0.3"/>
    <row r="155" customFormat="1" x14ac:dyDescent="0.3"/>
    <row r="156" customFormat="1" x14ac:dyDescent="0.3"/>
    <row r="157" customFormat="1" x14ac:dyDescent="0.3"/>
    <row r="158" customFormat="1" x14ac:dyDescent="0.3"/>
    <row r="159" customFormat="1" x14ac:dyDescent="0.3"/>
    <row r="160" customFormat="1" x14ac:dyDescent="0.3"/>
    <row r="161" customFormat="1" x14ac:dyDescent="0.3"/>
    <row r="162" customFormat="1" x14ac:dyDescent="0.3"/>
    <row r="163" customFormat="1" x14ac:dyDescent="0.3"/>
    <row r="164" customFormat="1" x14ac:dyDescent="0.3"/>
    <row r="165" customFormat="1" x14ac:dyDescent="0.3"/>
    <row r="166" customFormat="1" x14ac:dyDescent="0.3"/>
    <row r="167" customFormat="1" x14ac:dyDescent="0.3"/>
    <row r="168" customFormat="1" x14ac:dyDescent="0.3"/>
    <row r="169" customFormat="1" x14ac:dyDescent="0.3"/>
    <row r="170" customFormat="1" x14ac:dyDescent="0.3"/>
    <row r="171" customFormat="1" x14ac:dyDescent="0.3"/>
    <row r="172" customFormat="1" x14ac:dyDescent="0.3"/>
    <row r="173" customFormat="1" x14ac:dyDescent="0.3"/>
    <row r="174" customFormat="1" x14ac:dyDescent="0.3"/>
    <row r="175" customFormat="1" x14ac:dyDescent="0.3"/>
    <row r="176" customFormat="1" x14ac:dyDescent="0.3"/>
    <row r="177" customFormat="1" x14ac:dyDescent="0.3"/>
    <row r="178" customFormat="1" x14ac:dyDescent="0.3"/>
    <row r="179" customFormat="1" x14ac:dyDescent="0.3"/>
    <row r="180" customFormat="1" x14ac:dyDescent="0.3"/>
    <row r="181" customFormat="1" x14ac:dyDescent="0.3"/>
    <row r="182" customFormat="1" x14ac:dyDescent="0.3"/>
    <row r="183" customFormat="1" x14ac:dyDescent="0.3"/>
    <row r="184" customFormat="1" x14ac:dyDescent="0.3"/>
    <row r="185" customFormat="1" x14ac:dyDescent="0.3"/>
    <row r="186" customFormat="1" x14ac:dyDescent="0.3"/>
    <row r="187" customFormat="1" x14ac:dyDescent="0.3"/>
    <row r="188" customFormat="1" x14ac:dyDescent="0.3"/>
    <row r="189" customFormat="1" x14ac:dyDescent="0.3"/>
    <row r="190" customFormat="1" x14ac:dyDescent="0.3"/>
    <row r="191" customFormat="1" x14ac:dyDescent="0.3"/>
    <row r="192" customFormat="1" x14ac:dyDescent="0.3"/>
    <row r="193" customFormat="1" x14ac:dyDescent="0.3"/>
    <row r="194" customFormat="1" x14ac:dyDescent="0.3"/>
    <row r="195" customFormat="1" x14ac:dyDescent="0.3"/>
    <row r="196" customFormat="1" x14ac:dyDescent="0.3"/>
    <row r="197" customFormat="1" x14ac:dyDescent="0.3"/>
    <row r="198" customFormat="1" x14ac:dyDescent="0.3"/>
    <row r="199" customFormat="1" x14ac:dyDescent="0.3"/>
    <row r="200" customFormat="1" x14ac:dyDescent="0.3"/>
    <row r="201" customFormat="1" x14ac:dyDescent="0.3"/>
    <row r="202" customFormat="1" x14ac:dyDescent="0.3"/>
    <row r="203" customFormat="1" x14ac:dyDescent="0.3"/>
    <row r="204" customFormat="1" x14ac:dyDescent="0.3"/>
    <row r="205" customFormat="1" x14ac:dyDescent="0.3"/>
    <row r="206" customFormat="1" x14ac:dyDescent="0.3"/>
    <row r="207" customFormat="1" x14ac:dyDescent="0.3"/>
    <row r="208" customFormat="1" x14ac:dyDescent="0.3"/>
    <row r="209" customFormat="1" x14ac:dyDescent="0.3"/>
    <row r="210" customFormat="1" x14ac:dyDescent="0.3"/>
    <row r="211" customFormat="1" x14ac:dyDescent="0.3"/>
    <row r="212" customFormat="1" x14ac:dyDescent="0.3"/>
    <row r="213" customFormat="1" x14ac:dyDescent="0.3"/>
    <row r="214" customFormat="1" x14ac:dyDescent="0.3"/>
    <row r="215" customFormat="1" x14ac:dyDescent="0.3"/>
    <row r="216" customFormat="1" x14ac:dyDescent="0.3"/>
    <row r="217" customFormat="1" x14ac:dyDescent="0.3"/>
    <row r="218" customFormat="1" x14ac:dyDescent="0.3"/>
    <row r="219" customFormat="1" x14ac:dyDescent="0.3"/>
    <row r="220" customFormat="1" x14ac:dyDescent="0.3"/>
    <row r="221" customFormat="1" x14ac:dyDescent="0.3"/>
    <row r="222" customFormat="1" x14ac:dyDescent="0.3"/>
    <row r="223" customFormat="1" x14ac:dyDescent="0.3"/>
    <row r="224" customFormat="1" x14ac:dyDescent="0.3"/>
    <row r="225" customFormat="1" x14ac:dyDescent="0.3"/>
    <row r="226" customFormat="1" x14ac:dyDescent="0.3"/>
    <row r="227" customFormat="1" x14ac:dyDescent="0.3"/>
    <row r="228" customFormat="1" x14ac:dyDescent="0.3"/>
    <row r="229" customFormat="1" x14ac:dyDescent="0.3"/>
    <row r="230" customFormat="1" x14ac:dyDescent="0.3"/>
    <row r="231" customFormat="1" x14ac:dyDescent="0.3"/>
    <row r="232" customFormat="1" x14ac:dyDescent="0.3"/>
    <row r="233" customFormat="1" x14ac:dyDescent="0.3"/>
    <row r="234" customFormat="1" x14ac:dyDescent="0.3"/>
    <row r="235" customFormat="1" x14ac:dyDescent="0.3"/>
    <row r="236" customFormat="1" x14ac:dyDescent="0.3"/>
    <row r="237" customFormat="1" x14ac:dyDescent="0.3"/>
    <row r="238" customFormat="1" x14ac:dyDescent="0.3"/>
    <row r="239" customFormat="1" x14ac:dyDescent="0.3"/>
    <row r="240" customFormat="1" x14ac:dyDescent="0.3"/>
    <row r="241" customFormat="1" x14ac:dyDescent="0.3"/>
    <row r="242" customFormat="1" x14ac:dyDescent="0.3"/>
    <row r="243" customFormat="1" x14ac:dyDescent="0.3"/>
    <row r="244" customFormat="1" x14ac:dyDescent="0.3"/>
    <row r="245" customFormat="1" x14ac:dyDescent="0.3"/>
    <row r="246" customFormat="1" x14ac:dyDescent="0.3"/>
    <row r="247" customFormat="1" x14ac:dyDescent="0.3"/>
    <row r="248" customFormat="1" x14ac:dyDescent="0.3"/>
    <row r="249" customFormat="1" x14ac:dyDescent="0.3"/>
    <row r="250" customFormat="1" x14ac:dyDescent="0.3"/>
    <row r="251" customFormat="1" x14ac:dyDescent="0.3"/>
    <row r="252" customFormat="1" x14ac:dyDescent="0.3"/>
    <row r="253" customFormat="1" x14ac:dyDescent="0.3"/>
    <row r="254" customFormat="1" x14ac:dyDescent="0.3"/>
    <row r="255" customFormat="1" x14ac:dyDescent="0.3"/>
    <row r="256" customFormat="1" x14ac:dyDescent="0.3"/>
    <row r="257" customFormat="1" x14ac:dyDescent="0.3"/>
    <row r="258" customFormat="1" x14ac:dyDescent="0.3"/>
    <row r="259" customFormat="1" x14ac:dyDescent="0.3"/>
    <row r="260" customFormat="1" x14ac:dyDescent="0.3"/>
    <row r="261" customFormat="1" x14ac:dyDescent="0.3"/>
    <row r="262" customFormat="1" x14ac:dyDescent="0.3"/>
    <row r="263" customFormat="1" x14ac:dyDescent="0.3"/>
    <row r="264" customFormat="1" x14ac:dyDescent="0.3"/>
    <row r="265" customFormat="1" x14ac:dyDescent="0.3"/>
    <row r="266" customFormat="1" x14ac:dyDescent="0.3"/>
    <row r="267" customFormat="1" x14ac:dyDescent="0.3"/>
    <row r="268" customFormat="1" x14ac:dyDescent="0.3"/>
    <row r="269" customFormat="1" x14ac:dyDescent="0.3"/>
    <row r="270" customFormat="1" x14ac:dyDescent="0.3"/>
    <row r="271" customFormat="1" x14ac:dyDescent="0.3"/>
    <row r="272" customFormat="1" x14ac:dyDescent="0.3"/>
    <row r="273" customFormat="1" x14ac:dyDescent="0.3"/>
    <row r="274" customFormat="1" x14ac:dyDescent="0.3"/>
    <row r="275" customFormat="1" x14ac:dyDescent="0.3"/>
    <row r="276" customFormat="1" x14ac:dyDescent="0.3"/>
    <row r="277" customFormat="1" x14ac:dyDescent="0.3"/>
    <row r="278" customFormat="1" x14ac:dyDescent="0.3"/>
    <row r="279" customFormat="1" x14ac:dyDescent="0.3"/>
    <row r="280" customFormat="1" x14ac:dyDescent="0.3"/>
    <row r="281" customFormat="1" x14ac:dyDescent="0.3"/>
    <row r="282" customFormat="1" x14ac:dyDescent="0.3"/>
    <row r="283" customFormat="1" x14ac:dyDescent="0.3"/>
    <row r="284" customFormat="1" x14ac:dyDescent="0.3"/>
    <row r="285" customFormat="1" x14ac:dyDescent="0.3"/>
    <row r="286" customFormat="1" x14ac:dyDescent="0.3"/>
    <row r="287" customFormat="1" x14ac:dyDescent="0.3"/>
    <row r="288" customFormat="1" x14ac:dyDescent="0.3"/>
    <row r="289" customFormat="1" x14ac:dyDescent="0.3"/>
    <row r="290" customFormat="1" x14ac:dyDescent="0.3"/>
    <row r="291" customFormat="1" x14ac:dyDescent="0.3"/>
    <row r="292" customFormat="1" x14ac:dyDescent="0.3"/>
    <row r="293" customFormat="1" x14ac:dyDescent="0.3"/>
    <row r="294" customFormat="1" x14ac:dyDescent="0.3"/>
    <row r="295" customFormat="1" x14ac:dyDescent="0.3"/>
    <row r="296" customFormat="1" x14ac:dyDescent="0.3"/>
    <row r="297" customFormat="1" x14ac:dyDescent="0.3"/>
    <row r="298" customFormat="1" x14ac:dyDescent="0.3"/>
    <row r="299" customFormat="1" x14ac:dyDescent="0.3"/>
    <row r="300" customFormat="1" x14ac:dyDescent="0.3"/>
    <row r="301" customFormat="1" x14ac:dyDescent="0.3"/>
    <row r="302" customFormat="1" x14ac:dyDescent="0.3"/>
    <row r="303" customFormat="1" x14ac:dyDescent="0.3"/>
    <row r="304" customFormat="1" x14ac:dyDescent="0.3"/>
    <row r="305" customFormat="1" x14ac:dyDescent="0.3"/>
    <row r="306" customFormat="1" x14ac:dyDescent="0.3"/>
    <row r="307" customFormat="1" x14ac:dyDescent="0.3"/>
    <row r="308" customFormat="1" x14ac:dyDescent="0.3"/>
    <row r="309" customFormat="1" x14ac:dyDescent="0.3"/>
    <row r="310" customFormat="1" x14ac:dyDescent="0.3"/>
    <row r="311" customFormat="1" x14ac:dyDescent="0.3"/>
    <row r="312" customFormat="1" x14ac:dyDescent="0.3"/>
    <row r="313" customFormat="1" x14ac:dyDescent="0.3"/>
    <row r="314" customFormat="1" x14ac:dyDescent="0.3"/>
    <row r="315" customFormat="1" x14ac:dyDescent="0.3"/>
    <row r="316" customFormat="1" x14ac:dyDescent="0.3"/>
    <row r="317" customFormat="1" x14ac:dyDescent="0.3"/>
    <row r="318" customFormat="1" x14ac:dyDescent="0.3"/>
    <row r="319" customFormat="1" x14ac:dyDescent="0.3"/>
    <row r="320" customFormat="1" x14ac:dyDescent="0.3"/>
    <row r="321" customFormat="1" x14ac:dyDescent="0.3"/>
    <row r="322" customFormat="1" x14ac:dyDescent="0.3"/>
    <row r="323" customFormat="1" x14ac:dyDescent="0.3"/>
    <row r="324" customFormat="1" x14ac:dyDescent="0.3"/>
    <row r="325" customFormat="1" x14ac:dyDescent="0.3"/>
    <row r="326" customFormat="1" x14ac:dyDescent="0.3"/>
    <row r="327" customFormat="1" x14ac:dyDescent="0.3"/>
    <row r="328" customFormat="1" x14ac:dyDescent="0.3"/>
    <row r="329" customFormat="1" x14ac:dyDescent="0.3"/>
    <row r="330" customFormat="1" x14ac:dyDescent="0.3"/>
    <row r="331" customFormat="1" x14ac:dyDescent="0.3"/>
    <row r="332" customFormat="1" x14ac:dyDescent="0.3"/>
    <row r="333" customFormat="1" x14ac:dyDescent="0.3"/>
    <row r="334" customFormat="1" x14ac:dyDescent="0.3"/>
    <row r="335" customFormat="1" x14ac:dyDescent="0.3"/>
    <row r="336" customFormat="1" x14ac:dyDescent="0.3"/>
    <row r="337" customFormat="1" x14ac:dyDescent="0.3"/>
    <row r="338" customFormat="1" x14ac:dyDescent="0.3"/>
    <row r="339" customFormat="1" x14ac:dyDescent="0.3"/>
    <row r="340" customFormat="1" x14ac:dyDescent="0.3"/>
    <row r="341" customFormat="1" x14ac:dyDescent="0.3"/>
    <row r="342" customFormat="1" x14ac:dyDescent="0.3"/>
    <row r="343" customFormat="1" x14ac:dyDescent="0.3"/>
    <row r="344" customFormat="1" x14ac:dyDescent="0.3"/>
    <row r="345" customFormat="1" x14ac:dyDescent="0.3"/>
    <row r="346" customFormat="1" x14ac:dyDescent="0.3"/>
    <row r="347" customFormat="1" x14ac:dyDescent="0.3"/>
    <row r="348" customFormat="1" x14ac:dyDescent="0.3"/>
    <row r="349" customFormat="1" x14ac:dyDescent="0.3"/>
    <row r="350" customFormat="1" x14ac:dyDescent="0.3"/>
    <row r="351" customFormat="1" x14ac:dyDescent="0.3"/>
    <row r="352" customFormat="1" x14ac:dyDescent="0.3"/>
    <row r="353" customFormat="1" x14ac:dyDescent="0.3"/>
    <row r="354" customFormat="1" x14ac:dyDescent="0.3"/>
    <row r="355" customFormat="1" x14ac:dyDescent="0.3"/>
    <row r="356" customFormat="1" x14ac:dyDescent="0.3"/>
    <row r="357" customFormat="1" x14ac:dyDescent="0.3"/>
    <row r="358" customFormat="1" x14ac:dyDescent="0.3"/>
    <row r="359" customFormat="1" x14ac:dyDescent="0.3"/>
    <row r="360" customFormat="1" x14ac:dyDescent="0.3"/>
    <row r="361" customFormat="1" x14ac:dyDescent="0.3"/>
    <row r="362" customFormat="1" x14ac:dyDescent="0.3"/>
    <row r="363" customFormat="1" x14ac:dyDescent="0.3"/>
    <row r="364" customFormat="1" x14ac:dyDescent="0.3"/>
    <row r="365" customFormat="1" x14ac:dyDescent="0.3"/>
    <row r="366" customFormat="1" x14ac:dyDescent="0.3"/>
    <row r="367" customFormat="1" x14ac:dyDescent="0.3"/>
    <row r="368" customFormat="1" x14ac:dyDescent="0.3"/>
    <row r="369" customFormat="1" x14ac:dyDescent="0.3"/>
    <row r="370" customFormat="1" x14ac:dyDescent="0.3"/>
    <row r="371" customFormat="1" x14ac:dyDescent="0.3"/>
    <row r="372" customFormat="1" x14ac:dyDescent="0.3"/>
    <row r="373" customFormat="1" x14ac:dyDescent="0.3"/>
    <row r="374" customFormat="1" x14ac:dyDescent="0.3"/>
    <row r="375" customFormat="1" x14ac:dyDescent="0.3"/>
    <row r="376" customFormat="1" x14ac:dyDescent="0.3"/>
    <row r="377" customFormat="1" x14ac:dyDescent="0.3"/>
    <row r="378" customFormat="1" x14ac:dyDescent="0.3"/>
    <row r="379" customFormat="1" x14ac:dyDescent="0.3"/>
    <row r="380" customFormat="1" x14ac:dyDescent="0.3"/>
    <row r="381" customFormat="1" x14ac:dyDescent="0.3"/>
    <row r="382" customFormat="1" x14ac:dyDescent="0.3"/>
    <row r="383" customFormat="1" x14ac:dyDescent="0.3"/>
    <row r="384" customFormat="1" x14ac:dyDescent="0.3"/>
    <row r="385" customFormat="1" x14ac:dyDescent="0.3"/>
    <row r="386" customFormat="1" x14ac:dyDescent="0.3"/>
    <row r="387" customFormat="1" x14ac:dyDescent="0.3"/>
    <row r="388" customFormat="1" x14ac:dyDescent="0.3"/>
    <row r="389" customFormat="1" x14ac:dyDescent="0.3"/>
    <row r="390" customFormat="1" x14ac:dyDescent="0.3"/>
    <row r="391" customFormat="1" x14ac:dyDescent="0.3"/>
    <row r="392" customFormat="1" x14ac:dyDescent="0.3"/>
    <row r="393" customFormat="1" x14ac:dyDescent="0.3"/>
    <row r="394" customFormat="1" x14ac:dyDescent="0.3"/>
    <row r="395" customFormat="1" x14ac:dyDescent="0.3"/>
    <row r="396" customFormat="1" x14ac:dyDescent="0.3"/>
    <row r="397" customFormat="1" x14ac:dyDescent="0.3"/>
    <row r="398" customFormat="1" x14ac:dyDescent="0.3"/>
    <row r="399" customFormat="1" x14ac:dyDescent="0.3"/>
    <row r="400" customFormat="1" x14ac:dyDescent="0.3"/>
    <row r="401" customFormat="1" x14ac:dyDescent="0.3"/>
    <row r="402" customFormat="1" x14ac:dyDescent="0.3"/>
    <row r="403" customFormat="1" x14ac:dyDescent="0.3"/>
    <row r="404" customFormat="1" x14ac:dyDescent="0.3"/>
    <row r="405" customFormat="1" x14ac:dyDescent="0.3"/>
    <row r="406" customFormat="1" x14ac:dyDescent="0.3"/>
    <row r="407" customFormat="1" x14ac:dyDescent="0.3"/>
    <row r="408" customFormat="1" x14ac:dyDescent="0.3"/>
    <row r="409" customFormat="1" x14ac:dyDescent="0.3"/>
    <row r="410" customFormat="1" x14ac:dyDescent="0.3"/>
    <row r="411" customFormat="1" x14ac:dyDescent="0.3"/>
    <row r="412" customFormat="1" x14ac:dyDescent="0.3"/>
    <row r="413" customFormat="1" x14ac:dyDescent="0.3"/>
    <row r="414" customFormat="1" x14ac:dyDescent="0.3"/>
    <row r="415" customFormat="1" x14ac:dyDescent="0.3"/>
    <row r="416" customFormat="1" x14ac:dyDescent="0.3"/>
    <row r="417" customFormat="1" x14ac:dyDescent="0.3"/>
    <row r="418" customFormat="1" x14ac:dyDescent="0.3"/>
    <row r="419" customFormat="1" x14ac:dyDescent="0.3"/>
    <row r="420" customFormat="1" x14ac:dyDescent="0.3"/>
    <row r="421" customFormat="1" x14ac:dyDescent="0.3"/>
    <row r="422" customFormat="1" x14ac:dyDescent="0.3"/>
    <row r="423" customFormat="1" x14ac:dyDescent="0.3"/>
    <row r="424" customFormat="1" x14ac:dyDescent="0.3"/>
    <row r="425" customFormat="1" x14ac:dyDescent="0.3"/>
    <row r="426" customFormat="1" x14ac:dyDescent="0.3"/>
    <row r="427" customFormat="1" x14ac:dyDescent="0.3"/>
    <row r="428" customFormat="1" x14ac:dyDescent="0.3"/>
    <row r="429" customFormat="1" x14ac:dyDescent="0.3"/>
    <row r="430" customFormat="1" x14ac:dyDescent="0.3"/>
    <row r="431" customFormat="1" x14ac:dyDescent="0.3"/>
    <row r="432" customFormat="1" x14ac:dyDescent="0.3"/>
    <row r="433" customFormat="1" x14ac:dyDescent="0.3"/>
    <row r="434" customFormat="1" x14ac:dyDescent="0.3"/>
    <row r="435" customFormat="1" x14ac:dyDescent="0.3"/>
    <row r="436" customFormat="1" x14ac:dyDescent="0.3"/>
    <row r="437" customFormat="1" x14ac:dyDescent="0.3"/>
    <row r="438" customFormat="1" x14ac:dyDescent="0.3"/>
    <row r="439" customFormat="1" x14ac:dyDescent="0.3"/>
    <row r="440" customFormat="1" x14ac:dyDescent="0.3"/>
    <row r="441" customFormat="1" x14ac:dyDescent="0.3"/>
    <row r="442" customFormat="1" x14ac:dyDescent="0.3"/>
    <row r="443" customFormat="1" x14ac:dyDescent="0.3"/>
    <row r="444" customFormat="1" x14ac:dyDescent="0.3"/>
    <row r="445" customFormat="1" x14ac:dyDescent="0.3"/>
    <row r="446" customFormat="1" x14ac:dyDescent="0.3"/>
    <row r="447" customFormat="1" x14ac:dyDescent="0.3"/>
    <row r="448" customFormat="1" x14ac:dyDescent="0.3"/>
    <row r="449" customFormat="1" x14ac:dyDescent="0.3"/>
    <row r="450" customFormat="1" x14ac:dyDescent="0.3"/>
    <row r="451" customFormat="1" x14ac:dyDescent="0.3"/>
    <row r="452" customFormat="1" x14ac:dyDescent="0.3"/>
    <row r="453" customFormat="1" x14ac:dyDescent="0.3"/>
    <row r="454" customFormat="1" x14ac:dyDescent="0.3"/>
    <row r="455" customFormat="1" x14ac:dyDescent="0.3"/>
    <row r="456" customFormat="1" x14ac:dyDescent="0.3"/>
    <row r="457" customFormat="1" x14ac:dyDescent="0.3"/>
    <row r="458" customFormat="1" x14ac:dyDescent="0.3"/>
    <row r="459" customFormat="1" x14ac:dyDescent="0.3"/>
    <row r="460" customFormat="1" x14ac:dyDescent="0.3"/>
    <row r="461" customFormat="1" x14ac:dyDescent="0.3"/>
    <row r="462" customFormat="1" x14ac:dyDescent="0.3"/>
    <row r="463" customFormat="1" x14ac:dyDescent="0.3"/>
    <row r="464" customFormat="1" x14ac:dyDescent="0.3"/>
    <row r="465" customFormat="1" x14ac:dyDescent="0.3"/>
    <row r="466" customFormat="1" x14ac:dyDescent="0.3"/>
    <row r="467" customFormat="1" x14ac:dyDescent="0.3"/>
    <row r="468" customFormat="1" x14ac:dyDescent="0.3"/>
    <row r="469" customFormat="1" x14ac:dyDescent="0.3"/>
    <row r="470" customFormat="1" x14ac:dyDescent="0.3"/>
    <row r="471" customFormat="1" x14ac:dyDescent="0.3"/>
    <row r="472" customFormat="1" x14ac:dyDescent="0.3"/>
    <row r="473" customFormat="1" x14ac:dyDescent="0.3"/>
    <row r="474" customFormat="1" x14ac:dyDescent="0.3"/>
    <row r="475" customFormat="1" x14ac:dyDescent="0.3"/>
    <row r="476" customFormat="1" x14ac:dyDescent="0.3"/>
    <row r="477" customFormat="1" x14ac:dyDescent="0.3"/>
    <row r="478" customFormat="1" x14ac:dyDescent="0.3"/>
    <row r="479" customFormat="1" x14ac:dyDescent="0.3"/>
    <row r="480" customFormat="1" x14ac:dyDescent="0.3"/>
    <row r="481" customFormat="1" x14ac:dyDescent="0.3"/>
    <row r="482" customFormat="1" x14ac:dyDescent="0.3"/>
    <row r="483" customFormat="1" x14ac:dyDescent="0.3"/>
    <row r="484" customFormat="1" x14ac:dyDescent="0.3"/>
    <row r="485" customFormat="1" x14ac:dyDescent="0.3"/>
    <row r="486" customFormat="1" x14ac:dyDescent="0.3"/>
    <row r="487" customFormat="1" x14ac:dyDescent="0.3"/>
    <row r="488" customFormat="1" x14ac:dyDescent="0.3"/>
    <row r="489" customFormat="1" x14ac:dyDescent="0.3"/>
    <row r="490" customFormat="1" x14ac:dyDescent="0.3"/>
    <row r="491" customFormat="1" x14ac:dyDescent="0.3"/>
    <row r="492" customFormat="1" x14ac:dyDescent="0.3"/>
    <row r="493" customFormat="1" x14ac:dyDescent="0.3"/>
    <row r="494" customFormat="1" x14ac:dyDescent="0.3"/>
    <row r="495" customFormat="1" x14ac:dyDescent="0.3"/>
    <row r="496" customFormat="1" x14ac:dyDescent="0.3"/>
    <row r="497" customFormat="1" x14ac:dyDescent="0.3"/>
    <row r="498" customFormat="1" x14ac:dyDescent="0.3"/>
    <row r="499" customFormat="1" x14ac:dyDescent="0.3"/>
    <row r="500" customFormat="1" x14ac:dyDescent="0.3"/>
    <row r="501" customFormat="1" x14ac:dyDescent="0.3"/>
    <row r="502" customFormat="1" x14ac:dyDescent="0.3"/>
    <row r="503" customFormat="1" x14ac:dyDescent="0.3"/>
    <row r="504" customFormat="1" x14ac:dyDescent="0.3"/>
    <row r="505" customFormat="1" x14ac:dyDescent="0.3"/>
    <row r="506" customFormat="1" x14ac:dyDescent="0.3"/>
    <row r="507" customFormat="1" x14ac:dyDescent="0.3"/>
    <row r="508" customFormat="1" x14ac:dyDescent="0.3"/>
    <row r="509" customFormat="1" x14ac:dyDescent="0.3"/>
    <row r="510" customFormat="1" x14ac:dyDescent="0.3"/>
    <row r="511" customFormat="1" x14ac:dyDescent="0.3"/>
    <row r="512" customFormat="1" x14ac:dyDescent="0.3"/>
    <row r="513" customFormat="1" x14ac:dyDescent="0.3"/>
    <row r="514" customFormat="1" x14ac:dyDescent="0.3"/>
    <row r="515" customFormat="1" x14ac:dyDescent="0.3"/>
    <row r="516" customFormat="1" x14ac:dyDescent="0.3"/>
    <row r="517" customFormat="1" x14ac:dyDescent="0.3"/>
    <row r="518" customFormat="1" x14ac:dyDescent="0.3"/>
    <row r="519" customFormat="1" x14ac:dyDescent="0.3"/>
    <row r="520" customFormat="1" x14ac:dyDescent="0.3"/>
    <row r="521" customFormat="1" x14ac:dyDescent="0.3"/>
    <row r="522" customFormat="1" x14ac:dyDescent="0.3"/>
    <row r="523" customFormat="1" x14ac:dyDescent="0.3"/>
    <row r="524" customFormat="1" x14ac:dyDescent="0.3"/>
    <row r="525" customFormat="1" x14ac:dyDescent="0.3"/>
    <row r="526" customFormat="1" x14ac:dyDescent="0.3"/>
    <row r="527" customFormat="1" x14ac:dyDescent="0.3"/>
    <row r="528" customFormat="1" x14ac:dyDescent="0.3"/>
    <row r="529" customFormat="1" x14ac:dyDescent="0.3"/>
    <row r="530" customFormat="1" x14ac:dyDescent="0.3"/>
    <row r="531" customFormat="1" x14ac:dyDescent="0.3"/>
    <row r="532" customFormat="1" x14ac:dyDescent="0.3"/>
    <row r="533" customFormat="1" x14ac:dyDescent="0.3"/>
    <row r="534" customFormat="1" x14ac:dyDescent="0.3"/>
    <row r="535" customFormat="1" x14ac:dyDescent="0.3"/>
    <row r="536" customFormat="1" x14ac:dyDescent="0.3"/>
    <row r="537" customFormat="1" x14ac:dyDescent="0.3"/>
    <row r="538" customFormat="1" x14ac:dyDescent="0.3"/>
    <row r="539" customFormat="1" x14ac:dyDescent="0.3"/>
    <row r="540" customFormat="1" x14ac:dyDescent="0.3"/>
    <row r="541" customFormat="1" x14ac:dyDescent="0.3"/>
    <row r="542" customFormat="1" x14ac:dyDescent="0.3"/>
    <row r="543" customFormat="1" x14ac:dyDescent="0.3"/>
    <row r="544" customFormat="1" x14ac:dyDescent="0.3"/>
    <row r="545" customFormat="1" x14ac:dyDescent="0.3"/>
    <row r="546" customFormat="1" x14ac:dyDescent="0.3"/>
    <row r="547" customFormat="1" x14ac:dyDescent="0.3"/>
    <row r="548" customFormat="1" x14ac:dyDescent="0.3"/>
    <row r="549" customFormat="1" x14ac:dyDescent="0.3"/>
    <row r="550" customFormat="1" x14ac:dyDescent="0.3"/>
    <row r="551" customFormat="1" x14ac:dyDescent="0.3"/>
    <row r="552" customFormat="1" x14ac:dyDescent="0.3"/>
    <row r="553" customFormat="1" x14ac:dyDescent="0.3"/>
    <row r="554" customFormat="1" x14ac:dyDescent="0.3"/>
    <row r="555" customFormat="1" x14ac:dyDescent="0.3"/>
    <row r="556" customFormat="1" x14ac:dyDescent="0.3"/>
    <row r="557" customFormat="1" x14ac:dyDescent="0.3"/>
    <row r="558" customFormat="1" x14ac:dyDescent="0.3"/>
    <row r="559" customFormat="1" x14ac:dyDescent="0.3"/>
    <row r="560" customFormat="1" x14ac:dyDescent="0.3"/>
    <row r="561" customFormat="1" x14ac:dyDescent="0.3"/>
    <row r="562" customFormat="1" x14ac:dyDescent="0.3"/>
    <row r="563" customFormat="1" x14ac:dyDescent="0.3"/>
    <row r="564" customFormat="1" x14ac:dyDescent="0.3"/>
    <row r="565" customFormat="1" x14ac:dyDescent="0.3"/>
    <row r="566" customFormat="1" x14ac:dyDescent="0.3"/>
    <row r="567" customFormat="1" x14ac:dyDescent="0.3"/>
    <row r="568" customFormat="1" x14ac:dyDescent="0.3"/>
    <row r="569" customFormat="1" x14ac:dyDescent="0.3"/>
    <row r="570" customFormat="1" x14ac:dyDescent="0.3"/>
    <row r="571" customFormat="1" x14ac:dyDescent="0.3"/>
    <row r="572" customFormat="1" x14ac:dyDescent="0.3"/>
    <row r="573" customFormat="1" x14ac:dyDescent="0.3"/>
    <row r="574" customFormat="1" x14ac:dyDescent="0.3"/>
    <row r="575" customFormat="1" x14ac:dyDescent="0.3"/>
    <row r="576" customFormat="1" x14ac:dyDescent="0.3"/>
    <row r="577" customFormat="1" x14ac:dyDescent="0.3"/>
    <row r="578" customFormat="1" x14ac:dyDescent="0.3"/>
    <row r="579" customFormat="1" x14ac:dyDescent="0.3"/>
    <row r="580" customFormat="1" x14ac:dyDescent="0.3"/>
    <row r="581" customFormat="1" x14ac:dyDescent="0.3"/>
    <row r="582" customFormat="1" x14ac:dyDescent="0.3"/>
    <row r="583" customFormat="1" x14ac:dyDescent="0.3"/>
    <row r="584" customFormat="1" x14ac:dyDescent="0.3"/>
    <row r="585" customFormat="1" x14ac:dyDescent="0.3"/>
    <row r="586" customFormat="1" x14ac:dyDescent="0.3"/>
    <row r="587" customFormat="1" x14ac:dyDescent="0.3"/>
    <row r="588" customFormat="1" x14ac:dyDescent="0.3"/>
    <row r="589" customFormat="1" x14ac:dyDescent="0.3"/>
    <row r="590" customFormat="1" x14ac:dyDescent="0.3"/>
    <row r="591" customFormat="1" x14ac:dyDescent="0.3"/>
    <row r="592" customFormat="1" x14ac:dyDescent="0.3"/>
    <row r="593" customFormat="1" x14ac:dyDescent="0.3"/>
    <row r="594" customFormat="1" x14ac:dyDescent="0.3"/>
    <row r="595" customFormat="1" x14ac:dyDescent="0.3"/>
    <row r="596" customFormat="1" x14ac:dyDescent="0.3"/>
    <row r="597" customFormat="1" x14ac:dyDescent="0.3"/>
    <row r="598" customFormat="1" x14ac:dyDescent="0.3"/>
    <row r="599" customFormat="1" x14ac:dyDescent="0.3"/>
    <row r="600" customFormat="1" x14ac:dyDescent="0.3"/>
    <row r="601" customFormat="1" x14ac:dyDescent="0.3"/>
    <row r="602" customFormat="1" x14ac:dyDescent="0.3"/>
    <row r="603" customFormat="1" x14ac:dyDescent="0.3"/>
    <row r="604" customFormat="1" x14ac:dyDescent="0.3"/>
    <row r="605" customFormat="1" x14ac:dyDescent="0.3"/>
    <row r="606" customFormat="1" x14ac:dyDescent="0.3"/>
    <row r="607" customFormat="1" x14ac:dyDescent="0.3"/>
    <row r="608" customFormat="1" x14ac:dyDescent="0.3"/>
    <row r="609" customFormat="1" x14ac:dyDescent="0.3"/>
    <row r="610" customFormat="1" x14ac:dyDescent="0.3"/>
    <row r="611" customFormat="1" x14ac:dyDescent="0.3"/>
    <row r="612" customFormat="1" x14ac:dyDescent="0.3"/>
    <row r="613" customFormat="1" x14ac:dyDescent="0.3"/>
    <row r="614" customFormat="1" x14ac:dyDescent="0.3"/>
    <row r="615" customFormat="1" x14ac:dyDescent="0.3"/>
    <row r="616" customFormat="1" x14ac:dyDescent="0.3"/>
    <row r="617" customFormat="1" x14ac:dyDescent="0.3"/>
    <row r="618" customFormat="1" x14ac:dyDescent="0.3"/>
    <row r="619" customFormat="1" x14ac:dyDescent="0.3"/>
    <row r="620" customFormat="1" x14ac:dyDescent="0.3"/>
    <row r="621" customFormat="1" x14ac:dyDescent="0.3"/>
    <row r="622" customFormat="1" x14ac:dyDescent="0.3"/>
    <row r="623" customFormat="1" x14ac:dyDescent="0.3"/>
    <row r="624" customFormat="1" x14ac:dyDescent="0.3"/>
    <row r="625" customFormat="1" x14ac:dyDescent="0.3"/>
    <row r="626" customFormat="1" x14ac:dyDescent="0.3"/>
    <row r="627" customFormat="1" x14ac:dyDescent="0.3"/>
    <row r="628" customFormat="1" x14ac:dyDescent="0.3"/>
    <row r="629" customFormat="1" x14ac:dyDescent="0.3"/>
    <row r="630" customFormat="1" x14ac:dyDescent="0.3"/>
    <row r="631" customFormat="1" x14ac:dyDescent="0.3"/>
    <row r="632" customFormat="1" x14ac:dyDescent="0.3"/>
    <row r="633" customFormat="1" x14ac:dyDescent="0.3"/>
    <row r="634" customFormat="1" x14ac:dyDescent="0.3"/>
    <row r="635" customFormat="1" x14ac:dyDescent="0.3"/>
    <row r="636" customFormat="1" x14ac:dyDescent="0.3"/>
    <row r="637" customFormat="1" x14ac:dyDescent="0.3"/>
    <row r="638" customFormat="1" x14ac:dyDescent="0.3"/>
    <row r="639" customFormat="1" x14ac:dyDescent="0.3"/>
    <row r="640" customFormat="1" x14ac:dyDescent="0.3"/>
    <row r="641" customFormat="1" x14ac:dyDescent="0.3"/>
    <row r="642" customFormat="1" x14ac:dyDescent="0.3"/>
    <row r="643" customFormat="1" x14ac:dyDescent="0.3"/>
    <row r="644" customFormat="1" x14ac:dyDescent="0.3"/>
    <row r="645" customFormat="1" x14ac:dyDescent="0.3"/>
    <row r="646" customFormat="1" x14ac:dyDescent="0.3"/>
    <row r="647" customFormat="1" x14ac:dyDescent="0.3"/>
    <row r="648" customFormat="1" x14ac:dyDescent="0.3"/>
    <row r="649" customFormat="1" x14ac:dyDescent="0.3"/>
    <row r="650" customFormat="1" x14ac:dyDescent="0.3"/>
    <row r="651" customFormat="1" x14ac:dyDescent="0.3"/>
    <row r="652" customFormat="1" x14ac:dyDescent="0.3"/>
    <row r="653" customFormat="1" x14ac:dyDescent="0.3"/>
    <row r="654" customFormat="1" x14ac:dyDescent="0.3"/>
    <row r="655" customFormat="1" x14ac:dyDescent="0.3"/>
    <row r="656" customFormat="1" x14ac:dyDescent="0.3"/>
    <row r="657" customFormat="1" x14ac:dyDescent="0.3"/>
    <row r="658" customFormat="1" x14ac:dyDescent="0.3"/>
    <row r="659" customFormat="1" x14ac:dyDescent="0.3"/>
    <row r="660" customFormat="1" x14ac:dyDescent="0.3"/>
    <row r="661" customFormat="1" x14ac:dyDescent="0.3"/>
    <row r="662" customFormat="1" x14ac:dyDescent="0.3"/>
    <row r="663" customFormat="1" x14ac:dyDescent="0.3"/>
    <row r="664" customFormat="1" x14ac:dyDescent="0.3"/>
    <row r="665" customFormat="1" x14ac:dyDescent="0.3"/>
    <row r="666" customFormat="1" x14ac:dyDescent="0.3"/>
    <row r="667" customFormat="1" x14ac:dyDescent="0.3"/>
    <row r="668" customFormat="1" x14ac:dyDescent="0.3"/>
    <row r="669" customFormat="1" x14ac:dyDescent="0.3"/>
    <row r="670" customFormat="1" x14ac:dyDescent="0.3"/>
    <row r="671" customFormat="1" x14ac:dyDescent="0.3"/>
    <row r="672" customFormat="1" x14ac:dyDescent="0.3"/>
    <row r="673" customFormat="1" x14ac:dyDescent="0.3"/>
    <row r="674" customFormat="1" x14ac:dyDescent="0.3"/>
    <row r="675" customFormat="1" x14ac:dyDescent="0.3"/>
    <row r="676" customFormat="1" x14ac:dyDescent="0.3"/>
    <row r="677" customFormat="1" x14ac:dyDescent="0.3"/>
    <row r="678" customFormat="1" x14ac:dyDescent="0.3"/>
    <row r="679" customFormat="1" x14ac:dyDescent="0.3"/>
    <row r="680" customFormat="1" x14ac:dyDescent="0.3"/>
    <row r="681" customFormat="1" x14ac:dyDescent="0.3"/>
    <row r="682" customFormat="1" x14ac:dyDescent="0.3"/>
    <row r="683" customFormat="1" x14ac:dyDescent="0.3"/>
    <row r="684" customFormat="1" x14ac:dyDescent="0.3"/>
    <row r="685" customFormat="1" x14ac:dyDescent="0.3"/>
    <row r="686" customFormat="1" x14ac:dyDescent="0.3"/>
    <row r="687" customFormat="1" x14ac:dyDescent="0.3"/>
    <row r="688" customFormat="1" x14ac:dyDescent="0.3"/>
    <row r="689" customFormat="1" x14ac:dyDescent="0.3"/>
    <row r="690" customFormat="1" x14ac:dyDescent="0.3"/>
    <row r="691" customFormat="1" x14ac:dyDescent="0.3"/>
    <row r="692" customFormat="1" x14ac:dyDescent="0.3"/>
    <row r="693" customFormat="1" x14ac:dyDescent="0.3"/>
    <row r="694" customFormat="1" x14ac:dyDescent="0.3"/>
    <row r="695" customFormat="1" x14ac:dyDescent="0.3"/>
    <row r="696" customFormat="1" x14ac:dyDescent="0.3"/>
    <row r="697" customFormat="1" x14ac:dyDescent="0.3"/>
    <row r="698" customFormat="1" x14ac:dyDescent="0.3"/>
    <row r="699" customFormat="1" x14ac:dyDescent="0.3"/>
    <row r="700" customFormat="1" x14ac:dyDescent="0.3"/>
    <row r="701" customFormat="1" x14ac:dyDescent="0.3"/>
    <row r="702" customFormat="1" x14ac:dyDescent="0.3"/>
    <row r="703" customFormat="1" x14ac:dyDescent="0.3"/>
    <row r="704" customFormat="1" x14ac:dyDescent="0.3"/>
    <row r="705" customFormat="1" x14ac:dyDescent="0.3"/>
    <row r="706" customFormat="1" x14ac:dyDescent="0.3"/>
    <row r="707" customFormat="1" x14ac:dyDescent="0.3"/>
    <row r="708" customFormat="1" x14ac:dyDescent="0.3"/>
    <row r="709" customFormat="1" x14ac:dyDescent="0.3"/>
    <row r="710" customFormat="1" x14ac:dyDescent="0.3"/>
    <row r="711" customFormat="1" x14ac:dyDescent="0.3"/>
    <row r="712" customFormat="1" x14ac:dyDescent="0.3"/>
    <row r="713" customFormat="1" x14ac:dyDescent="0.3"/>
    <row r="714" customFormat="1" x14ac:dyDescent="0.3"/>
    <row r="715" customFormat="1" x14ac:dyDescent="0.3"/>
    <row r="716" customFormat="1" x14ac:dyDescent="0.3"/>
    <row r="717" customFormat="1" x14ac:dyDescent="0.3"/>
    <row r="718" customFormat="1" x14ac:dyDescent="0.3"/>
    <row r="719" customFormat="1" x14ac:dyDescent="0.3"/>
    <row r="720" customFormat="1" x14ac:dyDescent="0.3"/>
    <row r="721" customFormat="1" x14ac:dyDescent="0.3"/>
    <row r="722" customFormat="1" x14ac:dyDescent="0.3"/>
    <row r="723" customFormat="1" x14ac:dyDescent="0.3"/>
    <row r="724" customFormat="1" x14ac:dyDescent="0.3"/>
    <row r="725" customFormat="1" x14ac:dyDescent="0.3"/>
    <row r="726" customFormat="1" x14ac:dyDescent="0.3"/>
    <row r="727" customFormat="1" x14ac:dyDescent="0.3"/>
    <row r="728" customFormat="1" x14ac:dyDescent="0.3"/>
    <row r="729" customFormat="1" x14ac:dyDescent="0.3"/>
    <row r="730" customFormat="1" x14ac:dyDescent="0.3"/>
    <row r="731" customFormat="1" x14ac:dyDescent="0.3"/>
    <row r="732" customFormat="1" x14ac:dyDescent="0.3"/>
    <row r="733" customFormat="1" x14ac:dyDescent="0.3"/>
    <row r="734" customFormat="1" x14ac:dyDescent="0.3"/>
    <row r="735" customFormat="1" x14ac:dyDescent="0.3"/>
    <row r="736" customFormat="1" x14ac:dyDescent="0.3"/>
    <row r="737" customFormat="1" x14ac:dyDescent="0.3"/>
    <row r="738" customFormat="1" x14ac:dyDescent="0.3"/>
    <row r="739" customFormat="1" x14ac:dyDescent="0.3"/>
    <row r="740" customFormat="1" x14ac:dyDescent="0.3"/>
    <row r="741" customFormat="1" x14ac:dyDescent="0.3"/>
    <row r="742" customFormat="1" x14ac:dyDescent="0.3"/>
    <row r="743" customFormat="1" x14ac:dyDescent="0.3"/>
    <row r="744" customFormat="1" x14ac:dyDescent="0.3"/>
    <row r="745" customFormat="1" x14ac:dyDescent="0.3"/>
    <row r="746" customFormat="1" x14ac:dyDescent="0.3"/>
    <row r="747" customFormat="1" x14ac:dyDescent="0.3"/>
    <row r="748" customFormat="1" x14ac:dyDescent="0.3"/>
    <row r="749" customFormat="1" x14ac:dyDescent="0.3"/>
    <row r="750" customFormat="1" x14ac:dyDescent="0.3"/>
    <row r="751" customFormat="1" x14ac:dyDescent="0.3"/>
    <row r="752" customFormat="1" x14ac:dyDescent="0.3"/>
    <row r="753" customFormat="1" x14ac:dyDescent="0.3"/>
    <row r="754" customFormat="1" x14ac:dyDescent="0.3"/>
    <row r="755" customFormat="1" x14ac:dyDescent="0.3"/>
    <row r="756" customFormat="1" x14ac:dyDescent="0.3"/>
    <row r="757" customFormat="1" x14ac:dyDescent="0.3"/>
    <row r="758" customFormat="1" x14ac:dyDescent="0.3"/>
    <row r="759" customFormat="1" x14ac:dyDescent="0.3"/>
    <row r="760" customFormat="1" x14ac:dyDescent="0.3"/>
    <row r="761" customFormat="1" x14ac:dyDescent="0.3"/>
    <row r="762" customFormat="1" x14ac:dyDescent="0.3"/>
    <row r="763" customFormat="1" x14ac:dyDescent="0.3"/>
    <row r="764" customFormat="1" x14ac:dyDescent="0.3"/>
    <row r="765" customFormat="1" x14ac:dyDescent="0.3"/>
    <row r="766" customFormat="1" x14ac:dyDescent="0.3"/>
    <row r="767" customFormat="1" x14ac:dyDescent="0.3"/>
    <row r="768" customFormat="1" x14ac:dyDescent="0.3"/>
    <row r="769" customFormat="1" x14ac:dyDescent="0.3"/>
    <row r="770" customFormat="1" x14ac:dyDescent="0.3"/>
    <row r="771" customFormat="1" x14ac:dyDescent="0.3"/>
    <row r="772" customFormat="1" x14ac:dyDescent="0.3"/>
    <row r="773" customFormat="1" x14ac:dyDescent="0.3"/>
    <row r="774" customFormat="1" x14ac:dyDescent="0.3"/>
    <row r="775" customFormat="1" x14ac:dyDescent="0.3"/>
    <row r="776" customFormat="1" x14ac:dyDescent="0.3"/>
    <row r="777" customFormat="1" x14ac:dyDescent="0.3"/>
    <row r="778" customFormat="1" x14ac:dyDescent="0.3"/>
    <row r="779" customFormat="1" x14ac:dyDescent="0.3"/>
    <row r="780" customFormat="1" x14ac:dyDescent="0.3"/>
    <row r="781" customFormat="1" x14ac:dyDescent="0.3"/>
    <row r="782" customFormat="1" x14ac:dyDescent="0.3"/>
    <row r="783" customFormat="1" x14ac:dyDescent="0.3"/>
    <row r="784" customFormat="1" x14ac:dyDescent="0.3"/>
    <row r="785" customFormat="1" x14ac:dyDescent="0.3"/>
    <row r="786" customFormat="1" x14ac:dyDescent="0.3"/>
    <row r="787" customFormat="1" x14ac:dyDescent="0.3"/>
    <row r="788" customFormat="1" x14ac:dyDescent="0.3"/>
    <row r="789" customFormat="1" x14ac:dyDescent="0.3"/>
    <row r="790" customFormat="1" x14ac:dyDescent="0.3"/>
    <row r="791" customFormat="1" x14ac:dyDescent="0.3"/>
    <row r="792" customFormat="1" x14ac:dyDescent="0.3"/>
    <row r="793" customFormat="1" x14ac:dyDescent="0.3"/>
    <row r="794" customFormat="1" x14ac:dyDescent="0.3"/>
    <row r="795" customFormat="1" x14ac:dyDescent="0.3"/>
    <row r="796" customFormat="1" x14ac:dyDescent="0.3"/>
    <row r="797" customFormat="1" x14ac:dyDescent="0.3"/>
    <row r="798" customFormat="1" x14ac:dyDescent="0.3"/>
    <row r="799" customFormat="1" x14ac:dyDescent="0.3"/>
    <row r="800" customFormat="1" x14ac:dyDescent="0.3"/>
    <row r="801" customFormat="1" x14ac:dyDescent="0.3"/>
    <row r="802" customFormat="1" x14ac:dyDescent="0.3"/>
    <row r="803" customFormat="1" x14ac:dyDescent="0.3"/>
    <row r="804" customFormat="1" x14ac:dyDescent="0.3"/>
    <row r="805" customFormat="1" x14ac:dyDescent="0.3"/>
    <row r="806" customFormat="1" x14ac:dyDescent="0.3"/>
    <row r="807" customFormat="1" x14ac:dyDescent="0.3"/>
    <row r="808" customFormat="1" x14ac:dyDescent="0.3"/>
    <row r="809" customFormat="1" x14ac:dyDescent="0.3"/>
    <row r="810" customFormat="1" x14ac:dyDescent="0.3"/>
    <row r="811" customFormat="1" x14ac:dyDescent="0.3"/>
    <row r="812" customFormat="1" x14ac:dyDescent="0.3"/>
    <row r="813" customFormat="1" x14ac:dyDescent="0.3"/>
    <row r="814" customFormat="1" x14ac:dyDescent="0.3"/>
    <row r="815" customFormat="1" x14ac:dyDescent="0.3"/>
    <row r="816" customFormat="1" x14ac:dyDescent="0.3"/>
    <row r="817" customFormat="1" x14ac:dyDescent="0.3"/>
    <row r="818" customFormat="1" x14ac:dyDescent="0.3"/>
    <row r="819" customFormat="1" x14ac:dyDescent="0.3"/>
    <row r="820" customFormat="1" x14ac:dyDescent="0.3"/>
    <row r="821" customFormat="1" x14ac:dyDescent="0.3"/>
    <row r="822" customFormat="1" x14ac:dyDescent="0.3"/>
    <row r="823" customFormat="1" x14ac:dyDescent="0.3"/>
    <row r="824" customFormat="1" x14ac:dyDescent="0.3"/>
    <row r="825" customFormat="1" x14ac:dyDescent="0.3"/>
    <row r="826" customFormat="1" x14ac:dyDescent="0.3"/>
    <row r="827" customFormat="1" x14ac:dyDescent="0.3"/>
    <row r="828" customFormat="1" x14ac:dyDescent="0.3"/>
    <row r="829" customFormat="1" x14ac:dyDescent="0.3"/>
    <row r="830" customFormat="1" x14ac:dyDescent="0.3"/>
    <row r="831" customFormat="1" x14ac:dyDescent="0.3"/>
    <row r="832" customFormat="1" x14ac:dyDescent="0.3"/>
    <row r="833" customFormat="1" x14ac:dyDescent="0.3"/>
    <row r="834" customFormat="1" x14ac:dyDescent="0.3"/>
    <row r="835" customFormat="1" x14ac:dyDescent="0.3"/>
    <row r="836" customFormat="1" x14ac:dyDescent="0.3"/>
    <row r="837" customFormat="1" x14ac:dyDescent="0.3"/>
    <row r="838" customFormat="1" x14ac:dyDescent="0.3"/>
    <row r="839" customFormat="1" x14ac:dyDescent="0.3"/>
    <row r="840" customFormat="1" x14ac:dyDescent="0.3"/>
    <row r="841" customFormat="1" x14ac:dyDescent="0.3"/>
    <row r="842" customFormat="1" x14ac:dyDescent="0.3"/>
    <row r="843" customFormat="1" x14ac:dyDescent="0.3"/>
    <row r="844" customFormat="1" x14ac:dyDescent="0.3"/>
    <row r="845" customFormat="1" x14ac:dyDescent="0.3"/>
    <row r="846" customFormat="1" x14ac:dyDescent="0.3"/>
    <row r="847" customFormat="1" x14ac:dyDescent="0.3"/>
    <row r="848" customFormat="1" x14ac:dyDescent="0.3"/>
    <row r="849" customFormat="1" x14ac:dyDescent="0.3"/>
    <row r="850" customFormat="1" x14ac:dyDescent="0.3"/>
    <row r="851" customFormat="1" x14ac:dyDescent="0.3"/>
    <row r="852" customFormat="1" x14ac:dyDescent="0.3"/>
    <row r="853" customFormat="1" x14ac:dyDescent="0.3"/>
    <row r="854" customFormat="1" x14ac:dyDescent="0.3"/>
    <row r="855" customFormat="1" x14ac:dyDescent="0.3"/>
    <row r="856" customFormat="1" x14ac:dyDescent="0.3"/>
    <row r="857" customFormat="1" x14ac:dyDescent="0.3"/>
    <row r="858" customFormat="1" x14ac:dyDescent="0.3"/>
    <row r="859" customFormat="1" x14ac:dyDescent="0.3"/>
    <row r="860" customFormat="1" x14ac:dyDescent="0.3"/>
    <row r="861" customFormat="1" x14ac:dyDescent="0.3"/>
    <row r="862" customFormat="1" x14ac:dyDescent="0.3"/>
    <row r="863" customFormat="1" x14ac:dyDescent="0.3"/>
    <row r="864" customFormat="1" x14ac:dyDescent="0.3"/>
    <row r="865" customFormat="1" x14ac:dyDescent="0.3"/>
    <row r="866" customFormat="1" x14ac:dyDescent="0.3"/>
    <row r="867" customFormat="1" x14ac:dyDescent="0.3"/>
    <row r="868" customFormat="1" x14ac:dyDescent="0.3"/>
    <row r="869" customFormat="1" x14ac:dyDescent="0.3"/>
    <row r="870" customFormat="1" x14ac:dyDescent="0.3"/>
    <row r="871" customFormat="1" x14ac:dyDescent="0.3"/>
    <row r="872" customFormat="1" x14ac:dyDescent="0.3"/>
    <row r="873" customFormat="1" x14ac:dyDescent="0.3"/>
    <row r="874" customFormat="1" x14ac:dyDescent="0.3"/>
    <row r="875" customFormat="1" x14ac:dyDescent="0.3"/>
    <row r="876" customFormat="1" x14ac:dyDescent="0.3"/>
    <row r="877" customFormat="1" x14ac:dyDescent="0.3"/>
    <row r="878" customFormat="1" x14ac:dyDescent="0.3"/>
    <row r="879" customFormat="1" x14ac:dyDescent="0.3"/>
    <row r="880" customFormat="1" x14ac:dyDescent="0.3"/>
    <row r="881" customFormat="1" x14ac:dyDescent="0.3"/>
    <row r="882" customFormat="1" x14ac:dyDescent="0.3"/>
    <row r="883" customFormat="1" x14ac:dyDescent="0.3"/>
    <row r="884" customFormat="1" x14ac:dyDescent="0.3"/>
    <row r="885" customFormat="1" x14ac:dyDescent="0.3"/>
    <row r="886" customFormat="1" x14ac:dyDescent="0.3"/>
    <row r="887" customFormat="1" x14ac:dyDescent="0.3"/>
    <row r="888" customFormat="1" x14ac:dyDescent="0.3"/>
    <row r="889" customFormat="1" x14ac:dyDescent="0.3"/>
    <row r="890" customFormat="1" x14ac:dyDescent="0.3"/>
    <row r="891" customFormat="1" x14ac:dyDescent="0.3"/>
    <row r="892" customFormat="1" x14ac:dyDescent="0.3"/>
    <row r="893" customFormat="1" x14ac:dyDescent="0.3"/>
    <row r="894" customFormat="1" x14ac:dyDescent="0.3"/>
    <row r="895" customFormat="1" x14ac:dyDescent="0.3"/>
    <row r="896" customFormat="1" x14ac:dyDescent="0.3"/>
    <row r="897" customFormat="1" x14ac:dyDescent="0.3"/>
    <row r="898" customFormat="1" x14ac:dyDescent="0.3"/>
    <row r="899" customFormat="1" x14ac:dyDescent="0.3"/>
    <row r="900" customFormat="1" x14ac:dyDescent="0.3"/>
    <row r="901" customFormat="1" x14ac:dyDescent="0.3"/>
    <row r="902" customFormat="1" x14ac:dyDescent="0.3"/>
    <row r="903" customFormat="1" x14ac:dyDescent="0.3"/>
    <row r="904" customFormat="1" x14ac:dyDescent="0.3"/>
    <row r="905" customFormat="1" x14ac:dyDescent="0.3"/>
    <row r="906" customFormat="1" x14ac:dyDescent="0.3"/>
    <row r="907" customFormat="1" x14ac:dyDescent="0.3"/>
    <row r="908" customFormat="1" x14ac:dyDescent="0.3"/>
    <row r="909" customFormat="1" x14ac:dyDescent="0.3"/>
    <row r="910" customFormat="1" x14ac:dyDescent="0.3"/>
    <row r="911" customFormat="1" x14ac:dyDescent="0.3"/>
    <row r="912" customFormat="1" x14ac:dyDescent="0.3"/>
    <row r="913" customFormat="1" x14ac:dyDescent="0.3"/>
    <row r="914" customFormat="1" x14ac:dyDescent="0.3"/>
    <row r="915" customFormat="1" x14ac:dyDescent="0.3"/>
    <row r="916" customFormat="1" x14ac:dyDescent="0.3"/>
    <row r="917" customFormat="1" x14ac:dyDescent="0.3"/>
    <row r="918" customFormat="1" x14ac:dyDescent="0.3"/>
    <row r="919" customFormat="1" x14ac:dyDescent="0.3"/>
    <row r="920" customFormat="1" x14ac:dyDescent="0.3"/>
    <row r="921" customFormat="1" x14ac:dyDescent="0.3"/>
    <row r="922" customFormat="1" x14ac:dyDescent="0.3"/>
    <row r="923" customFormat="1" x14ac:dyDescent="0.3"/>
    <row r="924" customFormat="1" x14ac:dyDescent="0.3"/>
    <row r="925" customFormat="1" x14ac:dyDescent="0.3"/>
    <row r="926" customFormat="1" x14ac:dyDescent="0.3"/>
    <row r="927" customFormat="1" x14ac:dyDescent="0.3"/>
    <row r="928" customFormat="1" x14ac:dyDescent="0.3"/>
    <row r="929" customFormat="1" x14ac:dyDescent="0.3"/>
    <row r="930" customFormat="1" x14ac:dyDescent="0.3"/>
    <row r="931" customFormat="1" x14ac:dyDescent="0.3"/>
    <row r="932" customFormat="1" x14ac:dyDescent="0.3"/>
    <row r="933" customFormat="1" x14ac:dyDescent="0.3"/>
    <row r="934" customFormat="1" x14ac:dyDescent="0.3"/>
    <row r="935" customFormat="1" x14ac:dyDescent="0.3"/>
    <row r="936" customFormat="1" x14ac:dyDescent="0.3"/>
    <row r="937" customFormat="1" x14ac:dyDescent="0.3"/>
    <row r="938" customFormat="1" x14ac:dyDescent="0.3"/>
    <row r="939" customFormat="1" x14ac:dyDescent="0.3"/>
    <row r="940" customFormat="1" x14ac:dyDescent="0.3"/>
    <row r="941" customFormat="1" x14ac:dyDescent="0.3"/>
    <row r="942" customFormat="1" x14ac:dyDescent="0.3"/>
    <row r="943" customFormat="1" x14ac:dyDescent="0.3"/>
    <row r="944" customFormat="1" x14ac:dyDescent="0.3"/>
    <row r="945" customFormat="1" x14ac:dyDescent="0.3"/>
    <row r="946" customFormat="1" x14ac:dyDescent="0.3"/>
    <row r="947" customFormat="1" x14ac:dyDescent="0.3"/>
    <row r="948" customFormat="1" x14ac:dyDescent="0.3"/>
    <row r="949" customFormat="1" x14ac:dyDescent="0.3"/>
    <row r="950" customFormat="1" x14ac:dyDescent="0.3"/>
    <row r="951" customFormat="1" x14ac:dyDescent="0.3"/>
    <row r="952" customFormat="1" x14ac:dyDescent="0.3"/>
    <row r="953" customFormat="1" x14ac:dyDescent="0.3"/>
    <row r="954" customFormat="1" x14ac:dyDescent="0.3"/>
    <row r="955" customFormat="1" x14ac:dyDescent="0.3"/>
    <row r="956" customFormat="1" x14ac:dyDescent="0.3"/>
    <row r="957" customFormat="1" x14ac:dyDescent="0.3"/>
    <row r="958" customFormat="1" x14ac:dyDescent="0.3"/>
    <row r="959" customFormat="1" x14ac:dyDescent="0.3"/>
    <row r="960" customFormat="1" x14ac:dyDescent="0.3"/>
    <row r="961" customFormat="1" x14ac:dyDescent="0.3"/>
    <row r="962" customFormat="1" x14ac:dyDescent="0.3"/>
    <row r="963" customFormat="1" x14ac:dyDescent="0.3"/>
    <row r="964" customFormat="1" x14ac:dyDescent="0.3"/>
    <row r="965" customFormat="1" x14ac:dyDescent="0.3"/>
    <row r="966" customFormat="1" x14ac:dyDescent="0.3"/>
    <row r="967" customFormat="1" x14ac:dyDescent="0.3"/>
    <row r="968" customFormat="1" x14ac:dyDescent="0.3"/>
    <row r="969" customFormat="1" x14ac:dyDescent="0.3"/>
    <row r="970" customFormat="1" x14ac:dyDescent="0.3"/>
    <row r="971" customFormat="1" x14ac:dyDescent="0.3"/>
    <row r="972" customFormat="1" x14ac:dyDescent="0.3"/>
    <row r="973" customFormat="1" x14ac:dyDescent="0.3"/>
    <row r="974" customFormat="1" x14ac:dyDescent="0.3"/>
    <row r="975" customFormat="1" x14ac:dyDescent="0.3"/>
    <row r="976" customFormat="1" x14ac:dyDescent="0.3"/>
    <row r="977" customFormat="1" x14ac:dyDescent="0.3"/>
    <row r="978" customFormat="1" x14ac:dyDescent="0.3"/>
    <row r="979" customFormat="1" x14ac:dyDescent="0.3"/>
    <row r="980" customFormat="1" x14ac:dyDescent="0.3"/>
    <row r="981" customFormat="1" x14ac:dyDescent="0.3"/>
    <row r="982" customFormat="1" x14ac:dyDescent="0.3"/>
    <row r="983" customFormat="1" x14ac:dyDescent="0.3"/>
    <row r="984" customFormat="1" x14ac:dyDescent="0.3"/>
    <row r="985" customFormat="1" x14ac:dyDescent="0.3"/>
    <row r="986" customFormat="1" x14ac:dyDescent="0.3"/>
    <row r="987" customFormat="1" x14ac:dyDescent="0.3"/>
    <row r="988" customFormat="1" x14ac:dyDescent="0.3"/>
    <row r="989" customFormat="1" x14ac:dyDescent="0.3"/>
    <row r="990" customFormat="1" x14ac:dyDescent="0.3"/>
    <row r="991" customFormat="1" x14ac:dyDescent="0.3"/>
    <row r="992" customFormat="1" x14ac:dyDescent="0.3"/>
    <row r="993" customFormat="1" x14ac:dyDescent="0.3"/>
    <row r="994" customFormat="1" x14ac:dyDescent="0.3"/>
    <row r="995" customFormat="1" x14ac:dyDescent="0.3"/>
    <row r="996" customFormat="1" x14ac:dyDescent="0.3"/>
    <row r="997" customFormat="1" x14ac:dyDescent="0.3"/>
    <row r="998" customFormat="1" x14ac:dyDescent="0.3"/>
    <row r="999" customFormat="1" x14ac:dyDescent="0.3"/>
    <row r="1000" customFormat="1" x14ac:dyDescent="0.3"/>
    <row r="1001" customFormat="1" x14ac:dyDescent="0.3"/>
    <row r="1002" customFormat="1" x14ac:dyDescent="0.3"/>
    <row r="1003" customFormat="1" x14ac:dyDescent="0.3"/>
    <row r="1004" customFormat="1" x14ac:dyDescent="0.3"/>
    <row r="1005" customFormat="1" x14ac:dyDescent="0.3"/>
    <row r="1006" customFormat="1" x14ac:dyDescent="0.3"/>
    <row r="1007" customFormat="1" x14ac:dyDescent="0.3"/>
    <row r="1008" customFormat="1" x14ac:dyDescent="0.3"/>
    <row r="1009" customFormat="1" x14ac:dyDescent="0.3"/>
    <row r="1010" customFormat="1" x14ac:dyDescent="0.3"/>
    <row r="1011" customFormat="1" x14ac:dyDescent="0.3"/>
    <row r="1012" customFormat="1" x14ac:dyDescent="0.3"/>
    <row r="1013" customFormat="1" x14ac:dyDescent="0.3"/>
    <row r="1014" customFormat="1" x14ac:dyDescent="0.3"/>
    <row r="1015" customFormat="1" x14ac:dyDescent="0.3"/>
    <row r="1016" customFormat="1" x14ac:dyDescent="0.3"/>
    <row r="1017" customFormat="1" x14ac:dyDescent="0.3"/>
    <row r="1018" customFormat="1" x14ac:dyDescent="0.3"/>
    <row r="1019" customFormat="1" x14ac:dyDescent="0.3"/>
    <row r="1020" customFormat="1" x14ac:dyDescent="0.3"/>
    <row r="1021" customFormat="1" x14ac:dyDescent="0.3"/>
    <row r="1022" customFormat="1" x14ac:dyDescent="0.3"/>
    <row r="1023" customFormat="1" x14ac:dyDescent="0.3"/>
    <row r="1024" customFormat="1" x14ac:dyDescent="0.3"/>
    <row r="1025" customFormat="1" x14ac:dyDescent="0.3"/>
    <row r="1026" customFormat="1" x14ac:dyDescent="0.3"/>
    <row r="1027" customFormat="1" x14ac:dyDescent="0.3"/>
    <row r="1028" customFormat="1" x14ac:dyDescent="0.3"/>
    <row r="1029" customFormat="1" x14ac:dyDescent="0.3"/>
    <row r="1030" customFormat="1" x14ac:dyDescent="0.3"/>
    <row r="1031" customFormat="1" x14ac:dyDescent="0.3"/>
    <row r="1032" customFormat="1" x14ac:dyDescent="0.3"/>
    <row r="1033" customFormat="1" x14ac:dyDescent="0.3"/>
    <row r="1034" customFormat="1" x14ac:dyDescent="0.3"/>
    <row r="1035" customFormat="1" x14ac:dyDescent="0.3"/>
    <row r="1036" customFormat="1" x14ac:dyDescent="0.3"/>
    <row r="1037" customFormat="1" x14ac:dyDescent="0.3"/>
    <row r="1038" customFormat="1" x14ac:dyDescent="0.3"/>
    <row r="1039" customFormat="1" x14ac:dyDescent="0.3"/>
    <row r="1040" customFormat="1" x14ac:dyDescent="0.3"/>
    <row r="1041" customFormat="1" x14ac:dyDescent="0.3"/>
    <row r="1042" customFormat="1" x14ac:dyDescent="0.3"/>
    <row r="1043" customFormat="1" x14ac:dyDescent="0.3"/>
    <row r="1044" customFormat="1" x14ac:dyDescent="0.3"/>
    <row r="1045" customFormat="1" x14ac:dyDescent="0.3"/>
    <row r="1046" customFormat="1" x14ac:dyDescent="0.3"/>
    <row r="1047" customFormat="1" x14ac:dyDescent="0.3"/>
    <row r="1048" customFormat="1" x14ac:dyDescent="0.3"/>
    <row r="1049" customFormat="1" x14ac:dyDescent="0.3"/>
    <row r="1050" customFormat="1" x14ac:dyDescent="0.3"/>
    <row r="1051" customFormat="1" x14ac:dyDescent="0.3"/>
    <row r="1052" customFormat="1" x14ac:dyDescent="0.3"/>
    <row r="1053" customFormat="1" x14ac:dyDescent="0.3"/>
    <row r="1054" customFormat="1" x14ac:dyDescent="0.3"/>
    <row r="1055" customFormat="1" x14ac:dyDescent="0.3"/>
    <row r="1056" customFormat="1" x14ac:dyDescent="0.3"/>
    <row r="1057" customFormat="1" x14ac:dyDescent="0.3"/>
    <row r="1058" customFormat="1" x14ac:dyDescent="0.3"/>
    <row r="1059" customFormat="1" x14ac:dyDescent="0.3"/>
    <row r="1060" customFormat="1" x14ac:dyDescent="0.3"/>
    <row r="1061" customFormat="1" x14ac:dyDescent="0.3"/>
    <row r="1062" customFormat="1" x14ac:dyDescent="0.3"/>
    <row r="1063" customFormat="1" x14ac:dyDescent="0.3"/>
    <row r="1064" customFormat="1" x14ac:dyDescent="0.3"/>
    <row r="1065" customFormat="1" x14ac:dyDescent="0.3"/>
    <row r="1066" customFormat="1" x14ac:dyDescent="0.3"/>
    <row r="1067" customFormat="1" x14ac:dyDescent="0.3"/>
    <row r="1068" customFormat="1" x14ac:dyDescent="0.3"/>
    <row r="1069" customFormat="1" x14ac:dyDescent="0.3"/>
    <row r="1070" customFormat="1" x14ac:dyDescent="0.3"/>
    <row r="1071" customFormat="1" x14ac:dyDescent="0.3"/>
    <row r="1072" customFormat="1" x14ac:dyDescent="0.3"/>
    <row r="1073" customFormat="1" x14ac:dyDescent="0.3"/>
    <row r="1074" customFormat="1" x14ac:dyDescent="0.3"/>
    <row r="1075" customFormat="1" x14ac:dyDescent="0.3"/>
    <row r="1076" customFormat="1" x14ac:dyDescent="0.3"/>
    <row r="1077" customFormat="1" x14ac:dyDescent="0.3"/>
    <row r="1078" customFormat="1" x14ac:dyDescent="0.3"/>
    <row r="1079" customFormat="1" x14ac:dyDescent="0.3"/>
    <row r="1080" customFormat="1" x14ac:dyDescent="0.3"/>
    <row r="1081" customFormat="1" x14ac:dyDescent="0.3"/>
    <row r="1082" customFormat="1" x14ac:dyDescent="0.3"/>
    <row r="1083" customFormat="1" x14ac:dyDescent="0.3"/>
    <row r="1084" customFormat="1" x14ac:dyDescent="0.3"/>
    <row r="1085" customFormat="1" x14ac:dyDescent="0.3"/>
    <row r="1086" customFormat="1" x14ac:dyDescent="0.3"/>
    <row r="1087" customFormat="1" x14ac:dyDescent="0.3"/>
    <row r="1088" customFormat="1" x14ac:dyDescent="0.3"/>
    <row r="1089" customFormat="1" x14ac:dyDescent="0.3"/>
    <row r="1090" customFormat="1" x14ac:dyDescent="0.3"/>
    <row r="1091" customFormat="1" x14ac:dyDescent="0.3"/>
    <row r="1092" customFormat="1" x14ac:dyDescent="0.3"/>
    <row r="1093" customFormat="1" x14ac:dyDescent="0.3"/>
    <row r="1094" customFormat="1" x14ac:dyDescent="0.3"/>
    <row r="1095" customFormat="1" x14ac:dyDescent="0.3"/>
    <row r="1096" customFormat="1" x14ac:dyDescent="0.3"/>
    <row r="1097" customFormat="1" x14ac:dyDescent="0.3"/>
    <row r="1098" customFormat="1" x14ac:dyDescent="0.3"/>
    <row r="1099" customFormat="1" x14ac:dyDescent="0.3"/>
    <row r="1100" customFormat="1" x14ac:dyDescent="0.3"/>
    <row r="1101" customFormat="1" x14ac:dyDescent="0.3"/>
    <row r="1102" customFormat="1" x14ac:dyDescent="0.3"/>
    <row r="1103" customFormat="1" x14ac:dyDescent="0.3"/>
    <row r="1104" customFormat="1" x14ac:dyDescent="0.3"/>
    <row r="1105" customFormat="1" x14ac:dyDescent="0.3"/>
    <row r="1106" customFormat="1" x14ac:dyDescent="0.3"/>
    <row r="1107" customFormat="1" x14ac:dyDescent="0.3"/>
    <row r="1108" customFormat="1" x14ac:dyDescent="0.3"/>
    <row r="1109" customFormat="1" x14ac:dyDescent="0.3"/>
    <row r="1110" customFormat="1" x14ac:dyDescent="0.3"/>
    <row r="1111" customFormat="1" x14ac:dyDescent="0.3"/>
    <row r="1112" customFormat="1" x14ac:dyDescent="0.3"/>
    <row r="1113" customFormat="1" x14ac:dyDescent="0.3"/>
    <row r="1114" customFormat="1" x14ac:dyDescent="0.3"/>
    <row r="1115" customFormat="1" x14ac:dyDescent="0.3"/>
    <row r="1116" customFormat="1" x14ac:dyDescent="0.3"/>
    <row r="1117" customFormat="1" x14ac:dyDescent="0.3"/>
    <row r="1118" customFormat="1" x14ac:dyDescent="0.3"/>
    <row r="1119" customFormat="1" x14ac:dyDescent="0.3"/>
    <row r="1120" customFormat="1" x14ac:dyDescent="0.3"/>
    <row r="1121" customFormat="1" x14ac:dyDescent="0.3"/>
    <row r="1122" customFormat="1" x14ac:dyDescent="0.3"/>
    <row r="1123" customFormat="1" x14ac:dyDescent="0.3"/>
    <row r="1124" customFormat="1" x14ac:dyDescent="0.3"/>
    <row r="1125" customFormat="1" x14ac:dyDescent="0.3"/>
    <row r="1126" customFormat="1" x14ac:dyDescent="0.3"/>
    <row r="1127" customFormat="1" x14ac:dyDescent="0.3"/>
    <row r="1128" customFormat="1" x14ac:dyDescent="0.3"/>
    <row r="1129" customFormat="1" x14ac:dyDescent="0.3"/>
    <row r="1130" customFormat="1" x14ac:dyDescent="0.3"/>
    <row r="1131" customFormat="1" x14ac:dyDescent="0.3"/>
    <row r="1132" customFormat="1" x14ac:dyDescent="0.3"/>
    <row r="1133" customFormat="1" x14ac:dyDescent="0.3"/>
    <row r="1134" customFormat="1" x14ac:dyDescent="0.3"/>
    <row r="1135" customFormat="1" x14ac:dyDescent="0.3"/>
    <row r="1136" customFormat="1" x14ac:dyDescent="0.3"/>
    <row r="1137" customFormat="1" x14ac:dyDescent="0.3"/>
    <row r="1138" customFormat="1" x14ac:dyDescent="0.3"/>
    <row r="1139" customFormat="1" x14ac:dyDescent="0.3"/>
    <row r="1140" customFormat="1" x14ac:dyDescent="0.3"/>
    <row r="1141" customFormat="1" x14ac:dyDescent="0.3"/>
    <row r="1142" customFormat="1" x14ac:dyDescent="0.3"/>
    <row r="1143" customFormat="1" x14ac:dyDescent="0.3"/>
    <row r="1144" customFormat="1" x14ac:dyDescent="0.3"/>
    <row r="1145" customFormat="1" x14ac:dyDescent="0.3"/>
    <row r="1146" customFormat="1" x14ac:dyDescent="0.3"/>
    <row r="1147" customFormat="1" x14ac:dyDescent="0.3"/>
    <row r="1148" customFormat="1" x14ac:dyDescent="0.3"/>
    <row r="1149" customFormat="1" x14ac:dyDescent="0.3"/>
    <row r="1150" customFormat="1" x14ac:dyDescent="0.3"/>
    <row r="1151" customFormat="1" x14ac:dyDescent="0.3"/>
    <row r="1152" customFormat="1" x14ac:dyDescent="0.3"/>
    <row r="1153" customFormat="1" x14ac:dyDescent="0.3"/>
    <row r="1154" customFormat="1" x14ac:dyDescent="0.3"/>
    <row r="1155" customFormat="1" x14ac:dyDescent="0.3"/>
    <row r="1156" customFormat="1" x14ac:dyDescent="0.3"/>
    <row r="1157" customFormat="1" x14ac:dyDescent="0.3"/>
    <row r="1158" customFormat="1" x14ac:dyDescent="0.3"/>
    <row r="1159" customFormat="1" x14ac:dyDescent="0.3"/>
    <row r="1160" customFormat="1" x14ac:dyDescent="0.3"/>
    <row r="1161" customFormat="1" x14ac:dyDescent="0.3"/>
    <row r="1162" customFormat="1" x14ac:dyDescent="0.3"/>
    <row r="1163" customFormat="1" x14ac:dyDescent="0.3"/>
    <row r="1164" customFormat="1" x14ac:dyDescent="0.3"/>
    <row r="1165" customFormat="1" x14ac:dyDescent="0.3"/>
    <row r="1166" customFormat="1" x14ac:dyDescent="0.3"/>
    <row r="1167" customFormat="1" x14ac:dyDescent="0.3"/>
    <row r="1168" customFormat="1" x14ac:dyDescent="0.3"/>
    <row r="1169" customFormat="1" x14ac:dyDescent="0.3"/>
    <row r="1170" customFormat="1" x14ac:dyDescent="0.3"/>
    <row r="1171" customFormat="1" x14ac:dyDescent="0.3"/>
    <row r="1172" customFormat="1" x14ac:dyDescent="0.3"/>
    <row r="1173" customFormat="1" x14ac:dyDescent="0.3"/>
    <row r="1174" customFormat="1" x14ac:dyDescent="0.3"/>
    <row r="1175" customFormat="1" x14ac:dyDescent="0.3"/>
    <row r="1176" customFormat="1" x14ac:dyDescent="0.3"/>
    <row r="1177" customFormat="1" x14ac:dyDescent="0.3"/>
    <row r="1178" customFormat="1" x14ac:dyDescent="0.3"/>
    <row r="1179" customFormat="1" x14ac:dyDescent="0.3"/>
    <row r="1180" customFormat="1" x14ac:dyDescent="0.3"/>
    <row r="1181" customFormat="1" x14ac:dyDescent="0.3"/>
    <row r="1182" customFormat="1" x14ac:dyDescent="0.3"/>
    <row r="1183" customFormat="1" x14ac:dyDescent="0.3"/>
    <row r="1184" customFormat="1" x14ac:dyDescent="0.3"/>
    <row r="1185" customFormat="1" x14ac:dyDescent="0.3"/>
    <row r="1186" customFormat="1" x14ac:dyDescent="0.3"/>
    <row r="1187" customFormat="1" x14ac:dyDescent="0.3"/>
    <row r="1188" customFormat="1" x14ac:dyDescent="0.3"/>
    <row r="1189" customFormat="1" x14ac:dyDescent="0.3"/>
    <row r="1190" customFormat="1" x14ac:dyDescent="0.3"/>
    <row r="1191" customFormat="1" x14ac:dyDescent="0.3"/>
    <row r="1192" customFormat="1" x14ac:dyDescent="0.3"/>
    <row r="1193" customFormat="1" x14ac:dyDescent="0.3"/>
    <row r="1194" customFormat="1" x14ac:dyDescent="0.3"/>
    <row r="1195" customFormat="1" x14ac:dyDescent="0.3"/>
    <row r="1196" customFormat="1" x14ac:dyDescent="0.3"/>
    <row r="1197" customFormat="1" x14ac:dyDescent="0.3"/>
    <row r="1198" customFormat="1" x14ac:dyDescent="0.3"/>
    <row r="1199" customFormat="1" x14ac:dyDescent="0.3"/>
    <row r="1200" customFormat="1" x14ac:dyDescent="0.3"/>
    <row r="1201" customFormat="1" x14ac:dyDescent="0.3"/>
    <row r="1202" customFormat="1" x14ac:dyDescent="0.3"/>
    <row r="1203" customFormat="1" x14ac:dyDescent="0.3"/>
    <row r="1204" customFormat="1" x14ac:dyDescent="0.3"/>
    <row r="1205" customFormat="1" x14ac:dyDescent="0.3"/>
    <row r="1206" customFormat="1" x14ac:dyDescent="0.3"/>
    <row r="1207" customFormat="1" x14ac:dyDescent="0.3"/>
    <row r="1208" customFormat="1" x14ac:dyDescent="0.3"/>
    <row r="1209" customFormat="1" x14ac:dyDescent="0.3"/>
    <row r="1210" customFormat="1" x14ac:dyDescent="0.3"/>
    <row r="1211" customFormat="1" x14ac:dyDescent="0.3"/>
    <row r="1212" customFormat="1" x14ac:dyDescent="0.3"/>
    <row r="1213" customFormat="1" x14ac:dyDescent="0.3"/>
    <row r="1214" customFormat="1" x14ac:dyDescent="0.3"/>
    <row r="1215" customFormat="1" x14ac:dyDescent="0.3"/>
    <row r="1216" customFormat="1" x14ac:dyDescent="0.3"/>
    <row r="1217" customFormat="1" x14ac:dyDescent="0.3"/>
    <row r="1218" customFormat="1" x14ac:dyDescent="0.3"/>
    <row r="1219" customFormat="1" x14ac:dyDescent="0.3"/>
    <row r="1220" customFormat="1" x14ac:dyDescent="0.3"/>
    <row r="1221" customFormat="1" x14ac:dyDescent="0.3"/>
    <row r="1222" customFormat="1" x14ac:dyDescent="0.3"/>
    <row r="1223" customFormat="1" x14ac:dyDescent="0.3"/>
    <row r="1224" customFormat="1" x14ac:dyDescent="0.3"/>
    <row r="1225" customFormat="1" x14ac:dyDescent="0.3"/>
    <row r="1226" customFormat="1" x14ac:dyDescent="0.3"/>
    <row r="1227" customFormat="1" x14ac:dyDescent="0.3"/>
    <row r="1228" customFormat="1" x14ac:dyDescent="0.3"/>
    <row r="1229" customFormat="1" x14ac:dyDescent="0.3"/>
    <row r="1230" customFormat="1" x14ac:dyDescent="0.3"/>
    <row r="1231" customFormat="1" x14ac:dyDescent="0.3"/>
    <row r="1232" customFormat="1" x14ac:dyDescent="0.3"/>
    <row r="1233" customFormat="1" x14ac:dyDescent="0.3"/>
    <row r="1234" customFormat="1" x14ac:dyDescent="0.3"/>
    <row r="1235" customFormat="1" x14ac:dyDescent="0.3"/>
    <row r="1236" customFormat="1" x14ac:dyDescent="0.3"/>
    <row r="1237" customFormat="1" x14ac:dyDescent="0.3"/>
    <row r="1238" customFormat="1" x14ac:dyDescent="0.3"/>
    <row r="1239" customFormat="1" x14ac:dyDescent="0.3"/>
    <row r="1240" customFormat="1" x14ac:dyDescent="0.3"/>
    <row r="1241" customFormat="1" x14ac:dyDescent="0.3"/>
    <row r="1242" customFormat="1" x14ac:dyDescent="0.3"/>
    <row r="1243" customFormat="1" x14ac:dyDescent="0.3"/>
    <row r="1244" customFormat="1" x14ac:dyDescent="0.3"/>
    <row r="1245" customFormat="1" x14ac:dyDescent="0.3"/>
    <row r="1246" customFormat="1" x14ac:dyDescent="0.3"/>
    <row r="1247" customFormat="1" x14ac:dyDescent="0.3"/>
    <row r="1248" customFormat="1" x14ac:dyDescent="0.3"/>
    <row r="1249" customFormat="1" x14ac:dyDescent="0.3"/>
    <row r="1250" customFormat="1" x14ac:dyDescent="0.3"/>
    <row r="1251" customFormat="1" x14ac:dyDescent="0.3"/>
    <row r="1252" customFormat="1" x14ac:dyDescent="0.3"/>
    <row r="1253" customFormat="1" x14ac:dyDescent="0.3"/>
    <row r="1254" customFormat="1" x14ac:dyDescent="0.3"/>
    <row r="1255" customFormat="1" x14ac:dyDescent="0.3"/>
    <row r="1256" customFormat="1" x14ac:dyDescent="0.3"/>
    <row r="1257" customFormat="1" x14ac:dyDescent="0.3"/>
    <row r="1258" customFormat="1" x14ac:dyDescent="0.3"/>
    <row r="1259" customFormat="1" x14ac:dyDescent="0.3"/>
    <row r="1260" customFormat="1" x14ac:dyDescent="0.3"/>
    <row r="1261" customFormat="1" x14ac:dyDescent="0.3"/>
    <row r="1262" customFormat="1" x14ac:dyDescent="0.3"/>
    <row r="1263" customFormat="1" x14ac:dyDescent="0.3"/>
    <row r="1264" customFormat="1" x14ac:dyDescent="0.3"/>
    <row r="1265" customFormat="1" x14ac:dyDescent="0.3"/>
    <row r="1266" customFormat="1" x14ac:dyDescent="0.3"/>
    <row r="1267" customFormat="1" x14ac:dyDescent="0.3"/>
    <row r="1268" customFormat="1" x14ac:dyDescent="0.3"/>
    <row r="1269" customFormat="1" x14ac:dyDescent="0.3"/>
    <row r="1270" customFormat="1" x14ac:dyDescent="0.3"/>
    <row r="1271" customFormat="1" x14ac:dyDescent="0.3"/>
    <row r="1272" customFormat="1" x14ac:dyDescent="0.3"/>
    <row r="1273" customFormat="1" x14ac:dyDescent="0.3"/>
    <row r="1274" customFormat="1" x14ac:dyDescent="0.3"/>
    <row r="1275" customFormat="1" x14ac:dyDescent="0.3"/>
    <row r="1276" customFormat="1" x14ac:dyDescent="0.3"/>
    <row r="1277" customFormat="1" x14ac:dyDescent="0.3"/>
    <row r="1278" customFormat="1" x14ac:dyDescent="0.3"/>
    <row r="1279" customFormat="1" x14ac:dyDescent="0.3"/>
    <row r="1280" customFormat="1" x14ac:dyDescent="0.3"/>
    <row r="1281" customFormat="1" x14ac:dyDescent="0.3"/>
    <row r="1282" customFormat="1" x14ac:dyDescent="0.3"/>
    <row r="1283" customFormat="1" x14ac:dyDescent="0.3"/>
    <row r="1284" customFormat="1" x14ac:dyDescent="0.3"/>
    <row r="1285" customFormat="1" x14ac:dyDescent="0.3"/>
    <row r="1286" customFormat="1" x14ac:dyDescent="0.3"/>
    <row r="1287" customFormat="1" x14ac:dyDescent="0.3"/>
    <row r="1288" customFormat="1" x14ac:dyDescent="0.3"/>
    <row r="1289" customFormat="1" x14ac:dyDescent="0.3"/>
    <row r="1290" customFormat="1" x14ac:dyDescent="0.3"/>
    <row r="1291" customFormat="1" x14ac:dyDescent="0.3"/>
    <row r="1292" customFormat="1" x14ac:dyDescent="0.3"/>
    <row r="1293" customFormat="1" x14ac:dyDescent="0.3"/>
    <row r="1294" customFormat="1" x14ac:dyDescent="0.3"/>
    <row r="1295" customFormat="1" x14ac:dyDescent="0.3"/>
    <row r="1296" customFormat="1" x14ac:dyDescent="0.3"/>
    <row r="1297" customFormat="1" x14ac:dyDescent="0.3"/>
    <row r="1298" customFormat="1" x14ac:dyDescent="0.3"/>
    <row r="1299" customFormat="1" x14ac:dyDescent="0.3"/>
    <row r="1300" customFormat="1" x14ac:dyDescent="0.3"/>
    <row r="1301" customFormat="1" x14ac:dyDescent="0.3"/>
    <row r="1302" customFormat="1" x14ac:dyDescent="0.3"/>
    <row r="1303" customFormat="1" x14ac:dyDescent="0.3"/>
    <row r="1304" customFormat="1" x14ac:dyDescent="0.3"/>
    <row r="1305" customFormat="1" x14ac:dyDescent="0.3"/>
    <row r="1306" customFormat="1" x14ac:dyDescent="0.3"/>
    <row r="1307" customFormat="1" x14ac:dyDescent="0.3"/>
    <row r="1308" customFormat="1" x14ac:dyDescent="0.3"/>
    <row r="1309" customFormat="1" x14ac:dyDescent="0.3"/>
    <row r="1310" customFormat="1" x14ac:dyDescent="0.3"/>
    <row r="1311" customFormat="1" x14ac:dyDescent="0.3"/>
    <row r="1312" customFormat="1" x14ac:dyDescent="0.3"/>
    <row r="1313" customFormat="1" x14ac:dyDescent="0.3"/>
    <row r="1314" customFormat="1" x14ac:dyDescent="0.3"/>
    <row r="1315" customFormat="1" x14ac:dyDescent="0.3"/>
    <row r="1316" customFormat="1" x14ac:dyDescent="0.3"/>
    <row r="1317" customFormat="1" x14ac:dyDescent="0.3"/>
    <row r="1318" customFormat="1" x14ac:dyDescent="0.3"/>
    <row r="1319" customFormat="1" x14ac:dyDescent="0.3"/>
    <row r="1320" customFormat="1" x14ac:dyDescent="0.3"/>
    <row r="1321" customFormat="1" x14ac:dyDescent="0.3"/>
    <row r="1322" customFormat="1" x14ac:dyDescent="0.3"/>
    <row r="1323" customFormat="1" x14ac:dyDescent="0.3"/>
    <row r="1324" customFormat="1" x14ac:dyDescent="0.3"/>
    <row r="1325" customFormat="1" x14ac:dyDescent="0.3"/>
    <row r="1326" customFormat="1" x14ac:dyDescent="0.3"/>
    <row r="1327" customFormat="1" x14ac:dyDescent="0.3"/>
    <row r="1328" customFormat="1" x14ac:dyDescent="0.3"/>
    <row r="1329" customFormat="1" x14ac:dyDescent="0.3"/>
    <row r="1330" customFormat="1" x14ac:dyDescent="0.3"/>
    <row r="1331" customFormat="1" x14ac:dyDescent="0.3"/>
    <row r="1332" customFormat="1" x14ac:dyDescent="0.3"/>
    <row r="1333" customFormat="1" x14ac:dyDescent="0.3"/>
    <row r="1334" customFormat="1" x14ac:dyDescent="0.3"/>
    <row r="1335" customFormat="1" x14ac:dyDescent="0.3"/>
    <row r="1336" customFormat="1" x14ac:dyDescent="0.3"/>
    <row r="1337" customFormat="1" x14ac:dyDescent="0.3"/>
    <row r="1338" customFormat="1" x14ac:dyDescent="0.3"/>
    <row r="1339" customFormat="1" x14ac:dyDescent="0.3"/>
    <row r="1340" customFormat="1" x14ac:dyDescent="0.3"/>
    <row r="1341" customFormat="1" x14ac:dyDescent="0.3"/>
    <row r="1342" customFormat="1" x14ac:dyDescent="0.3"/>
    <row r="1343" customFormat="1" x14ac:dyDescent="0.3"/>
    <row r="1344" customFormat="1" x14ac:dyDescent="0.3"/>
    <row r="1345" customFormat="1" x14ac:dyDescent="0.3"/>
    <row r="1346" customFormat="1" x14ac:dyDescent="0.3"/>
    <row r="1347" customFormat="1" x14ac:dyDescent="0.3"/>
    <row r="1348" customFormat="1" x14ac:dyDescent="0.3"/>
    <row r="1349" customFormat="1" x14ac:dyDescent="0.3"/>
    <row r="1350" customFormat="1" x14ac:dyDescent="0.3"/>
    <row r="1351" customFormat="1" x14ac:dyDescent="0.3"/>
    <row r="1352" customFormat="1" x14ac:dyDescent="0.3"/>
    <row r="1353" customFormat="1" x14ac:dyDescent="0.3"/>
    <row r="1354" customFormat="1" x14ac:dyDescent="0.3"/>
    <row r="1355" customFormat="1" x14ac:dyDescent="0.3"/>
    <row r="1356" customFormat="1" x14ac:dyDescent="0.3"/>
    <row r="1357" customFormat="1" x14ac:dyDescent="0.3"/>
    <row r="1358" customFormat="1" x14ac:dyDescent="0.3"/>
    <row r="1359" customFormat="1" x14ac:dyDescent="0.3"/>
    <row r="1360" customFormat="1" x14ac:dyDescent="0.3"/>
    <row r="1361" customFormat="1" x14ac:dyDescent="0.3"/>
    <row r="1362" customFormat="1" x14ac:dyDescent="0.3"/>
    <row r="1363" customFormat="1" x14ac:dyDescent="0.3"/>
    <row r="1364" customFormat="1" x14ac:dyDescent="0.3"/>
    <row r="1365" customFormat="1" x14ac:dyDescent="0.3"/>
    <row r="1366" customFormat="1" x14ac:dyDescent="0.3"/>
    <row r="1367" customFormat="1" x14ac:dyDescent="0.3"/>
    <row r="1368" customFormat="1" x14ac:dyDescent="0.3"/>
    <row r="1369" customFormat="1" x14ac:dyDescent="0.3"/>
    <row r="1370" customFormat="1" x14ac:dyDescent="0.3"/>
    <row r="1371" customFormat="1" x14ac:dyDescent="0.3"/>
    <row r="1372" customFormat="1" x14ac:dyDescent="0.3"/>
    <row r="1373" customFormat="1" x14ac:dyDescent="0.3"/>
    <row r="1374" customFormat="1" x14ac:dyDescent="0.3"/>
    <row r="1375" customFormat="1" x14ac:dyDescent="0.3"/>
    <row r="1376" customFormat="1" x14ac:dyDescent="0.3"/>
    <row r="1377" customFormat="1" x14ac:dyDescent="0.3"/>
    <row r="1378" customFormat="1" x14ac:dyDescent="0.3"/>
    <row r="1379" customFormat="1" x14ac:dyDescent="0.3"/>
    <row r="1380" customFormat="1" x14ac:dyDescent="0.3"/>
    <row r="1381" customFormat="1" x14ac:dyDescent="0.3"/>
    <row r="1382" customFormat="1" x14ac:dyDescent="0.3"/>
    <row r="1383" customFormat="1" x14ac:dyDescent="0.3"/>
    <row r="1384" customFormat="1" x14ac:dyDescent="0.3"/>
    <row r="1385" customFormat="1" x14ac:dyDescent="0.3"/>
    <row r="1386" customFormat="1" x14ac:dyDescent="0.3"/>
    <row r="1387" customFormat="1" x14ac:dyDescent="0.3"/>
    <row r="1388" customFormat="1" x14ac:dyDescent="0.3"/>
    <row r="1389" customFormat="1" x14ac:dyDescent="0.3"/>
    <row r="1390" customFormat="1" x14ac:dyDescent="0.3"/>
    <row r="1391" customFormat="1" x14ac:dyDescent="0.3"/>
    <row r="1392" customFormat="1" x14ac:dyDescent="0.3"/>
    <row r="1393" customFormat="1" x14ac:dyDescent="0.3"/>
    <row r="1394" customFormat="1" x14ac:dyDescent="0.3"/>
    <row r="1395" customFormat="1" x14ac:dyDescent="0.3"/>
    <row r="1396" customFormat="1" x14ac:dyDescent="0.3"/>
    <row r="1397" customFormat="1" x14ac:dyDescent="0.3"/>
    <row r="1398" customFormat="1" x14ac:dyDescent="0.3"/>
    <row r="1399" customFormat="1" x14ac:dyDescent="0.3"/>
    <row r="1400" customFormat="1" x14ac:dyDescent="0.3"/>
    <row r="1401" customFormat="1" x14ac:dyDescent="0.3"/>
    <row r="1402" customFormat="1" x14ac:dyDescent="0.3"/>
    <row r="1403" customFormat="1" x14ac:dyDescent="0.3"/>
    <row r="1404" customFormat="1" x14ac:dyDescent="0.3"/>
    <row r="1405" customFormat="1" x14ac:dyDescent="0.3"/>
    <row r="1406" customFormat="1" x14ac:dyDescent="0.3"/>
    <row r="1407" customFormat="1" x14ac:dyDescent="0.3"/>
    <row r="1408" customFormat="1" x14ac:dyDescent="0.3"/>
    <row r="1409" customFormat="1" x14ac:dyDescent="0.3"/>
    <row r="1410" customFormat="1" x14ac:dyDescent="0.3"/>
    <row r="1411" customFormat="1" x14ac:dyDescent="0.3"/>
    <row r="1412" customFormat="1" x14ac:dyDescent="0.3"/>
    <row r="1413" customFormat="1" x14ac:dyDescent="0.3"/>
    <row r="1414" customFormat="1" x14ac:dyDescent="0.3"/>
    <row r="1415" customFormat="1" x14ac:dyDescent="0.3"/>
    <row r="1416" customFormat="1" x14ac:dyDescent="0.3"/>
    <row r="1417" customFormat="1" x14ac:dyDescent="0.3"/>
    <row r="1418" customFormat="1" x14ac:dyDescent="0.3"/>
    <row r="1419" customFormat="1" x14ac:dyDescent="0.3"/>
    <row r="1420" customFormat="1" x14ac:dyDescent="0.3"/>
    <row r="1421" customFormat="1" x14ac:dyDescent="0.3"/>
    <row r="1422" customFormat="1" x14ac:dyDescent="0.3"/>
    <row r="1423" customFormat="1" x14ac:dyDescent="0.3"/>
    <row r="1424" customFormat="1" x14ac:dyDescent="0.3"/>
    <row r="1425" customFormat="1" x14ac:dyDescent="0.3"/>
    <row r="1426" customFormat="1" x14ac:dyDescent="0.3"/>
    <row r="1427" customFormat="1" x14ac:dyDescent="0.3"/>
    <row r="1428" customFormat="1" x14ac:dyDescent="0.3"/>
    <row r="1429" customFormat="1" x14ac:dyDescent="0.3"/>
    <row r="1430" customFormat="1" x14ac:dyDescent="0.3"/>
    <row r="1431" customFormat="1" x14ac:dyDescent="0.3"/>
    <row r="1432" customFormat="1" x14ac:dyDescent="0.3"/>
    <row r="1433" customFormat="1" x14ac:dyDescent="0.3"/>
    <row r="1434" customFormat="1" x14ac:dyDescent="0.3"/>
    <row r="1435" customFormat="1" x14ac:dyDescent="0.3"/>
    <row r="1436" customFormat="1" x14ac:dyDescent="0.3"/>
    <row r="1437" customFormat="1" x14ac:dyDescent="0.3"/>
    <row r="1438" customFormat="1" x14ac:dyDescent="0.3"/>
    <row r="1439" customFormat="1" x14ac:dyDescent="0.3"/>
    <row r="1440" customFormat="1" x14ac:dyDescent="0.3"/>
    <row r="1441" customFormat="1" x14ac:dyDescent="0.3"/>
    <row r="1442" customFormat="1" x14ac:dyDescent="0.3"/>
    <row r="1443" customFormat="1" x14ac:dyDescent="0.3"/>
    <row r="1444" customFormat="1" x14ac:dyDescent="0.3"/>
    <row r="1445" customFormat="1" x14ac:dyDescent="0.3"/>
    <row r="1446" customFormat="1" x14ac:dyDescent="0.3"/>
    <row r="1447" customFormat="1" x14ac:dyDescent="0.3"/>
    <row r="1448" customFormat="1" x14ac:dyDescent="0.3"/>
    <row r="1449" customFormat="1" x14ac:dyDescent="0.3"/>
    <row r="1450" customFormat="1" x14ac:dyDescent="0.3"/>
    <row r="1451" customFormat="1" x14ac:dyDescent="0.3"/>
    <row r="1452" customFormat="1" x14ac:dyDescent="0.3"/>
    <row r="1453" customFormat="1" x14ac:dyDescent="0.3"/>
    <row r="1454" customFormat="1" x14ac:dyDescent="0.3"/>
    <row r="1455" customFormat="1" x14ac:dyDescent="0.3"/>
    <row r="1456" customFormat="1" x14ac:dyDescent="0.3"/>
    <row r="1457" customFormat="1" x14ac:dyDescent="0.3"/>
    <row r="1458" customFormat="1" x14ac:dyDescent="0.3"/>
    <row r="1459" customFormat="1" x14ac:dyDescent="0.3"/>
    <row r="1460" customFormat="1" x14ac:dyDescent="0.3"/>
    <row r="1461" customFormat="1" x14ac:dyDescent="0.3"/>
    <row r="1462" customFormat="1" x14ac:dyDescent="0.3"/>
    <row r="1463" customFormat="1" x14ac:dyDescent="0.3"/>
    <row r="1464" customFormat="1" x14ac:dyDescent="0.3"/>
    <row r="1465" customFormat="1" x14ac:dyDescent="0.3"/>
    <row r="1466" customFormat="1" x14ac:dyDescent="0.3"/>
    <row r="1467" customFormat="1" x14ac:dyDescent="0.3"/>
    <row r="1468" customFormat="1" x14ac:dyDescent="0.3"/>
    <row r="1469" customFormat="1" x14ac:dyDescent="0.3"/>
    <row r="1470" customFormat="1" x14ac:dyDescent="0.3"/>
    <row r="1471" customFormat="1" x14ac:dyDescent="0.3"/>
    <row r="1472" customFormat="1" x14ac:dyDescent="0.3"/>
    <row r="1473" customFormat="1" x14ac:dyDescent="0.3"/>
    <row r="1474" customFormat="1" x14ac:dyDescent="0.3"/>
    <row r="1475" customFormat="1" x14ac:dyDescent="0.3"/>
    <row r="1476" customFormat="1" x14ac:dyDescent="0.3"/>
    <row r="1477" customFormat="1" x14ac:dyDescent="0.3"/>
    <row r="1478" customFormat="1" x14ac:dyDescent="0.3"/>
    <row r="1479" customFormat="1" x14ac:dyDescent="0.3"/>
    <row r="1480" customFormat="1" x14ac:dyDescent="0.3"/>
    <row r="1481" customFormat="1" x14ac:dyDescent="0.3"/>
    <row r="1482" customFormat="1" x14ac:dyDescent="0.3"/>
    <row r="1483" customFormat="1" x14ac:dyDescent="0.3"/>
    <row r="1484" customFormat="1" x14ac:dyDescent="0.3"/>
    <row r="1485" customFormat="1" x14ac:dyDescent="0.3"/>
    <row r="1486" customFormat="1" x14ac:dyDescent="0.3"/>
    <row r="1487" customFormat="1" x14ac:dyDescent="0.3"/>
    <row r="1488" customFormat="1" x14ac:dyDescent="0.3"/>
    <row r="1489" customFormat="1" x14ac:dyDescent="0.3"/>
    <row r="1490" customFormat="1" x14ac:dyDescent="0.3"/>
    <row r="1491" customFormat="1" x14ac:dyDescent="0.3"/>
    <row r="1492" customFormat="1" x14ac:dyDescent="0.3"/>
    <row r="1493" customFormat="1" x14ac:dyDescent="0.3"/>
    <row r="1494" customFormat="1" x14ac:dyDescent="0.3"/>
    <row r="1495" customFormat="1" x14ac:dyDescent="0.3"/>
    <row r="1496" customFormat="1" x14ac:dyDescent="0.3"/>
    <row r="1497" customFormat="1" x14ac:dyDescent="0.3"/>
    <row r="1498" customFormat="1" x14ac:dyDescent="0.3"/>
    <row r="1499" customFormat="1" x14ac:dyDescent="0.3"/>
    <row r="1500" customFormat="1" x14ac:dyDescent="0.3"/>
    <row r="1501" customFormat="1" x14ac:dyDescent="0.3"/>
    <row r="1502" customFormat="1" x14ac:dyDescent="0.3"/>
    <row r="1503" customFormat="1" x14ac:dyDescent="0.3"/>
    <row r="1504" customFormat="1" x14ac:dyDescent="0.3"/>
    <row r="1505" customFormat="1" x14ac:dyDescent="0.3"/>
    <row r="1506" customFormat="1" x14ac:dyDescent="0.3"/>
    <row r="1507" customFormat="1" x14ac:dyDescent="0.3"/>
    <row r="1508" customFormat="1" x14ac:dyDescent="0.3"/>
    <row r="1509" customFormat="1" x14ac:dyDescent="0.3"/>
    <row r="1510" customFormat="1" x14ac:dyDescent="0.3"/>
    <row r="1511" customFormat="1" x14ac:dyDescent="0.3"/>
    <row r="1512" customFormat="1" x14ac:dyDescent="0.3"/>
    <row r="1513" customFormat="1" x14ac:dyDescent="0.3"/>
    <row r="1514" customFormat="1" x14ac:dyDescent="0.3"/>
    <row r="1515" customFormat="1" x14ac:dyDescent="0.3"/>
    <row r="1516" customFormat="1" x14ac:dyDescent="0.3"/>
    <row r="1517" customFormat="1" x14ac:dyDescent="0.3"/>
    <row r="1518" customFormat="1" x14ac:dyDescent="0.3"/>
    <row r="1519" customFormat="1" x14ac:dyDescent="0.3"/>
    <row r="1520" customFormat="1" x14ac:dyDescent="0.3"/>
    <row r="1521" customFormat="1" x14ac:dyDescent="0.3"/>
    <row r="1522" customFormat="1" x14ac:dyDescent="0.3"/>
    <row r="1523" customFormat="1" x14ac:dyDescent="0.3"/>
    <row r="1524" customFormat="1" x14ac:dyDescent="0.3"/>
    <row r="1525" customFormat="1" x14ac:dyDescent="0.3"/>
    <row r="1526" customFormat="1" x14ac:dyDescent="0.3"/>
    <row r="1527" customFormat="1" x14ac:dyDescent="0.3"/>
    <row r="1528" customFormat="1" x14ac:dyDescent="0.3"/>
    <row r="1529" customFormat="1" x14ac:dyDescent="0.3"/>
    <row r="1530" customFormat="1" x14ac:dyDescent="0.3"/>
    <row r="1531" customFormat="1" x14ac:dyDescent="0.3"/>
    <row r="1532" customFormat="1" x14ac:dyDescent="0.3"/>
    <row r="1533" customFormat="1" x14ac:dyDescent="0.3"/>
    <row r="1534" customFormat="1" x14ac:dyDescent="0.3"/>
    <row r="1535" customFormat="1" x14ac:dyDescent="0.3"/>
    <row r="1536" customFormat="1" x14ac:dyDescent="0.3"/>
    <row r="1537" customFormat="1" x14ac:dyDescent="0.3"/>
    <row r="1538" customFormat="1" x14ac:dyDescent="0.3"/>
    <row r="1539" customFormat="1" x14ac:dyDescent="0.3"/>
    <row r="1540" customFormat="1" x14ac:dyDescent="0.3"/>
    <row r="1541" customFormat="1" x14ac:dyDescent="0.3"/>
    <row r="1542" customFormat="1" x14ac:dyDescent="0.3"/>
    <row r="1543" customFormat="1" x14ac:dyDescent="0.3"/>
    <row r="1544" customFormat="1" x14ac:dyDescent="0.3"/>
    <row r="1545" customFormat="1" x14ac:dyDescent="0.3"/>
    <row r="1546" customFormat="1" x14ac:dyDescent="0.3"/>
    <row r="1547" customFormat="1" x14ac:dyDescent="0.3"/>
    <row r="1548" customFormat="1" x14ac:dyDescent="0.3"/>
    <row r="1549" customFormat="1" x14ac:dyDescent="0.3"/>
    <row r="1550" customFormat="1" x14ac:dyDescent="0.3"/>
    <row r="1551" customFormat="1" x14ac:dyDescent="0.3"/>
    <row r="1552" customFormat="1" x14ac:dyDescent="0.3"/>
    <row r="1553" customFormat="1" x14ac:dyDescent="0.3"/>
    <row r="1554" customFormat="1" x14ac:dyDescent="0.3"/>
    <row r="1555" customFormat="1" x14ac:dyDescent="0.3"/>
    <row r="1556" customFormat="1" x14ac:dyDescent="0.3"/>
    <row r="1557" customFormat="1" x14ac:dyDescent="0.3"/>
    <row r="1558" customFormat="1" x14ac:dyDescent="0.3"/>
    <row r="1559" customFormat="1" x14ac:dyDescent="0.3"/>
    <row r="1560" customFormat="1" x14ac:dyDescent="0.3"/>
    <row r="1561" customFormat="1" x14ac:dyDescent="0.3"/>
    <row r="1562" customFormat="1" x14ac:dyDescent="0.3"/>
    <row r="1563" customFormat="1" x14ac:dyDescent="0.3"/>
    <row r="1564" customFormat="1" x14ac:dyDescent="0.3"/>
    <row r="1565" customFormat="1" x14ac:dyDescent="0.3"/>
    <row r="1566" customFormat="1" x14ac:dyDescent="0.3"/>
    <row r="1567" customFormat="1" x14ac:dyDescent="0.3"/>
    <row r="1568" customFormat="1" x14ac:dyDescent="0.3"/>
    <row r="1569" customFormat="1" x14ac:dyDescent="0.3"/>
    <row r="1570" customFormat="1" x14ac:dyDescent="0.3"/>
    <row r="1571" customFormat="1" x14ac:dyDescent="0.3"/>
    <row r="1572" customFormat="1" x14ac:dyDescent="0.3"/>
    <row r="1573" customFormat="1" x14ac:dyDescent="0.3"/>
    <row r="1574" customFormat="1" x14ac:dyDescent="0.3"/>
    <row r="1575" customFormat="1" x14ac:dyDescent="0.3"/>
    <row r="1576" customFormat="1" x14ac:dyDescent="0.3"/>
    <row r="1577" customFormat="1" x14ac:dyDescent="0.3"/>
    <row r="1578" customFormat="1" x14ac:dyDescent="0.3"/>
    <row r="1579" customFormat="1" x14ac:dyDescent="0.3"/>
    <row r="1580" customFormat="1" x14ac:dyDescent="0.3"/>
    <row r="1581" customFormat="1" x14ac:dyDescent="0.3"/>
    <row r="1582" customFormat="1" x14ac:dyDescent="0.3"/>
    <row r="1583" customFormat="1" x14ac:dyDescent="0.3"/>
    <row r="1584" customFormat="1" x14ac:dyDescent="0.3"/>
    <row r="1585" customFormat="1" x14ac:dyDescent="0.3"/>
    <row r="1586" customFormat="1" x14ac:dyDescent="0.3"/>
    <row r="1587" customFormat="1" x14ac:dyDescent="0.3"/>
    <row r="1588" customFormat="1" x14ac:dyDescent="0.3"/>
    <row r="1589" customFormat="1" x14ac:dyDescent="0.3"/>
    <row r="1590" customFormat="1" x14ac:dyDescent="0.3"/>
    <row r="1591" customFormat="1" x14ac:dyDescent="0.3"/>
    <row r="1592" customFormat="1" x14ac:dyDescent="0.3"/>
    <row r="1593" customFormat="1" x14ac:dyDescent="0.3"/>
    <row r="1594" customFormat="1" x14ac:dyDescent="0.3"/>
    <row r="1595" customFormat="1" x14ac:dyDescent="0.3"/>
    <row r="1596" customFormat="1" x14ac:dyDescent="0.3"/>
    <row r="1597" customFormat="1" x14ac:dyDescent="0.3"/>
    <row r="1598" customFormat="1" x14ac:dyDescent="0.3"/>
    <row r="1599" customFormat="1" x14ac:dyDescent="0.3"/>
    <row r="1600" customFormat="1" x14ac:dyDescent="0.3"/>
    <row r="1601" customFormat="1" x14ac:dyDescent="0.3"/>
    <row r="1602" customFormat="1" x14ac:dyDescent="0.3"/>
    <row r="1603" customFormat="1" x14ac:dyDescent="0.3"/>
    <row r="1604" customFormat="1" x14ac:dyDescent="0.3"/>
    <row r="1605" customFormat="1" x14ac:dyDescent="0.3"/>
    <row r="1606" customFormat="1" x14ac:dyDescent="0.3"/>
    <row r="1607" customFormat="1" x14ac:dyDescent="0.3"/>
    <row r="1608" customFormat="1" x14ac:dyDescent="0.3"/>
    <row r="1609" customFormat="1" x14ac:dyDescent="0.3"/>
    <row r="1610" customFormat="1" x14ac:dyDescent="0.3"/>
    <row r="1611" customFormat="1" x14ac:dyDescent="0.3"/>
    <row r="1612" customFormat="1" x14ac:dyDescent="0.3"/>
    <row r="1613" customFormat="1" x14ac:dyDescent="0.3"/>
    <row r="1614" customFormat="1" x14ac:dyDescent="0.3"/>
    <row r="1615" customFormat="1" x14ac:dyDescent="0.3"/>
    <row r="1616" customFormat="1" x14ac:dyDescent="0.3"/>
    <row r="1617" customFormat="1" x14ac:dyDescent="0.3"/>
    <row r="1618" customFormat="1" x14ac:dyDescent="0.3"/>
    <row r="1619" customFormat="1" x14ac:dyDescent="0.3"/>
    <row r="1620" customFormat="1" x14ac:dyDescent="0.3"/>
    <row r="1621" customFormat="1" x14ac:dyDescent="0.3"/>
    <row r="1622" customFormat="1" x14ac:dyDescent="0.3"/>
    <row r="1623" customFormat="1" x14ac:dyDescent="0.3"/>
    <row r="1624" customFormat="1" x14ac:dyDescent="0.3"/>
    <row r="1625" customFormat="1" x14ac:dyDescent="0.3"/>
    <row r="1626" customFormat="1" x14ac:dyDescent="0.3"/>
    <row r="1627" customFormat="1" x14ac:dyDescent="0.3"/>
    <row r="1628" customFormat="1" x14ac:dyDescent="0.3"/>
    <row r="1629" customFormat="1" x14ac:dyDescent="0.3"/>
    <row r="1630" customFormat="1" x14ac:dyDescent="0.3"/>
    <row r="1631" customFormat="1" x14ac:dyDescent="0.3"/>
    <row r="1632" customFormat="1" x14ac:dyDescent="0.3"/>
    <row r="1633" customFormat="1" x14ac:dyDescent="0.3"/>
    <row r="1634" customFormat="1" x14ac:dyDescent="0.3"/>
    <row r="1635" customFormat="1" x14ac:dyDescent="0.3"/>
    <row r="1636" customFormat="1" x14ac:dyDescent="0.3"/>
    <row r="1637" customFormat="1" x14ac:dyDescent="0.3"/>
    <row r="1638" customFormat="1" x14ac:dyDescent="0.3"/>
    <row r="1639" customFormat="1" x14ac:dyDescent="0.3"/>
    <row r="1640" customFormat="1" x14ac:dyDescent="0.3"/>
    <row r="1641" customFormat="1" x14ac:dyDescent="0.3"/>
    <row r="1642" customFormat="1" x14ac:dyDescent="0.3"/>
    <row r="1643" customFormat="1" x14ac:dyDescent="0.3"/>
    <row r="1644" customFormat="1" x14ac:dyDescent="0.3"/>
    <row r="1645" customFormat="1" x14ac:dyDescent="0.3"/>
    <row r="1646" customFormat="1" x14ac:dyDescent="0.3"/>
    <row r="1647" customFormat="1" x14ac:dyDescent="0.3"/>
    <row r="1648" customFormat="1" x14ac:dyDescent="0.3"/>
    <row r="1649" customFormat="1" x14ac:dyDescent="0.3"/>
    <row r="1650" customFormat="1" x14ac:dyDescent="0.3"/>
    <row r="1651" customFormat="1" x14ac:dyDescent="0.3"/>
    <row r="1652" customFormat="1" x14ac:dyDescent="0.3"/>
    <row r="1653" customFormat="1" x14ac:dyDescent="0.3"/>
    <row r="1654" customFormat="1" x14ac:dyDescent="0.3"/>
    <row r="1655" customFormat="1" x14ac:dyDescent="0.3"/>
    <row r="1656" customFormat="1" x14ac:dyDescent="0.3"/>
    <row r="1657" customFormat="1" x14ac:dyDescent="0.3"/>
    <row r="1658" customFormat="1" x14ac:dyDescent="0.3"/>
    <row r="1659" customFormat="1" x14ac:dyDescent="0.3"/>
    <row r="1660" customFormat="1" x14ac:dyDescent="0.3"/>
    <row r="1661" customFormat="1" x14ac:dyDescent="0.3"/>
    <row r="1662" customFormat="1" x14ac:dyDescent="0.3"/>
    <row r="1663" customFormat="1" x14ac:dyDescent="0.3"/>
    <row r="1664" customFormat="1" x14ac:dyDescent="0.3"/>
    <row r="1665" customFormat="1" x14ac:dyDescent="0.3"/>
    <row r="1666" customFormat="1" x14ac:dyDescent="0.3"/>
    <row r="1667" customFormat="1" x14ac:dyDescent="0.3"/>
    <row r="1668" customFormat="1" x14ac:dyDescent="0.3"/>
    <row r="1669" customFormat="1" x14ac:dyDescent="0.3"/>
    <row r="1670" customFormat="1" x14ac:dyDescent="0.3"/>
    <row r="1671" customFormat="1" x14ac:dyDescent="0.3"/>
    <row r="1672" customFormat="1" x14ac:dyDescent="0.3"/>
    <row r="1673" customFormat="1" x14ac:dyDescent="0.3"/>
    <row r="1674" customFormat="1" x14ac:dyDescent="0.3"/>
    <row r="1675" customFormat="1" x14ac:dyDescent="0.3"/>
    <row r="1676" customFormat="1" x14ac:dyDescent="0.3"/>
    <row r="1677" customFormat="1" x14ac:dyDescent="0.3"/>
    <row r="1678" customFormat="1" x14ac:dyDescent="0.3"/>
    <row r="1679" customFormat="1" x14ac:dyDescent="0.3"/>
    <row r="1680" customFormat="1" x14ac:dyDescent="0.3"/>
    <row r="1681" customFormat="1" x14ac:dyDescent="0.3"/>
    <row r="1682" customFormat="1" x14ac:dyDescent="0.3"/>
    <row r="1683" customFormat="1" x14ac:dyDescent="0.3"/>
    <row r="1684" customFormat="1" x14ac:dyDescent="0.3"/>
    <row r="1685" customFormat="1" x14ac:dyDescent="0.3"/>
    <row r="1686" customFormat="1" x14ac:dyDescent="0.3"/>
    <row r="1687" customFormat="1" x14ac:dyDescent="0.3"/>
    <row r="1688" customFormat="1" x14ac:dyDescent="0.3"/>
    <row r="1689" customFormat="1" x14ac:dyDescent="0.3"/>
    <row r="1690" customFormat="1" x14ac:dyDescent="0.3"/>
    <row r="1691" customFormat="1" x14ac:dyDescent="0.3"/>
    <row r="1692" customFormat="1" x14ac:dyDescent="0.3"/>
    <row r="1693" customFormat="1" x14ac:dyDescent="0.3"/>
    <row r="1694" customFormat="1" x14ac:dyDescent="0.3"/>
    <row r="1695" customFormat="1" x14ac:dyDescent="0.3"/>
    <row r="1696" customFormat="1" x14ac:dyDescent="0.3"/>
    <row r="1697" customFormat="1" x14ac:dyDescent="0.3"/>
    <row r="1698" customFormat="1" x14ac:dyDescent="0.3"/>
    <row r="1699" customFormat="1" x14ac:dyDescent="0.3"/>
    <row r="1700" customFormat="1" x14ac:dyDescent="0.3"/>
    <row r="1701" customFormat="1" x14ac:dyDescent="0.3"/>
    <row r="1702" customFormat="1" x14ac:dyDescent="0.3"/>
    <row r="1703" customFormat="1" x14ac:dyDescent="0.3"/>
    <row r="1704" customFormat="1" x14ac:dyDescent="0.3"/>
    <row r="1705" customFormat="1" x14ac:dyDescent="0.3"/>
    <row r="1706" customFormat="1" x14ac:dyDescent="0.3"/>
    <row r="1707" customFormat="1" x14ac:dyDescent="0.3"/>
    <row r="1708" customFormat="1" x14ac:dyDescent="0.3"/>
    <row r="1709" customFormat="1" x14ac:dyDescent="0.3"/>
    <row r="1710" customFormat="1" x14ac:dyDescent="0.3"/>
    <row r="1711" customFormat="1" x14ac:dyDescent="0.3"/>
    <row r="1712" customFormat="1" x14ac:dyDescent="0.3"/>
    <row r="1713" customFormat="1" x14ac:dyDescent="0.3"/>
    <row r="1714" customFormat="1" x14ac:dyDescent="0.3"/>
    <row r="1715" customFormat="1" x14ac:dyDescent="0.3"/>
    <row r="1716" customFormat="1" x14ac:dyDescent="0.3"/>
    <row r="1717" customFormat="1" x14ac:dyDescent="0.3"/>
    <row r="1718" customFormat="1" x14ac:dyDescent="0.3"/>
    <row r="1719" customFormat="1" x14ac:dyDescent="0.3"/>
    <row r="1720" customFormat="1" x14ac:dyDescent="0.3"/>
    <row r="1721" customFormat="1" x14ac:dyDescent="0.3"/>
    <row r="1722" customFormat="1" x14ac:dyDescent="0.3"/>
    <row r="1723" customFormat="1" x14ac:dyDescent="0.3"/>
    <row r="1724" customFormat="1" x14ac:dyDescent="0.3"/>
    <row r="1725" customFormat="1" x14ac:dyDescent="0.3"/>
    <row r="1726" customFormat="1" x14ac:dyDescent="0.3"/>
    <row r="1727" customFormat="1" x14ac:dyDescent="0.3"/>
    <row r="1728" customFormat="1" x14ac:dyDescent="0.3"/>
    <row r="1729" customFormat="1" x14ac:dyDescent="0.3"/>
    <row r="1730" customFormat="1" x14ac:dyDescent="0.3"/>
    <row r="1731" customFormat="1" x14ac:dyDescent="0.3"/>
    <row r="1732" customFormat="1" x14ac:dyDescent="0.3"/>
    <row r="1733" customFormat="1" x14ac:dyDescent="0.3"/>
    <row r="1734" customFormat="1" x14ac:dyDescent="0.3"/>
    <row r="1735" customFormat="1" x14ac:dyDescent="0.3"/>
    <row r="1736" customFormat="1" x14ac:dyDescent="0.3"/>
    <row r="1737" customFormat="1" x14ac:dyDescent="0.3"/>
    <row r="1738" customFormat="1" x14ac:dyDescent="0.3"/>
    <row r="1739" customFormat="1" x14ac:dyDescent="0.3"/>
    <row r="1740" customFormat="1" x14ac:dyDescent="0.3"/>
    <row r="1741" customFormat="1" x14ac:dyDescent="0.3"/>
    <row r="1742" customFormat="1" x14ac:dyDescent="0.3"/>
    <row r="1743" customFormat="1" x14ac:dyDescent="0.3"/>
    <row r="1744" customFormat="1" x14ac:dyDescent="0.3"/>
    <row r="1745" customFormat="1" x14ac:dyDescent="0.3"/>
    <row r="1746" customFormat="1" x14ac:dyDescent="0.3"/>
    <row r="1747" customFormat="1" x14ac:dyDescent="0.3"/>
    <row r="1748" customFormat="1" x14ac:dyDescent="0.3"/>
    <row r="1749" customFormat="1" x14ac:dyDescent="0.3"/>
    <row r="1750" customFormat="1" x14ac:dyDescent="0.3"/>
    <row r="1751" customFormat="1" x14ac:dyDescent="0.3"/>
    <row r="1752" customFormat="1" x14ac:dyDescent="0.3"/>
    <row r="1753" customFormat="1" x14ac:dyDescent="0.3"/>
    <row r="1754" customFormat="1" x14ac:dyDescent="0.3"/>
    <row r="1755" customFormat="1" x14ac:dyDescent="0.3"/>
    <row r="1756" customFormat="1" x14ac:dyDescent="0.3"/>
    <row r="1757" customFormat="1" x14ac:dyDescent="0.3"/>
    <row r="1758" customFormat="1" x14ac:dyDescent="0.3"/>
    <row r="1759" customFormat="1" x14ac:dyDescent="0.3"/>
    <row r="1760" customFormat="1" x14ac:dyDescent="0.3"/>
    <row r="1761" customFormat="1" x14ac:dyDescent="0.3"/>
    <row r="1762" customFormat="1" x14ac:dyDescent="0.3"/>
    <row r="1763" customFormat="1" x14ac:dyDescent="0.3"/>
    <row r="1764" customFormat="1" x14ac:dyDescent="0.3"/>
    <row r="1765" customFormat="1" x14ac:dyDescent="0.3"/>
    <row r="1766" customFormat="1" x14ac:dyDescent="0.3"/>
    <row r="1767" customFormat="1" x14ac:dyDescent="0.3"/>
    <row r="1768" customFormat="1" x14ac:dyDescent="0.3"/>
    <row r="1769" customFormat="1" x14ac:dyDescent="0.3"/>
    <row r="1770" customFormat="1" x14ac:dyDescent="0.3"/>
    <row r="1771" customFormat="1" x14ac:dyDescent="0.3"/>
    <row r="1772" customFormat="1" x14ac:dyDescent="0.3"/>
    <row r="1773" customFormat="1" x14ac:dyDescent="0.3"/>
    <row r="1774" customFormat="1" x14ac:dyDescent="0.3"/>
    <row r="1775" customFormat="1" x14ac:dyDescent="0.3"/>
    <row r="1776" customFormat="1" x14ac:dyDescent="0.3"/>
    <row r="1777" customFormat="1" x14ac:dyDescent="0.3"/>
    <row r="1778" customFormat="1" x14ac:dyDescent="0.3"/>
    <row r="1779" customFormat="1" x14ac:dyDescent="0.3"/>
    <row r="1780" customFormat="1" x14ac:dyDescent="0.3"/>
    <row r="1781" customFormat="1" x14ac:dyDescent="0.3"/>
    <row r="1782" customFormat="1" x14ac:dyDescent="0.3"/>
    <row r="1783" customFormat="1" x14ac:dyDescent="0.3"/>
    <row r="1784" customFormat="1" x14ac:dyDescent="0.3"/>
    <row r="1785" customFormat="1" x14ac:dyDescent="0.3"/>
    <row r="1786" customFormat="1" x14ac:dyDescent="0.3"/>
    <row r="1787" customFormat="1" x14ac:dyDescent="0.3"/>
    <row r="1788" customFormat="1" x14ac:dyDescent="0.3"/>
    <row r="1789" customFormat="1" x14ac:dyDescent="0.3"/>
    <row r="1790" customFormat="1" x14ac:dyDescent="0.3"/>
    <row r="1791" customFormat="1" x14ac:dyDescent="0.3"/>
    <row r="1792" customFormat="1" x14ac:dyDescent="0.3"/>
    <row r="1793" customFormat="1" x14ac:dyDescent="0.3"/>
    <row r="1794" customFormat="1" x14ac:dyDescent="0.3"/>
    <row r="1795" customFormat="1" x14ac:dyDescent="0.3"/>
    <row r="1796" customFormat="1" x14ac:dyDescent="0.3"/>
    <row r="1797" customFormat="1" x14ac:dyDescent="0.3"/>
    <row r="1798" customFormat="1" x14ac:dyDescent="0.3"/>
    <row r="1799" customFormat="1" x14ac:dyDescent="0.3"/>
    <row r="1800" customFormat="1" x14ac:dyDescent="0.3"/>
    <row r="1801" customFormat="1" x14ac:dyDescent="0.3"/>
    <row r="1802" customFormat="1" x14ac:dyDescent="0.3"/>
    <row r="1803" customFormat="1" x14ac:dyDescent="0.3"/>
    <row r="1804" customFormat="1" x14ac:dyDescent="0.3"/>
    <row r="1805" customFormat="1" x14ac:dyDescent="0.3"/>
    <row r="1806" customFormat="1" x14ac:dyDescent="0.3"/>
    <row r="1807" customFormat="1" x14ac:dyDescent="0.3"/>
    <row r="1808" customFormat="1" x14ac:dyDescent="0.3"/>
    <row r="1809" customFormat="1" x14ac:dyDescent="0.3"/>
    <row r="1810" customFormat="1" x14ac:dyDescent="0.3"/>
    <row r="1811" customFormat="1" x14ac:dyDescent="0.3"/>
    <row r="1812" customFormat="1" x14ac:dyDescent="0.3"/>
    <row r="1813" customFormat="1" x14ac:dyDescent="0.3"/>
    <row r="1814" customFormat="1" x14ac:dyDescent="0.3"/>
    <row r="1815" customFormat="1" x14ac:dyDescent="0.3"/>
    <row r="1816" customFormat="1" x14ac:dyDescent="0.3"/>
    <row r="1817" customFormat="1" x14ac:dyDescent="0.3"/>
    <row r="1818" customFormat="1" x14ac:dyDescent="0.3"/>
    <row r="1819" customFormat="1" x14ac:dyDescent="0.3"/>
    <row r="1820" customFormat="1" x14ac:dyDescent="0.3"/>
    <row r="1821" customFormat="1" x14ac:dyDescent="0.3"/>
    <row r="1822" customFormat="1" x14ac:dyDescent="0.3"/>
    <row r="1823" customFormat="1" x14ac:dyDescent="0.3"/>
    <row r="1824" customFormat="1" x14ac:dyDescent="0.3"/>
    <row r="1825" customFormat="1" x14ac:dyDescent="0.3"/>
    <row r="1826" customFormat="1" x14ac:dyDescent="0.3"/>
    <row r="1827" customFormat="1" x14ac:dyDescent="0.3"/>
    <row r="1828" customFormat="1" x14ac:dyDescent="0.3"/>
    <row r="1829" customFormat="1" x14ac:dyDescent="0.3"/>
    <row r="1830" customFormat="1" x14ac:dyDescent="0.3"/>
    <row r="1831" customFormat="1" x14ac:dyDescent="0.3"/>
    <row r="1832" customFormat="1" x14ac:dyDescent="0.3"/>
    <row r="1833" customFormat="1" x14ac:dyDescent="0.3"/>
    <row r="1834" customFormat="1" x14ac:dyDescent="0.3"/>
    <row r="1835" customFormat="1" x14ac:dyDescent="0.3"/>
    <row r="1836" customFormat="1" x14ac:dyDescent="0.3"/>
    <row r="1837" customFormat="1" x14ac:dyDescent="0.3"/>
    <row r="1838" customFormat="1" x14ac:dyDescent="0.3"/>
    <row r="1839" customFormat="1" x14ac:dyDescent="0.3"/>
    <row r="1840" customFormat="1" x14ac:dyDescent="0.3"/>
    <row r="1841" customFormat="1" x14ac:dyDescent="0.3"/>
    <row r="1842" customFormat="1" x14ac:dyDescent="0.3"/>
    <row r="1843" customFormat="1" x14ac:dyDescent="0.3"/>
    <row r="1844" customFormat="1" x14ac:dyDescent="0.3"/>
    <row r="1845" customFormat="1" x14ac:dyDescent="0.3"/>
    <row r="1846" customFormat="1" x14ac:dyDescent="0.3"/>
    <row r="1847" customFormat="1" x14ac:dyDescent="0.3"/>
    <row r="1848" customFormat="1" x14ac:dyDescent="0.3"/>
    <row r="1849" customFormat="1" x14ac:dyDescent="0.3"/>
    <row r="1850" customFormat="1" x14ac:dyDescent="0.3"/>
    <row r="1851" customFormat="1" x14ac:dyDescent="0.3"/>
    <row r="1852" customFormat="1" x14ac:dyDescent="0.3"/>
    <row r="1853" customFormat="1" x14ac:dyDescent="0.3"/>
    <row r="1854" customFormat="1" x14ac:dyDescent="0.3"/>
    <row r="1855" customFormat="1" x14ac:dyDescent="0.3"/>
    <row r="1856" customFormat="1" x14ac:dyDescent="0.3"/>
    <row r="1857" customFormat="1" x14ac:dyDescent="0.3"/>
    <row r="1858" customFormat="1" x14ac:dyDescent="0.3"/>
    <row r="1859" customFormat="1" x14ac:dyDescent="0.3"/>
    <row r="1860" customFormat="1" x14ac:dyDescent="0.3"/>
    <row r="1861" customFormat="1" x14ac:dyDescent="0.3"/>
    <row r="1862" customFormat="1" x14ac:dyDescent="0.3"/>
    <row r="1863" customFormat="1" x14ac:dyDescent="0.3"/>
    <row r="1864" customFormat="1" x14ac:dyDescent="0.3"/>
    <row r="1865" customFormat="1" x14ac:dyDescent="0.3"/>
    <row r="1866" customFormat="1" x14ac:dyDescent="0.3"/>
    <row r="1867" customFormat="1" x14ac:dyDescent="0.3"/>
    <row r="1868" customFormat="1" x14ac:dyDescent="0.3"/>
    <row r="1869" customFormat="1" x14ac:dyDescent="0.3"/>
    <row r="1870" customFormat="1" x14ac:dyDescent="0.3"/>
    <row r="1871" customFormat="1" x14ac:dyDescent="0.3"/>
    <row r="1872" customFormat="1" x14ac:dyDescent="0.3"/>
    <row r="1873" customFormat="1" x14ac:dyDescent="0.3"/>
    <row r="1874" customFormat="1" x14ac:dyDescent="0.3"/>
    <row r="1875" customFormat="1" x14ac:dyDescent="0.3"/>
    <row r="1876" customFormat="1" x14ac:dyDescent="0.3"/>
    <row r="1877" customFormat="1" x14ac:dyDescent="0.3"/>
    <row r="1878" customFormat="1" x14ac:dyDescent="0.3"/>
    <row r="1879" customFormat="1" x14ac:dyDescent="0.3"/>
    <row r="1880" customFormat="1" x14ac:dyDescent="0.3"/>
    <row r="1881" customFormat="1" x14ac:dyDescent="0.3"/>
    <row r="1882" customFormat="1" x14ac:dyDescent="0.3"/>
    <row r="1883" customFormat="1" x14ac:dyDescent="0.3"/>
    <row r="1884" customFormat="1" x14ac:dyDescent="0.3"/>
    <row r="1885" customFormat="1" x14ac:dyDescent="0.3"/>
    <row r="1886" customFormat="1" x14ac:dyDescent="0.3"/>
    <row r="1887" customFormat="1" x14ac:dyDescent="0.3"/>
    <row r="1888" customFormat="1" x14ac:dyDescent="0.3"/>
    <row r="1889" customFormat="1" x14ac:dyDescent="0.3"/>
    <row r="1890" customFormat="1" x14ac:dyDescent="0.3"/>
    <row r="1891" customFormat="1" x14ac:dyDescent="0.3"/>
    <row r="1892" customFormat="1" x14ac:dyDescent="0.3"/>
    <row r="1893" customFormat="1" x14ac:dyDescent="0.3"/>
    <row r="1894" customFormat="1" x14ac:dyDescent="0.3"/>
    <row r="1895" customFormat="1" x14ac:dyDescent="0.3"/>
    <row r="1896" customFormat="1" x14ac:dyDescent="0.3"/>
    <row r="1897" customFormat="1" x14ac:dyDescent="0.3"/>
    <row r="1898" customFormat="1" x14ac:dyDescent="0.3"/>
    <row r="1899" customFormat="1" x14ac:dyDescent="0.3"/>
    <row r="1900" customFormat="1" x14ac:dyDescent="0.3"/>
    <row r="1901" customFormat="1" x14ac:dyDescent="0.3"/>
    <row r="1902" customFormat="1" x14ac:dyDescent="0.3"/>
    <row r="1903" customFormat="1" x14ac:dyDescent="0.3"/>
    <row r="1904" customFormat="1" x14ac:dyDescent="0.3"/>
    <row r="1905" customFormat="1" x14ac:dyDescent="0.3"/>
    <row r="1906" customFormat="1" x14ac:dyDescent="0.3"/>
    <row r="1907" customFormat="1" x14ac:dyDescent="0.3"/>
    <row r="1908" customFormat="1" x14ac:dyDescent="0.3"/>
    <row r="1909" customFormat="1" x14ac:dyDescent="0.3"/>
    <row r="1910" customFormat="1" x14ac:dyDescent="0.3"/>
    <row r="1911" customFormat="1" x14ac:dyDescent="0.3"/>
    <row r="1912" customFormat="1" x14ac:dyDescent="0.3"/>
    <row r="1913" customFormat="1" x14ac:dyDescent="0.3"/>
    <row r="1914" customFormat="1" x14ac:dyDescent="0.3"/>
    <row r="1915" customFormat="1" x14ac:dyDescent="0.3"/>
    <row r="1916" customFormat="1" x14ac:dyDescent="0.3"/>
    <row r="1917" customFormat="1" x14ac:dyDescent="0.3"/>
    <row r="1918" customFormat="1" x14ac:dyDescent="0.3"/>
    <row r="1919" customFormat="1" x14ac:dyDescent="0.3"/>
    <row r="1920" customFormat="1" x14ac:dyDescent="0.3"/>
    <row r="1921" customFormat="1" x14ac:dyDescent="0.3"/>
    <row r="1922" customFormat="1" x14ac:dyDescent="0.3"/>
    <row r="1923" customFormat="1" x14ac:dyDescent="0.3"/>
    <row r="1924" customFormat="1" x14ac:dyDescent="0.3"/>
    <row r="1925" customFormat="1" x14ac:dyDescent="0.3"/>
    <row r="1926" customFormat="1" x14ac:dyDescent="0.3"/>
    <row r="1927" customFormat="1" x14ac:dyDescent="0.3"/>
    <row r="1928" customFormat="1" x14ac:dyDescent="0.3"/>
    <row r="1929" customFormat="1" x14ac:dyDescent="0.3"/>
    <row r="1930" customFormat="1" x14ac:dyDescent="0.3"/>
    <row r="1931" customFormat="1" x14ac:dyDescent="0.3"/>
    <row r="1932" customFormat="1" x14ac:dyDescent="0.3"/>
    <row r="1933" customFormat="1" x14ac:dyDescent="0.3"/>
    <row r="1934" customFormat="1" x14ac:dyDescent="0.3"/>
    <row r="1935" customFormat="1" x14ac:dyDescent="0.3"/>
    <row r="1936" customFormat="1" x14ac:dyDescent="0.3"/>
    <row r="1937" customFormat="1" x14ac:dyDescent="0.3"/>
    <row r="1938" customFormat="1" x14ac:dyDescent="0.3"/>
    <row r="1939" customFormat="1" x14ac:dyDescent="0.3"/>
    <row r="1940" customFormat="1" x14ac:dyDescent="0.3"/>
    <row r="1941" customFormat="1" x14ac:dyDescent="0.3"/>
    <row r="1942" customFormat="1" x14ac:dyDescent="0.3"/>
    <row r="1943" customFormat="1" x14ac:dyDescent="0.3"/>
    <row r="1944" customFormat="1" x14ac:dyDescent="0.3"/>
    <row r="1945" customFormat="1" x14ac:dyDescent="0.3"/>
    <row r="1946" customFormat="1" x14ac:dyDescent="0.3"/>
    <row r="1947" customFormat="1" x14ac:dyDescent="0.3"/>
    <row r="1948" customFormat="1" x14ac:dyDescent="0.3"/>
    <row r="1949" customFormat="1" x14ac:dyDescent="0.3"/>
    <row r="1950" customFormat="1" x14ac:dyDescent="0.3"/>
    <row r="1951" customFormat="1" x14ac:dyDescent="0.3"/>
    <row r="1952" customFormat="1" x14ac:dyDescent="0.3"/>
    <row r="1953" customFormat="1" x14ac:dyDescent="0.3"/>
    <row r="1954" customFormat="1" x14ac:dyDescent="0.3"/>
    <row r="1955" customFormat="1" x14ac:dyDescent="0.3"/>
    <row r="1956" customFormat="1" x14ac:dyDescent="0.3"/>
    <row r="1957" customFormat="1" x14ac:dyDescent="0.3"/>
    <row r="1958" customFormat="1" x14ac:dyDescent="0.3"/>
    <row r="1959" customFormat="1" x14ac:dyDescent="0.3"/>
    <row r="1960" customFormat="1" x14ac:dyDescent="0.3"/>
    <row r="1961" customFormat="1" x14ac:dyDescent="0.3"/>
    <row r="1962" customFormat="1" x14ac:dyDescent="0.3"/>
    <row r="1963" customFormat="1" x14ac:dyDescent="0.3"/>
    <row r="1964" customFormat="1" x14ac:dyDescent="0.3"/>
    <row r="1965" customFormat="1" x14ac:dyDescent="0.3"/>
    <row r="1966" customFormat="1" x14ac:dyDescent="0.3"/>
    <row r="1967" customFormat="1" x14ac:dyDescent="0.3"/>
    <row r="1968" customFormat="1" x14ac:dyDescent="0.3"/>
    <row r="1969" customFormat="1" x14ac:dyDescent="0.3"/>
    <row r="1970" customFormat="1" x14ac:dyDescent="0.3"/>
    <row r="1971" customFormat="1" x14ac:dyDescent="0.3"/>
    <row r="1972" customFormat="1" x14ac:dyDescent="0.3"/>
    <row r="1973" customFormat="1" x14ac:dyDescent="0.3"/>
    <row r="1974" customFormat="1" x14ac:dyDescent="0.3"/>
    <row r="1975" customFormat="1" x14ac:dyDescent="0.3"/>
    <row r="1976" customFormat="1" x14ac:dyDescent="0.3"/>
    <row r="1977" customFormat="1" x14ac:dyDescent="0.3"/>
    <row r="1978" customFormat="1" x14ac:dyDescent="0.3"/>
    <row r="1979" customFormat="1" x14ac:dyDescent="0.3"/>
    <row r="1980" customFormat="1" x14ac:dyDescent="0.3"/>
    <row r="1981" customFormat="1" x14ac:dyDescent="0.3"/>
    <row r="1982" customFormat="1" x14ac:dyDescent="0.3"/>
    <row r="1983" customFormat="1" x14ac:dyDescent="0.3"/>
    <row r="1984" customFormat="1" x14ac:dyDescent="0.3"/>
    <row r="1985" customFormat="1" x14ac:dyDescent="0.3"/>
    <row r="1986" customFormat="1" x14ac:dyDescent="0.3"/>
    <row r="1987" customFormat="1" x14ac:dyDescent="0.3"/>
    <row r="1988" customFormat="1" x14ac:dyDescent="0.3"/>
    <row r="1989" customFormat="1" x14ac:dyDescent="0.3"/>
    <row r="1990" customFormat="1" x14ac:dyDescent="0.3"/>
    <row r="1991" customFormat="1" x14ac:dyDescent="0.3"/>
    <row r="1992" customFormat="1" x14ac:dyDescent="0.3"/>
    <row r="1993" customFormat="1" x14ac:dyDescent="0.3"/>
    <row r="1994" customFormat="1" x14ac:dyDescent="0.3"/>
    <row r="1995" customFormat="1" x14ac:dyDescent="0.3"/>
    <row r="1996" customFormat="1" x14ac:dyDescent="0.3"/>
    <row r="1997" customFormat="1" x14ac:dyDescent="0.3"/>
    <row r="1998" customFormat="1" x14ac:dyDescent="0.3"/>
    <row r="1999" customFormat="1" x14ac:dyDescent="0.3"/>
    <row r="2000" customFormat="1" x14ac:dyDescent="0.3"/>
    <row r="2001" customFormat="1" x14ac:dyDescent="0.3"/>
    <row r="2002" customFormat="1" x14ac:dyDescent="0.3"/>
    <row r="2003" customFormat="1" x14ac:dyDescent="0.3"/>
    <row r="2004" customFormat="1" x14ac:dyDescent="0.3"/>
    <row r="2005" customFormat="1" x14ac:dyDescent="0.3"/>
    <row r="2006" customFormat="1" x14ac:dyDescent="0.3"/>
    <row r="2007" customFormat="1" x14ac:dyDescent="0.3"/>
    <row r="2008" customFormat="1" x14ac:dyDescent="0.3"/>
    <row r="2009" customFormat="1" x14ac:dyDescent="0.3"/>
    <row r="2010" customFormat="1" x14ac:dyDescent="0.3"/>
    <row r="2011" customFormat="1" x14ac:dyDescent="0.3"/>
    <row r="2012" customFormat="1" x14ac:dyDescent="0.3"/>
    <row r="2013" customFormat="1" x14ac:dyDescent="0.3"/>
    <row r="2014" customFormat="1" x14ac:dyDescent="0.3"/>
    <row r="2015" customFormat="1" x14ac:dyDescent="0.3"/>
    <row r="2016" customFormat="1" x14ac:dyDescent="0.3"/>
    <row r="2017" customFormat="1" x14ac:dyDescent="0.3"/>
    <row r="2018" customFormat="1" x14ac:dyDescent="0.3"/>
    <row r="2019" customFormat="1" x14ac:dyDescent="0.3"/>
    <row r="2020" customFormat="1" x14ac:dyDescent="0.3"/>
    <row r="2021" customFormat="1" x14ac:dyDescent="0.3"/>
    <row r="2022" customFormat="1" x14ac:dyDescent="0.3"/>
    <row r="2023" customFormat="1" x14ac:dyDescent="0.3"/>
    <row r="2024" customFormat="1" x14ac:dyDescent="0.3"/>
    <row r="2025" customFormat="1" x14ac:dyDescent="0.3"/>
    <row r="2026" customFormat="1" x14ac:dyDescent="0.3"/>
    <row r="2027" customFormat="1" x14ac:dyDescent="0.3"/>
    <row r="2028" customFormat="1" x14ac:dyDescent="0.3"/>
    <row r="2029" customFormat="1" x14ac:dyDescent="0.3"/>
    <row r="2030" customFormat="1" x14ac:dyDescent="0.3"/>
    <row r="2031" customFormat="1" x14ac:dyDescent="0.3"/>
    <row r="2032" customFormat="1" x14ac:dyDescent="0.3"/>
    <row r="2033" customFormat="1" x14ac:dyDescent="0.3"/>
    <row r="2034" customFormat="1" x14ac:dyDescent="0.3"/>
    <row r="2035" customFormat="1" x14ac:dyDescent="0.3"/>
    <row r="2036" customFormat="1" x14ac:dyDescent="0.3"/>
    <row r="2037" customFormat="1" x14ac:dyDescent="0.3"/>
    <row r="2038" customFormat="1" x14ac:dyDescent="0.3"/>
    <row r="2039" customFormat="1" x14ac:dyDescent="0.3"/>
    <row r="2040" customFormat="1" x14ac:dyDescent="0.3"/>
    <row r="2041" customFormat="1" x14ac:dyDescent="0.3"/>
    <row r="2042" customFormat="1" x14ac:dyDescent="0.3"/>
    <row r="2043" customFormat="1" x14ac:dyDescent="0.3"/>
    <row r="2044" customFormat="1" x14ac:dyDescent="0.3"/>
    <row r="2045" customFormat="1" x14ac:dyDescent="0.3"/>
    <row r="2046" customFormat="1" x14ac:dyDescent="0.3"/>
    <row r="2047" customFormat="1" x14ac:dyDescent="0.3"/>
    <row r="2048" customFormat="1" x14ac:dyDescent="0.3"/>
    <row r="2049" customFormat="1" x14ac:dyDescent="0.3"/>
    <row r="2050" customFormat="1" x14ac:dyDescent="0.3"/>
    <row r="2051" customFormat="1" x14ac:dyDescent="0.3"/>
    <row r="2052" customFormat="1" x14ac:dyDescent="0.3"/>
    <row r="2053" customFormat="1" x14ac:dyDescent="0.3"/>
    <row r="2054" customFormat="1" x14ac:dyDescent="0.3"/>
    <row r="2055" customFormat="1" x14ac:dyDescent="0.3"/>
    <row r="2056" customFormat="1" x14ac:dyDescent="0.3"/>
    <row r="2057" customFormat="1" x14ac:dyDescent="0.3"/>
    <row r="2058" customFormat="1" x14ac:dyDescent="0.3"/>
    <row r="2059" customFormat="1" x14ac:dyDescent="0.3"/>
    <row r="2060" customFormat="1" x14ac:dyDescent="0.3"/>
    <row r="2061" customFormat="1" x14ac:dyDescent="0.3"/>
    <row r="2062" customFormat="1" x14ac:dyDescent="0.3"/>
    <row r="2063" customFormat="1" x14ac:dyDescent="0.3"/>
    <row r="2064" customFormat="1" x14ac:dyDescent="0.3"/>
    <row r="2065" customFormat="1" x14ac:dyDescent="0.3"/>
    <row r="2066" customFormat="1" x14ac:dyDescent="0.3"/>
    <row r="2067" customFormat="1" x14ac:dyDescent="0.3"/>
    <row r="2068" customFormat="1" x14ac:dyDescent="0.3"/>
    <row r="2069" customFormat="1" x14ac:dyDescent="0.3"/>
    <row r="2070" customFormat="1" x14ac:dyDescent="0.3"/>
    <row r="2071" customFormat="1" x14ac:dyDescent="0.3"/>
    <row r="2072" customFormat="1" x14ac:dyDescent="0.3"/>
    <row r="2073" customFormat="1" x14ac:dyDescent="0.3"/>
    <row r="2074" customFormat="1" x14ac:dyDescent="0.3"/>
    <row r="2075" customFormat="1" x14ac:dyDescent="0.3"/>
    <row r="2076" customFormat="1" x14ac:dyDescent="0.3"/>
    <row r="2077" customFormat="1" x14ac:dyDescent="0.3"/>
    <row r="2078" customFormat="1" x14ac:dyDescent="0.3"/>
    <row r="2079" customFormat="1" x14ac:dyDescent="0.3"/>
    <row r="2080" customFormat="1" x14ac:dyDescent="0.3"/>
    <row r="2081" customFormat="1" x14ac:dyDescent="0.3"/>
    <row r="2082" customFormat="1" x14ac:dyDescent="0.3"/>
    <row r="2083" customFormat="1" x14ac:dyDescent="0.3"/>
    <row r="2084" customFormat="1" x14ac:dyDescent="0.3"/>
    <row r="2085" customFormat="1" x14ac:dyDescent="0.3"/>
    <row r="2086" customFormat="1" x14ac:dyDescent="0.3"/>
    <row r="2087" customFormat="1" x14ac:dyDescent="0.3"/>
    <row r="2088" customFormat="1" x14ac:dyDescent="0.3"/>
    <row r="2089" customFormat="1" x14ac:dyDescent="0.3"/>
    <row r="2090" customFormat="1" x14ac:dyDescent="0.3"/>
    <row r="2091" customFormat="1" x14ac:dyDescent="0.3"/>
    <row r="2092" customFormat="1" x14ac:dyDescent="0.3"/>
    <row r="2093" customFormat="1" x14ac:dyDescent="0.3"/>
    <row r="2094" customFormat="1" x14ac:dyDescent="0.3"/>
    <row r="2095" customFormat="1" x14ac:dyDescent="0.3"/>
    <row r="2096" customFormat="1" x14ac:dyDescent="0.3"/>
    <row r="2097" customFormat="1" x14ac:dyDescent="0.3"/>
    <row r="2098" customFormat="1" x14ac:dyDescent="0.3"/>
    <row r="2099" customFormat="1" x14ac:dyDescent="0.3"/>
    <row r="2100" customFormat="1" x14ac:dyDescent="0.3"/>
    <row r="2101" customFormat="1" x14ac:dyDescent="0.3"/>
    <row r="2102" customFormat="1" x14ac:dyDescent="0.3"/>
    <row r="2103" customFormat="1" x14ac:dyDescent="0.3"/>
    <row r="2104" customFormat="1" x14ac:dyDescent="0.3"/>
    <row r="2105" customFormat="1" x14ac:dyDescent="0.3"/>
    <row r="2106" customFormat="1" x14ac:dyDescent="0.3"/>
    <row r="2107" customFormat="1" x14ac:dyDescent="0.3"/>
    <row r="2108" customFormat="1" x14ac:dyDescent="0.3"/>
    <row r="2109" customFormat="1" x14ac:dyDescent="0.3"/>
    <row r="2110" customFormat="1" x14ac:dyDescent="0.3"/>
    <row r="2111" customFormat="1" x14ac:dyDescent="0.3"/>
    <row r="2112" customFormat="1" x14ac:dyDescent="0.3"/>
    <row r="2113" customFormat="1" x14ac:dyDescent="0.3"/>
    <row r="2114" customFormat="1" x14ac:dyDescent="0.3"/>
    <row r="2115" customFormat="1" x14ac:dyDescent="0.3"/>
    <row r="2116" customFormat="1" x14ac:dyDescent="0.3"/>
    <row r="2117" customFormat="1" x14ac:dyDescent="0.3"/>
    <row r="2118" customFormat="1" x14ac:dyDescent="0.3"/>
    <row r="2119" customFormat="1" x14ac:dyDescent="0.3"/>
    <row r="2120" customFormat="1" x14ac:dyDescent="0.3"/>
    <row r="2121" customFormat="1" x14ac:dyDescent="0.3"/>
    <row r="2122" customFormat="1" x14ac:dyDescent="0.3"/>
    <row r="2123" customFormat="1" x14ac:dyDescent="0.3"/>
    <row r="2124" customFormat="1" x14ac:dyDescent="0.3"/>
    <row r="2125" customFormat="1" x14ac:dyDescent="0.3"/>
    <row r="2126" customFormat="1" x14ac:dyDescent="0.3"/>
    <row r="2127" customFormat="1" x14ac:dyDescent="0.3"/>
    <row r="2128" customFormat="1" x14ac:dyDescent="0.3"/>
    <row r="2129" customFormat="1" x14ac:dyDescent="0.3"/>
    <row r="2130" customFormat="1" x14ac:dyDescent="0.3"/>
    <row r="2131" customFormat="1" x14ac:dyDescent="0.3"/>
    <row r="2132" customFormat="1" x14ac:dyDescent="0.3"/>
    <row r="2133" customFormat="1" x14ac:dyDescent="0.3"/>
    <row r="2134" customFormat="1" x14ac:dyDescent="0.3"/>
    <row r="2135" customFormat="1" x14ac:dyDescent="0.3"/>
    <row r="2136" customFormat="1" x14ac:dyDescent="0.3"/>
    <row r="2137" customFormat="1" x14ac:dyDescent="0.3"/>
    <row r="2138" customFormat="1" x14ac:dyDescent="0.3"/>
    <row r="2139" customFormat="1" x14ac:dyDescent="0.3"/>
    <row r="2140" customFormat="1" x14ac:dyDescent="0.3"/>
    <row r="2141" customFormat="1" x14ac:dyDescent="0.3"/>
    <row r="2142" customFormat="1" x14ac:dyDescent="0.3"/>
    <row r="2143" customFormat="1" x14ac:dyDescent="0.3"/>
    <row r="2144" customFormat="1" x14ac:dyDescent="0.3"/>
    <row r="2145" customFormat="1" x14ac:dyDescent="0.3"/>
    <row r="2146" customFormat="1" x14ac:dyDescent="0.3"/>
    <row r="2147" customFormat="1" x14ac:dyDescent="0.3"/>
    <row r="2148" customFormat="1" x14ac:dyDescent="0.3"/>
    <row r="2149" customFormat="1" x14ac:dyDescent="0.3"/>
    <row r="2150" customFormat="1" x14ac:dyDescent="0.3"/>
    <row r="2151" customFormat="1" x14ac:dyDescent="0.3"/>
    <row r="2152" customFormat="1" x14ac:dyDescent="0.3"/>
    <row r="2153" customFormat="1" x14ac:dyDescent="0.3"/>
    <row r="2154" customFormat="1" x14ac:dyDescent="0.3"/>
    <row r="2155" customFormat="1" x14ac:dyDescent="0.3"/>
    <row r="2156" customFormat="1" x14ac:dyDescent="0.3"/>
    <row r="2157" customFormat="1" x14ac:dyDescent="0.3"/>
    <row r="2158" customFormat="1" x14ac:dyDescent="0.3"/>
    <row r="2159" customFormat="1" x14ac:dyDescent="0.3"/>
    <row r="2160" customFormat="1" x14ac:dyDescent="0.3"/>
    <row r="2161" customFormat="1" x14ac:dyDescent="0.3"/>
    <row r="2162" customFormat="1" x14ac:dyDescent="0.3"/>
    <row r="2163" customFormat="1" x14ac:dyDescent="0.3"/>
    <row r="2164" customFormat="1" x14ac:dyDescent="0.3"/>
    <row r="2165" customFormat="1" x14ac:dyDescent="0.3"/>
    <row r="2166" customFormat="1" x14ac:dyDescent="0.3"/>
    <row r="2167" customFormat="1" x14ac:dyDescent="0.3"/>
    <row r="2168" customFormat="1" x14ac:dyDescent="0.3"/>
    <row r="2169" customFormat="1" x14ac:dyDescent="0.3"/>
    <row r="2170" customFormat="1" x14ac:dyDescent="0.3"/>
    <row r="2171" customFormat="1" x14ac:dyDescent="0.3"/>
    <row r="2172" customFormat="1" x14ac:dyDescent="0.3"/>
    <row r="2173" customFormat="1" x14ac:dyDescent="0.3"/>
    <row r="2174" customFormat="1" x14ac:dyDescent="0.3"/>
    <row r="2175" customFormat="1" x14ac:dyDescent="0.3"/>
    <row r="2176" customFormat="1" x14ac:dyDescent="0.3"/>
    <row r="2177" customFormat="1" x14ac:dyDescent="0.3"/>
    <row r="2178" customFormat="1" x14ac:dyDescent="0.3"/>
    <row r="2179" customFormat="1" x14ac:dyDescent="0.3"/>
    <row r="2180" customFormat="1" x14ac:dyDescent="0.3"/>
    <row r="2181" customFormat="1" x14ac:dyDescent="0.3"/>
    <row r="2182" customFormat="1" x14ac:dyDescent="0.3"/>
    <row r="2183" customFormat="1" x14ac:dyDescent="0.3"/>
    <row r="2184" customFormat="1" x14ac:dyDescent="0.3"/>
    <row r="2185" customFormat="1" x14ac:dyDescent="0.3"/>
    <row r="2186" customFormat="1" x14ac:dyDescent="0.3"/>
    <row r="2187" customFormat="1" x14ac:dyDescent="0.3"/>
    <row r="2188" customFormat="1" x14ac:dyDescent="0.3"/>
    <row r="2189" customFormat="1" x14ac:dyDescent="0.3"/>
    <row r="2190" customFormat="1" x14ac:dyDescent="0.3"/>
    <row r="2191" customFormat="1" x14ac:dyDescent="0.3"/>
    <row r="2192" customFormat="1" x14ac:dyDescent="0.3"/>
    <row r="2193" customFormat="1" x14ac:dyDescent="0.3"/>
    <row r="2194" customFormat="1" x14ac:dyDescent="0.3"/>
    <row r="2195" customFormat="1" x14ac:dyDescent="0.3"/>
    <row r="2196" customFormat="1" x14ac:dyDescent="0.3"/>
    <row r="2197" customFormat="1" x14ac:dyDescent="0.3"/>
    <row r="2198" customFormat="1" x14ac:dyDescent="0.3"/>
    <row r="2199" customFormat="1" x14ac:dyDescent="0.3"/>
    <row r="2200" customFormat="1" x14ac:dyDescent="0.3"/>
    <row r="2201" customFormat="1" x14ac:dyDescent="0.3"/>
    <row r="2202" customFormat="1" x14ac:dyDescent="0.3"/>
    <row r="2203" customFormat="1" x14ac:dyDescent="0.3"/>
    <row r="2204" customFormat="1" x14ac:dyDescent="0.3"/>
    <row r="2205" customFormat="1" x14ac:dyDescent="0.3"/>
    <row r="2206" customFormat="1" x14ac:dyDescent="0.3"/>
    <row r="2207" customFormat="1" x14ac:dyDescent="0.3"/>
    <row r="2208" customFormat="1" x14ac:dyDescent="0.3"/>
    <row r="2209" customFormat="1" x14ac:dyDescent="0.3"/>
    <row r="2210" customFormat="1" x14ac:dyDescent="0.3"/>
    <row r="2211" customFormat="1" x14ac:dyDescent="0.3"/>
    <row r="2212" customFormat="1" x14ac:dyDescent="0.3"/>
    <row r="2213" customFormat="1" x14ac:dyDescent="0.3"/>
    <row r="2214" customFormat="1" x14ac:dyDescent="0.3"/>
    <row r="2215" customFormat="1" x14ac:dyDescent="0.3"/>
    <row r="2216" customFormat="1" x14ac:dyDescent="0.3"/>
    <row r="2217" customFormat="1" x14ac:dyDescent="0.3"/>
    <row r="2218" customFormat="1" x14ac:dyDescent="0.3"/>
    <row r="2219" customFormat="1" x14ac:dyDescent="0.3"/>
    <row r="2220" customFormat="1" x14ac:dyDescent="0.3"/>
    <row r="2221" customFormat="1" x14ac:dyDescent="0.3"/>
    <row r="2222" customFormat="1" x14ac:dyDescent="0.3"/>
    <row r="2223" customFormat="1" x14ac:dyDescent="0.3"/>
    <row r="2224" customFormat="1" x14ac:dyDescent="0.3"/>
    <row r="2225" customFormat="1" x14ac:dyDescent="0.3"/>
    <row r="2226" customFormat="1" x14ac:dyDescent="0.3"/>
    <row r="2227" customFormat="1" x14ac:dyDescent="0.3"/>
    <row r="2228" customFormat="1" x14ac:dyDescent="0.3"/>
    <row r="2229" customFormat="1" x14ac:dyDescent="0.3"/>
    <row r="2230" customFormat="1" x14ac:dyDescent="0.3"/>
    <row r="2231" customFormat="1" x14ac:dyDescent="0.3"/>
    <row r="2232" customFormat="1" x14ac:dyDescent="0.3"/>
    <row r="2233" customFormat="1" x14ac:dyDescent="0.3"/>
    <row r="2234" customFormat="1" x14ac:dyDescent="0.3"/>
    <row r="2235" customFormat="1" x14ac:dyDescent="0.3"/>
    <row r="2236" customFormat="1" x14ac:dyDescent="0.3"/>
    <row r="2237" customFormat="1" x14ac:dyDescent="0.3"/>
    <row r="2238" customFormat="1" x14ac:dyDescent="0.3"/>
    <row r="2239" customFormat="1" x14ac:dyDescent="0.3"/>
    <row r="2240" customFormat="1" x14ac:dyDescent="0.3"/>
    <row r="2241" customFormat="1" x14ac:dyDescent="0.3"/>
    <row r="2242" customFormat="1" x14ac:dyDescent="0.3"/>
    <row r="2243" customFormat="1" x14ac:dyDescent="0.3"/>
    <row r="2244" customFormat="1" x14ac:dyDescent="0.3"/>
    <row r="2245" customFormat="1" x14ac:dyDescent="0.3"/>
    <row r="2246" customFormat="1" x14ac:dyDescent="0.3"/>
    <row r="2247" customFormat="1" x14ac:dyDescent="0.3"/>
    <row r="2248" customFormat="1" x14ac:dyDescent="0.3"/>
    <row r="2249" customFormat="1" x14ac:dyDescent="0.3"/>
    <row r="2250" customFormat="1" x14ac:dyDescent="0.3"/>
    <row r="2251" customFormat="1" x14ac:dyDescent="0.3"/>
    <row r="2252" customFormat="1" x14ac:dyDescent="0.3"/>
    <row r="2253" customFormat="1" x14ac:dyDescent="0.3"/>
    <row r="2254" customFormat="1" x14ac:dyDescent="0.3"/>
    <row r="2255" customFormat="1" x14ac:dyDescent="0.3"/>
    <row r="2256" customFormat="1" x14ac:dyDescent="0.3"/>
    <row r="2257" customFormat="1" x14ac:dyDescent="0.3"/>
    <row r="2258" customFormat="1" x14ac:dyDescent="0.3"/>
    <row r="2259" customFormat="1" x14ac:dyDescent="0.3"/>
    <row r="2260" customFormat="1" x14ac:dyDescent="0.3"/>
    <row r="2261" customFormat="1" x14ac:dyDescent="0.3"/>
    <row r="2262" customFormat="1" x14ac:dyDescent="0.3"/>
    <row r="2263" customFormat="1" x14ac:dyDescent="0.3"/>
    <row r="2264" customFormat="1" x14ac:dyDescent="0.3"/>
    <row r="2265" customFormat="1" x14ac:dyDescent="0.3"/>
    <row r="2266" customFormat="1" x14ac:dyDescent="0.3"/>
    <row r="2267" customFormat="1" x14ac:dyDescent="0.3"/>
    <row r="2268" customFormat="1" x14ac:dyDescent="0.3"/>
    <row r="2269" customFormat="1" x14ac:dyDescent="0.3"/>
    <row r="2270" customFormat="1" x14ac:dyDescent="0.3"/>
    <row r="2271" customFormat="1" x14ac:dyDescent="0.3"/>
    <row r="2272" customFormat="1" x14ac:dyDescent="0.3"/>
    <row r="2273" customFormat="1" x14ac:dyDescent="0.3"/>
    <row r="2274" customFormat="1" x14ac:dyDescent="0.3"/>
    <row r="2275" customFormat="1" x14ac:dyDescent="0.3"/>
    <row r="2276" customFormat="1" x14ac:dyDescent="0.3"/>
    <row r="2277" customFormat="1" x14ac:dyDescent="0.3"/>
    <row r="2278" customFormat="1" x14ac:dyDescent="0.3"/>
    <row r="2279" customFormat="1" x14ac:dyDescent="0.3"/>
    <row r="2280" customFormat="1" x14ac:dyDescent="0.3"/>
    <row r="2281" customFormat="1" x14ac:dyDescent="0.3"/>
    <row r="2282" customFormat="1" x14ac:dyDescent="0.3"/>
    <row r="2283" customFormat="1" x14ac:dyDescent="0.3"/>
    <row r="2284" customFormat="1" x14ac:dyDescent="0.3"/>
    <row r="2285" customFormat="1" x14ac:dyDescent="0.3"/>
    <row r="2286" customFormat="1" x14ac:dyDescent="0.3"/>
    <row r="2287" customFormat="1" x14ac:dyDescent="0.3"/>
    <row r="2288" customFormat="1" x14ac:dyDescent="0.3"/>
    <row r="2289" customFormat="1" x14ac:dyDescent="0.3"/>
    <row r="2290" customFormat="1" x14ac:dyDescent="0.3"/>
    <row r="2291" customFormat="1" x14ac:dyDescent="0.3"/>
    <row r="2292" customFormat="1" x14ac:dyDescent="0.3"/>
    <row r="2293" customFormat="1" x14ac:dyDescent="0.3"/>
    <row r="2294" customFormat="1" x14ac:dyDescent="0.3"/>
    <row r="2295" customFormat="1" x14ac:dyDescent="0.3"/>
    <row r="2296" customFormat="1" x14ac:dyDescent="0.3"/>
    <row r="2297" customFormat="1" x14ac:dyDescent="0.3"/>
    <row r="2298" customFormat="1" x14ac:dyDescent="0.3"/>
    <row r="2299" customFormat="1" x14ac:dyDescent="0.3"/>
    <row r="2300" customFormat="1" x14ac:dyDescent="0.3"/>
    <row r="2301" customFormat="1" x14ac:dyDescent="0.3"/>
    <row r="2302" customFormat="1" x14ac:dyDescent="0.3"/>
    <row r="2303" customFormat="1" x14ac:dyDescent="0.3"/>
    <row r="2304" customFormat="1" x14ac:dyDescent="0.3"/>
    <row r="2305" customFormat="1" x14ac:dyDescent="0.3"/>
    <row r="2306" customFormat="1" x14ac:dyDescent="0.3"/>
    <row r="2307" customFormat="1" x14ac:dyDescent="0.3"/>
    <row r="2308" customFormat="1" x14ac:dyDescent="0.3"/>
    <row r="2309" customFormat="1" x14ac:dyDescent="0.3"/>
    <row r="2310" customFormat="1" x14ac:dyDescent="0.3"/>
    <row r="2311" customFormat="1" x14ac:dyDescent="0.3"/>
    <row r="2312" customFormat="1" x14ac:dyDescent="0.3"/>
    <row r="2313" customFormat="1" x14ac:dyDescent="0.3"/>
    <row r="2314" customFormat="1" x14ac:dyDescent="0.3"/>
    <row r="2315" customFormat="1" x14ac:dyDescent="0.3"/>
    <row r="2316" customFormat="1" x14ac:dyDescent="0.3"/>
    <row r="2317" customFormat="1" x14ac:dyDescent="0.3"/>
    <row r="2318" customFormat="1" x14ac:dyDescent="0.3"/>
    <row r="2319" customFormat="1" x14ac:dyDescent="0.3"/>
    <row r="2320" customFormat="1" x14ac:dyDescent="0.3"/>
    <row r="2321" customFormat="1" x14ac:dyDescent="0.3"/>
    <row r="2322" customFormat="1" x14ac:dyDescent="0.3"/>
    <row r="2323" customFormat="1" x14ac:dyDescent="0.3"/>
    <row r="2324" customFormat="1" x14ac:dyDescent="0.3"/>
    <row r="2325" customFormat="1" x14ac:dyDescent="0.3"/>
    <row r="2326" customFormat="1" x14ac:dyDescent="0.3"/>
    <row r="2327" customFormat="1" x14ac:dyDescent="0.3"/>
    <row r="2328" customFormat="1" x14ac:dyDescent="0.3"/>
    <row r="2329" customFormat="1" x14ac:dyDescent="0.3"/>
    <row r="2330" customFormat="1" x14ac:dyDescent="0.3"/>
    <row r="2331" customFormat="1" x14ac:dyDescent="0.3"/>
    <row r="2332" customFormat="1" x14ac:dyDescent="0.3"/>
    <row r="2333" customFormat="1" x14ac:dyDescent="0.3"/>
    <row r="2334" customFormat="1" x14ac:dyDescent="0.3"/>
    <row r="2335" customFormat="1" x14ac:dyDescent="0.3"/>
    <row r="2336" customFormat="1" x14ac:dyDescent="0.3"/>
    <row r="2337" customFormat="1" x14ac:dyDescent="0.3"/>
    <row r="2338" customFormat="1" x14ac:dyDescent="0.3"/>
    <row r="2339" customFormat="1" x14ac:dyDescent="0.3"/>
    <row r="2340" customFormat="1" x14ac:dyDescent="0.3"/>
    <row r="2341" customFormat="1" x14ac:dyDescent="0.3"/>
    <row r="2342" customFormat="1" x14ac:dyDescent="0.3"/>
    <row r="2343" customFormat="1" x14ac:dyDescent="0.3"/>
    <row r="2344" customFormat="1" x14ac:dyDescent="0.3"/>
    <row r="2345" customFormat="1" x14ac:dyDescent="0.3"/>
    <row r="2346" customFormat="1" x14ac:dyDescent="0.3"/>
    <row r="2347" customFormat="1" x14ac:dyDescent="0.3"/>
    <row r="2348" customFormat="1" x14ac:dyDescent="0.3"/>
    <row r="2349" customFormat="1" x14ac:dyDescent="0.3"/>
    <row r="2350" customFormat="1" x14ac:dyDescent="0.3"/>
    <row r="2351" customFormat="1" x14ac:dyDescent="0.3"/>
    <row r="2352" customFormat="1" x14ac:dyDescent="0.3"/>
    <row r="2353" customFormat="1" x14ac:dyDescent="0.3"/>
    <row r="2354" customFormat="1" x14ac:dyDescent="0.3"/>
    <row r="2355" customFormat="1" x14ac:dyDescent="0.3"/>
    <row r="2356" customFormat="1" x14ac:dyDescent="0.3"/>
    <row r="2357" customFormat="1" x14ac:dyDescent="0.3"/>
    <row r="2358" customFormat="1" x14ac:dyDescent="0.3"/>
    <row r="2359" customFormat="1" x14ac:dyDescent="0.3"/>
    <row r="2360" customFormat="1" x14ac:dyDescent="0.3"/>
    <row r="2361" customFormat="1" x14ac:dyDescent="0.3"/>
    <row r="2362" customFormat="1" x14ac:dyDescent="0.3"/>
    <row r="2363" customFormat="1" x14ac:dyDescent="0.3"/>
    <row r="2364" customFormat="1" x14ac:dyDescent="0.3"/>
    <row r="2365" customFormat="1" x14ac:dyDescent="0.3"/>
    <row r="2366" customFormat="1" x14ac:dyDescent="0.3"/>
    <row r="2367" customFormat="1" x14ac:dyDescent="0.3"/>
    <row r="2368" customFormat="1" x14ac:dyDescent="0.3"/>
    <row r="2369" customFormat="1" x14ac:dyDescent="0.3"/>
    <row r="2370" customFormat="1" x14ac:dyDescent="0.3"/>
    <row r="2371" customFormat="1" x14ac:dyDescent="0.3"/>
    <row r="2372" customFormat="1" x14ac:dyDescent="0.3"/>
    <row r="2373" customFormat="1" x14ac:dyDescent="0.3"/>
    <row r="2374" customFormat="1" x14ac:dyDescent="0.3"/>
    <row r="2375" customFormat="1" x14ac:dyDescent="0.3"/>
    <row r="2376" customFormat="1" x14ac:dyDescent="0.3"/>
    <row r="2377" customFormat="1" x14ac:dyDescent="0.3"/>
    <row r="2378" customFormat="1" x14ac:dyDescent="0.3"/>
    <row r="2379" customFormat="1" x14ac:dyDescent="0.3"/>
    <row r="2380" customFormat="1" x14ac:dyDescent="0.3"/>
    <row r="2381" customFormat="1" x14ac:dyDescent="0.3"/>
    <row r="2382" customFormat="1" x14ac:dyDescent="0.3"/>
    <row r="2383" customFormat="1" x14ac:dyDescent="0.3"/>
    <row r="2384" customFormat="1" x14ac:dyDescent="0.3"/>
    <row r="2385" customFormat="1" x14ac:dyDescent="0.3"/>
    <row r="2386" customFormat="1" x14ac:dyDescent="0.3"/>
    <row r="2387" customFormat="1" x14ac:dyDescent="0.3"/>
    <row r="2388" customFormat="1" x14ac:dyDescent="0.3"/>
    <row r="2389" customFormat="1" x14ac:dyDescent="0.3"/>
    <row r="2390" customFormat="1" x14ac:dyDescent="0.3"/>
    <row r="2391" customFormat="1" x14ac:dyDescent="0.3"/>
    <row r="2392" customFormat="1" x14ac:dyDescent="0.3"/>
    <row r="2393" customFormat="1" x14ac:dyDescent="0.3"/>
    <row r="2394" customFormat="1" x14ac:dyDescent="0.3"/>
    <row r="2395" customFormat="1" x14ac:dyDescent="0.3"/>
    <row r="2396" customFormat="1" x14ac:dyDescent="0.3"/>
    <row r="2397" customFormat="1" x14ac:dyDescent="0.3"/>
    <row r="2398" customFormat="1" x14ac:dyDescent="0.3"/>
    <row r="2399" customFormat="1" x14ac:dyDescent="0.3"/>
    <row r="2400" customFormat="1" x14ac:dyDescent="0.3"/>
    <row r="2401" customFormat="1" x14ac:dyDescent="0.3"/>
    <row r="2402" customFormat="1" x14ac:dyDescent="0.3"/>
    <row r="2403" customFormat="1" x14ac:dyDescent="0.3"/>
    <row r="2404" customFormat="1" x14ac:dyDescent="0.3"/>
    <row r="2405" customFormat="1" x14ac:dyDescent="0.3"/>
    <row r="2406" customFormat="1" x14ac:dyDescent="0.3"/>
    <row r="2407" customFormat="1" x14ac:dyDescent="0.3"/>
    <row r="2408" customFormat="1" x14ac:dyDescent="0.3"/>
    <row r="2409" customFormat="1" x14ac:dyDescent="0.3"/>
    <row r="2410" customFormat="1" x14ac:dyDescent="0.3"/>
    <row r="2411" customFormat="1" x14ac:dyDescent="0.3"/>
    <row r="2412" customFormat="1" x14ac:dyDescent="0.3"/>
    <row r="2413" customFormat="1" x14ac:dyDescent="0.3"/>
    <row r="2414" customFormat="1" x14ac:dyDescent="0.3"/>
    <row r="2415" customFormat="1" x14ac:dyDescent="0.3"/>
    <row r="2416" customFormat="1" x14ac:dyDescent="0.3"/>
    <row r="2417" customFormat="1" x14ac:dyDescent="0.3"/>
    <row r="2418" customFormat="1" x14ac:dyDescent="0.3"/>
    <row r="2419" customFormat="1" x14ac:dyDescent="0.3"/>
    <row r="2420" customFormat="1" x14ac:dyDescent="0.3"/>
    <row r="2421" customFormat="1" x14ac:dyDescent="0.3"/>
    <row r="2422" customFormat="1" x14ac:dyDescent="0.3"/>
    <row r="2423" customFormat="1" x14ac:dyDescent="0.3"/>
    <row r="2424" customFormat="1" x14ac:dyDescent="0.3"/>
    <row r="2425" customFormat="1" x14ac:dyDescent="0.3"/>
    <row r="2426" customFormat="1" x14ac:dyDescent="0.3"/>
    <row r="2427" customFormat="1" x14ac:dyDescent="0.3"/>
    <row r="2428" customFormat="1" x14ac:dyDescent="0.3"/>
    <row r="2429" customFormat="1" x14ac:dyDescent="0.3"/>
    <row r="2430" customFormat="1" x14ac:dyDescent="0.3"/>
    <row r="2431" customFormat="1" x14ac:dyDescent="0.3"/>
    <row r="2432" customFormat="1" x14ac:dyDescent="0.3"/>
    <row r="2433" customFormat="1" x14ac:dyDescent="0.3"/>
    <row r="2434" customFormat="1" x14ac:dyDescent="0.3"/>
    <row r="2435" customFormat="1" x14ac:dyDescent="0.3"/>
    <row r="2436" customFormat="1" x14ac:dyDescent="0.3"/>
    <row r="2437" customFormat="1" x14ac:dyDescent="0.3"/>
    <row r="2438" customFormat="1" x14ac:dyDescent="0.3"/>
    <row r="2439" customFormat="1" x14ac:dyDescent="0.3"/>
    <row r="2440" customFormat="1" x14ac:dyDescent="0.3"/>
    <row r="2441" customFormat="1" x14ac:dyDescent="0.3"/>
    <row r="2442" customFormat="1" x14ac:dyDescent="0.3"/>
    <row r="2443" customFormat="1" x14ac:dyDescent="0.3"/>
    <row r="2444" customFormat="1" x14ac:dyDescent="0.3"/>
    <row r="2445" customFormat="1" x14ac:dyDescent="0.3"/>
    <row r="2446" customFormat="1" x14ac:dyDescent="0.3"/>
    <row r="2447" customFormat="1" x14ac:dyDescent="0.3"/>
    <row r="2448" customFormat="1" x14ac:dyDescent="0.3"/>
    <row r="2449" customFormat="1" x14ac:dyDescent="0.3"/>
    <row r="2450" customFormat="1" x14ac:dyDescent="0.3"/>
    <row r="2451" customFormat="1" x14ac:dyDescent="0.3"/>
    <row r="2452" customFormat="1" x14ac:dyDescent="0.3"/>
    <row r="2453" customFormat="1" x14ac:dyDescent="0.3"/>
    <row r="2454" customFormat="1" x14ac:dyDescent="0.3"/>
    <row r="2455" customFormat="1" x14ac:dyDescent="0.3"/>
    <row r="2456" customFormat="1" x14ac:dyDescent="0.3"/>
    <row r="2457" customFormat="1" x14ac:dyDescent="0.3"/>
    <row r="2458" customFormat="1" x14ac:dyDescent="0.3"/>
    <row r="2459" customFormat="1" x14ac:dyDescent="0.3"/>
    <row r="2460" customFormat="1" x14ac:dyDescent="0.3"/>
    <row r="2461" customFormat="1" x14ac:dyDescent="0.3"/>
    <row r="2462" customFormat="1" x14ac:dyDescent="0.3"/>
    <row r="2463" customFormat="1" x14ac:dyDescent="0.3"/>
    <row r="2464" customFormat="1" x14ac:dyDescent="0.3"/>
    <row r="2465" customFormat="1" x14ac:dyDescent="0.3"/>
    <row r="2466" customFormat="1" x14ac:dyDescent="0.3"/>
    <row r="2467" customFormat="1" x14ac:dyDescent="0.3"/>
    <row r="2468" customFormat="1" x14ac:dyDescent="0.3"/>
    <row r="2469" customFormat="1" x14ac:dyDescent="0.3"/>
    <row r="2470" customFormat="1" x14ac:dyDescent="0.3"/>
    <row r="2471" customFormat="1" x14ac:dyDescent="0.3"/>
    <row r="2472" customFormat="1" x14ac:dyDescent="0.3"/>
    <row r="2473" customFormat="1" x14ac:dyDescent="0.3"/>
    <row r="2474" customFormat="1" x14ac:dyDescent="0.3"/>
    <row r="2475" customFormat="1" x14ac:dyDescent="0.3"/>
    <row r="2476" customFormat="1" x14ac:dyDescent="0.3"/>
    <row r="2477" customFormat="1" x14ac:dyDescent="0.3"/>
    <row r="2478" customFormat="1" x14ac:dyDescent="0.3"/>
    <row r="2479" customFormat="1" x14ac:dyDescent="0.3"/>
    <row r="2480" customFormat="1" x14ac:dyDescent="0.3"/>
    <row r="2481" customFormat="1" x14ac:dyDescent="0.3"/>
    <row r="2482" customFormat="1" x14ac:dyDescent="0.3"/>
    <row r="2483" customFormat="1" x14ac:dyDescent="0.3"/>
    <row r="2484" customFormat="1" x14ac:dyDescent="0.3"/>
    <row r="2485" customFormat="1" x14ac:dyDescent="0.3"/>
    <row r="2486" customFormat="1" x14ac:dyDescent="0.3"/>
    <row r="2487" customFormat="1" x14ac:dyDescent="0.3"/>
    <row r="2488" customFormat="1" x14ac:dyDescent="0.3"/>
    <row r="2489" customFormat="1" x14ac:dyDescent="0.3"/>
    <row r="2490" customFormat="1" x14ac:dyDescent="0.3"/>
    <row r="2491" customFormat="1" x14ac:dyDescent="0.3"/>
    <row r="2492" customFormat="1" x14ac:dyDescent="0.3"/>
    <row r="2493" customFormat="1" x14ac:dyDescent="0.3"/>
    <row r="2494" customFormat="1" x14ac:dyDescent="0.3"/>
    <row r="2495" customFormat="1" x14ac:dyDescent="0.3"/>
    <row r="2496" customFormat="1" x14ac:dyDescent="0.3"/>
    <row r="2497" customFormat="1" x14ac:dyDescent="0.3"/>
    <row r="2498" customFormat="1" x14ac:dyDescent="0.3"/>
    <row r="2499" customFormat="1" x14ac:dyDescent="0.3"/>
    <row r="2500" customFormat="1" x14ac:dyDescent="0.3"/>
    <row r="2501" customFormat="1" x14ac:dyDescent="0.3"/>
    <row r="2502" customFormat="1" x14ac:dyDescent="0.3"/>
    <row r="2503" customFormat="1" x14ac:dyDescent="0.3"/>
    <row r="2504" customFormat="1" x14ac:dyDescent="0.3"/>
    <row r="2505" customFormat="1" x14ac:dyDescent="0.3"/>
    <row r="2506" customFormat="1" x14ac:dyDescent="0.3"/>
    <row r="2507" customFormat="1" x14ac:dyDescent="0.3"/>
    <row r="2508" customFormat="1" x14ac:dyDescent="0.3"/>
    <row r="2509" customFormat="1" x14ac:dyDescent="0.3"/>
    <row r="2510" customFormat="1" x14ac:dyDescent="0.3"/>
    <row r="2511" customFormat="1" x14ac:dyDescent="0.3"/>
    <row r="2512" customFormat="1" x14ac:dyDescent="0.3"/>
    <row r="2513" customFormat="1" x14ac:dyDescent="0.3"/>
    <row r="2514" customFormat="1" x14ac:dyDescent="0.3"/>
    <row r="2515" customFormat="1" x14ac:dyDescent="0.3"/>
    <row r="2516" customFormat="1" x14ac:dyDescent="0.3"/>
    <row r="2517" customFormat="1" x14ac:dyDescent="0.3"/>
    <row r="2518" customFormat="1" x14ac:dyDescent="0.3"/>
    <row r="2519" customFormat="1" x14ac:dyDescent="0.3"/>
    <row r="2520" customFormat="1" x14ac:dyDescent="0.3"/>
    <row r="2521" customFormat="1" x14ac:dyDescent="0.3"/>
    <row r="2522" customFormat="1" x14ac:dyDescent="0.3"/>
    <row r="2523" customFormat="1" x14ac:dyDescent="0.3"/>
    <row r="2524" customFormat="1" x14ac:dyDescent="0.3"/>
    <row r="2525" customFormat="1" x14ac:dyDescent="0.3"/>
    <row r="2526" customFormat="1" x14ac:dyDescent="0.3"/>
    <row r="2527" customFormat="1" x14ac:dyDescent="0.3"/>
    <row r="2528" customFormat="1" x14ac:dyDescent="0.3"/>
    <row r="2529" customFormat="1" x14ac:dyDescent="0.3"/>
    <row r="2530" customFormat="1" x14ac:dyDescent="0.3"/>
    <row r="2531" customFormat="1" x14ac:dyDescent="0.3"/>
    <row r="2532" customFormat="1" x14ac:dyDescent="0.3"/>
    <row r="2533" customFormat="1" x14ac:dyDescent="0.3"/>
    <row r="2534" customFormat="1" x14ac:dyDescent="0.3"/>
    <row r="2535" customFormat="1" x14ac:dyDescent="0.3"/>
    <row r="2536" customFormat="1" x14ac:dyDescent="0.3"/>
    <row r="2537" customFormat="1" x14ac:dyDescent="0.3"/>
    <row r="2538" customFormat="1" x14ac:dyDescent="0.3"/>
    <row r="2539" customFormat="1" x14ac:dyDescent="0.3"/>
    <row r="2540" customFormat="1" x14ac:dyDescent="0.3"/>
    <row r="2541" customFormat="1" x14ac:dyDescent="0.3"/>
    <row r="2542" customFormat="1" x14ac:dyDescent="0.3"/>
    <row r="2543" customFormat="1" x14ac:dyDescent="0.3"/>
    <row r="2544" customFormat="1" x14ac:dyDescent="0.3"/>
    <row r="2545" customFormat="1" x14ac:dyDescent="0.3"/>
    <row r="2546" customFormat="1" x14ac:dyDescent="0.3"/>
    <row r="2547" customFormat="1" x14ac:dyDescent="0.3"/>
    <row r="2548" customFormat="1" x14ac:dyDescent="0.3"/>
    <row r="2549" customFormat="1" x14ac:dyDescent="0.3"/>
    <row r="2550" customFormat="1" x14ac:dyDescent="0.3"/>
    <row r="2551" customFormat="1" x14ac:dyDescent="0.3"/>
    <row r="2552" customFormat="1" x14ac:dyDescent="0.3"/>
    <row r="2553" customFormat="1" x14ac:dyDescent="0.3"/>
    <row r="2554" customFormat="1" x14ac:dyDescent="0.3"/>
    <row r="2555" customFormat="1" x14ac:dyDescent="0.3"/>
    <row r="2556" customFormat="1" x14ac:dyDescent="0.3"/>
    <row r="2557" customFormat="1" x14ac:dyDescent="0.3"/>
    <row r="2558" customFormat="1" x14ac:dyDescent="0.3"/>
    <row r="2559" customFormat="1" x14ac:dyDescent="0.3"/>
    <row r="2560" customFormat="1" x14ac:dyDescent="0.3"/>
    <row r="2561" customFormat="1" x14ac:dyDescent="0.3"/>
    <row r="2562" customFormat="1" x14ac:dyDescent="0.3"/>
    <row r="2563" customFormat="1" x14ac:dyDescent="0.3"/>
    <row r="2564" customFormat="1" x14ac:dyDescent="0.3"/>
    <row r="2565" customFormat="1" x14ac:dyDescent="0.3"/>
    <row r="2566" customFormat="1" x14ac:dyDescent="0.3"/>
    <row r="2567" customFormat="1" x14ac:dyDescent="0.3"/>
    <row r="2568" customFormat="1" x14ac:dyDescent="0.3"/>
    <row r="2569" customFormat="1" x14ac:dyDescent="0.3"/>
    <row r="2570" customFormat="1" x14ac:dyDescent="0.3"/>
    <row r="2571" customFormat="1" x14ac:dyDescent="0.3"/>
    <row r="2572" customFormat="1" x14ac:dyDescent="0.3"/>
    <row r="2573" customFormat="1" x14ac:dyDescent="0.3"/>
    <row r="2574" customFormat="1" x14ac:dyDescent="0.3"/>
    <row r="2575" customFormat="1" x14ac:dyDescent="0.3"/>
    <row r="2576" customFormat="1" x14ac:dyDescent="0.3"/>
    <row r="2577" customFormat="1" x14ac:dyDescent="0.3"/>
    <row r="2578" customFormat="1" x14ac:dyDescent="0.3"/>
    <row r="2579" customFormat="1" x14ac:dyDescent="0.3"/>
    <row r="2580" customFormat="1" x14ac:dyDescent="0.3"/>
    <row r="2581" customFormat="1" x14ac:dyDescent="0.3"/>
    <row r="2582" customFormat="1" x14ac:dyDescent="0.3"/>
    <row r="2583" customFormat="1" x14ac:dyDescent="0.3"/>
    <row r="2584" customFormat="1" x14ac:dyDescent="0.3"/>
    <row r="2585" customFormat="1" x14ac:dyDescent="0.3"/>
    <row r="2586" customFormat="1" x14ac:dyDescent="0.3"/>
    <row r="2587" customFormat="1" x14ac:dyDescent="0.3"/>
    <row r="2588" customFormat="1" x14ac:dyDescent="0.3"/>
    <row r="2589" customFormat="1" x14ac:dyDescent="0.3"/>
    <row r="2590" customFormat="1" x14ac:dyDescent="0.3"/>
    <row r="2591" customFormat="1" x14ac:dyDescent="0.3"/>
    <row r="2592" customFormat="1" x14ac:dyDescent="0.3"/>
    <row r="2593" customFormat="1" x14ac:dyDescent="0.3"/>
    <row r="2594" customFormat="1" x14ac:dyDescent="0.3"/>
    <row r="2595" customFormat="1" x14ac:dyDescent="0.3"/>
    <row r="2596" customFormat="1" x14ac:dyDescent="0.3"/>
    <row r="2597" customFormat="1" x14ac:dyDescent="0.3"/>
    <row r="2598" customFormat="1" x14ac:dyDescent="0.3"/>
    <row r="2599" customFormat="1" x14ac:dyDescent="0.3"/>
    <row r="2600" customFormat="1" x14ac:dyDescent="0.3"/>
    <row r="2601" customFormat="1" x14ac:dyDescent="0.3"/>
    <row r="2602" customFormat="1" x14ac:dyDescent="0.3"/>
    <row r="2603" customFormat="1" x14ac:dyDescent="0.3"/>
    <row r="2604" customFormat="1" x14ac:dyDescent="0.3"/>
    <row r="2605" customFormat="1" x14ac:dyDescent="0.3"/>
    <row r="2606" customFormat="1" x14ac:dyDescent="0.3"/>
    <row r="2607" customFormat="1" x14ac:dyDescent="0.3"/>
    <row r="2608" customFormat="1" x14ac:dyDescent="0.3"/>
    <row r="2609" customFormat="1" x14ac:dyDescent="0.3"/>
    <row r="2610" customFormat="1" x14ac:dyDescent="0.3"/>
    <row r="2611" customFormat="1" x14ac:dyDescent="0.3"/>
    <row r="2612" customFormat="1" x14ac:dyDescent="0.3"/>
    <row r="2613" customFormat="1" x14ac:dyDescent="0.3"/>
    <row r="2614" customFormat="1" x14ac:dyDescent="0.3"/>
    <row r="2615" customFormat="1" x14ac:dyDescent="0.3"/>
    <row r="2616" customFormat="1" x14ac:dyDescent="0.3"/>
    <row r="2617" customFormat="1" x14ac:dyDescent="0.3"/>
    <row r="2618" customFormat="1" x14ac:dyDescent="0.3"/>
    <row r="2619" customFormat="1" x14ac:dyDescent="0.3"/>
    <row r="2620" customFormat="1" x14ac:dyDescent="0.3"/>
    <row r="2621" customFormat="1" x14ac:dyDescent="0.3"/>
    <row r="2622" customFormat="1" x14ac:dyDescent="0.3"/>
    <row r="2623" customFormat="1" x14ac:dyDescent="0.3"/>
    <row r="2624" customFormat="1" x14ac:dyDescent="0.3"/>
    <row r="2625" customFormat="1" x14ac:dyDescent="0.3"/>
    <row r="2626" customFormat="1" x14ac:dyDescent="0.3"/>
    <row r="2627" customFormat="1" x14ac:dyDescent="0.3"/>
    <row r="2628" customFormat="1" x14ac:dyDescent="0.3"/>
    <row r="2629" customFormat="1" x14ac:dyDescent="0.3"/>
    <row r="2630" customFormat="1" x14ac:dyDescent="0.3"/>
    <row r="2631" customFormat="1" x14ac:dyDescent="0.3"/>
    <row r="2632" customFormat="1" x14ac:dyDescent="0.3"/>
    <row r="2633" customFormat="1" x14ac:dyDescent="0.3"/>
    <row r="2634" customFormat="1" x14ac:dyDescent="0.3"/>
    <row r="2635" customFormat="1" x14ac:dyDescent="0.3"/>
    <row r="2636" customFormat="1" x14ac:dyDescent="0.3"/>
    <row r="2637" customFormat="1" x14ac:dyDescent="0.3"/>
    <row r="2638" customFormat="1" x14ac:dyDescent="0.3"/>
    <row r="2639" customFormat="1" x14ac:dyDescent="0.3"/>
    <row r="2640" customFormat="1" x14ac:dyDescent="0.3"/>
    <row r="2641" customFormat="1" x14ac:dyDescent="0.3"/>
    <row r="2642" customFormat="1" x14ac:dyDescent="0.3"/>
    <row r="2643" customFormat="1" x14ac:dyDescent="0.3"/>
    <row r="2644" customFormat="1" x14ac:dyDescent="0.3"/>
    <row r="2645" customFormat="1" x14ac:dyDescent="0.3"/>
    <row r="2646" customFormat="1" x14ac:dyDescent="0.3"/>
    <row r="2647" customFormat="1" x14ac:dyDescent="0.3"/>
    <row r="2648" customFormat="1" x14ac:dyDescent="0.3"/>
    <row r="2649" customFormat="1" x14ac:dyDescent="0.3"/>
    <row r="2650" customFormat="1" x14ac:dyDescent="0.3"/>
    <row r="2651" customFormat="1" x14ac:dyDescent="0.3"/>
    <row r="2652" customFormat="1" x14ac:dyDescent="0.3"/>
    <row r="2653" customFormat="1" x14ac:dyDescent="0.3"/>
    <row r="2654" customFormat="1" x14ac:dyDescent="0.3"/>
    <row r="2655" customFormat="1" x14ac:dyDescent="0.3"/>
    <row r="2656" customFormat="1" x14ac:dyDescent="0.3"/>
    <row r="2657" customFormat="1" x14ac:dyDescent="0.3"/>
    <row r="2658" customFormat="1" x14ac:dyDescent="0.3"/>
    <row r="2659" customFormat="1" x14ac:dyDescent="0.3"/>
    <row r="2660" customFormat="1" x14ac:dyDescent="0.3"/>
    <row r="2661" customFormat="1" x14ac:dyDescent="0.3"/>
    <row r="2662" customFormat="1" x14ac:dyDescent="0.3"/>
    <row r="2663" customFormat="1" x14ac:dyDescent="0.3"/>
    <row r="2664" customFormat="1" x14ac:dyDescent="0.3"/>
    <row r="2665" customFormat="1" x14ac:dyDescent="0.3"/>
    <row r="2666" customFormat="1" x14ac:dyDescent="0.3"/>
    <row r="2667" customFormat="1" x14ac:dyDescent="0.3"/>
    <row r="2668" customFormat="1" x14ac:dyDescent="0.3"/>
    <row r="2669" customFormat="1" x14ac:dyDescent="0.3"/>
    <row r="2670" customFormat="1" x14ac:dyDescent="0.3"/>
    <row r="2671" customFormat="1" x14ac:dyDescent="0.3"/>
    <row r="2672" customFormat="1" x14ac:dyDescent="0.3"/>
    <row r="2673" customFormat="1" x14ac:dyDescent="0.3"/>
    <row r="2674" customFormat="1" x14ac:dyDescent="0.3"/>
    <row r="2675" customFormat="1" x14ac:dyDescent="0.3"/>
    <row r="2676" customFormat="1" x14ac:dyDescent="0.3"/>
    <row r="2677" customFormat="1" x14ac:dyDescent="0.3"/>
    <row r="2678" customFormat="1" x14ac:dyDescent="0.3"/>
    <row r="2679" customFormat="1" x14ac:dyDescent="0.3"/>
    <row r="2680" customFormat="1" x14ac:dyDescent="0.3"/>
    <row r="2681" customFormat="1" x14ac:dyDescent="0.3"/>
    <row r="2682" customFormat="1" x14ac:dyDescent="0.3"/>
    <row r="2683" customFormat="1" x14ac:dyDescent="0.3"/>
    <row r="2684" customFormat="1" x14ac:dyDescent="0.3"/>
    <row r="2685" customFormat="1" x14ac:dyDescent="0.3"/>
    <row r="2686" customFormat="1" x14ac:dyDescent="0.3"/>
    <row r="2687" customFormat="1" x14ac:dyDescent="0.3"/>
    <row r="2688" customFormat="1" x14ac:dyDescent="0.3"/>
    <row r="2689" customFormat="1" x14ac:dyDescent="0.3"/>
    <row r="2690" customFormat="1" x14ac:dyDescent="0.3"/>
    <row r="2691" customFormat="1" x14ac:dyDescent="0.3"/>
    <row r="2692" customFormat="1" x14ac:dyDescent="0.3"/>
    <row r="2693" customFormat="1" x14ac:dyDescent="0.3"/>
    <row r="2694" customFormat="1" x14ac:dyDescent="0.3"/>
    <row r="2695" customFormat="1" x14ac:dyDescent="0.3"/>
    <row r="2696" customFormat="1" x14ac:dyDescent="0.3"/>
    <row r="2697" customFormat="1" x14ac:dyDescent="0.3"/>
    <row r="2698" customFormat="1" x14ac:dyDescent="0.3"/>
    <row r="2699" customFormat="1" x14ac:dyDescent="0.3"/>
    <row r="2700" customFormat="1" x14ac:dyDescent="0.3"/>
    <row r="2701" customFormat="1" x14ac:dyDescent="0.3"/>
    <row r="2702" customFormat="1" x14ac:dyDescent="0.3"/>
    <row r="2703" customFormat="1" x14ac:dyDescent="0.3"/>
    <row r="2704" customFormat="1" x14ac:dyDescent="0.3"/>
    <row r="2705" customFormat="1" x14ac:dyDescent="0.3"/>
    <row r="2706" customFormat="1" x14ac:dyDescent="0.3"/>
    <row r="2707" customFormat="1" x14ac:dyDescent="0.3"/>
    <row r="2708" customFormat="1" x14ac:dyDescent="0.3"/>
    <row r="2709" customFormat="1" x14ac:dyDescent="0.3"/>
    <row r="2710" customFormat="1" x14ac:dyDescent="0.3"/>
    <row r="2711" customFormat="1" x14ac:dyDescent="0.3"/>
    <row r="2712" customFormat="1" x14ac:dyDescent="0.3"/>
    <row r="2713" customFormat="1" x14ac:dyDescent="0.3"/>
    <row r="2714" customFormat="1" x14ac:dyDescent="0.3"/>
    <row r="2715" customFormat="1" x14ac:dyDescent="0.3"/>
    <row r="2716" customFormat="1" x14ac:dyDescent="0.3"/>
    <row r="2717" customFormat="1" x14ac:dyDescent="0.3"/>
    <row r="2718" customFormat="1" x14ac:dyDescent="0.3"/>
    <row r="2719" customFormat="1" x14ac:dyDescent="0.3"/>
    <row r="2720" customFormat="1" x14ac:dyDescent="0.3"/>
    <row r="2721" customFormat="1" x14ac:dyDescent="0.3"/>
    <row r="2722" customFormat="1" x14ac:dyDescent="0.3"/>
    <row r="2723" customFormat="1" x14ac:dyDescent="0.3"/>
    <row r="2724" customFormat="1" x14ac:dyDescent="0.3"/>
    <row r="2725" customFormat="1" x14ac:dyDescent="0.3"/>
    <row r="2726" customFormat="1" x14ac:dyDescent="0.3"/>
    <row r="2727" customFormat="1" x14ac:dyDescent="0.3"/>
    <row r="2728" customFormat="1" x14ac:dyDescent="0.3"/>
    <row r="2729" customFormat="1" x14ac:dyDescent="0.3"/>
    <row r="2730" customFormat="1" x14ac:dyDescent="0.3"/>
    <row r="2731" customFormat="1" x14ac:dyDescent="0.3"/>
    <row r="2732" customFormat="1" x14ac:dyDescent="0.3"/>
    <row r="2733" customFormat="1" x14ac:dyDescent="0.3"/>
    <row r="2734" customFormat="1" x14ac:dyDescent="0.3"/>
    <row r="2735" customFormat="1" x14ac:dyDescent="0.3"/>
    <row r="2736" customFormat="1" x14ac:dyDescent="0.3"/>
    <row r="2737" customFormat="1" x14ac:dyDescent="0.3"/>
    <row r="2738" customFormat="1" x14ac:dyDescent="0.3"/>
    <row r="2739" customFormat="1" x14ac:dyDescent="0.3"/>
    <row r="2740" customFormat="1" x14ac:dyDescent="0.3"/>
    <row r="2741" customFormat="1" x14ac:dyDescent="0.3"/>
    <row r="2742" customFormat="1" x14ac:dyDescent="0.3"/>
    <row r="2743" customFormat="1" x14ac:dyDescent="0.3"/>
    <row r="2744" customFormat="1" x14ac:dyDescent="0.3"/>
    <row r="2745" customFormat="1" x14ac:dyDescent="0.3"/>
    <row r="2746" customFormat="1" x14ac:dyDescent="0.3"/>
    <row r="2747" customFormat="1" x14ac:dyDescent="0.3"/>
    <row r="2748" customFormat="1" x14ac:dyDescent="0.3"/>
    <row r="2749" customFormat="1" x14ac:dyDescent="0.3"/>
    <row r="2750" customFormat="1" x14ac:dyDescent="0.3"/>
    <row r="2751" customFormat="1" x14ac:dyDescent="0.3"/>
    <row r="2752" customFormat="1" x14ac:dyDescent="0.3"/>
    <row r="2753" customFormat="1" x14ac:dyDescent="0.3"/>
    <row r="2754" customFormat="1" x14ac:dyDescent="0.3"/>
    <row r="2755" customFormat="1" x14ac:dyDescent="0.3"/>
    <row r="2756" customFormat="1" x14ac:dyDescent="0.3"/>
    <row r="2757" customFormat="1" x14ac:dyDescent="0.3"/>
    <row r="2758" customFormat="1" x14ac:dyDescent="0.3"/>
    <row r="2759" customFormat="1" x14ac:dyDescent="0.3"/>
    <row r="2760" customFormat="1" x14ac:dyDescent="0.3"/>
    <row r="2761" customFormat="1" x14ac:dyDescent="0.3"/>
    <row r="2762" customFormat="1" x14ac:dyDescent="0.3"/>
    <row r="2763" customFormat="1" x14ac:dyDescent="0.3"/>
    <row r="2764" customFormat="1" x14ac:dyDescent="0.3"/>
    <row r="2765" customFormat="1" x14ac:dyDescent="0.3"/>
    <row r="2766" customFormat="1" x14ac:dyDescent="0.3"/>
    <row r="2767" customFormat="1" x14ac:dyDescent="0.3"/>
    <row r="2768" customFormat="1" x14ac:dyDescent="0.3"/>
    <row r="2769" customFormat="1" x14ac:dyDescent="0.3"/>
    <row r="2770" customFormat="1" x14ac:dyDescent="0.3"/>
    <row r="2771" customFormat="1" x14ac:dyDescent="0.3"/>
    <row r="2772" customFormat="1" x14ac:dyDescent="0.3"/>
    <row r="2773" customFormat="1" x14ac:dyDescent="0.3"/>
    <row r="2774" customFormat="1" x14ac:dyDescent="0.3"/>
    <row r="2775" customFormat="1" x14ac:dyDescent="0.3"/>
    <row r="2776" customFormat="1" x14ac:dyDescent="0.3"/>
    <row r="2777" customFormat="1" x14ac:dyDescent="0.3"/>
    <row r="2778" customFormat="1" x14ac:dyDescent="0.3"/>
    <row r="2779" customFormat="1" x14ac:dyDescent="0.3"/>
    <row r="2780" customFormat="1" x14ac:dyDescent="0.3"/>
    <row r="2781" customFormat="1" x14ac:dyDescent="0.3"/>
    <row r="2782" customFormat="1" x14ac:dyDescent="0.3"/>
    <row r="2783" customFormat="1" x14ac:dyDescent="0.3"/>
    <row r="2784" customFormat="1" x14ac:dyDescent="0.3"/>
    <row r="2785" customFormat="1" x14ac:dyDescent="0.3"/>
    <row r="2786" customFormat="1" x14ac:dyDescent="0.3"/>
    <row r="2787" customFormat="1" x14ac:dyDescent="0.3"/>
    <row r="2788" customFormat="1" x14ac:dyDescent="0.3"/>
    <row r="2789" customFormat="1" x14ac:dyDescent="0.3"/>
    <row r="2790" customFormat="1" x14ac:dyDescent="0.3"/>
    <row r="2791" customFormat="1" x14ac:dyDescent="0.3"/>
    <row r="2792" customFormat="1" x14ac:dyDescent="0.3"/>
    <row r="2793" customFormat="1" x14ac:dyDescent="0.3"/>
    <row r="2794" customFormat="1" x14ac:dyDescent="0.3"/>
    <row r="2795" customFormat="1" x14ac:dyDescent="0.3"/>
    <row r="2796" customFormat="1" x14ac:dyDescent="0.3"/>
    <row r="2797" customFormat="1" x14ac:dyDescent="0.3"/>
    <row r="2798" customFormat="1" x14ac:dyDescent="0.3"/>
    <row r="2799" customFormat="1" x14ac:dyDescent="0.3"/>
    <row r="2800" customFormat="1" x14ac:dyDescent="0.3"/>
    <row r="2801" customFormat="1" x14ac:dyDescent="0.3"/>
    <row r="2802" customFormat="1" x14ac:dyDescent="0.3"/>
    <row r="2803" customFormat="1" x14ac:dyDescent="0.3"/>
    <row r="2804" customFormat="1" x14ac:dyDescent="0.3"/>
    <row r="2805" customFormat="1" x14ac:dyDescent="0.3"/>
    <row r="2806" customFormat="1" x14ac:dyDescent="0.3"/>
    <row r="2807" customFormat="1" x14ac:dyDescent="0.3"/>
    <row r="2808" customFormat="1" x14ac:dyDescent="0.3"/>
    <row r="2809" customFormat="1" x14ac:dyDescent="0.3"/>
    <row r="2810" customFormat="1" x14ac:dyDescent="0.3"/>
    <row r="2811" customFormat="1" x14ac:dyDescent="0.3"/>
    <row r="2812" customFormat="1" x14ac:dyDescent="0.3"/>
    <row r="2813" customFormat="1" x14ac:dyDescent="0.3"/>
    <row r="2814" customFormat="1" x14ac:dyDescent="0.3"/>
    <row r="2815" customFormat="1" x14ac:dyDescent="0.3"/>
    <row r="2816" customFormat="1" x14ac:dyDescent="0.3"/>
    <row r="2817" customFormat="1" x14ac:dyDescent="0.3"/>
    <row r="2818" customFormat="1" x14ac:dyDescent="0.3"/>
    <row r="2819" customFormat="1" x14ac:dyDescent="0.3"/>
    <row r="2820" customFormat="1" x14ac:dyDescent="0.3"/>
    <row r="2821" customFormat="1" x14ac:dyDescent="0.3"/>
    <row r="2822" customFormat="1" x14ac:dyDescent="0.3"/>
    <row r="2823" customFormat="1" x14ac:dyDescent="0.3"/>
    <row r="2824" customFormat="1" x14ac:dyDescent="0.3"/>
    <row r="2825" customFormat="1" x14ac:dyDescent="0.3"/>
    <row r="2826" customFormat="1" x14ac:dyDescent="0.3"/>
    <row r="2827" customFormat="1" x14ac:dyDescent="0.3"/>
    <row r="2828" customFormat="1" x14ac:dyDescent="0.3"/>
    <row r="2829" customFormat="1" x14ac:dyDescent="0.3"/>
    <row r="2830" customFormat="1" x14ac:dyDescent="0.3"/>
    <row r="2831" customFormat="1" x14ac:dyDescent="0.3"/>
    <row r="2832" customFormat="1" x14ac:dyDescent="0.3"/>
    <row r="2833" customFormat="1" x14ac:dyDescent="0.3"/>
    <row r="2834" customFormat="1" x14ac:dyDescent="0.3"/>
    <row r="2835" customFormat="1" x14ac:dyDescent="0.3"/>
    <row r="2836" customFormat="1" x14ac:dyDescent="0.3"/>
    <row r="2837" customFormat="1" x14ac:dyDescent="0.3"/>
    <row r="2838" customFormat="1" x14ac:dyDescent="0.3"/>
    <row r="2839" customFormat="1" x14ac:dyDescent="0.3"/>
    <row r="2840" customFormat="1" x14ac:dyDescent="0.3"/>
    <row r="2841" customFormat="1" x14ac:dyDescent="0.3"/>
    <row r="2842" customFormat="1" x14ac:dyDescent="0.3"/>
    <row r="2843" customFormat="1" x14ac:dyDescent="0.3"/>
    <row r="2844" customFormat="1" x14ac:dyDescent="0.3"/>
    <row r="2845" customFormat="1" x14ac:dyDescent="0.3"/>
    <row r="2846" customFormat="1" x14ac:dyDescent="0.3"/>
    <row r="2847" customFormat="1" x14ac:dyDescent="0.3"/>
    <row r="2848" customFormat="1" x14ac:dyDescent="0.3"/>
    <row r="2849" customFormat="1" x14ac:dyDescent="0.3"/>
    <row r="2850" customFormat="1" x14ac:dyDescent="0.3"/>
    <row r="2851" customFormat="1" x14ac:dyDescent="0.3"/>
    <row r="2852" customFormat="1" x14ac:dyDescent="0.3"/>
    <row r="2853" customFormat="1" x14ac:dyDescent="0.3"/>
    <row r="2854" customFormat="1" x14ac:dyDescent="0.3"/>
    <row r="2855" customFormat="1" x14ac:dyDescent="0.3"/>
    <row r="2856" customFormat="1" x14ac:dyDescent="0.3"/>
    <row r="2857" customFormat="1" x14ac:dyDescent="0.3"/>
    <row r="2858" customFormat="1" x14ac:dyDescent="0.3"/>
    <row r="2859" customFormat="1" x14ac:dyDescent="0.3"/>
    <row r="2860" customFormat="1" x14ac:dyDescent="0.3"/>
    <row r="2861" customFormat="1" x14ac:dyDescent="0.3"/>
    <row r="2862" customFormat="1" x14ac:dyDescent="0.3"/>
    <row r="2863" customFormat="1" x14ac:dyDescent="0.3"/>
    <row r="2864" customFormat="1" x14ac:dyDescent="0.3"/>
    <row r="2865" customFormat="1" x14ac:dyDescent="0.3"/>
    <row r="2866" customFormat="1" x14ac:dyDescent="0.3"/>
    <row r="2867" customFormat="1" x14ac:dyDescent="0.3"/>
    <row r="2868" customFormat="1" x14ac:dyDescent="0.3"/>
    <row r="2869" customFormat="1" x14ac:dyDescent="0.3"/>
    <row r="2870" customFormat="1" x14ac:dyDescent="0.3"/>
    <row r="2871" customFormat="1" x14ac:dyDescent="0.3"/>
    <row r="2872" customFormat="1" x14ac:dyDescent="0.3"/>
    <row r="2873" customFormat="1" x14ac:dyDescent="0.3"/>
    <row r="2874" customFormat="1" x14ac:dyDescent="0.3"/>
    <row r="2875" customFormat="1" x14ac:dyDescent="0.3"/>
    <row r="2876" customFormat="1" x14ac:dyDescent="0.3"/>
    <row r="2877" customFormat="1" x14ac:dyDescent="0.3"/>
    <row r="2878" customFormat="1" x14ac:dyDescent="0.3"/>
    <row r="2879" customFormat="1" x14ac:dyDescent="0.3"/>
    <row r="2880" customFormat="1" x14ac:dyDescent="0.3"/>
    <row r="2881" customFormat="1" x14ac:dyDescent="0.3"/>
    <row r="2882" customFormat="1" x14ac:dyDescent="0.3"/>
    <row r="2883" customFormat="1" x14ac:dyDescent="0.3"/>
    <row r="2884" customFormat="1" x14ac:dyDescent="0.3"/>
    <row r="2885" customFormat="1" x14ac:dyDescent="0.3"/>
    <row r="2886" customFormat="1" x14ac:dyDescent="0.3"/>
    <row r="2887" customFormat="1" x14ac:dyDescent="0.3"/>
    <row r="2888" customFormat="1" x14ac:dyDescent="0.3"/>
    <row r="2889" customFormat="1" x14ac:dyDescent="0.3"/>
    <row r="2890" customFormat="1" x14ac:dyDescent="0.3"/>
    <row r="2891" customFormat="1" x14ac:dyDescent="0.3"/>
    <row r="2892" customFormat="1" x14ac:dyDescent="0.3"/>
    <row r="2893" customFormat="1" x14ac:dyDescent="0.3"/>
    <row r="2894" customFormat="1" x14ac:dyDescent="0.3"/>
    <row r="2895" customFormat="1" x14ac:dyDescent="0.3"/>
    <row r="2896" customFormat="1" x14ac:dyDescent="0.3"/>
    <row r="2897" customFormat="1" x14ac:dyDescent="0.3"/>
    <row r="2898" customFormat="1" x14ac:dyDescent="0.3"/>
    <row r="2899" customFormat="1" x14ac:dyDescent="0.3"/>
    <row r="2900" customFormat="1" x14ac:dyDescent="0.3"/>
    <row r="2901" customFormat="1" x14ac:dyDescent="0.3"/>
    <row r="2902" customFormat="1" x14ac:dyDescent="0.3"/>
    <row r="2903" customFormat="1" x14ac:dyDescent="0.3"/>
    <row r="2904" customFormat="1" x14ac:dyDescent="0.3"/>
    <row r="2905" customFormat="1" x14ac:dyDescent="0.3"/>
    <row r="2906" customFormat="1" x14ac:dyDescent="0.3"/>
    <row r="2907" customFormat="1" x14ac:dyDescent="0.3"/>
    <row r="2908" customFormat="1" x14ac:dyDescent="0.3"/>
    <row r="2909" customFormat="1" x14ac:dyDescent="0.3"/>
    <row r="2910" customFormat="1" x14ac:dyDescent="0.3"/>
    <row r="2911" customFormat="1" x14ac:dyDescent="0.3"/>
    <row r="2912" customFormat="1" x14ac:dyDescent="0.3"/>
    <row r="2913" customFormat="1" x14ac:dyDescent="0.3"/>
    <row r="2914" customFormat="1" x14ac:dyDescent="0.3"/>
    <row r="2915" customFormat="1" x14ac:dyDescent="0.3"/>
    <row r="2916" customFormat="1" x14ac:dyDescent="0.3"/>
    <row r="2917" customFormat="1" x14ac:dyDescent="0.3"/>
    <row r="2918" customFormat="1" x14ac:dyDescent="0.3"/>
    <row r="2919" customFormat="1" x14ac:dyDescent="0.3"/>
    <row r="2920" customFormat="1" x14ac:dyDescent="0.3"/>
    <row r="2921" customFormat="1" x14ac:dyDescent="0.3"/>
    <row r="2922" customFormat="1" x14ac:dyDescent="0.3"/>
    <row r="2923" customFormat="1" x14ac:dyDescent="0.3"/>
    <row r="2924" customFormat="1" x14ac:dyDescent="0.3"/>
    <row r="2925" customFormat="1" x14ac:dyDescent="0.3"/>
    <row r="2926" customFormat="1" x14ac:dyDescent="0.3"/>
    <row r="2927" customFormat="1" x14ac:dyDescent="0.3"/>
    <row r="2928" customFormat="1" x14ac:dyDescent="0.3"/>
    <row r="2929" customFormat="1" x14ac:dyDescent="0.3"/>
    <row r="2930" customFormat="1" x14ac:dyDescent="0.3"/>
    <row r="2931" customFormat="1" x14ac:dyDescent="0.3"/>
    <row r="2932" customFormat="1" x14ac:dyDescent="0.3"/>
    <row r="2933" customFormat="1" x14ac:dyDescent="0.3"/>
    <row r="2934" customFormat="1" x14ac:dyDescent="0.3"/>
    <row r="2935" customFormat="1" x14ac:dyDescent="0.3"/>
    <row r="2936" customFormat="1" x14ac:dyDescent="0.3"/>
    <row r="2937" customFormat="1" x14ac:dyDescent="0.3"/>
    <row r="2938" customFormat="1" x14ac:dyDescent="0.3"/>
    <row r="2939" customFormat="1" x14ac:dyDescent="0.3"/>
    <row r="2940" customFormat="1" x14ac:dyDescent="0.3"/>
    <row r="2941" customFormat="1" x14ac:dyDescent="0.3"/>
    <row r="2942" customFormat="1" x14ac:dyDescent="0.3"/>
    <row r="2943" customFormat="1" x14ac:dyDescent="0.3"/>
    <row r="2944" customFormat="1" x14ac:dyDescent="0.3"/>
    <row r="2945" customFormat="1" x14ac:dyDescent="0.3"/>
    <row r="2946" customFormat="1" x14ac:dyDescent="0.3"/>
    <row r="2947" customFormat="1" x14ac:dyDescent="0.3"/>
    <row r="2948" customFormat="1" x14ac:dyDescent="0.3"/>
    <row r="2949" customFormat="1" x14ac:dyDescent="0.3"/>
    <row r="2950" customFormat="1" x14ac:dyDescent="0.3"/>
    <row r="2951" customFormat="1" x14ac:dyDescent="0.3"/>
    <row r="2952" customFormat="1" x14ac:dyDescent="0.3"/>
    <row r="2953" customFormat="1" x14ac:dyDescent="0.3"/>
    <row r="2954" customFormat="1" x14ac:dyDescent="0.3"/>
    <row r="2955" customFormat="1" x14ac:dyDescent="0.3"/>
    <row r="2956" customFormat="1" x14ac:dyDescent="0.3"/>
    <row r="2957" customFormat="1" x14ac:dyDescent="0.3"/>
    <row r="2958" customFormat="1" x14ac:dyDescent="0.3"/>
    <row r="2959" customFormat="1" x14ac:dyDescent="0.3"/>
    <row r="2960" customFormat="1" x14ac:dyDescent="0.3"/>
    <row r="2961" customFormat="1" x14ac:dyDescent="0.3"/>
    <row r="2962" customFormat="1" x14ac:dyDescent="0.3"/>
    <row r="2963" customFormat="1" x14ac:dyDescent="0.3"/>
    <row r="2964" customFormat="1" x14ac:dyDescent="0.3"/>
    <row r="2965" customFormat="1" x14ac:dyDescent="0.3"/>
    <row r="2966" customFormat="1" x14ac:dyDescent="0.3"/>
    <row r="2967" customFormat="1" x14ac:dyDescent="0.3"/>
    <row r="2968" customFormat="1" x14ac:dyDescent="0.3"/>
    <row r="2969" customFormat="1" x14ac:dyDescent="0.3"/>
    <row r="2970" customFormat="1" x14ac:dyDescent="0.3"/>
    <row r="2971" customFormat="1" x14ac:dyDescent="0.3"/>
    <row r="2972" customFormat="1" x14ac:dyDescent="0.3"/>
    <row r="2973" customFormat="1" x14ac:dyDescent="0.3"/>
    <row r="2974" customFormat="1" x14ac:dyDescent="0.3"/>
    <row r="2975" customFormat="1" x14ac:dyDescent="0.3"/>
    <row r="2976" customFormat="1" x14ac:dyDescent="0.3"/>
    <row r="2977" customFormat="1" x14ac:dyDescent="0.3"/>
    <row r="2978" customFormat="1" x14ac:dyDescent="0.3"/>
    <row r="2979" customFormat="1" x14ac:dyDescent="0.3"/>
    <row r="2980" customFormat="1" x14ac:dyDescent="0.3"/>
    <row r="2981" customFormat="1" x14ac:dyDescent="0.3"/>
    <row r="2982" customFormat="1" x14ac:dyDescent="0.3"/>
    <row r="2983" customFormat="1" x14ac:dyDescent="0.3"/>
    <row r="2984" customFormat="1" x14ac:dyDescent="0.3"/>
    <row r="2985" customFormat="1" x14ac:dyDescent="0.3"/>
    <row r="2986" customFormat="1" x14ac:dyDescent="0.3"/>
    <row r="2987" customFormat="1" x14ac:dyDescent="0.3"/>
    <row r="2988" customFormat="1" x14ac:dyDescent="0.3"/>
    <row r="2989" customFormat="1" x14ac:dyDescent="0.3"/>
    <row r="2990" customFormat="1" x14ac:dyDescent="0.3"/>
    <row r="2991" customFormat="1" x14ac:dyDescent="0.3"/>
    <row r="2992" customFormat="1" x14ac:dyDescent="0.3"/>
    <row r="2993" customFormat="1" x14ac:dyDescent="0.3"/>
    <row r="2994" customFormat="1" x14ac:dyDescent="0.3"/>
    <row r="2995" customFormat="1" x14ac:dyDescent="0.3"/>
    <row r="2996" customFormat="1" x14ac:dyDescent="0.3"/>
    <row r="2997" customFormat="1" x14ac:dyDescent="0.3"/>
    <row r="2998" customFormat="1" x14ac:dyDescent="0.3"/>
    <row r="2999" customFormat="1" x14ac:dyDescent="0.3"/>
    <row r="3000" customFormat="1" x14ac:dyDescent="0.3"/>
    <row r="3001" customFormat="1" x14ac:dyDescent="0.3"/>
    <row r="3002" customFormat="1" x14ac:dyDescent="0.3"/>
    <row r="3003" customFormat="1" x14ac:dyDescent="0.3"/>
    <row r="3004" customFormat="1" x14ac:dyDescent="0.3"/>
    <row r="3005" customFormat="1" x14ac:dyDescent="0.3"/>
    <row r="3006" customFormat="1" x14ac:dyDescent="0.3"/>
    <row r="3007" customFormat="1" x14ac:dyDescent="0.3"/>
    <row r="3008" customFormat="1" x14ac:dyDescent="0.3"/>
    <row r="3009" customFormat="1" x14ac:dyDescent="0.3"/>
    <row r="3010" customFormat="1" x14ac:dyDescent="0.3"/>
    <row r="3011" customFormat="1" x14ac:dyDescent="0.3"/>
    <row r="3012" customFormat="1" x14ac:dyDescent="0.3"/>
    <row r="3013" customFormat="1" x14ac:dyDescent="0.3"/>
    <row r="3014" customFormat="1" x14ac:dyDescent="0.3"/>
    <row r="3015" customFormat="1" x14ac:dyDescent="0.3"/>
    <row r="3016" customFormat="1" x14ac:dyDescent="0.3"/>
    <row r="3017" customFormat="1" x14ac:dyDescent="0.3"/>
    <row r="3018" customFormat="1" x14ac:dyDescent="0.3"/>
    <row r="3019" customFormat="1" x14ac:dyDescent="0.3"/>
    <row r="3020" customFormat="1" x14ac:dyDescent="0.3"/>
    <row r="3021" customFormat="1" x14ac:dyDescent="0.3"/>
    <row r="3022" customFormat="1" x14ac:dyDescent="0.3"/>
    <row r="3023" customFormat="1" x14ac:dyDescent="0.3"/>
    <row r="3024" customFormat="1" x14ac:dyDescent="0.3"/>
    <row r="3025" customFormat="1" x14ac:dyDescent="0.3"/>
    <row r="3026" customFormat="1" x14ac:dyDescent="0.3"/>
    <row r="3027" customFormat="1" x14ac:dyDescent="0.3"/>
    <row r="3028" customFormat="1" x14ac:dyDescent="0.3"/>
    <row r="3029" customFormat="1" x14ac:dyDescent="0.3"/>
    <row r="3030" customFormat="1" x14ac:dyDescent="0.3"/>
    <row r="3031" customFormat="1" x14ac:dyDescent="0.3"/>
    <row r="3032" customFormat="1" x14ac:dyDescent="0.3"/>
    <row r="3033" customFormat="1" x14ac:dyDescent="0.3"/>
    <row r="3034" customFormat="1" x14ac:dyDescent="0.3"/>
    <row r="3035" customFormat="1" x14ac:dyDescent="0.3"/>
    <row r="3036" customFormat="1" x14ac:dyDescent="0.3"/>
    <row r="3037" customFormat="1" x14ac:dyDescent="0.3"/>
    <row r="3038" customFormat="1" x14ac:dyDescent="0.3"/>
    <row r="3039" customFormat="1" x14ac:dyDescent="0.3"/>
    <row r="3040" customFormat="1" x14ac:dyDescent="0.3"/>
    <row r="3041" customFormat="1" x14ac:dyDescent="0.3"/>
    <row r="3042" customFormat="1" x14ac:dyDescent="0.3"/>
    <row r="3043" customFormat="1" x14ac:dyDescent="0.3"/>
    <row r="3044" customFormat="1" x14ac:dyDescent="0.3"/>
    <row r="3045" customFormat="1" x14ac:dyDescent="0.3"/>
    <row r="3046" customFormat="1" x14ac:dyDescent="0.3"/>
    <row r="3047" customFormat="1" x14ac:dyDescent="0.3"/>
    <row r="3048" customFormat="1" x14ac:dyDescent="0.3"/>
    <row r="3049" customFormat="1" x14ac:dyDescent="0.3"/>
    <row r="3050" customFormat="1" x14ac:dyDescent="0.3"/>
    <row r="3051" customFormat="1" x14ac:dyDescent="0.3"/>
    <row r="3052" customFormat="1" x14ac:dyDescent="0.3"/>
    <row r="3053" customFormat="1" x14ac:dyDescent="0.3"/>
    <row r="3054" customFormat="1" x14ac:dyDescent="0.3"/>
    <row r="3055" customFormat="1" x14ac:dyDescent="0.3"/>
    <row r="3056" customFormat="1" x14ac:dyDescent="0.3"/>
    <row r="3057" customFormat="1" x14ac:dyDescent="0.3"/>
    <row r="3058" customFormat="1" x14ac:dyDescent="0.3"/>
    <row r="3059" customFormat="1" x14ac:dyDescent="0.3"/>
    <row r="3060" customFormat="1" x14ac:dyDescent="0.3"/>
    <row r="3061" customFormat="1" x14ac:dyDescent="0.3"/>
    <row r="3062" customFormat="1" x14ac:dyDescent="0.3"/>
    <row r="3063" customFormat="1" x14ac:dyDescent="0.3"/>
    <row r="3064" customFormat="1" x14ac:dyDescent="0.3"/>
    <row r="3065" customFormat="1" x14ac:dyDescent="0.3"/>
    <row r="3066" customFormat="1" x14ac:dyDescent="0.3"/>
    <row r="3067" customFormat="1" x14ac:dyDescent="0.3"/>
    <row r="3068" customFormat="1" x14ac:dyDescent="0.3"/>
    <row r="3069" customFormat="1" x14ac:dyDescent="0.3"/>
    <row r="3070" customFormat="1" x14ac:dyDescent="0.3"/>
    <row r="3071" customFormat="1" x14ac:dyDescent="0.3"/>
    <row r="3072" customFormat="1" x14ac:dyDescent="0.3"/>
    <row r="3073" customFormat="1" x14ac:dyDescent="0.3"/>
    <row r="3074" customFormat="1" x14ac:dyDescent="0.3"/>
    <row r="3075" customFormat="1" x14ac:dyDescent="0.3"/>
    <row r="3076" customFormat="1" x14ac:dyDescent="0.3"/>
    <row r="3077" customFormat="1" x14ac:dyDescent="0.3"/>
    <row r="3078" customFormat="1" x14ac:dyDescent="0.3"/>
    <row r="3079" customFormat="1" x14ac:dyDescent="0.3"/>
    <row r="3080" customFormat="1" x14ac:dyDescent="0.3"/>
    <row r="3081" customFormat="1" x14ac:dyDescent="0.3"/>
    <row r="3082" customFormat="1" x14ac:dyDescent="0.3"/>
    <row r="3083" customFormat="1" x14ac:dyDescent="0.3"/>
    <row r="3084" customFormat="1" x14ac:dyDescent="0.3"/>
    <row r="3085" customFormat="1" x14ac:dyDescent="0.3"/>
    <row r="3086" customFormat="1" x14ac:dyDescent="0.3"/>
    <row r="3087" customFormat="1" x14ac:dyDescent="0.3"/>
    <row r="3088" customFormat="1" x14ac:dyDescent="0.3"/>
    <row r="3089" customFormat="1" x14ac:dyDescent="0.3"/>
    <row r="3090" customFormat="1" x14ac:dyDescent="0.3"/>
    <row r="3091" customFormat="1" x14ac:dyDescent="0.3"/>
    <row r="3092" customFormat="1" x14ac:dyDescent="0.3"/>
    <row r="3093" customFormat="1" x14ac:dyDescent="0.3"/>
    <row r="3094" customFormat="1" x14ac:dyDescent="0.3"/>
    <row r="3095" customFormat="1" x14ac:dyDescent="0.3"/>
    <row r="3096" customFormat="1" x14ac:dyDescent="0.3"/>
    <row r="3097" customFormat="1" x14ac:dyDescent="0.3"/>
    <row r="3098" customFormat="1" x14ac:dyDescent="0.3"/>
    <row r="3099" customFormat="1" x14ac:dyDescent="0.3"/>
    <row r="3100" customFormat="1" x14ac:dyDescent="0.3"/>
    <row r="3101" customFormat="1" x14ac:dyDescent="0.3"/>
    <row r="3102" customFormat="1" x14ac:dyDescent="0.3"/>
    <row r="3103" customFormat="1" x14ac:dyDescent="0.3"/>
    <row r="3104" customFormat="1" x14ac:dyDescent="0.3"/>
    <row r="3105" customFormat="1" x14ac:dyDescent="0.3"/>
    <row r="3106" customFormat="1" x14ac:dyDescent="0.3"/>
    <row r="3107" customFormat="1" x14ac:dyDescent="0.3"/>
    <row r="3108" customFormat="1" x14ac:dyDescent="0.3"/>
    <row r="3109" customFormat="1" x14ac:dyDescent="0.3"/>
    <row r="3110" customFormat="1" x14ac:dyDescent="0.3"/>
    <row r="3111" customFormat="1" x14ac:dyDescent="0.3"/>
    <row r="3112" customFormat="1" x14ac:dyDescent="0.3"/>
    <row r="3113" customFormat="1" x14ac:dyDescent="0.3"/>
    <row r="3114" customFormat="1" x14ac:dyDescent="0.3"/>
    <row r="3115" customFormat="1" x14ac:dyDescent="0.3"/>
    <row r="3116" customFormat="1" x14ac:dyDescent="0.3"/>
    <row r="3117" customFormat="1" x14ac:dyDescent="0.3"/>
    <row r="3118" customFormat="1" x14ac:dyDescent="0.3"/>
    <row r="3119" customFormat="1" x14ac:dyDescent="0.3"/>
    <row r="3120" customFormat="1" x14ac:dyDescent="0.3"/>
    <row r="3121" customFormat="1" x14ac:dyDescent="0.3"/>
    <row r="3122" customFormat="1" x14ac:dyDescent="0.3"/>
    <row r="3123" customFormat="1" x14ac:dyDescent="0.3"/>
    <row r="3124" customFormat="1" x14ac:dyDescent="0.3"/>
    <row r="3125" customFormat="1" x14ac:dyDescent="0.3"/>
    <row r="3126" customFormat="1" x14ac:dyDescent="0.3"/>
    <row r="3127" customFormat="1" x14ac:dyDescent="0.3"/>
    <row r="3128" customFormat="1" x14ac:dyDescent="0.3"/>
    <row r="3129" customFormat="1" x14ac:dyDescent="0.3"/>
    <row r="3130" customFormat="1" x14ac:dyDescent="0.3"/>
    <row r="3131" customFormat="1" x14ac:dyDescent="0.3"/>
    <row r="3132" customFormat="1" x14ac:dyDescent="0.3"/>
    <row r="3133" customFormat="1" x14ac:dyDescent="0.3"/>
    <row r="3134" customFormat="1" x14ac:dyDescent="0.3"/>
    <row r="3135" customFormat="1" x14ac:dyDescent="0.3"/>
    <row r="3136" customFormat="1" x14ac:dyDescent="0.3"/>
    <row r="3137" customFormat="1" x14ac:dyDescent="0.3"/>
    <row r="3138" customFormat="1" x14ac:dyDescent="0.3"/>
    <row r="3139" customFormat="1" x14ac:dyDescent="0.3"/>
    <row r="3140" customFormat="1" x14ac:dyDescent="0.3"/>
    <row r="3141" customFormat="1" x14ac:dyDescent="0.3"/>
    <row r="3142" customFormat="1" x14ac:dyDescent="0.3"/>
    <row r="3143" customFormat="1" x14ac:dyDescent="0.3"/>
    <row r="3144" customFormat="1" x14ac:dyDescent="0.3"/>
    <row r="3145" customFormat="1" x14ac:dyDescent="0.3"/>
    <row r="3146" customFormat="1" x14ac:dyDescent="0.3"/>
    <row r="3147" customFormat="1" x14ac:dyDescent="0.3"/>
    <row r="3148" customFormat="1" x14ac:dyDescent="0.3"/>
    <row r="3149" customFormat="1" x14ac:dyDescent="0.3"/>
    <row r="3150" customFormat="1" x14ac:dyDescent="0.3"/>
    <row r="3151" customFormat="1" x14ac:dyDescent="0.3"/>
    <row r="3152" customFormat="1" x14ac:dyDescent="0.3"/>
    <row r="3153" customFormat="1" x14ac:dyDescent="0.3"/>
    <row r="3154" customFormat="1" x14ac:dyDescent="0.3"/>
    <row r="3155" customFormat="1" x14ac:dyDescent="0.3"/>
    <row r="3156" customFormat="1" x14ac:dyDescent="0.3"/>
    <row r="3157" customFormat="1" x14ac:dyDescent="0.3"/>
    <row r="3158" customFormat="1" x14ac:dyDescent="0.3"/>
    <row r="3159" customFormat="1" x14ac:dyDescent="0.3"/>
    <row r="3160" customFormat="1" x14ac:dyDescent="0.3"/>
    <row r="3161" customFormat="1" x14ac:dyDescent="0.3"/>
    <row r="3162" customFormat="1" x14ac:dyDescent="0.3"/>
    <row r="3163" customFormat="1" x14ac:dyDescent="0.3"/>
    <row r="3164" customFormat="1" x14ac:dyDescent="0.3"/>
    <row r="3165" customFormat="1" x14ac:dyDescent="0.3"/>
    <row r="3166" customFormat="1" x14ac:dyDescent="0.3"/>
    <row r="3167" customFormat="1" x14ac:dyDescent="0.3"/>
    <row r="3168" customFormat="1" x14ac:dyDescent="0.3"/>
    <row r="3169" customFormat="1" x14ac:dyDescent="0.3"/>
    <row r="3170" customFormat="1" x14ac:dyDescent="0.3"/>
    <row r="3171" customFormat="1" x14ac:dyDescent="0.3"/>
    <row r="3172" customFormat="1" x14ac:dyDescent="0.3"/>
    <row r="3173" customFormat="1" x14ac:dyDescent="0.3"/>
    <row r="3174" customFormat="1" x14ac:dyDescent="0.3"/>
    <row r="3175" customFormat="1" x14ac:dyDescent="0.3"/>
    <row r="3176" customFormat="1" x14ac:dyDescent="0.3"/>
    <row r="3177" customFormat="1" x14ac:dyDescent="0.3"/>
    <row r="3178" customFormat="1" x14ac:dyDescent="0.3"/>
    <row r="3179" customFormat="1" x14ac:dyDescent="0.3"/>
    <row r="3180" customFormat="1" x14ac:dyDescent="0.3"/>
    <row r="3181" customFormat="1" x14ac:dyDescent="0.3"/>
    <row r="3182" customFormat="1" x14ac:dyDescent="0.3"/>
    <row r="3183" customFormat="1" x14ac:dyDescent="0.3"/>
    <row r="3184" customFormat="1" x14ac:dyDescent="0.3"/>
    <row r="3185" customFormat="1" x14ac:dyDescent="0.3"/>
    <row r="3186" customFormat="1" x14ac:dyDescent="0.3"/>
    <row r="3187" customFormat="1" x14ac:dyDescent="0.3"/>
    <row r="3188" customFormat="1" x14ac:dyDescent="0.3"/>
    <row r="3189" customFormat="1" x14ac:dyDescent="0.3"/>
    <row r="3190" customFormat="1" x14ac:dyDescent="0.3"/>
    <row r="3191" customFormat="1" x14ac:dyDescent="0.3"/>
    <row r="3192" customFormat="1" x14ac:dyDescent="0.3"/>
    <row r="3193" customFormat="1" x14ac:dyDescent="0.3"/>
    <row r="3194" customFormat="1" x14ac:dyDescent="0.3"/>
    <row r="3195" customFormat="1" x14ac:dyDescent="0.3"/>
    <row r="3196" customFormat="1" x14ac:dyDescent="0.3"/>
    <row r="3197" customFormat="1" x14ac:dyDescent="0.3"/>
    <row r="3198" customFormat="1" x14ac:dyDescent="0.3"/>
    <row r="3199" customFormat="1" x14ac:dyDescent="0.3"/>
    <row r="3200" customFormat="1" x14ac:dyDescent="0.3"/>
    <row r="3201" customFormat="1" x14ac:dyDescent="0.3"/>
    <row r="3202" customFormat="1" x14ac:dyDescent="0.3"/>
    <row r="3203" customFormat="1" x14ac:dyDescent="0.3"/>
    <row r="3204" customFormat="1" x14ac:dyDescent="0.3"/>
    <row r="3205" customFormat="1" x14ac:dyDescent="0.3"/>
    <row r="3206" customFormat="1" x14ac:dyDescent="0.3"/>
    <row r="3207" customFormat="1" x14ac:dyDescent="0.3"/>
    <row r="3208" customFormat="1" x14ac:dyDescent="0.3"/>
    <row r="3209" customFormat="1" x14ac:dyDescent="0.3"/>
    <row r="3210" customFormat="1" x14ac:dyDescent="0.3"/>
    <row r="3211" customFormat="1" x14ac:dyDescent="0.3"/>
    <row r="3212" customFormat="1" x14ac:dyDescent="0.3"/>
    <row r="3213" customFormat="1" x14ac:dyDescent="0.3"/>
    <row r="3214" customFormat="1" x14ac:dyDescent="0.3"/>
    <row r="3215" customFormat="1" x14ac:dyDescent="0.3"/>
    <row r="3216" customFormat="1" x14ac:dyDescent="0.3"/>
    <row r="3217" customFormat="1" x14ac:dyDescent="0.3"/>
    <row r="3218" customFormat="1" x14ac:dyDescent="0.3"/>
    <row r="3219" customFormat="1" x14ac:dyDescent="0.3"/>
    <row r="3220" customFormat="1" x14ac:dyDescent="0.3"/>
    <row r="3221" customFormat="1" x14ac:dyDescent="0.3"/>
    <row r="3222" customFormat="1" x14ac:dyDescent="0.3"/>
    <row r="3223" customFormat="1" x14ac:dyDescent="0.3"/>
    <row r="3224" customFormat="1" x14ac:dyDescent="0.3"/>
    <row r="3225" customFormat="1" x14ac:dyDescent="0.3"/>
    <row r="3226" customFormat="1" x14ac:dyDescent="0.3"/>
    <row r="3227" customFormat="1" x14ac:dyDescent="0.3"/>
    <row r="3228" customFormat="1" x14ac:dyDescent="0.3"/>
    <row r="3229" customFormat="1" x14ac:dyDescent="0.3"/>
    <row r="3230" customFormat="1" x14ac:dyDescent="0.3"/>
    <row r="3231" customFormat="1" x14ac:dyDescent="0.3"/>
    <row r="3232" customFormat="1" x14ac:dyDescent="0.3"/>
    <row r="3233" customFormat="1" x14ac:dyDescent="0.3"/>
    <row r="3234" customFormat="1" x14ac:dyDescent="0.3"/>
    <row r="3235" customFormat="1" x14ac:dyDescent="0.3"/>
    <row r="3236" customFormat="1" x14ac:dyDescent="0.3"/>
    <row r="3237" customFormat="1" x14ac:dyDescent="0.3"/>
    <row r="3238" customFormat="1" x14ac:dyDescent="0.3"/>
    <row r="3239" customFormat="1" x14ac:dyDescent="0.3"/>
    <row r="3240" customFormat="1" x14ac:dyDescent="0.3"/>
    <row r="3241" customFormat="1" x14ac:dyDescent="0.3"/>
    <row r="3242" customFormat="1" x14ac:dyDescent="0.3"/>
    <row r="3243" customFormat="1" x14ac:dyDescent="0.3"/>
    <row r="3244" customFormat="1" x14ac:dyDescent="0.3"/>
    <row r="3245" customFormat="1" x14ac:dyDescent="0.3"/>
    <row r="3246" customFormat="1" x14ac:dyDescent="0.3"/>
    <row r="3247" customFormat="1" x14ac:dyDescent="0.3"/>
    <row r="3248" customFormat="1" x14ac:dyDescent="0.3"/>
    <row r="3249" customFormat="1" x14ac:dyDescent="0.3"/>
    <row r="3250" customFormat="1" x14ac:dyDescent="0.3"/>
    <row r="3251" customFormat="1" x14ac:dyDescent="0.3"/>
    <row r="3252" customFormat="1" x14ac:dyDescent="0.3"/>
    <row r="3253" customFormat="1" x14ac:dyDescent="0.3"/>
    <row r="3254" customFormat="1" x14ac:dyDescent="0.3"/>
    <row r="3255" customFormat="1" x14ac:dyDescent="0.3"/>
    <row r="3256" customFormat="1" x14ac:dyDescent="0.3"/>
    <row r="3257" customFormat="1" x14ac:dyDescent="0.3"/>
    <row r="3258" customFormat="1" x14ac:dyDescent="0.3"/>
    <row r="3259" customFormat="1" x14ac:dyDescent="0.3"/>
    <row r="3260" customFormat="1" x14ac:dyDescent="0.3"/>
    <row r="3261" customFormat="1" x14ac:dyDescent="0.3"/>
    <row r="3262" customFormat="1" x14ac:dyDescent="0.3"/>
    <row r="3263" customFormat="1" x14ac:dyDescent="0.3"/>
    <row r="3264" customFormat="1" x14ac:dyDescent="0.3"/>
    <row r="3265" customFormat="1" x14ac:dyDescent="0.3"/>
    <row r="3266" customFormat="1" x14ac:dyDescent="0.3"/>
    <row r="3267" customFormat="1" x14ac:dyDescent="0.3"/>
    <row r="3268" customFormat="1" x14ac:dyDescent="0.3"/>
    <row r="3269" customFormat="1" x14ac:dyDescent="0.3"/>
    <row r="3270" customFormat="1" x14ac:dyDescent="0.3"/>
    <row r="3271" customFormat="1" x14ac:dyDescent="0.3"/>
    <row r="3272" customFormat="1" x14ac:dyDescent="0.3"/>
    <row r="3273" customFormat="1" x14ac:dyDescent="0.3"/>
    <row r="3274" customFormat="1" x14ac:dyDescent="0.3"/>
    <row r="3275" customFormat="1" x14ac:dyDescent="0.3"/>
    <row r="3276" customFormat="1" x14ac:dyDescent="0.3"/>
    <row r="3277" customFormat="1" x14ac:dyDescent="0.3"/>
    <row r="3278" customFormat="1" x14ac:dyDescent="0.3"/>
    <row r="3279" customFormat="1" x14ac:dyDescent="0.3"/>
    <row r="3280" customFormat="1" x14ac:dyDescent="0.3"/>
    <row r="3281" customFormat="1" x14ac:dyDescent="0.3"/>
    <row r="3282" customFormat="1" x14ac:dyDescent="0.3"/>
    <row r="3283" customFormat="1" x14ac:dyDescent="0.3"/>
    <row r="3284" customFormat="1" x14ac:dyDescent="0.3"/>
    <row r="3285" customFormat="1" x14ac:dyDescent="0.3"/>
    <row r="3286" customFormat="1" x14ac:dyDescent="0.3"/>
    <row r="3287" customFormat="1" x14ac:dyDescent="0.3"/>
    <row r="3288" customFormat="1" x14ac:dyDescent="0.3"/>
    <row r="3289" customFormat="1" x14ac:dyDescent="0.3"/>
    <row r="3290" customFormat="1" x14ac:dyDescent="0.3"/>
    <row r="3291" customFormat="1" x14ac:dyDescent="0.3"/>
    <row r="3292" customFormat="1" x14ac:dyDescent="0.3"/>
    <row r="3293" customFormat="1" x14ac:dyDescent="0.3"/>
    <row r="3294" customFormat="1" x14ac:dyDescent="0.3"/>
    <row r="3295" customFormat="1" x14ac:dyDescent="0.3"/>
    <row r="3296" customFormat="1" x14ac:dyDescent="0.3"/>
    <row r="3297" customFormat="1" x14ac:dyDescent="0.3"/>
    <row r="3298" customFormat="1" x14ac:dyDescent="0.3"/>
    <row r="3299" customFormat="1" x14ac:dyDescent="0.3"/>
    <row r="3300" customFormat="1" x14ac:dyDescent="0.3"/>
    <row r="3301" customFormat="1" x14ac:dyDescent="0.3"/>
    <row r="3302" customFormat="1" x14ac:dyDescent="0.3"/>
    <row r="3303" customFormat="1" x14ac:dyDescent="0.3"/>
    <row r="3304" customFormat="1" x14ac:dyDescent="0.3"/>
    <row r="3305" customFormat="1" x14ac:dyDescent="0.3"/>
    <row r="3306" customFormat="1" x14ac:dyDescent="0.3"/>
    <row r="3307" customFormat="1" x14ac:dyDescent="0.3"/>
    <row r="3308" customFormat="1" x14ac:dyDescent="0.3"/>
    <row r="3309" customFormat="1" x14ac:dyDescent="0.3"/>
    <row r="3310" customFormat="1" x14ac:dyDescent="0.3"/>
    <row r="3311" customFormat="1" x14ac:dyDescent="0.3"/>
    <row r="3312" customFormat="1" x14ac:dyDescent="0.3"/>
    <row r="3313" customFormat="1" x14ac:dyDescent="0.3"/>
    <row r="3314" customFormat="1" x14ac:dyDescent="0.3"/>
    <row r="3315" customFormat="1" x14ac:dyDescent="0.3"/>
    <row r="3316" customFormat="1" x14ac:dyDescent="0.3"/>
    <row r="3317" customFormat="1" x14ac:dyDescent="0.3"/>
    <row r="3318" customFormat="1" x14ac:dyDescent="0.3"/>
    <row r="3319" customFormat="1" x14ac:dyDescent="0.3"/>
    <row r="3320" customFormat="1" x14ac:dyDescent="0.3"/>
    <row r="3321" customFormat="1" x14ac:dyDescent="0.3"/>
    <row r="3322" customFormat="1" x14ac:dyDescent="0.3"/>
    <row r="3323" customFormat="1" x14ac:dyDescent="0.3"/>
    <row r="3324" customFormat="1" x14ac:dyDescent="0.3"/>
    <row r="3325" customFormat="1" x14ac:dyDescent="0.3"/>
    <row r="3326" customFormat="1" x14ac:dyDescent="0.3"/>
    <row r="3327" customFormat="1" x14ac:dyDescent="0.3"/>
    <row r="3328" customFormat="1" x14ac:dyDescent="0.3"/>
    <row r="3329" customFormat="1" x14ac:dyDescent="0.3"/>
    <row r="3330" customFormat="1" x14ac:dyDescent="0.3"/>
    <row r="3331" customFormat="1" x14ac:dyDescent="0.3"/>
    <row r="3332" customFormat="1" x14ac:dyDescent="0.3"/>
    <row r="3333" customFormat="1" x14ac:dyDescent="0.3"/>
    <row r="3334" customFormat="1" x14ac:dyDescent="0.3"/>
    <row r="3335" customFormat="1" x14ac:dyDescent="0.3"/>
    <row r="3336" customFormat="1" x14ac:dyDescent="0.3"/>
    <row r="3337" customFormat="1" x14ac:dyDescent="0.3"/>
    <row r="3338" customFormat="1" x14ac:dyDescent="0.3"/>
    <row r="3339" customFormat="1" x14ac:dyDescent="0.3"/>
    <row r="3340" customFormat="1" x14ac:dyDescent="0.3"/>
    <row r="3341" customFormat="1" x14ac:dyDescent="0.3"/>
    <row r="3342" customFormat="1" x14ac:dyDescent="0.3"/>
    <row r="3343" customFormat="1" x14ac:dyDescent="0.3"/>
    <row r="3344" customFormat="1" x14ac:dyDescent="0.3"/>
    <row r="3345" customFormat="1" x14ac:dyDescent="0.3"/>
    <row r="3346" customFormat="1" x14ac:dyDescent="0.3"/>
    <row r="3347" customFormat="1" x14ac:dyDescent="0.3"/>
    <row r="3348" customFormat="1" x14ac:dyDescent="0.3"/>
    <row r="3349" customFormat="1" x14ac:dyDescent="0.3"/>
    <row r="3350" customFormat="1" x14ac:dyDescent="0.3"/>
    <row r="3351" customFormat="1" x14ac:dyDescent="0.3"/>
    <row r="3352" customFormat="1" x14ac:dyDescent="0.3"/>
    <row r="3353" customFormat="1" x14ac:dyDescent="0.3"/>
    <row r="3354" customFormat="1" x14ac:dyDescent="0.3"/>
    <row r="3355" customFormat="1" x14ac:dyDescent="0.3"/>
    <row r="3356" customFormat="1" x14ac:dyDescent="0.3"/>
    <row r="3357" customFormat="1" x14ac:dyDescent="0.3"/>
    <row r="3358" customFormat="1" x14ac:dyDescent="0.3"/>
    <row r="3359" customFormat="1" x14ac:dyDescent="0.3"/>
    <row r="3360" customFormat="1" x14ac:dyDescent="0.3"/>
    <row r="3361" customFormat="1" x14ac:dyDescent="0.3"/>
    <row r="3362" customFormat="1" x14ac:dyDescent="0.3"/>
    <row r="3363" customFormat="1" x14ac:dyDescent="0.3"/>
    <row r="3364" customFormat="1" x14ac:dyDescent="0.3"/>
    <row r="3365" customFormat="1" x14ac:dyDescent="0.3"/>
    <row r="3366" customFormat="1" x14ac:dyDescent="0.3"/>
    <row r="3367" customFormat="1" x14ac:dyDescent="0.3"/>
    <row r="3368" customFormat="1" x14ac:dyDescent="0.3"/>
    <row r="3369" customFormat="1" x14ac:dyDescent="0.3"/>
    <row r="3370" customFormat="1" x14ac:dyDescent="0.3"/>
    <row r="3371" customFormat="1" x14ac:dyDescent="0.3"/>
    <row r="3372" customFormat="1" x14ac:dyDescent="0.3"/>
    <row r="3373" customFormat="1" x14ac:dyDescent="0.3"/>
    <row r="3374" customFormat="1" x14ac:dyDescent="0.3"/>
    <row r="3375" customFormat="1" x14ac:dyDescent="0.3"/>
    <row r="3376" customFormat="1" x14ac:dyDescent="0.3"/>
    <row r="3377" customFormat="1" x14ac:dyDescent="0.3"/>
    <row r="3378" customFormat="1" x14ac:dyDescent="0.3"/>
    <row r="3379" customFormat="1" x14ac:dyDescent="0.3"/>
    <row r="3380" customFormat="1" x14ac:dyDescent="0.3"/>
    <row r="3381" customFormat="1" x14ac:dyDescent="0.3"/>
    <row r="3382" customFormat="1" x14ac:dyDescent="0.3"/>
    <row r="3383" customFormat="1" x14ac:dyDescent="0.3"/>
    <row r="3384" customFormat="1" x14ac:dyDescent="0.3"/>
    <row r="3385" customFormat="1" x14ac:dyDescent="0.3"/>
    <row r="3386" customFormat="1" x14ac:dyDescent="0.3"/>
    <row r="3387" customFormat="1" x14ac:dyDescent="0.3"/>
    <row r="3388" customFormat="1" x14ac:dyDescent="0.3"/>
    <row r="3389" customFormat="1" x14ac:dyDescent="0.3"/>
    <row r="3390" customFormat="1" x14ac:dyDescent="0.3"/>
    <row r="3391" customFormat="1" x14ac:dyDescent="0.3"/>
    <row r="3392" customFormat="1" x14ac:dyDescent="0.3"/>
    <row r="3393" customFormat="1" x14ac:dyDescent="0.3"/>
    <row r="3394" customFormat="1" x14ac:dyDescent="0.3"/>
    <row r="3395" customFormat="1" x14ac:dyDescent="0.3"/>
    <row r="3396" customFormat="1" x14ac:dyDescent="0.3"/>
    <row r="3397" customFormat="1" x14ac:dyDescent="0.3"/>
    <row r="3398" customFormat="1" x14ac:dyDescent="0.3"/>
    <row r="3399" customFormat="1" x14ac:dyDescent="0.3"/>
    <row r="3400" customFormat="1" x14ac:dyDescent="0.3"/>
    <row r="3401" customFormat="1" x14ac:dyDescent="0.3"/>
    <row r="3402" customFormat="1" x14ac:dyDescent="0.3"/>
    <row r="3403" customFormat="1" x14ac:dyDescent="0.3"/>
    <row r="3404" customFormat="1" x14ac:dyDescent="0.3"/>
    <row r="3405" customFormat="1" x14ac:dyDescent="0.3"/>
    <row r="3406" customFormat="1" x14ac:dyDescent="0.3"/>
    <row r="3407" customFormat="1" x14ac:dyDescent="0.3"/>
    <row r="3408" customFormat="1" x14ac:dyDescent="0.3"/>
    <row r="3409" customFormat="1" x14ac:dyDescent="0.3"/>
    <row r="3410" customFormat="1" x14ac:dyDescent="0.3"/>
    <row r="3411" customFormat="1" x14ac:dyDescent="0.3"/>
    <row r="3412" customFormat="1" x14ac:dyDescent="0.3"/>
    <row r="3413" customFormat="1" x14ac:dyDescent="0.3"/>
    <row r="3414" customFormat="1" x14ac:dyDescent="0.3"/>
    <row r="3415" customFormat="1" x14ac:dyDescent="0.3"/>
    <row r="3416" customFormat="1" x14ac:dyDescent="0.3"/>
    <row r="3417" customFormat="1" x14ac:dyDescent="0.3"/>
    <row r="3418" customFormat="1" x14ac:dyDescent="0.3"/>
    <row r="3419" customFormat="1" x14ac:dyDescent="0.3"/>
    <row r="3420" customFormat="1" x14ac:dyDescent="0.3"/>
    <row r="3421" customFormat="1" x14ac:dyDescent="0.3"/>
    <row r="3422" customFormat="1" x14ac:dyDescent="0.3"/>
    <row r="3423" customFormat="1" x14ac:dyDescent="0.3"/>
    <row r="3424" customFormat="1" x14ac:dyDescent="0.3"/>
    <row r="3425" customFormat="1" x14ac:dyDescent="0.3"/>
    <row r="3426" customFormat="1" x14ac:dyDescent="0.3"/>
    <row r="3427" customFormat="1" x14ac:dyDescent="0.3"/>
    <row r="3428" customFormat="1" x14ac:dyDescent="0.3"/>
    <row r="3429" customFormat="1" x14ac:dyDescent="0.3"/>
    <row r="3430" customFormat="1" x14ac:dyDescent="0.3"/>
    <row r="3431" customFormat="1" x14ac:dyDescent="0.3"/>
    <row r="3432" customFormat="1" x14ac:dyDescent="0.3"/>
    <row r="3433" customFormat="1" x14ac:dyDescent="0.3"/>
    <row r="3434" customFormat="1" x14ac:dyDescent="0.3"/>
    <row r="3435" customFormat="1" x14ac:dyDescent="0.3"/>
    <row r="3436" customFormat="1" x14ac:dyDescent="0.3"/>
    <row r="3437" customFormat="1" x14ac:dyDescent="0.3"/>
    <row r="3438" customFormat="1" x14ac:dyDescent="0.3"/>
    <row r="3439" customFormat="1" x14ac:dyDescent="0.3"/>
    <row r="3440" customFormat="1" x14ac:dyDescent="0.3"/>
    <row r="3441" customFormat="1" x14ac:dyDescent="0.3"/>
    <row r="3442" customFormat="1" x14ac:dyDescent="0.3"/>
    <row r="3443" customFormat="1" x14ac:dyDescent="0.3"/>
    <row r="3444" customFormat="1" x14ac:dyDescent="0.3"/>
    <row r="3445" customFormat="1" x14ac:dyDescent="0.3"/>
    <row r="3446" customFormat="1" x14ac:dyDescent="0.3"/>
    <row r="3447" customFormat="1" x14ac:dyDescent="0.3"/>
    <row r="3448" customFormat="1" x14ac:dyDescent="0.3"/>
    <row r="3449" customFormat="1" x14ac:dyDescent="0.3"/>
    <row r="3450" customFormat="1" x14ac:dyDescent="0.3"/>
    <row r="3451" customFormat="1" x14ac:dyDescent="0.3"/>
    <row r="3452" customFormat="1" x14ac:dyDescent="0.3"/>
    <row r="3453" customFormat="1" x14ac:dyDescent="0.3"/>
    <row r="3454" customFormat="1" x14ac:dyDescent="0.3"/>
    <row r="3455" customFormat="1" x14ac:dyDescent="0.3"/>
    <row r="3456" customFormat="1" x14ac:dyDescent="0.3"/>
    <row r="3457" customFormat="1" x14ac:dyDescent="0.3"/>
    <row r="3458" customFormat="1" x14ac:dyDescent="0.3"/>
    <row r="3459" customFormat="1" x14ac:dyDescent="0.3"/>
    <row r="3460" customFormat="1" x14ac:dyDescent="0.3"/>
    <row r="3461" customFormat="1" x14ac:dyDescent="0.3"/>
    <row r="3462" customFormat="1" x14ac:dyDescent="0.3"/>
    <row r="3463" customFormat="1" x14ac:dyDescent="0.3"/>
    <row r="3464" customFormat="1" x14ac:dyDescent="0.3"/>
    <row r="3465" customFormat="1" x14ac:dyDescent="0.3"/>
    <row r="3466" customFormat="1" x14ac:dyDescent="0.3"/>
    <row r="3467" customFormat="1" x14ac:dyDescent="0.3"/>
    <row r="3468" customFormat="1" x14ac:dyDescent="0.3"/>
    <row r="3469" customFormat="1" x14ac:dyDescent="0.3"/>
    <row r="3470" customFormat="1" x14ac:dyDescent="0.3"/>
    <row r="3471" customFormat="1" x14ac:dyDescent="0.3"/>
    <row r="3472" customFormat="1" x14ac:dyDescent="0.3"/>
    <row r="3473" customFormat="1" x14ac:dyDescent="0.3"/>
    <row r="3474" customFormat="1" x14ac:dyDescent="0.3"/>
    <row r="3475" customFormat="1" x14ac:dyDescent="0.3"/>
    <row r="3476" customFormat="1" x14ac:dyDescent="0.3"/>
    <row r="3477" customFormat="1" x14ac:dyDescent="0.3"/>
    <row r="3478" customFormat="1" x14ac:dyDescent="0.3"/>
    <row r="3479" customFormat="1" x14ac:dyDescent="0.3"/>
    <row r="3480" customFormat="1" x14ac:dyDescent="0.3"/>
    <row r="3481" customFormat="1" x14ac:dyDescent="0.3"/>
    <row r="3482" customFormat="1" x14ac:dyDescent="0.3"/>
    <row r="3483" customFormat="1" x14ac:dyDescent="0.3"/>
    <row r="3484" customFormat="1" x14ac:dyDescent="0.3"/>
    <row r="3485" customFormat="1" x14ac:dyDescent="0.3"/>
    <row r="3486" customFormat="1" x14ac:dyDescent="0.3"/>
    <row r="3487" customFormat="1" x14ac:dyDescent="0.3"/>
    <row r="3488" customFormat="1" x14ac:dyDescent="0.3"/>
    <row r="3489" customFormat="1" x14ac:dyDescent="0.3"/>
    <row r="3490" customFormat="1" x14ac:dyDescent="0.3"/>
    <row r="3491" customFormat="1" x14ac:dyDescent="0.3"/>
    <row r="3492" customFormat="1" x14ac:dyDescent="0.3"/>
    <row r="3493" customFormat="1" x14ac:dyDescent="0.3"/>
    <row r="3494" customFormat="1" x14ac:dyDescent="0.3"/>
    <row r="3495" customFormat="1" x14ac:dyDescent="0.3"/>
    <row r="3496" customFormat="1" x14ac:dyDescent="0.3"/>
    <row r="3497" customFormat="1" x14ac:dyDescent="0.3"/>
    <row r="3498" customFormat="1" x14ac:dyDescent="0.3"/>
    <row r="3499" customFormat="1" x14ac:dyDescent="0.3"/>
    <row r="3500" customFormat="1" x14ac:dyDescent="0.3"/>
    <row r="3501" customFormat="1" x14ac:dyDescent="0.3"/>
    <row r="3502" customFormat="1" x14ac:dyDescent="0.3"/>
    <row r="3503" customFormat="1" x14ac:dyDescent="0.3"/>
    <row r="3504" customFormat="1" x14ac:dyDescent="0.3"/>
    <row r="3505" customFormat="1" x14ac:dyDescent="0.3"/>
    <row r="3506" customFormat="1" x14ac:dyDescent="0.3"/>
    <row r="3507" customFormat="1" x14ac:dyDescent="0.3"/>
    <row r="3508" customFormat="1" x14ac:dyDescent="0.3"/>
    <row r="3509" customFormat="1" x14ac:dyDescent="0.3"/>
    <row r="3510" customFormat="1" x14ac:dyDescent="0.3"/>
    <row r="3511" customFormat="1" x14ac:dyDescent="0.3"/>
    <row r="3512" customFormat="1" x14ac:dyDescent="0.3"/>
    <row r="3513" customFormat="1" x14ac:dyDescent="0.3"/>
    <row r="3514" customFormat="1" x14ac:dyDescent="0.3"/>
    <row r="3515" customFormat="1" x14ac:dyDescent="0.3"/>
    <row r="3516" customFormat="1" x14ac:dyDescent="0.3"/>
    <row r="3517" customFormat="1" x14ac:dyDescent="0.3"/>
    <row r="3518" customFormat="1" x14ac:dyDescent="0.3"/>
    <row r="3519" customFormat="1" x14ac:dyDescent="0.3"/>
    <row r="3520" customFormat="1" x14ac:dyDescent="0.3"/>
    <row r="3521" customFormat="1" x14ac:dyDescent="0.3"/>
    <row r="3522" customFormat="1" x14ac:dyDescent="0.3"/>
    <row r="3523" customFormat="1" x14ac:dyDescent="0.3"/>
    <row r="3524" customFormat="1" x14ac:dyDescent="0.3"/>
    <row r="3525" customFormat="1" x14ac:dyDescent="0.3"/>
    <row r="3526" customFormat="1" x14ac:dyDescent="0.3"/>
    <row r="3527" customFormat="1" x14ac:dyDescent="0.3"/>
    <row r="3528" customFormat="1" x14ac:dyDescent="0.3"/>
    <row r="3529" customFormat="1" x14ac:dyDescent="0.3"/>
    <row r="3530" customFormat="1" x14ac:dyDescent="0.3"/>
    <row r="3531" customFormat="1" x14ac:dyDescent="0.3"/>
    <row r="3532" customFormat="1" x14ac:dyDescent="0.3"/>
    <row r="3533" customFormat="1" x14ac:dyDescent="0.3"/>
    <row r="3534" customFormat="1" x14ac:dyDescent="0.3"/>
    <row r="3535" customFormat="1" x14ac:dyDescent="0.3"/>
    <row r="3536" customFormat="1" x14ac:dyDescent="0.3"/>
    <row r="3537" customFormat="1" x14ac:dyDescent="0.3"/>
    <row r="3538" customFormat="1" x14ac:dyDescent="0.3"/>
    <row r="3539" customFormat="1" x14ac:dyDescent="0.3"/>
    <row r="3540" customFormat="1" x14ac:dyDescent="0.3"/>
    <row r="3541" customFormat="1" x14ac:dyDescent="0.3"/>
    <row r="3542" customFormat="1" x14ac:dyDescent="0.3"/>
    <row r="3543" customFormat="1" x14ac:dyDescent="0.3"/>
    <row r="3544" customFormat="1" x14ac:dyDescent="0.3"/>
    <row r="3545" customFormat="1" x14ac:dyDescent="0.3"/>
    <row r="3546" customFormat="1" x14ac:dyDescent="0.3"/>
    <row r="3547" customFormat="1" x14ac:dyDescent="0.3"/>
    <row r="3548" customFormat="1" x14ac:dyDescent="0.3"/>
    <row r="3549" customFormat="1" x14ac:dyDescent="0.3"/>
    <row r="3550" customFormat="1" x14ac:dyDescent="0.3"/>
    <row r="3551" customFormat="1" x14ac:dyDescent="0.3"/>
    <row r="3552" customFormat="1" x14ac:dyDescent="0.3"/>
    <row r="3553" customFormat="1" x14ac:dyDescent="0.3"/>
    <row r="3554" customFormat="1" x14ac:dyDescent="0.3"/>
    <row r="3555" customFormat="1" x14ac:dyDescent="0.3"/>
    <row r="3556" customFormat="1" x14ac:dyDescent="0.3"/>
    <row r="3557" customFormat="1" x14ac:dyDescent="0.3"/>
    <row r="3558" customFormat="1" x14ac:dyDescent="0.3"/>
    <row r="3559" customFormat="1" x14ac:dyDescent="0.3"/>
    <row r="3560" customFormat="1" x14ac:dyDescent="0.3"/>
    <row r="3561" customFormat="1" x14ac:dyDescent="0.3"/>
    <row r="3562" customFormat="1" x14ac:dyDescent="0.3"/>
    <row r="3563" customFormat="1" x14ac:dyDescent="0.3"/>
    <row r="3564" customFormat="1" x14ac:dyDescent="0.3"/>
    <row r="3565" customFormat="1" x14ac:dyDescent="0.3"/>
    <row r="3566" customFormat="1" x14ac:dyDescent="0.3"/>
    <row r="3567" customFormat="1" x14ac:dyDescent="0.3"/>
    <row r="3568" customFormat="1" x14ac:dyDescent="0.3"/>
    <row r="3569" customFormat="1" x14ac:dyDescent="0.3"/>
    <row r="3570" customFormat="1" x14ac:dyDescent="0.3"/>
    <row r="3571" customFormat="1" x14ac:dyDescent="0.3"/>
    <row r="3572" customFormat="1" x14ac:dyDescent="0.3"/>
    <row r="3573" customFormat="1" x14ac:dyDescent="0.3"/>
    <row r="3574" customFormat="1" x14ac:dyDescent="0.3"/>
    <row r="3575" customFormat="1" x14ac:dyDescent="0.3"/>
    <row r="3576" customFormat="1" x14ac:dyDescent="0.3"/>
    <row r="3577" customFormat="1" x14ac:dyDescent="0.3"/>
    <row r="3578" customFormat="1" x14ac:dyDescent="0.3"/>
    <row r="3579" customFormat="1" x14ac:dyDescent="0.3"/>
    <row r="3580" customFormat="1" x14ac:dyDescent="0.3"/>
    <row r="3581" customFormat="1" x14ac:dyDescent="0.3"/>
    <row r="3582" customFormat="1" x14ac:dyDescent="0.3"/>
    <row r="3583" customFormat="1" x14ac:dyDescent="0.3"/>
    <row r="3584" customFormat="1" x14ac:dyDescent="0.3"/>
    <row r="3585" customFormat="1" x14ac:dyDescent="0.3"/>
    <row r="3586" customFormat="1" x14ac:dyDescent="0.3"/>
    <row r="3587" customFormat="1" x14ac:dyDescent="0.3"/>
    <row r="3588" customFormat="1" x14ac:dyDescent="0.3"/>
    <row r="3589" customFormat="1" x14ac:dyDescent="0.3"/>
    <row r="3590" customFormat="1" x14ac:dyDescent="0.3"/>
    <row r="3591" customFormat="1" x14ac:dyDescent="0.3"/>
    <row r="3592" customFormat="1" x14ac:dyDescent="0.3"/>
    <row r="3593" customFormat="1" x14ac:dyDescent="0.3"/>
    <row r="3594" customFormat="1" x14ac:dyDescent="0.3"/>
    <row r="3595" customFormat="1" x14ac:dyDescent="0.3"/>
    <row r="3596" customFormat="1" x14ac:dyDescent="0.3"/>
    <row r="3597" customFormat="1" x14ac:dyDescent="0.3"/>
    <row r="3598" customFormat="1" x14ac:dyDescent="0.3"/>
    <row r="3599" customFormat="1" x14ac:dyDescent="0.3"/>
    <row r="3600" customFormat="1" x14ac:dyDescent="0.3"/>
    <row r="3601" customFormat="1" x14ac:dyDescent="0.3"/>
    <row r="3602" customFormat="1" x14ac:dyDescent="0.3"/>
    <row r="3603" customFormat="1" x14ac:dyDescent="0.3"/>
    <row r="3604" customFormat="1" x14ac:dyDescent="0.3"/>
    <row r="3605" customFormat="1" x14ac:dyDescent="0.3"/>
    <row r="3606" customFormat="1" x14ac:dyDescent="0.3"/>
    <row r="3607" customFormat="1" x14ac:dyDescent="0.3"/>
    <row r="3608" customFormat="1" x14ac:dyDescent="0.3"/>
    <row r="3609" customFormat="1" x14ac:dyDescent="0.3"/>
    <row r="3610" customFormat="1" x14ac:dyDescent="0.3"/>
    <row r="3611" customFormat="1" x14ac:dyDescent="0.3"/>
    <row r="3612" customFormat="1" x14ac:dyDescent="0.3"/>
    <row r="3613" customFormat="1" x14ac:dyDescent="0.3"/>
    <row r="3614" customFormat="1" x14ac:dyDescent="0.3"/>
    <row r="3615" customFormat="1" x14ac:dyDescent="0.3"/>
    <row r="3616" customFormat="1" x14ac:dyDescent="0.3"/>
    <row r="3617" customFormat="1" x14ac:dyDescent="0.3"/>
    <row r="3618" customFormat="1" x14ac:dyDescent="0.3"/>
    <row r="3619" customFormat="1" x14ac:dyDescent="0.3"/>
    <row r="3620" customFormat="1" x14ac:dyDescent="0.3"/>
    <row r="3621" customFormat="1" x14ac:dyDescent="0.3"/>
    <row r="3622" customFormat="1" x14ac:dyDescent="0.3"/>
    <row r="3623" customFormat="1" x14ac:dyDescent="0.3"/>
    <row r="3624" customFormat="1" x14ac:dyDescent="0.3"/>
    <row r="3625" customFormat="1" x14ac:dyDescent="0.3"/>
    <row r="3626" customFormat="1" x14ac:dyDescent="0.3"/>
    <row r="3627" customFormat="1" x14ac:dyDescent="0.3"/>
    <row r="3628" customFormat="1" x14ac:dyDescent="0.3"/>
    <row r="3629" customFormat="1" x14ac:dyDescent="0.3"/>
    <row r="3630" customFormat="1" x14ac:dyDescent="0.3"/>
    <row r="3631" customFormat="1" x14ac:dyDescent="0.3"/>
    <row r="3632" customFormat="1" x14ac:dyDescent="0.3"/>
    <row r="3633" customFormat="1" x14ac:dyDescent="0.3"/>
    <row r="3634" customFormat="1" x14ac:dyDescent="0.3"/>
    <row r="3635" customFormat="1" x14ac:dyDescent="0.3"/>
    <row r="3636" customFormat="1" x14ac:dyDescent="0.3"/>
    <row r="3637" customFormat="1" x14ac:dyDescent="0.3"/>
    <row r="3638" customFormat="1" x14ac:dyDescent="0.3"/>
    <row r="3639" customFormat="1" x14ac:dyDescent="0.3"/>
    <row r="3640" customFormat="1" x14ac:dyDescent="0.3"/>
    <row r="3641" customFormat="1" x14ac:dyDescent="0.3"/>
    <row r="3642" customFormat="1" x14ac:dyDescent="0.3"/>
    <row r="3643" customFormat="1" x14ac:dyDescent="0.3"/>
    <row r="3644" customFormat="1" x14ac:dyDescent="0.3"/>
    <row r="3645" customFormat="1" x14ac:dyDescent="0.3"/>
    <row r="3646" customFormat="1" x14ac:dyDescent="0.3"/>
    <row r="3647" customFormat="1" x14ac:dyDescent="0.3"/>
    <row r="3648" customFormat="1" x14ac:dyDescent="0.3"/>
    <row r="3649" customFormat="1" x14ac:dyDescent="0.3"/>
    <row r="3650" customFormat="1" x14ac:dyDescent="0.3"/>
    <row r="3651" customFormat="1" x14ac:dyDescent="0.3"/>
    <row r="3652" customFormat="1" x14ac:dyDescent="0.3"/>
    <row r="3653" customFormat="1" x14ac:dyDescent="0.3"/>
    <row r="3654" customFormat="1" x14ac:dyDescent="0.3"/>
    <row r="3655" customFormat="1" x14ac:dyDescent="0.3"/>
    <row r="3656" customFormat="1" x14ac:dyDescent="0.3"/>
    <row r="3657" customFormat="1" x14ac:dyDescent="0.3"/>
    <row r="3658" customFormat="1" x14ac:dyDescent="0.3"/>
    <row r="3659" customFormat="1" x14ac:dyDescent="0.3"/>
    <row r="3660" customFormat="1" x14ac:dyDescent="0.3"/>
    <row r="3661" customFormat="1" x14ac:dyDescent="0.3"/>
    <row r="3662" customFormat="1" x14ac:dyDescent="0.3"/>
    <row r="3663" customFormat="1" x14ac:dyDescent="0.3"/>
    <row r="3664" customFormat="1" x14ac:dyDescent="0.3"/>
    <row r="3665" customFormat="1" x14ac:dyDescent="0.3"/>
    <row r="3666" customFormat="1" x14ac:dyDescent="0.3"/>
    <row r="3667" customFormat="1" x14ac:dyDescent="0.3"/>
    <row r="3668" customFormat="1" x14ac:dyDescent="0.3"/>
    <row r="3669" customFormat="1" x14ac:dyDescent="0.3"/>
    <row r="3670" customFormat="1" x14ac:dyDescent="0.3"/>
    <row r="3671" customFormat="1" x14ac:dyDescent="0.3"/>
    <row r="3672" customFormat="1" x14ac:dyDescent="0.3"/>
    <row r="3673" customFormat="1" x14ac:dyDescent="0.3"/>
    <row r="3674" customFormat="1" x14ac:dyDescent="0.3"/>
    <row r="3675" customFormat="1" x14ac:dyDescent="0.3"/>
    <row r="3676" customFormat="1" x14ac:dyDescent="0.3"/>
    <row r="3677" customFormat="1" x14ac:dyDescent="0.3"/>
    <row r="3678" customFormat="1" x14ac:dyDescent="0.3"/>
    <row r="3679" customFormat="1" x14ac:dyDescent="0.3"/>
    <row r="3680" customFormat="1" x14ac:dyDescent="0.3"/>
    <row r="3681" customFormat="1" x14ac:dyDescent="0.3"/>
    <row r="3682" customFormat="1" x14ac:dyDescent="0.3"/>
    <row r="3683" customFormat="1" x14ac:dyDescent="0.3"/>
    <row r="3684" customFormat="1" x14ac:dyDescent="0.3"/>
    <row r="3685" customFormat="1" x14ac:dyDescent="0.3"/>
    <row r="3686" customFormat="1" x14ac:dyDescent="0.3"/>
    <row r="3687" customFormat="1" x14ac:dyDescent="0.3"/>
    <row r="3688" customFormat="1" x14ac:dyDescent="0.3"/>
    <row r="3689" customFormat="1" x14ac:dyDescent="0.3"/>
    <row r="3690" customFormat="1" x14ac:dyDescent="0.3"/>
    <row r="3691" customFormat="1" x14ac:dyDescent="0.3"/>
    <row r="3692" customFormat="1" x14ac:dyDescent="0.3"/>
    <row r="3693" customFormat="1" x14ac:dyDescent="0.3"/>
    <row r="3694" customFormat="1" x14ac:dyDescent="0.3"/>
    <row r="3695" customFormat="1" x14ac:dyDescent="0.3"/>
    <row r="3696" customFormat="1" x14ac:dyDescent="0.3"/>
    <row r="3697" customFormat="1" x14ac:dyDescent="0.3"/>
    <row r="3698" customFormat="1" x14ac:dyDescent="0.3"/>
    <row r="3699" customFormat="1" x14ac:dyDescent="0.3"/>
    <row r="3700" customFormat="1" x14ac:dyDescent="0.3"/>
    <row r="3701" customFormat="1" x14ac:dyDescent="0.3"/>
    <row r="3702" customFormat="1" x14ac:dyDescent="0.3"/>
    <row r="3703" customFormat="1" x14ac:dyDescent="0.3"/>
    <row r="3704" customFormat="1" x14ac:dyDescent="0.3"/>
    <row r="3705" customFormat="1" x14ac:dyDescent="0.3"/>
    <row r="3706" customFormat="1" x14ac:dyDescent="0.3"/>
    <row r="3707" customFormat="1" x14ac:dyDescent="0.3"/>
    <row r="3708" customFormat="1" x14ac:dyDescent="0.3"/>
    <row r="3709" customFormat="1" x14ac:dyDescent="0.3"/>
    <row r="3710" customFormat="1" x14ac:dyDescent="0.3"/>
    <row r="3711" customFormat="1" x14ac:dyDescent="0.3"/>
    <row r="3712" customFormat="1" x14ac:dyDescent="0.3"/>
    <row r="3713" customFormat="1" x14ac:dyDescent="0.3"/>
    <row r="3714" customFormat="1" x14ac:dyDescent="0.3"/>
    <row r="3715" customFormat="1" x14ac:dyDescent="0.3"/>
    <row r="3716" customFormat="1" x14ac:dyDescent="0.3"/>
    <row r="3717" customFormat="1" x14ac:dyDescent="0.3"/>
    <row r="3718" customFormat="1" x14ac:dyDescent="0.3"/>
    <row r="3719" customFormat="1" x14ac:dyDescent="0.3"/>
    <row r="3720" customFormat="1" x14ac:dyDescent="0.3"/>
    <row r="3721" customFormat="1" x14ac:dyDescent="0.3"/>
    <row r="3722" customFormat="1" x14ac:dyDescent="0.3"/>
    <row r="3723" customFormat="1" x14ac:dyDescent="0.3"/>
    <row r="3724" customFormat="1" x14ac:dyDescent="0.3"/>
    <row r="3725" customFormat="1" x14ac:dyDescent="0.3"/>
    <row r="3726" customFormat="1" x14ac:dyDescent="0.3"/>
    <row r="3727" customFormat="1" x14ac:dyDescent="0.3"/>
    <row r="3728" customFormat="1" x14ac:dyDescent="0.3"/>
    <row r="3729" customFormat="1" x14ac:dyDescent="0.3"/>
    <row r="3730" customFormat="1" x14ac:dyDescent="0.3"/>
    <row r="3731" customFormat="1" x14ac:dyDescent="0.3"/>
    <row r="3732" customFormat="1" x14ac:dyDescent="0.3"/>
    <row r="3733" customFormat="1" x14ac:dyDescent="0.3"/>
    <row r="3734" customFormat="1" x14ac:dyDescent="0.3"/>
    <row r="3735" customFormat="1" x14ac:dyDescent="0.3"/>
    <row r="3736" customFormat="1" x14ac:dyDescent="0.3"/>
    <row r="3737" customFormat="1" x14ac:dyDescent="0.3"/>
    <row r="3738" customFormat="1" x14ac:dyDescent="0.3"/>
    <row r="3739" customFormat="1" x14ac:dyDescent="0.3"/>
    <row r="3740" customFormat="1" x14ac:dyDescent="0.3"/>
    <row r="3741" customFormat="1" x14ac:dyDescent="0.3"/>
    <row r="3742" customFormat="1" x14ac:dyDescent="0.3"/>
    <row r="3743" customFormat="1" x14ac:dyDescent="0.3"/>
    <row r="3744" customFormat="1" x14ac:dyDescent="0.3"/>
    <row r="3745" customFormat="1" x14ac:dyDescent="0.3"/>
    <row r="3746" customFormat="1" x14ac:dyDescent="0.3"/>
    <row r="3747" customFormat="1" x14ac:dyDescent="0.3"/>
    <row r="3748" customFormat="1" x14ac:dyDescent="0.3"/>
    <row r="3749" customFormat="1" x14ac:dyDescent="0.3"/>
    <row r="3750" customFormat="1" x14ac:dyDescent="0.3"/>
    <row r="3751" customFormat="1" x14ac:dyDescent="0.3"/>
    <row r="3752" customFormat="1" x14ac:dyDescent="0.3"/>
    <row r="3753" customFormat="1" x14ac:dyDescent="0.3"/>
    <row r="3754" customFormat="1" x14ac:dyDescent="0.3"/>
    <row r="3755" customFormat="1" x14ac:dyDescent="0.3"/>
    <row r="3756" customFormat="1" x14ac:dyDescent="0.3"/>
    <row r="3757" customFormat="1" x14ac:dyDescent="0.3"/>
    <row r="3758" customFormat="1" x14ac:dyDescent="0.3"/>
    <row r="3759" customFormat="1" x14ac:dyDescent="0.3"/>
    <row r="3760" customFormat="1" x14ac:dyDescent="0.3"/>
    <row r="3761" customFormat="1" x14ac:dyDescent="0.3"/>
    <row r="3762" customFormat="1" x14ac:dyDescent="0.3"/>
    <row r="3763" customFormat="1" x14ac:dyDescent="0.3"/>
    <row r="3764" customFormat="1" x14ac:dyDescent="0.3"/>
    <row r="3765" customFormat="1" x14ac:dyDescent="0.3"/>
    <row r="3766" customFormat="1" x14ac:dyDescent="0.3"/>
    <row r="3767" customFormat="1" x14ac:dyDescent="0.3"/>
    <row r="3768" customFormat="1" x14ac:dyDescent="0.3"/>
    <row r="3769" customFormat="1" x14ac:dyDescent="0.3"/>
    <row r="3770" customFormat="1" x14ac:dyDescent="0.3"/>
    <row r="3771" customFormat="1" x14ac:dyDescent="0.3"/>
    <row r="3772" customFormat="1" x14ac:dyDescent="0.3"/>
    <row r="3773" customFormat="1" x14ac:dyDescent="0.3"/>
    <row r="3774" customFormat="1" x14ac:dyDescent="0.3"/>
    <row r="3775" customFormat="1" x14ac:dyDescent="0.3"/>
    <row r="3776" customFormat="1" x14ac:dyDescent="0.3"/>
    <row r="3777" customFormat="1" x14ac:dyDescent="0.3"/>
    <row r="3778" customFormat="1" x14ac:dyDescent="0.3"/>
    <row r="3779" customFormat="1" x14ac:dyDescent="0.3"/>
    <row r="3780" customFormat="1" x14ac:dyDescent="0.3"/>
    <row r="3781" customFormat="1" x14ac:dyDescent="0.3"/>
    <row r="3782" customFormat="1" x14ac:dyDescent="0.3"/>
    <row r="3783" customFormat="1" x14ac:dyDescent="0.3"/>
    <row r="3784" customFormat="1" x14ac:dyDescent="0.3"/>
    <row r="3785" customFormat="1" x14ac:dyDescent="0.3"/>
    <row r="3786" customFormat="1" x14ac:dyDescent="0.3"/>
    <row r="3787" customFormat="1" x14ac:dyDescent="0.3"/>
    <row r="3788" customFormat="1" x14ac:dyDescent="0.3"/>
    <row r="3789" customFormat="1" x14ac:dyDescent="0.3"/>
    <row r="3790" customFormat="1" x14ac:dyDescent="0.3"/>
    <row r="3791" customFormat="1" x14ac:dyDescent="0.3"/>
    <row r="3792" customFormat="1" x14ac:dyDescent="0.3"/>
    <row r="3793" customFormat="1" x14ac:dyDescent="0.3"/>
    <row r="3794" customFormat="1" x14ac:dyDescent="0.3"/>
    <row r="3795" customFormat="1" x14ac:dyDescent="0.3"/>
    <row r="3796" customFormat="1" x14ac:dyDescent="0.3"/>
    <row r="3797" customFormat="1" x14ac:dyDescent="0.3"/>
    <row r="3798" customFormat="1" x14ac:dyDescent="0.3"/>
    <row r="3799" customFormat="1" x14ac:dyDescent="0.3"/>
    <row r="3800" customFormat="1" x14ac:dyDescent="0.3"/>
    <row r="3801" customFormat="1" x14ac:dyDescent="0.3"/>
    <row r="3802" customFormat="1" x14ac:dyDescent="0.3"/>
    <row r="3803" customFormat="1" x14ac:dyDescent="0.3"/>
    <row r="3804" customFormat="1" x14ac:dyDescent="0.3"/>
    <row r="3805" customFormat="1" x14ac:dyDescent="0.3"/>
    <row r="3806" customFormat="1" x14ac:dyDescent="0.3"/>
    <row r="3807" customFormat="1" x14ac:dyDescent="0.3"/>
    <row r="3808" customFormat="1" x14ac:dyDescent="0.3"/>
    <row r="3809" customFormat="1" x14ac:dyDescent="0.3"/>
    <row r="3810" customFormat="1" x14ac:dyDescent="0.3"/>
    <row r="3811" customFormat="1" x14ac:dyDescent="0.3"/>
    <row r="3812" customFormat="1" x14ac:dyDescent="0.3"/>
    <row r="3813" customFormat="1" x14ac:dyDescent="0.3"/>
    <row r="3814" customFormat="1" x14ac:dyDescent="0.3"/>
    <row r="3815" customFormat="1" x14ac:dyDescent="0.3"/>
    <row r="3816" customFormat="1" x14ac:dyDescent="0.3"/>
    <row r="3817" customFormat="1" x14ac:dyDescent="0.3"/>
    <row r="3818" customFormat="1" x14ac:dyDescent="0.3"/>
    <row r="3819" customFormat="1" x14ac:dyDescent="0.3"/>
    <row r="3820" customFormat="1" x14ac:dyDescent="0.3"/>
    <row r="3821" customFormat="1" x14ac:dyDescent="0.3"/>
    <row r="3822" customFormat="1" x14ac:dyDescent="0.3"/>
    <row r="3823" customFormat="1" x14ac:dyDescent="0.3"/>
    <row r="3824" customFormat="1" x14ac:dyDescent="0.3"/>
    <row r="3825" customFormat="1" x14ac:dyDescent="0.3"/>
    <row r="3826" customFormat="1" x14ac:dyDescent="0.3"/>
    <row r="3827" customFormat="1" x14ac:dyDescent="0.3"/>
    <row r="3828" customFormat="1" x14ac:dyDescent="0.3"/>
    <row r="3829" customFormat="1" x14ac:dyDescent="0.3"/>
    <row r="3830" customFormat="1" x14ac:dyDescent="0.3"/>
    <row r="3831" customFormat="1" x14ac:dyDescent="0.3"/>
    <row r="3832" customFormat="1" x14ac:dyDescent="0.3"/>
    <row r="3833" customFormat="1" x14ac:dyDescent="0.3"/>
    <row r="3834" customFormat="1" x14ac:dyDescent="0.3"/>
    <row r="3835" customFormat="1" x14ac:dyDescent="0.3"/>
    <row r="3836" customFormat="1" x14ac:dyDescent="0.3"/>
    <row r="3837" customFormat="1" x14ac:dyDescent="0.3"/>
    <row r="3838" customFormat="1" x14ac:dyDescent="0.3"/>
    <row r="3839" customFormat="1" x14ac:dyDescent="0.3"/>
    <row r="3840" customFormat="1" x14ac:dyDescent="0.3"/>
    <row r="3841" customFormat="1" x14ac:dyDescent="0.3"/>
    <row r="3842" customFormat="1" x14ac:dyDescent="0.3"/>
    <row r="3843" customFormat="1" x14ac:dyDescent="0.3"/>
    <row r="3844" customFormat="1" x14ac:dyDescent="0.3"/>
    <row r="3845" customFormat="1" x14ac:dyDescent="0.3"/>
    <row r="3846" customFormat="1" x14ac:dyDescent="0.3"/>
    <row r="3847" customFormat="1" x14ac:dyDescent="0.3"/>
    <row r="3848" customFormat="1" x14ac:dyDescent="0.3"/>
    <row r="3849" customFormat="1" x14ac:dyDescent="0.3"/>
    <row r="3850" customFormat="1" x14ac:dyDescent="0.3"/>
    <row r="3851" customFormat="1" x14ac:dyDescent="0.3"/>
    <row r="3852" customFormat="1" x14ac:dyDescent="0.3"/>
    <row r="3853" customFormat="1" x14ac:dyDescent="0.3"/>
    <row r="3854" customFormat="1" x14ac:dyDescent="0.3"/>
    <row r="3855" customFormat="1" x14ac:dyDescent="0.3"/>
    <row r="3856" customFormat="1" x14ac:dyDescent="0.3"/>
    <row r="3857" customFormat="1" x14ac:dyDescent="0.3"/>
    <row r="3858" customFormat="1" x14ac:dyDescent="0.3"/>
    <row r="3859" customFormat="1" x14ac:dyDescent="0.3"/>
    <row r="3860" customFormat="1" x14ac:dyDescent="0.3"/>
    <row r="3861" customFormat="1" x14ac:dyDescent="0.3"/>
    <row r="3862" customFormat="1" x14ac:dyDescent="0.3"/>
    <row r="3863" customFormat="1" x14ac:dyDescent="0.3"/>
    <row r="3864" customFormat="1" x14ac:dyDescent="0.3"/>
    <row r="3865" customFormat="1" x14ac:dyDescent="0.3"/>
    <row r="3866" customFormat="1" x14ac:dyDescent="0.3"/>
    <row r="3867" customFormat="1" x14ac:dyDescent="0.3"/>
    <row r="3868" customFormat="1" x14ac:dyDescent="0.3"/>
    <row r="3869" customFormat="1" x14ac:dyDescent="0.3"/>
    <row r="3870" customFormat="1" x14ac:dyDescent="0.3"/>
    <row r="3871" customFormat="1" x14ac:dyDescent="0.3"/>
    <row r="3872" customFormat="1" x14ac:dyDescent="0.3"/>
    <row r="3873" customFormat="1" x14ac:dyDescent="0.3"/>
    <row r="3874" customFormat="1" x14ac:dyDescent="0.3"/>
    <row r="3875" customFormat="1" x14ac:dyDescent="0.3"/>
    <row r="3876" customFormat="1" x14ac:dyDescent="0.3"/>
    <row r="3877" customFormat="1" x14ac:dyDescent="0.3"/>
    <row r="3878" customFormat="1" x14ac:dyDescent="0.3"/>
    <row r="3879" customFormat="1" x14ac:dyDescent="0.3"/>
    <row r="3880" customFormat="1" x14ac:dyDescent="0.3"/>
    <row r="3881" customFormat="1" x14ac:dyDescent="0.3"/>
    <row r="3882" customFormat="1" x14ac:dyDescent="0.3"/>
    <row r="3883" customFormat="1" x14ac:dyDescent="0.3"/>
    <row r="3884" customFormat="1" x14ac:dyDescent="0.3"/>
    <row r="3885" customFormat="1" x14ac:dyDescent="0.3"/>
    <row r="3886" customFormat="1" x14ac:dyDescent="0.3"/>
    <row r="3887" customFormat="1" x14ac:dyDescent="0.3"/>
    <row r="3888" customFormat="1" x14ac:dyDescent="0.3"/>
    <row r="3889" customFormat="1" x14ac:dyDescent="0.3"/>
    <row r="3890" customFormat="1" x14ac:dyDescent="0.3"/>
    <row r="3891" customFormat="1" x14ac:dyDescent="0.3"/>
    <row r="3892" customFormat="1" x14ac:dyDescent="0.3"/>
    <row r="3893" customFormat="1" x14ac:dyDescent="0.3"/>
    <row r="3894" customFormat="1" x14ac:dyDescent="0.3"/>
    <row r="3895" customFormat="1" x14ac:dyDescent="0.3"/>
    <row r="3896" customFormat="1" x14ac:dyDescent="0.3"/>
    <row r="3897" customFormat="1" x14ac:dyDescent="0.3"/>
    <row r="3898" customFormat="1" x14ac:dyDescent="0.3"/>
    <row r="3899" customFormat="1" x14ac:dyDescent="0.3"/>
    <row r="3900" customFormat="1" x14ac:dyDescent="0.3"/>
    <row r="3901" customFormat="1" x14ac:dyDescent="0.3"/>
    <row r="3902" customFormat="1" x14ac:dyDescent="0.3"/>
    <row r="3903" customFormat="1" x14ac:dyDescent="0.3"/>
    <row r="3904" customFormat="1" x14ac:dyDescent="0.3"/>
    <row r="3905" customFormat="1" x14ac:dyDescent="0.3"/>
    <row r="3906" customFormat="1" x14ac:dyDescent="0.3"/>
    <row r="3907" customFormat="1" x14ac:dyDescent="0.3"/>
    <row r="3908" customFormat="1" x14ac:dyDescent="0.3"/>
    <row r="3909" customFormat="1" x14ac:dyDescent="0.3"/>
    <row r="3910" customFormat="1" x14ac:dyDescent="0.3"/>
    <row r="3911" customFormat="1" x14ac:dyDescent="0.3"/>
    <row r="3912" customFormat="1" x14ac:dyDescent="0.3"/>
    <row r="3913" customFormat="1" x14ac:dyDescent="0.3"/>
    <row r="3914" customFormat="1" x14ac:dyDescent="0.3"/>
    <row r="3915" customFormat="1" x14ac:dyDescent="0.3"/>
    <row r="3916" customFormat="1" x14ac:dyDescent="0.3"/>
    <row r="3917" customFormat="1" x14ac:dyDescent="0.3"/>
    <row r="3918" customFormat="1" x14ac:dyDescent="0.3"/>
    <row r="3919" customFormat="1" x14ac:dyDescent="0.3"/>
    <row r="3920" customFormat="1" x14ac:dyDescent="0.3"/>
    <row r="3921" customFormat="1" x14ac:dyDescent="0.3"/>
    <row r="3922" customFormat="1" x14ac:dyDescent="0.3"/>
    <row r="3923" customFormat="1" x14ac:dyDescent="0.3"/>
    <row r="3924" customFormat="1" x14ac:dyDescent="0.3"/>
    <row r="3925" customFormat="1" x14ac:dyDescent="0.3"/>
    <row r="3926" customFormat="1" x14ac:dyDescent="0.3"/>
    <row r="3927" customFormat="1" x14ac:dyDescent="0.3"/>
    <row r="3928" customFormat="1" x14ac:dyDescent="0.3"/>
    <row r="3929" customFormat="1" x14ac:dyDescent="0.3"/>
    <row r="3930" customFormat="1" x14ac:dyDescent="0.3"/>
    <row r="3931" customFormat="1" x14ac:dyDescent="0.3"/>
    <row r="3932" customFormat="1" x14ac:dyDescent="0.3"/>
    <row r="3933" customFormat="1" x14ac:dyDescent="0.3"/>
    <row r="3934" customFormat="1" x14ac:dyDescent="0.3"/>
    <row r="3935" customFormat="1" x14ac:dyDescent="0.3"/>
    <row r="3936" customFormat="1" x14ac:dyDescent="0.3"/>
    <row r="3937" customFormat="1" x14ac:dyDescent="0.3"/>
    <row r="3938" customFormat="1" x14ac:dyDescent="0.3"/>
    <row r="3939" customFormat="1" x14ac:dyDescent="0.3"/>
    <row r="3940" customFormat="1" x14ac:dyDescent="0.3"/>
    <row r="3941" customFormat="1" x14ac:dyDescent="0.3"/>
    <row r="3942" customFormat="1" x14ac:dyDescent="0.3"/>
    <row r="3943" customFormat="1" x14ac:dyDescent="0.3"/>
    <row r="3944" customFormat="1" x14ac:dyDescent="0.3"/>
    <row r="3945" customFormat="1" x14ac:dyDescent="0.3"/>
    <row r="3946" customFormat="1" x14ac:dyDescent="0.3"/>
    <row r="3947" customFormat="1" x14ac:dyDescent="0.3"/>
    <row r="3948" customFormat="1" x14ac:dyDescent="0.3"/>
    <row r="3949" customFormat="1" x14ac:dyDescent="0.3"/>
    <row r="3950" customFormat="1" x14ac:dyDescent="0.3"/>
    <row r="3951" customFormat="1" x14ac:dyDescent="0.3"/>
    <row r="3952" customFormat="1" x14ac:dyDescent="0.3"/>
    <row r="3953" customFormat="1" x14ac:dyDescent="0.3"/>
    <row r="3954" customFormat="1" x14ac:dyDescent="0.3"/>
    <row r="3955" customFormat="1" x14ac:dyDescent="0.3"/>
    <row r="3956" customFormat="1" x14ac:dyDescent="0.3"/>
    <row r="3957" customFormat="1" x14ac:dyDescent="0.3"/>
    <row r="3958" customFormat="1" x14ac:dyDescent="0.3"/>
    <row r="3959" customFormat="1" x14ac:dyDescent="0.3"/>
    <row r="3960" customFormat="1" x14ac:dyDescent="0.3"/>
    <row r="3961" customFormat="1" x14ac:dyDescent="0.3"/>
    <row r="3962" customFormat="1" x14ac:dyDescent="0.3"/>
    <row r="3963" customFormat="1" x14ac:dyDescent="0.3"/>
    <row r="3964" customFormat="1" x14ac:dyDescent="0.3"/>
    <row r="3965" customFormat="1" x14ac:dyDescent="0.3"/>
    <row r="3966" customFormat="1" x14ac:dyDescent="0.3"/>
    <row r="3967" customFormat="1" x14ac:dyDescent="0.3"/>
    <row r="3968" customFormat="1" x14ac:dyDescent="0.3"/>
    <row r="3969" customFormat="1" x14ac:dyDescent="0.3"/>
    <row r="3970" customFormat="1" x14ac:dyDescent="0.3"/>
    <row r="3971" customFormat="1" x14ac:dyDescent="0.3"/>
    <row r="3972" customFormat="1" x14ac:dyDescent="0.3"/>
    <row r="3973" customFormat="1" x14ac:dyDescent="0.3"/>
    <row r="3974" customFormat="1" x14ac:dyDescent="0.3"/>
    <row r="3975" customFormat="1" x14ac:dyDescent="0.3"/>
    <row r="3976" customFormat="1" x14ac:dyDescent="0.3"/>
    <row r="3977" customFormat="1" x14ac:dyDescent="0.3"/>
    <row r="3978" customFormat="1" x14ac:dyDescent="0.3"/>
    <row r="3979" customFormat="1" x14ac:dyDescent="0.3"/>
    <row r="3980" customFormat="1" x14ac:dyDescent="0.3"/>
    <row r="3981" customFormat="1" x14ac:dyDescent="0.3"/>
    <row r="3982" customFormat="1" x14ac:dyDescent="0.3"/>
    <row r="3983" customFormat="1" x14ac:dyDescent="0.3"/>
    <row r="3984" customFormat="1" x14ac:dyDescent="0.3"/>
    <row r="3985" customFormat="1" x14ac:dyDescent="0.3"/>
    <row r="3986" customFormat="1" x14ac:dyDescent="0.3"/>
    <row r="3987" customFormat="1" x14ac:dyDescent="0.3"/>
    <row r="3988" customFormat="1" x14ac:dyDescent="0.3"/>
    <row r="3989" customFormat="1" x14ac:dyDescent="0.3"/>
    <row r="3990" customFormat="1" x14ac:dyDescent="0.3"/>
    <row r="3991" customFormat="1" x14ac:dyDescent="0.3"/>
    <row r="3992" customFormat="1" x14ac:dyDescent="0.3"/>
    <row r="3993" customFormat="1" x14ac:dyDescent="0.3"/>
    <row r="3994" customFormat="1" x14ac:dyDescent="0.3"/>
    <row r="3995" customFormat="1" x14ac:dyDescent="0.3"/>
    <row r="3996" customFormat="1" x14ac:dyDescent="0.3"/>
    <row r="3997" customFormat="1" x14ac:dyDescent="0.3"/>
    <row r="3998" customFormat="1" x14ac:dyDescent="0.3"/>
    <row r="3999" customFormat="1" x14ac:dyDescent="0.3"/>
    <row r="4000" customFormat="1" x14ac:dyDescent="0.3"/>
    <row r="4001" customFormat="1" x14ac:dyDescent="0.3"/>
    <row r="4002" customFormat="1" x14ac:dyDescent="0.3"/>
    <row r="4003" customFormat="1" x14ac:dyDescent="0.3"/>
    <row r="4004" customFormat="1" x14ac:dyDescent="0.3"/>
    <row r="4005" customFormat="1" x14ac:dyDescent="0.3"/>
    <row r="4006" customFormat="1" x14ac:dyDescent="0.3"/>
    <row r="4007" customFormat="1" x14ac:dyDescent="0.3"/>
    <row r="4008" customFormat="1" x14ac:dyDescent="0.3"/>
    <row r="4009" customFormat="1" x14ac:dyDescent="0.3"/>
    <row r="4010" customFormat="1" x14ac:dyDescent="0.3"/>
    <row r="4011" customFormat="1" x14ac:dyDescent="0.3"/>
    <row r="4012" customFormat="1" x14ac:dyDescent="0.3"/>
    <row r="4013" customFormat="1" x14ac:dyDescent="0.3"/>
    <row r="4014" customFormat="1" x14ac:dyDescent="0.3"/>
    <row r="4015" customFormat="1" x14ac:dyDescent="0.3"/>
    <row r="4016" customFormat="1" x14ac:dyDescent="0.3"/>
    <row r="4017" customFormat="1" x14ac:dyDescent="0.3"/>
    <row r="4018" customFormat="1" x14ac:dyDescent="0.3"/>
    <row r="4019" customFormat="1" x14ac:dyDescent="0.3"/>
    <row r="4020" customFormat="1" x14ac:dyDescent="0.3"/>
    <row r="4021" customFormat="1" x14ac:dyDescent="0.3"/>
    <row r="4022" customFormat="1" x14ac:dyDescent="0.3"/>
    <row r="4023" customFormat="1" x14ac:dyDescent="0.3"/>
    <row r="4024" customFormat="1" x14ac:dyDescent="0.3"/>
    <row r="4025" customFormat="1" x14ac:dyDescent="0.3"/>
    <row r="4026" customFormat="1" x14ac:dyDescent="0.3"/>
    <row r="4027" customFormat="1" x14ac:dyDescent="0.3"/>
    <row r="4028" customFormat="1" x14ac:dyDescent="0.3"/>
    <row r="4029" customFormat="1" x14ac:dyDescent="0.3"/>
    <row r="4030" customFormat="1" x14ac:dyDescent="0.3"/>
    <row r="4031" customFormat="1" x14ac:dyDescent="0.3"/>
    <row r="4032" customFormat="1" x14ac:dyDescent="0.3"/>
    <row r="4033" customFormat="1" x14ac:dyDescent="0.3"/>
    <row r="4034" customFormat="1" x14ac:dyDescent="0.3"/>
    <row r="4035" customFormat="1" x14ac:dyDescent="0.3"/>
    <row r="4036" customFormat="1" x14ac:dyDescent="0.3"/>
    <row r="4037" customFormat="1" x14ac:dyDescent="0.3"/>
    <row r="4038" customFormat="1" x14ac:dyDescent="0.3"/>
    <row r="4039" customFormat="1" x14ac:dyDescent="0.3"/>
    <row r="4040" customFormat="1" x14ac:dyDescent="0.3"/>
    <row r="4041" customFormat="1" x14ac:dyDescent="0.3"/>
    <row r="4042" customFormat="1" x14ac:dyDescent="0.3"/>
    <row r="4043" customFormat="1" x14ac:dyDescent="0.3"/>
    <row r="4044" customFormat="1" x14ac:dyDescent="0.3"/>
    <row r="4045" customFormat="1" x14ac:dyDescent="0.3"/>
    <row r="4046" customFormat="1" x14ac:dyDescent="0.3"/>
    <row r="4047" customFormat="1" x14ac:dyDescent="0.3"/>
    <row r="4048" customFormat="1" x14ac:dyDescent="0.3"/>
    <row r="4049" customFormat="1" x14ac:dyDescent="0.3"/>
    <row r="4050" customFormat="1" x14ac:dyDescent="0.3"/>
    <row r="4051" customFormat="1" x14ac:dyDescent="0.3"/>
    <row r="4052" customFormat="1" x14ac:dyDescent="0.3"/>
    <row r="4053" customFormat="1" x14ac:dyDescent="0.3"/>
    <row r="4054" customFormat="1" x14ac:dyDescent="0.3"/>
    <row r="4055" customFormat="1" x14ac:dyDescent="0.3"/>
    <row r="4056" customFormat="1" x14ac:dyDescent="0.3"/>
    <row r="4057" customFormat="1" x14ac:dyDescent="0.3"/>
    <row r="4058" customFormat="1" x14ac:dyDescent="0.3"/>
    <row r="4059" customFormat="1" x14ac:dyDescent="0.3"/>
    <row r="4060" customFormat="1" x14ac:dyDescent="0.3"/>
    <row r="4061" customFormat="1" x14ac:dyDescent="0.3"/>
    <row r="4062" customFormat="1" x14ac:dyDescent="0.3"/>
    <row r="4063" customFormat="1" x14ac:dyDescent="0.3"/>
    <row r="4064" customFormat="1" x14ac:dyDescent="0.3"/>
    <row r="4065" customFormat="1" x14ac:dyDescent="0.3"/>
    <row r="4066" customFormat="1" x14ac:dyDescent="0.3"/>
    <row r="4067" customFormat="1" x14ac:dyDescent="0.3"/>
    <row r="4068" customFormat="1" x14ac:dyDescent="0.3"/>
    <row r="4069" customFormat="1" x14ac:dyDescent="0.3"/>
    <row r="4070" customFormat="1" x14ac:dyDescent="0.3"/>
    <row r="4071" customFormat="1" x14ac:dyDescent="0.3"/>
    <row r="4072" customFormat="1" x14ac:dyDescent="0.3"/>
    <row r="4073" customFormat="1" x14ac:dyDescent="0.3"/>
    <row r="4074" customFormat="1" x14ac:dyDescent="0.3"/>
    <row r="4075" customFormat="1" x14ac:dyDescent="0.3"/>
    <row r="4076" customFormat="1" x14ac:dyDescent="0.3"/>
    <row r="4077" customFormat="1" x14ac:dyDescent="0.3"/>
    <row r="4078" customFormat="1" x14ac:dyDescent="0.3"/>
    <row r="4079" customFormat="1" x14ac:dyDescent="0.3"/>
    <row r="4080" customFormat="1" x14ac:dyDescent="0.3"/>
    <row r="4081" customFormat="1" x14ac:dyDescent="0.3"/>
    <row r="4082" customFormat="1" x14ac:dyDescent="0.3"/>
    <row r="4083" customFormat="1" x14ac:dyDescent="0.3"/>
    <row r="4084" customFormat="1" x14ac:dyDescent="0.3"/>
    <row r="4085" customFormat="1" x14ac:dyDescent="0.3"/>
    <row r="4086" customFormat="1" x14ac:dyDescent="0.3"/>
    <row r="4087" customFormat="1" x14ac:dyDescent="0.3"/>
    <row r="4088" customFormat="1" x14ac:dyDescent="0.3"/>
    <row r="4089" customFormat="1" x14ac:dyDescent="0.3"/>
    <row r="4090" customFormat="1" x14ac:dyDescent="0.3"/>
    <row r="4091" customFormat="1" x14ac:dyDescent="0.3"/>
    <row r="4092" customFormat="1" x14ac:dyDescent="0.3"/>
    <row r="4093" customFormat="1" x14ac:dyDescent="0.3"/>
    <row r="4094" customFormat="1" x14ac:dyDescent="0.3"/>
    <row r="4095" customFormat="1" x14ac:dyDescent="0.3"/>
    <row r="4096" customFormat="1" x14ac:dyDescent="0.3"/>
    <row r="4097" customFormat="1" x14ac:dyDescent="0.3"/>
    <row r="4098" customFormat="1" x14ac:dyDescent="0.3"/>
    <row r="4099" customFormat="1" x14ac:dyDescent="0.3"/>
    <row r="4100" customFormat="1" x14ac:dyDescent="0.3"/>
    <row r="4101" customFormat="1" x14ac:dyDescent="0.3"/>
    <row r="4102" customFormat="1" x14ac:dyDescent="0.3"/>
    <row r="4103" customFormat="1" x14ac:dyDescent="0.3"/>
    <row r="4104" customFormat="1" x14ac:dyDescent="0.3"/>
    <row r="4105" customFormat="1" x14ac:dyDescent="0.3"/>
    <row r="4106" customFormat="1" x14ac:dyDescent="0.3"/>
    <row r="4107" customFormat="1" x14ac:dyDescent="0.3"/>
    <row r="4108" customFormat="1" x14ac:dyDescent="0.3"/>
    <row r="4109" customFormat="1" x14ac:dyDescent="0.3"/>
    <row r="4110" customFormat="1" x14ac:dyDescent="0.3"/>
    <row r="4111" customFormat="1" x14ac:dyDescent="0.3"/>
    <row r="4112" customFormat="1" x14ac:dyDescent="0.3"/>
    <row r="4113" customFormat="1" x14ac:dyDescent="0.3"/>
    <row r="4114" customFormat="1" x14ac:dyDescent="0.3"/>
    <row r="4115" customFormat="1" x14ac:dyDescent="0.3"/>
    <row r="4116" customFormat="1" x14ac:dyDescent="0.3"/>
    <row r="4117" customFormat="1" x14ac:dyDescent="0.3"/>
    <row r="4118" customFormat="1" x14ac:dyDescent="0.3"/>
    <row r="4119" customFormat="1" x14ac:dyDescent="0.3"/>
    <row r="4120" customFormat="1" x14ac:dyDescent="0.3"/>
    <row r="4121" customFormat="1" x14ac:dyDescent="0.3"/>
    <row r="4122" customFormat="1" x14ac:dyDescent="0.3"/>
    <row r="4123" customFormat="1" x14ac:dyDescent="0.3"/>
    <row r="4124" customFormat="1" x14ac:dyDescent="0.3"/>
    <row r="4125" customFormat="1" x14ac:dyDescent="0.3"/>
    <row r="4126" customFormat="1" x14ac:dyDescent="0.3"/>
    <row r="4127" customFormat="1" x14ac:dyDescent="0.3"/>
    <row r="4128" customFormat="1" x14ac:dyDescent="0.3"/>
    <row r="4129" customFormat="1" x14ac:dyDescent="0.3"/>
    <row r="4130" customFormat="1" x14ac:dyDescent="0.3"/>
    <row r="4131" customFormat="1" x14ac:dyDescent="0.3"/>
    <row r="4132" customFormat="1" x14ac:dyDescent="0.3"/>
    <row r="4133" customFormat="1" x14ac:dyDescent="0.3"/>
    <row r="4134" customFormat="1" x14ac:dyDescent="0.3"/>
    <row r="4135" customFormat="1" x14ac:dyDescent="0.3"/>
    <row r="4136" customFormat="1" x14ac:dyDescent="0.3"/>
    <row r="4137" customFormat="1" x14ac:dyDescent="0.3"/>
    <row r="4138" customFormat="1" x14ac:dyDescent="0.3"/>
    <row r="4139" customFormat="1" x14ac:dyDescent="0.3"/>
    <row r="4140" customFormat="1" x14ac:dyDescent="0.3"/>
    <row r="4141" customFormat="1" x14ac:dyDescent="0.3"/>
    <row r="4142" customFormat="1" x14ac:dyDescent="0.3"/>
    <row r="4143" customFormat="1" x14ac:dyDescent="0.3"/>
    <row r="4144" customFormat="1" x14ac:dyDescent="0.3"/>
    <row r="4145" customFormat="1" x14ac:dyDescent="0.3"/>
    <row r="4146" customFormat="1" x14ac:dyDescent="0.3"/>
    <row r="4147" customFormat="1" x14ac:dyDescent="0.3"/>
    <row r="4148" customFormat="1" x14ac:dyDescent="0.3"/>
    <row r="4149" customFormat="1" x14ac:dyDescent="0.3"/>
    <row r="4150" customFormat="1" x14ac:dyDescent="0.3"/>
    <row r="4151" customFormat="1" x14ac:dyDescent="0.3"/>
    <row r="4152" customFormat="1" x14ac:dyDescent="0.3"/>
    <row r="4153" customFormat="1" x14ac:dyDescent="0.3"/>
    <row r="4154" customFormat="1" x14ac:dyDescent="0.3"/>
    <row r="4155" customFormat="1" x14ac:dyDescent="0.3"/>
    <row r="4156" customFormat="1" x14ac:dyDescent="0.3"/>
    <row r="4157" customFormat="1" x14ac:dyDescent="0.3"/>
    <row r="4158" customFormat="1" x14ac:dyDescent="0.3"/>
    <row r="4159" customFormat="1" x14ac:dyDescent="0.3"/>
    <row r="4160" customFormat="1" x14ac:dyDescent="0.3"/>
    <row r="4161" customFormat="1" x14ac:dyDescent="0.3"/>
    <row r="4162" customFormat="1" x14ac:dyDescent="0.3"/>
    <row r="4163" customFormat="1" x14ac:dyDescent="0.3"/>
    <row r="4164" customFormat="1" x14ac:dyDescent="0.3"/>
    <row r="4165" customFormat="1" x14ac:dyDescent="0.3"/>
    <row r="4166" customFormat="1" x14ac:dyDescent="0.3"/>
    <row r="4167" customFormat="1" x14ac:dyDescent="0.3"/>
    <row r="4168" customFormat="1" x14ac:dyDescent="0.3"/>
    <row r="4169" customFormat="1" x14ac:dyDescent="0.3"/>
    <row r="4170" customFormat="1" x14ac:dyDescent="0.3"/>
    <row r="4171" customFormat="1" x14ac:dyDescent="0.3"/>
    <row r="4172" customFormat="1" x14ac:dyDescent="0.3"/>
    <row r="4173" customFormat="1" x14ac:dyDescent="0.3"/>
    <row r="4174" customFormat="1" x14ac:dyDescent="0.3"/>
    <row r="4175" customFormat="1" x14ac:dyDescent="0.3"/>
    <row r="4176" customFormat="1" x14ac:dyDescent="0.3"/>
    <row r="4177" customFormat="1" x14ac:dyDescent="0.3"/>
    <row r="4178" customFormat="1" x14ac:dyDescent="0.3"/>
    <row r="4179" customFormat="1" x14ac:dyDescent="0.3"/>
    <row r="4180" customFormat="1" x14ac:dyDescent="0.3"/>
    <row r="4181" customFormat="1" x14ac:dyDescent="0.3"/>
    <row r="4182" customFormat="1" x14ac:dyDescent="0.3"/>
    <row r="4183" customFormat="1" x14ac:dyDescent="0.3"/>
    <row r="4184" customFormat="1" x14ac:dyDescent="0.3"/>
    <row r="4185" customFormat="1" x14ac:dyDescent="0.3"/>
    <row r="4186" customFormat="1" x14ac:dyDescent="0.3"/>
    <row r="4187" customFormat="1" x14ac:dyDescent="0.3"/>
    <row r="4188" customFormat="1" x14ac:dyDescent="0.3"/>
    <row r="4189" customFormat="1" x14ac:dyDescent="0.3"/>
    <row r="4190" customFormat="1" x14ac:dyDescent="0.3"/>
    <row r="4191" customFormat="1" x14ac:dyDescent="0.3"/>
    <row r="4192" customFormat="1" x14ac:dyDescent="0.3"/>
    <row r="4193" customFormat="1" x14ac:dyDescent="0.3"/>
    <row r="4194" customFormat="1" x14ac:dyDescent="0.3"/>
    <row r="4195" customFormat="1" x14ac:dyDescent="0.3"/>
    <row r="4196" customFormat="1" x14ac:dyDescent="0.3"/>
    <row r="4197" customFormat="1" x14ac:dyDescent="0.3"/>
    <row r="4198" customFormat="1" x14ac:dyDescent="0.3"/>
    <row r="4199" customFormat="1" x14ac:dyDescent="0.3"/>
    <row r="4200" customFormat="1" x14ac:dyDescent="0.3"/>
    <row r="4201" customFormat="1" x14ac:dyDescent="0.3"/>
    <row r="4202" customFormat="1" x14ac:dyDescent="0.3"/>
    <row r="4203" customFormat="1" x14ac:dyDescent="0.3"/>
    <row r="4204" customFormat="1" x14ac:dyDescent="0.3"/>
    <row r="4205" customFormat="1" x14ac:dyDescent="0.3"/>
    <row r="4206" customFormat="1" x14ac:dyDescent="0.3"/>
    <row r="4207" customFormat="1" x14ac:dyDescent="0.3"/>
    <row r="4208" customFormat="1" x14ac:dyDescent="0.3"/>
    <row r="4209" customFormat="1" x14ac:dyDescent="0.3"/>
    <row r="4210" customFormat="1" x14ac:dyDescent="0.3"/>
    <row r="4211" customFormat="1" x14ac:dyDescent="0.3"/>
    <row r="4212" customFormat="1" x14ac:dyDescent="0.3"/>
    <row r="4213" customFormat="1" x14ac:dyDescent="0.3"/>
    <row r="4214" customFormat="1" x14ac:dyDescent="0.3"/>
    <row r="4215" customFormat="1" x14ac:dyDescent="0.3"/>
    <row r="4216" customFormat="1" x14ac:dyDescent="0.3"/>
    <row r="4217" customFormat="1" x14ac:dyDescent="0.3"/>
    <row r="4218" customFormat="1" x14ac:dyDescent="0.3"/>
    <row r="4219" customFormat="1" x14ac:dyDescent="0.3"/>
    <row r="4220" customFormat="1" x14ac:dyDescent="0.3"/>
    <row r="4221" customFormat="1" x14ac:dyDescent="0.3"/>
    <row r="4222" customFormat="1" x14ac:dyDescent="0.3"/>
    <row r="4223" customFormat="1" x14ac:dyDescent="0.3"/>
    <row r="4224" customFormat="1" x14ac:dyDescent="0.3"/>
    <row r="4225" customFormat="1" x14ac:dyDescent="0.3"/>
    <row r="4226" customFormat="1" x14ac:dyDescent="0.3"/>
    <row r="4227" customFormat="1" x14ac:dyDescent="0.3"/>
    <row r="4228" customFormat="1" x14ac:dyDescent="0.3"/>
    <row r="4229" customFormat="1" x14ac:dyDescent="0.3"/>
    <row r="4230" customFormat="1" x14ac:dyDescent="0.3"/>
    <row r="4231" customFormat="1" x14ac:dyDescent="0.3"/>
    <row r="4232" customFormat="1" x14ac:dyDescent="0.3"/>
    <row r="4233" customFormat="1" x14ac:dyDescent="0.3"/>
    <row r="4234" customFormat="1" x14ac:dyDescent="0.3"/>
    <row r="4235" customFormat="1" x14ac:dyDescent="0.3"/>
    <row r="4236" customFormat="1" x14ac:dyDescent="0.3"/>
    <row r="4237" customFormat="1" x14ac:dyDescent="0.3"/>
    <row r="4238" customFormat="1" x14ac:dyDescent="0.3"/>
    <row r="4239" customFormat="1" x14ac:dyDescent="0.3"/>
    <row r="4240" customFormat="1" x14ac:dyDescent="0.3"/>
    <row r="4241" customFormat="1" x14ac:dyDescent="0.3"/>
    <row r="4242" customFormat="1" x14ac:dyDescent="0.3"/>
    <row r="4243" customFormat="1" x14ac:dyDescent="0.3"/>
    <row r="4244" customFormat="1" x14ac:dyDescent="0.3"/>
    <row r="4245" customFormat="1" x14ac:dyDescent="0.3"/>
    <row r="4246" customFormat="1" x14ac:dyDescent="0.3"/>
    <row r="4247" customFormat="1" x14ac:dyDescent="0.3"/>
    <row r="4248" customFormat="1" x14ac:dyDescent="0.3"/>
    <row r="4249" customFormat="1" x14ac:dyDescent="0.3"/>
    <row r="4250" customFormat="1" x14ac:dyDescent="0.3"/>
    <row r="4251" customFormat="1" x14ac:dyDescent="0.3"/>
    <row r="4252" customFormat="1" x14ac:dyDescent="0.3"/>
    <row r="4253" customFormat="1" x14ac:dyDescent="0.3"/>
    <row r="4254" customFormat="1" x14ac:dyDescent="0.3"/>
    <row r="4255" customFormat="1" x14ac:dyDescent="0.3"/>
    <row r="4256" customFormat="1" x14ac:dyDescent="0.3"/>
    <row r="4257" customFormat="1" x14ac:dyDescent="0.3"/>
    <row r="4258" customFormat="1" x14ac:dyDescent="0.3"/>
    <row r="4259" customFormat="1" x14ac:dyDescent="0.3"/>
    <row r="4260" customFormat="1" x14ac:dyDescent="0.3"/>
    <row r="4261" customFormat="1" x14ac:dyDescent="0.3"/>
    <row r="4262" customFormat="1" x14ac:dyDescent="0.3"/>
    <row r="4263" customFormat="1" x14ac:dyDescent="0.3"/>
    <row r="4264" customFormat="1" x14ac:dyDescent="0.3"/>
    <row r="4265" customFormat="1" x14ac:dyDescent="0.3"/>
    <row r="4266" customFormat="1" x14ac:dyDescent="0.3"/>
    <row r="4267" customFormat="1" x14ac:dyDescent="0.3"/>
    <row r="4268" customFormat="1" x14ac:dyDescent="0.3"/>
    <row r="4269" customFormat="1" x14ac:dyDescent="0.3"/>
    <row r="4270" customFormat="1" x14ac:dyDescent="0.3"/>
    <row r="4271" customFormat="1" x14ac:dyDescent="0.3"/>
    <row r="4272" customFormat="1" x14ac:dyDescent="0.3"/>
    <row r="4273" customFormat="1" x14ac:dyDescent="0.3"/>
    <row r="4274" customFormat="1" x14ac:dyDescent="0.3"/>
    <row r="4275" customFormat="1" x14ac:dyDescent="0.3"/>
    <row r="4276" customFormat="1" x14ac:dyDescent="0.3"/>
    <row r="4277" customFormat="1" x14ac:dyDescent="0.3"/>
    <row r="4278" customFormat="1" x14ac:dyDescent="0.3"/>
    <row r="4279" customFormat="1" x14ac:dyDescent="0.3"/>
    <row r="4280" customFormat="1" x14ac:dyDescent="0.3"/>
    <row r="4281" customFormat="1" x14ac:dyDescent="0.3"/>
    <row r="4282" customFormat="1" x14ac:dyDescent="0.3"/>
    <row r="4283" customFormat="1" x14ac:dyDescent="0.3"/>
    <row r="4284" customFormat="1" x14ac:dyDescent="0.3"/>
    <row r="4285" customFormat="1" x14ac:dyDescent="0.3"/>
    <row r="4286" customFormat="1" x14ac:dyDescent="0.3"/>
    <row r="4287" customFormat="1" x14ac:dyDescent="0.3"/>
    <row r="4288" customFormat="1" x14ac:dyDescent="0.3"/>
    <row r="4289" customFormat="1" x14ac:dyDescent="0.3"/>
    <row r="4290" customFormat="1" x14ac:dyDescent="0.3"/>
    <row r="4291" customFormat="1" x14ac:dyDescent="0.3"/>
    <row r="4292" customFormat="1" x14ac:dyDescent="0.3"/>
    <row r="4293" customFormat="1" x14ac:dyDescent="0.3"/>
    <row r="4294" customFormat="1" x14ac:dyDescent="0.3"/>
    <row r="4295" customFormat="1" x14ac:dyDescent="0.3"/>
    <row r="4296" customFormat="1" x14ac:dyDescent="0.3"/>
    <row r="4297" customFormat="1" x14ac:dyDescent="0.3"/>
    <row r="4298" customFormat="1" x14ac:dyDescent="0.3"/>
    <row r="4299" customFormat="1" x14ac:dyDescent="0.3"/>
    <row r="4300" customFormat="1" x14ac:dyDescent="0.3"/>
    <row r="4301" customFormat="1" x14ac:dyDescent="0.3"/>
    <row r="4302" customFormat="1" x14ac:dyDescent="0.3"/>
    <row r="4303" customFormat="1" x14ac:dyDescent="0.3"/>
    <row r="4304" customFormat="1" x14ac:dyDescent="0.3"/>
    <row r="4305" customFormat="1" x14ac:dyDescent="0.3"/>
    <row r="4306" customFormat="1" x14ac:dyDescent="0.3"/>
    <row r="4307" customFormat="1" x14ac:dyDescent="0.3"/>
    <row r="4308" customFormat="1" x14ac:dyDescent="0.3"/>
    <row r="4309" customFormat="1" x14ac:dyDescent="0.3"/>
    <row r="4310" customFormat="1" x14ac:dyDescent="0.3"/>
    <row r="4311" customFormat="1" x14ac:dyDescent="0.3"/>
    <row r="4312" customFormat="1" x14ac:dyDescent="0.3"/>
    <row r="4313" customFormat="1" x14ac:dyDescent="0.3"/>
    <row r="4314" customFormat="1" x14ac:dyDescent="0.3"/>
    <row r="4315" customFormat="1" x14ac:dyDescent="0.3"/>
    <row r="4316" customFormat="1" x14ac:dyDescent="0.3"/>
    <row r="4317" customFormat="1" x14ac:dyDescent="0.3"/>
    <row r="4318" customFormat="1" x14ac:dyDescent="0.3"/>
    <row r="4319" customFormat="1" x14ac:dyDescent="0.3"/>
    <row r="4320" customFormat="1" x14ac:dyDescent="0.3"/>
    <row r="4321" customFormat="1" x14ac:dyDescent="0.3"/>
    <row r="4322" customFormat="1" x14ac:dyDescent="0.3"/>
    <row r="4323" customFormat="1" x14ac:dyDescent="0.3"/>
    <row r="4324" customFormat="1" x14ac:dyDescent="0.3"/>
    <row r="4325" customFormat="1" x14ac:dyDescent="0.3"/>
    <row r="4326" customFormat="1" x14ac:dyDescent="0.3"/>
    <row r="4327" customFormat="1" x14ac:dyDescent="0.3"/>
    <row r="4328" customFormat="1" x14ac:dyDescent="0.3"/>
    <row r="4329" customFormat="1" x14ac:dyDescent="0.3"/>
    <row r="4330" customFormat="1" x14ac:dyDescent="0.3"/>
    <row r="4331" customFormat="1" x14ac:dyDescent="0.3"/>
    <row r="4332" customFormat="1" x14ac:dyDescent="0.3"/>
    <row r="4333" customFormat="1" x14ac:dyDescent="0.3"/>
    <row r="4334" customFormat="1" x14ac:dyDescent="0.3"/>
    <row r="4335" customFormat="1" x14ac:dyDescent="0.3"/>
    <row r="4336" customFormat="1" x14ac:dyDescent="0.3"/>
    <row r="4337" customFormat="1" x14ac:dyDescent="0.3"/>
    <row r="4338" customFormat="1" x14ac:dyDescent="0.3"/>
    <row r="4339" customFormat="1" x14ac:dyDescent="0.3"/>
    <row r="4340" customFormat="1" x14ac:dyDescent="0.3"/>
    <row r="4341" customFormat="1" x14ac:dyDescent="0.3"/>
    <row r="4342" customFormat="1" x14ac:dyDescent="0.3"/>
    <row r="4343" customFormat="1" x14ac:dyDescent="0.3"/>
    <row r="4344" customFormat="1" x14ac:dyDescent="0.3"/>
    <row r="4345" customFormat="1" x14ac:dyDescent="0.3"/>
    <row r="4346" customFormat="1" x14ac:dyDescent="0.3"/>
    <row r="4347" customFormat="1" x14ac:dyDescent="0.3"/>
    <row r="4348" customFormat="1" x14ac:dyDescent="0.3"/>
    <row r="4349" customFormat="1" x14ac:dyDescent="0.3"/>
    <row r="4350" customFormat="1" x14ac:dyDescent="0.3"/>
    <row r="4351" customFormat="1" x14ac:dyDescent="0.3"/>
    <row r="4352" customFormat="1" x14ac:dyDescent="0.3"/>
    <row r="4353" customFormat="1" x14ac:dyDescent="0.3"/>
    <row r="4354" customFormat="1" x14ac:dyDescent="0.3"/>
    <row r="4355" customFormat="1" x14ac:dyDescent="0.3"/>
    <row r="4356" customFormat="1" x14ac:dyDescent="0.3"/>
    <row r="4357" customFormat="1" x14ac:dyDescent="0.3"/>
    <row r="4358" customFormat="1" x14ac:dyDescent="0.3"/>
    <row r="4359" customFormat="1" x14ac:dyDescent="0.3"/>
    <row r="4360" customFormat="1" x14ac:dyDescent="0.3"/>
    <row r="4361" customFormat="1" x14ac:dyDescent="0.3"/>
    <row r="4362" customFormat="1" x14ac:dyDescent="0.3"/>
    <row r="4363" customFormat="1" x14ac:dyDescent="0.3"/>
    <row r="4364" customFormat="1" x14ac:dyDescent="0.3"/>
    <row r="4365" customFormat="1" x14ac:dyDescent="0.3"/>
    <row r="4366" customFormat="1" x14ac:dyDescent="0.3"/>
    <row r="4367" customFormat="1" x14ac:dyDescent="0.3"/>
    <row r="4368" customFormat="1" x14ac:dyDescent="0.3"/>
    <row r="4369" customFormat="1" x14ac:dyDescent="0.3"/>
    <row r="4370" customFormat="1" x14ac:dyDescent="0.3"/>
    <row r="4371" customFormat="1" x14ac:dyDescent="0.3"/>
    <row r="4372" customFormat="1" x14ac:dyDescent="0.3"/>
    <row r="4373" customFormat="1" x14ac:dyDescent="0.3"/>
    <row r="4374" customFormat="1" x14ac:dyDescent="0.3"/>
    <row r="4375" customFormat="1" x14ac:dyDescent="0.3"/>
    <row r="4376" customFormat="1" x14ac:dyDescent="0.3"/>
    <row r="4377" customFormat="1" x14ac:dyDescent="0.3"/>
    <row r="4378" customFormat="1" x14ac:dyDescent="0.3"/>
    <row r="4379" customFormat="1" x14ac:dyDescent="0.3"/>
    <row r="4380" customFormat="1" x14ac:dyDescent="0.3"/>
    <row r="4381" customFormat="1" x14ac:dyDescent="0.3"/>
    <row r="4382" customFormat="1" x14ac:dyDescent="0.3"/>
    <row r="4383" customFormat="1" x14ac:dyDescent="0.3"/>
    <row r="4384" customFormat="1" x14ac:dyDescent="0.3"/>
    <row r="4385" customFormat="1" x14ac:dyDescent="0.3"/>
    <row r="4386" customFormat="1" x14ac:dyDescent="0.3"/>
    <row r="4387" customFormat="1" x14ac:dyDescent="0.3"/>
    <row r="4388" customFormat="1" x14ac:dyDescent="0.3"/>
    <row r="4389" customFormat="1" x14ac:dyDescent="0.3"/>
    <row r="4390" customFormat="1" x14ac:dyDescent="0.3"/>
    <row r="4391" customFormat="1" x14ac:dyDescent="0.3"/>
    <row r="4392" customFormat="1" x14ac:dyDescent="0.3"/>
    <row r="4393" customFormat="1" x14ac:dyDescent="0.3"/>
    <row r="4394" customFormat="1" x14ac:dyDescent="0.3"/>
    <row r="4395" customFormat="1" x14ac:dyDescent="0.3"/>
    <row r="4396" customFormat="1" x14ac:dyDescent="0.3"/>
    <row r="4397" customFormat="1" x14ac:dyDescent="0.3"/>
    <row r="4398" customFormat="1" x14ac:dyDescent="0.3"/>
    <row r="4399" customFormat="1" x14ac:dyDescent="0.3"/>
    <row r="4400" customFormat="1" x14ac:dyDescent="0.3"/>
    <row r="4401" customFormat="1" x14ac:dyDescent="0.3"/>
    <row r="4402" customFormat="1" x14ac:dyDescent="0.3"/>
    <row r="4403" customFormat="1" x14ac:dyDescent="0.3"/>
    <row r="4404" customFormat="1" x14ac:dyDescent="0.3"/>
    <row r="4405" customFormat="1" x14ac:dyDescent="0.3"/>
    <row r="4406" customFormat="1" x14ac:dyDescent="0.3"/>
    <row r="4407" customFormat="1" x14ac:dyDescent="0.3"/>
    <row r="4408" customFormat="1" x14ac:dyDescent="0.3"/>
    <row r="4409" customFormat="1" x14ac:dyDescent="0.3"/>
    <row r="4410" customFormat="1" x14ac:dyDescent="0.3"/>
    <row r="4411" customFormat="1" x14ac:dyDescent="0.3"/>
    <row r="4412" customFormat="1" x14ac:dyDescent="0.3"/>
    <row r="4413" customFormat="1" x14ac:dyDescent="0.3"/>
    <row r="4414" customFormat="1" x14ac:dyDescent="0.3"/>
    <row r="4415" customFormat="1" x14ac:dyDescent="0.3"/>
    <row r="4416" customFormat="1" x14ac:dyDescent="0.3"/>
    <row r="4417" customFormat="1" x14ac:dyDescent="0.3"/>
    <row r="4418" customFormat="1" x14ac:dyDescent="0.3"/>
    <row r="4419" customFormat="1" x14ac:dyDescent="0.3"/>
    <row r="4420" customFormat="1" x14ac:dyDescent="0.3"/>
    <row r="4421" customFormat="1" x14ac:dyDescent="0.3"/>
    <row r="4422" customFormat="1" x14ac:dyDescent="0.3"/>
    <row r="4423" customFormat="1" x14ac:dyDescent="0.3"/>
    <row r="4424" customFormat="1" x14ac:dyDescent="0.3"/>
    <row r="4425" customFormat="1" x14ac:dyDescent="0.3"/>
    <row r="4426" customFormat="1" x14ac:dyDescent="0.3"/>
    <row r="4427" customFormat="1" x14ac:dyDescent="0.3"/>
    <row r="4428" customFormat="1" x14ac:dyDescent="0.3"/>
    <row r="4429" customFormat="1" x14ac:dyDescent="0.3"/>
    <row r="4430" customFormat="1" x14ac:dyDescent="0.3"/>
    <row r="4431" customFormat="1" x14ac:dyDescent="0.3"/>
    <row r="4432" customFormat="1" x14ac:dyDescent="0.3"/>
    <row r="4433" customFormat="1" x14ac:dyDescent="0.3"/>
    <row r="4434" customFormat="1" x14ac:dyDescent="0.3"/>
    <row r="4435" customFormat="1" x14ac:dyDescent="0.3"/>
    <row r="4436" customFormat="1" x14ac:dyDescent="0.3"/>
    <row r="4437" customFormat="1" x14ac:dyDescent="0.3"/>
    <row r="4438" customFormat="1" x14ac:dyDescent="0.3"/>
    <row r="4439" customFormat="1" x14ac:dyDescent="0.3"/>
    <row r="4440" customFormat="1" x14ac:dyDescent="0.3"/>
    <row r="4441" customFormat="1" x14ac:dyDescent="0.3"/>
    <row r="4442" customFormat="1" x14ac:dyDescent="0.3"/>
    <row r="4443" customFormat="1" x14ac:dyDescent="0.3"/>
    <row r="4444" customFormat="1" x14ac:dyDescent="0.3"/>
    <row r="4445" customFormat="1" x14ac:dyDescent="0.3"/>
    <row r="4446" customFormat="1" x14ac:dyDescent="0.3"/>
    <row r="4447" customFormat="1" x14ac:dyDescent="0.3"/>
    <row r="4448" customFormat="1" x14ac:dyDescent="0.3"/>
    <row r="4449" customFormat="1" x14ac:dyDescent="0.3"/>
    <row r="4450" customFormat="1" x14ac:dyDescent="0.3"/>
    <row r="4451" customFormat="1" x14ac:dyDescent="0.3"/>
    <row r="4452" customFormat="1" x14ac:dyDescent="0.3"/>
    <row r="4453" customFormat="1" x14ac:dyDescent="0.3"/>
    <row r="4454" customFormat="1" x14ac:dyDescent="0.3"/>
    <row r="4455" customFormat="1" x14ac:dyDescent="0.3"/>
    <row r="4456" customFormat="1" x14ac:dyDescent="0.3"/>
    <row r="4457" customFormat="1" x14ac:dyDescent="0.3"/>
    <row r="4458" customFormat="1" x14ac:dyDescent="0.3"/>
    <row r="4459" customFormat="1" x14ac:dyDescent="0.3"/>
    <row r="4460" customFormat="1" x14ac:dyDescent="0.3"/>
    <row r="4461" customFormat="1" x14ac:dyDescent="0.3"/>
    <row r="4462" customFormat="1" x14ac:dyDescent="0.3"/>
    <row r="4463" customFormat="1" x14ac:dyDescent="0.3"/>
    <row r="4464" customFormat="1" x14ac:dyDescent="0.3"/>
    <row r="4465" customFormat="1" x14ac:dyDescent="0.3"/>
    <row r="4466" customFormat="1" x14ac:dyDescent="0.3"/>
    <row r="4467" customFormat="1" x14ac:dyDescent="0.3"/>
    <row r="4468" customFormat="1" x14ac:dyDescent="0.3"/>
    <row r="4469" customFormat="1" x14ac:dyDescent="0.3"/>
    <row r="4470" customFormat="1" x14ac:dyDescent="0.3"/>
    <row r="4471" customFormat="1" x14ac:dyDescent="0.3"/>
    <row r="4472" customFormat="1" x14ac:dyDescent="0.3"/>
    <row r="4473" customFormat="1" x14ac:dyDescent="0.3"/>
    <row r="4474" customFormat="1" x14ac:dyDescent="0.3"/>
    <row r="4475" customFormat="1" x14ac:dyDescent="0.3"/>
    <row r="4476" customFormat="1" x14ac:dyDescent="0.3"/>
    <row r="4477" customFormat="1" x14ac:dyDescent="0.3"/>
    <row r="4478" customFormat="1" x14ac:dyDescent="0.3"/>
    <row r="4479" customFormat="1" x14ac:dyDescent="0.3"/>
    <row r="4480" customFormat="1" x14ac:dyDescent="0.3"/>
    <row r="4481" customFormat="1" x14ac:dyDescent="0.3"/>
    <row r="4482" customFormat="1" x14ac:dyDescent="0.3"/>
    <row r="4483" customFormat="1" x14ac:dyDescent="0.3"/>
    <row r="4484" customFormat="1" x14ac:dyDescent="0.3"/>
    <row r="4485" customFormat="1" x14ac:dyDescent="0.3"/>
    <row r="4486" customFormat="1" x14ac:dyDescent="0.3"/>
    <row r="4487" customFormat="1" x14ac:dyDescent="0.3"/>
    <row r="4488" customFormat="1" x14ac:dyDescent="0.3"/>
    <row r="4489" customFormat="1" x14ac:dyDescent="0.3"/>
    <row r="4490" customFormat="1" x14ac:dyDescent="0.3"/>
    <row r="4491" customFormat="1" x14ac:dyDescent="0.3"/>
    <row r="4492" customFormat="1" x14ac:dyDescent="0.3"/>
    <row r="4493" customFormat="1" x14ac:dyDescent="0.3"/>
    <row r="4494" customFormat="1" x14ac:dyDescent="0.3"/>
    <row r="4495" customFormat="1" x14ac:dyDescent="0.3"/>
    <row r="4496" customFormat="1" x14ac:dyDescent="0.3"/>
    <row r="4497" customFormat="1" x14ac:dyDescent="0.3"/>
    <row r="4498" customFormat="1" x14ac:dyDescent="0.3"/>
    <row r="4499" customFormat="1" x14ac:dyDescent="0.3"/>
    <row r="4500" customFormat="1" x14ac:dyDescent="0.3"/>
    <row r="4501" customFormat="1" x14ac:dyDescent="0.3"/>
    <row r="4502" customFormat="1" x14ac:dyDescent="0.3"/>
    <row r="4503" customFormat="1" x14ac:dyDescent="0.3"/>
    <row r="4504" customFormat="1" x14ac:dyDescent="0.3"/>
    <row r="4505" customFormat="1" x14ac:dyDescent="0.3"/>
    <row r="4506" customFormat="1" x14ac:dyDescent="0.3"/>
    <row r="4507" customFormat="1" x14ac:dyDescent="0.3"/>
    <row r="4508" customFormat="1" x14ac:dyDescent="0.3"/>
    <row r="4509" customFormat="1" x14ac:dyDescent="0.3"/>
    <row r="4510" customFormat="1" x14ac:dyDescent="0.3"/>
    <row r="4511" customFormat="1" x14ac:dyDescent="0.3"/>
    <row r="4512" customFormat="1" x14ac:dyDescent="0.3"/>
    <row r="4513" customFormat="1" x14ac:dyDescent="0.3"/>
    <row r="4514" customFormat="1" x14ac:dyDescent="0.3"/>
    <row r="4515" customFormat="1" x14ac:dyDescent="0.3"/>
    <row r="4516" customFormat="1" x14ac:dyDescent="0.3"/>
    <row r="4517" customFormat="1" x14ac:dyDescent="0.3"/>
    <row r="4518" customFormat="1" x14ac:dyDescent="0.3"/>
    <row r="4519" customFormat="1" x14ac:dyDescent="0.3"/>
    <row r="4520" customFormat="1" x14ac:dyDescent="0.3"/>
    <row r="4521" customFormat="1" x14ac:dyDescent="0.3"/>
    <row r="4522" customFormat="1" x14ac:dyDescent="0.3"/>
    <row r="4523" customFormat="1" x14ac:dyDescent="0.3"/>
    <row r="4524" customFormat="1" x14ac:dyDescent="0.3"/>
    <row r="4525" customFormat="1" x14ac:dyDescent="0.3"/>
    <row r="4526" customFormat="1" x14ac:dyDescent="0.3"/>
    <row r="4527" customFormat="1" x14ac:dyDescent="0.3"/>
    <row r="4528" customFormat="1" x14ac:dyDescent="0.3"/>
    <row r="4529" customFormat="1" x14ac:dyDescent="0.3"/>
    <row r="4530" customFormat="1" x14ac:dyDescent="0.3"/>
    <row r="4531" customFormat="1" x14ac:dyDescent="0.3"/>
    <row r="4532" customFormat="1" x14ac:dyDescent="0.3"/>
    <row r="4533" customFormat="1" x14ac:dyDescent="0.3"/>
    <row r="4534" customFormat="1" x14ac:dyDescent="0.3"/>
    <row r="4535" customFormat="1" x14ac:dyDescent="0.3"/>
    <row r="4536" customFormat="1" x14ac:dyDescent="0.3"/>
    <row r="4537" customFormat="1" x14ac:dyDescent="0.3"/>
    <row r="4538" customFormat="1" x14ac:dyDescent="0.3"/>
    <row r="4539" customFormat="1" x14ac:dyDescent="0.3"/>
    <row r="4540" customFormat="1" x14ac:dyDescent="0.3"/>
    <row r="4541" customFormat="1" x14ac:dyDescent="0.3"/>
    <row r="4542" customFormat="1" x14ac:dyDescent="0.3"/>
    <row r="4543" customFormat="1" x14ac:dyDescent="0.3"/>
    <row r="4544" customFormat="1" x14ac:dyDescent="0.3"/>
    <row r="4545" customFormat="1" x14ac:dyDescent="0.3"/>
    <row r="4546" customFormat="1" x14ac:dyDescent="0.3"/>
    <row r="4547" customFormat="1" x14ac:dyDescent="0.3"/>
    <row r="4548" customFormat="1" x14ac:dyDescent="0.3"/>
    <row r="4549" customFormat="1" x14ac:dyDescent="0.3"/>
    <row r="4550" customFormat="1" x14ac:dyDescent="0.3"/>
    <row r="4551" customFormat="1" x14ac:dyDescent="0.3"/>
    <row r="4552" customFormat="1" x14ac:dyDescent="0.3"/>
    <row r="4553" customFormat="1" x14ac:dyDescent="0.3"/>
    <row r="4554" customFormat="1" x14ac:dyDescent="0.3"/>
    <row r="4555" customFormat="1" x14ac:dyDescent="0.3"/>
    <row r="4556" customFormat="1" x14ac:dyDescent="0.3"/>
    <row r="4557" customFormat="1" x14ac:dyDescent="0.3"/>
    <row r="4558" customFormat="1" x14ac:dyDescent="0.3"/>
    <row r="4559" customFormat="1" x14ac:dyDescent="0.3"/>
    <row r="4560" customFormat="1" x14ac:dyDescent="0.3"/>
    <row r="4561" customFormat="1" x14ac:dyDescent="0.3"/>
    <row r="4562" customFormat="1" x14ac:dyDescent="0.3"/>
    <row r="4563" customFormat="1" x14ac:dyDescent="0.3"/>
    <row r="4564" customFormat="1" x14ac:dyDescent="0.3"/>
    <row r="4565" customFormat="1" x14ac:dyDescent="0.3"/>
    <row r="4566" customFormat="1" x14ac:dyDescent="0.3"/>
    <row r="4567" customFormat="1" x14ac:dyDescent="0.3"/>
    <row r="4568" customFormat="1" x14ac:dyDescent="0.3"/>
    <row r="4569" customFormat="1" x14ac:dyDescent="0.3"/>
    <row r="4570" customFormat="1" x14ac:dyDescent="0.3"/>
    <row r="4571" customFormat="1" x14ac:dyDescent="0.3"/>
    <row r="4572" customFormat="1" x14ac:dyDescent="0.3"/>
    <row r="4573" customFormat="1" x14ac:dyDescent="0.3"/>
    <row r="4574" customFormat="1" x14ac:dyDescent="0.3"/>
    <row r="4575" customFormat="1" x14ac:dyDescent="0.3"/>
    <row r="4576" customFormat="1" x14ac:dyDescent="0.3"/>
    <row r="4577" customFormat="1" x14ac:dyDescent="0.3"/>
    <row r="4578" customFormat="1" x14ac:dyDescent="0.3"/>
    <row r="4579" customFormat="1" x14ac:dyDescent="0.3"/>
    <row r="4580" customFormat="1" x14ac:dyDescent="0.3"/>
    <row r="4581" customFormat="1" x14ac:dyDescent="0.3"/>
    <row r="4582" customFormat="1" x14ac:dyDescent="0.3"/>
    <row r="4583" customFormat="1" x14ac:dyDescent="0.3"/>
    <row r="4584" customFormat="1" x14ac:dyDescent="0.3"/>
    <row r="4585" customFormat="1" x14ac:dyDescent="0.3"/>
    <row r="4586" customFormat="1" x14ac:dyDescent="0.3"/>
    <row r="4587" customFormat="1" x14ac:dyDescent="0.3"/>
    <row r="4588" customFormat="1" x14ac:dyDescent="0.3"/>
    <row r="4589" customFormat="1" x14ac:dyDescent="0.3"/>
    <row r="4590" customFormat="1" x14ac:dyDescent="0.3"/>
    <row r="4591" customFormat="1" x14ac:dyDescent="0.3"/>
    <row r="4592" customFormat="1" x14ac:dyDescent="0.3"/>
    <row r="4593" customFormat="1" x14ac:dyDescent="0.3"/>
    <row r="4594" customFormat="1" x14ac:dyDescent="0.3"/>
    <row r="4595" customFormat="1" x14ac:dyDescent="0.3"/>
    <row r="4596" customFormat="1" x14ac:dyDescent="0.3"/>
    <row r="4597" customFormat="1" x14ac:dyDescent="0.3"/>
    <row r="4598" customFormat="1" x14ac:dyDescent="0.3"/>
    <row r="4599" customFormat="1" x14ac:dyDescent="0.3"/>
    <row r="4600" customFormat="1" x14ac:dyDescent="0.3"/>
    <row r="4601" customFormat="1" x14ac:dyDescent="0.3"/>
    <row r="4602" customFormat="1" x14ac:dyDescent="0.3"/>
    <row r="4603" customFormat="1" x14ac:dyDescent="0.3"/>
    <row r="4604" customFormat="1" x14ac:dyDescent="0.3"/>
    <row r="4605" customFormat="1" x14ac:dyDescent="0.3"/>
    <row r="4606" customFormat="1" x14ac:dyDescent="0.3"/>
    <row r="4607" customFormat="1" x14ac:dyDescent="0.3"/>
    <row r="4608" customFormat="1" x14ac:dyDescent="0.3"/>
    <row r="4609" customFormat="1" x14ac:dyDescent="0.3"/>
    <row r="4610" customFormat="1" x14ac:dyDescent="0.3"/>
    <row r="4611" customFormat="1" x14ac:dyDescent="0.3"/>
    <row r="4612" customFormat="1" x14ac:dyDescent="0.3"/>
    <row r="4613" customFormat="1" x14ac:dyDescent="0.3"/>
    <row r="4614" customFormat="1" x14ac:dyDescent="0.3"/>
    <row r="4615" customFormat="1" x14ac:dyDescent="0.3"/>
    <row r="4616" customFormat="1" x14ac:dyDescent="0.3"/>
    <row r="4617" customFormat="1" x14ac:dyDescent="0.3"/>
    <row r="4618" customFormat="1" x14ac:dyDescent="0.3"/>
    <row r="4619" customFormat="1" x14ac:dyDescent="0.3"/>
    <row r="4620" customFormat="1" x14ac:dyDescent="0.3"/>
    <row r="4621" customFormat="1" x14ac:dyDescent="0.3"/>
    <row r="4622" customFormat="1" x14ac:dyDescent="0.3"/>
    <row r="4623" customFormat="1" x14ac:dyDescent="0.3"/>
    <row r="4624" customFormat="1" x14ac:dyDescent="0.3"/>
    <row r="4625" customFormat="1" x14ac:dyDescent="0.3"/>
    <row r="4626" customFormat="1" x14ac:dyDescent="0.3"/>
    <row r="4627" customFormat="1" x14ac:dyDescent="0.3"/>
    <row r="4628" customFormat="1" x14ac:dyDescent="0.3"/>
    <row r="4629" customFormat="1" x14ac:dyDescent="0.3"/>
    <row r="4630" customFormat="1" x14ac:dyDescent="0.3"/>
    <row r="4631" customFormat="1" x14ac:dyDescent="0.3"/>
    <row r="4632" customFormat="1" x14ac:dyDescent="0.3"/>
    <row r="4633" customFormat="1" x14ac:dyDescent="0.3"/>
    <row r="4634" customFormat="1" x14ac:dyDescent="0.3"/>
    <row r="4635" customFormat="1" x14ac:dyDescent="0.3"/>
    <row r="4636" customFormat="1" x14ac:dyDescent="0.3"/>
    <row r="4637" customFormat="1" x14ac:dyDescent="0.3"/>
    <row r="4638" customFormat="1" x14ac:dyDescent="0.3"/>
    <row r="4639" customFormat="1" x14ac:dyDescent="0.3"/>
    <row r="4640" customFormat="1" x14ac:dyDescent="0.3"/>
    <row r="4641" customFormat="1" x14ac:dyDescent="0.3"/>
    <row r="4642" customFormat="1" x14ac:dyDescent="0.3"/>
    <row r="4643" customFormat="1" x14ac:dyDescent="0.3"/>
    <row r="4644" customFormat="1" x14ac:dyDescent="0.3"/>
    <row r="4645" customFormat="1" x14ac:dyDescent="0.3"/>
    <row r="4646" customFormat="1" x14ac:dyDescent="0.3"/>
    <row r="4647" customFormat="1" x14ac:dyDescent="0.3"/>
    <row r="4648" customFormat="1" x14ac:dyDescent="0.3"/>
    <row r="4649" customFormat="1" x14ac:dyDescent="0.3"/>
    <row r="4650" customFormat="1" x14ac:dyDescent="0.3"/>
    <row r="4651" customFormat="1" x14ac:dyDescent="0.3"/>
    <row r="4652" customFormat="1" x14ac:dyDescent="0.3"/>
    <row r="4653" customFormat="1" x14ac:dyDescent="0.3"/>
    <row r="4654" customFormat="1" x14ac:dyDescent="0.3"/>
    <row r="4655" customFormat="1" x14ac:dyDescent="0.3"/>
    <row r="4656" customFormat="1" x14ac:dyDescent="0.3"/>
    <row r="4657" customFormat="1" x14ac:dyDescent="0.3"/>
    <row r="4658" customFormat="1" x14ac:dyDescent="0.3"/>
    <row r="4659" customFormat="1" x14ac:dyDescent="0.3"/>
    <row r="4660" customFormat="1" x14ac:dyDescent="0.3"/>
    <row r="4661" customFormat="1" x14ac:dyDescent="0.3"/>
    <row r="4662" customFormat="1" x14ac:dyDescent="0.3"/>
    <row r="4663" customFormat="1" x14ac:dyDescent="0.3"/>
    <row r="4664" customFormat="1" x14ac:dyDescent="0.3"/>
    <row r="4665" customFormat="1" x14ac:dyDescent="0.3"/>
    <row r="4666" customFormat="1" x14ac:dyDescent="0.3"/>
    <row r="4667" customFormat="1" x14ac:dyDescent="0.3"/>
    <row r="4668" customFormat="1" x14ac:dyDescent="0.3"/>
    <row r="4669" customFormat="1" x14ac:dyDescent="0.3"/>
    <row r="4670" customFormat="1" x14ac:dyDescent="0.3"/>
    <row r="4671" customFormat="1" x14ac:dyDescent="0.3"/>
    <row r="4672" customFormat="1" x14ac:dyDescent="0.3"/>
    <row r="4673" customFormat="1" x14ac:dyDescent="0.3"/>
    <row r="4674" customFormat="1" x14ac:dyDescent="0.3"/>
    <row r="4675" customFormat="1" x14ac:dyDescent="0.3"/>
    <row r="4676" customFormat="1" x14ac:dyDescent="0.3"/>
    <row r="4677" customFormat="1" x14ac:dyDescent="0.3"/>
    <row r="4678" customFormat="1" x14ac:dyDescent="0.3"/>
    <row r="4679" customFormat="1" x14ac:dyDescent="0.3"/>
    <row r="4680" customFormat="1" x14ac:dyDescent="0.3"/>
    <row r="4681" customFormat="1" x14ac:dyDescent="0.3"/>
    <row r="4682" customFormat="1" x14ac:dyDescent="0.3"/>
    <row r="4683" customFormat="1" x14ac:dyDescent="0.3"/>
    <row r="4684" customFormat="1" x14ac:dyDescent="0.3"/>
    <row r="4685" customFormat="1" x14ac:dyDescent="0.3"/>
    <row r="4686" customFormat="1" x14ac:dyDescent="0.3"/>
    <row r="4687" customFormat="1" x14ac:dyDescent="0.3"/>
    <row r="4688" customFormat="1" x14ac:dyDescent="0.3"/>
    <row r="4689" customFormat="1" x14ac:dyDescent="0.3"/>
    <row r="4690" customFormat="1" x14ac:dyDescent="0.3"/>
    <row r="4691" customFormat="1" x14ac:dyDescent="0.3"/>
    <row r="4692" customFormat="1" x14ac:dyDescent="0.3"/>
    <row r="4693" customFormat="1" x14ac:dyDescent="0.3"/>
    <row r="4694" customFormat="1" x14ac:dyDescent="0.3"/>
    <row r="4695" customFormat="1" x14ac:dyDescent="0.3"/>
    <row r="4696" customFormat="1" x14ac:dyDescent="0.3"/>
    <row r="4697" customFormat="1" x14ac:dyDescent="0.3"/>
    <row r="4698" customFormat="1" x14ac:dyDescent="0.3"/>
    <row r="4699" customFormat="1" x14ac:dyDescent="0.3"/>
    <row r="4700" customFormat="1" x14ac:dyDescent="0.3"/>
    <row r="4701" customFormat="1" x14ac:dyDescent="0.3"/>
    <row r="4702" customFormat="1" x14ac:dyDescent="0.3"/>
    <row r="4703" customFormat="1" x14ac:dyDescent="0.3"/>
    <row r="4704" customFormat="1" x14ac:dyDescent="0.3"/>
    <row r="4705" customFormat="1" x14ac:dyDescent="0.3"/>
    <row r="4706" customFormat="1" x14ac:dyDescent="0.3"/>
    <row r="4707" customFormat="1" x14ac:dyDescent="0.3"/>
    <row r="4708" customFormat="1" x14ac:dyDescent="0.3"/>
    <row r="4709" customFormat="1" x14ac:dyDescent="0.3"/>
    <row r="4710" customFormat="1" x14ac:dyDescent="0.3"/>
    <row r="4711" customFormat="1" x14ac:dyDescent="0.3"/>
    <row r="4712" customFormat="1" x14ac:dyDescent="0.3"/>
    <row r="4713" customFormat="1" x14ac:dyDescent="0.3"/>
    <row r="4714" customFormat="1" x14ac:dyDescent="0.3"/>
    <row r="4715" customFormat="1" x14ac:dyDescent="0.3"/>
    <row r="4716" customFormat="1" x14ac:dyDescent="0.3"/>
    <row r="4717" customFormat="1" x14ac:dyDescent="0.3"/>
    <row r="4718" customFormat="1" x14ac:dyDescent="0.3"/>
    <row r="4719" customFormat="1" x14ac:dyDescent="0.3"/>
    <row r="4720" customFormat="1" x14ac:dyDescent="0.3"/>
    <row r="4721" customFormat="1" x14ac:dyDescent="0.3"/>
    <row r="4722" customFormat="1" x14ac:dyDescent="0.3"/>
    <row r="4723" customFormat="1" x14ac:dyDescent="0.3"/>
    <row r="4724" customFormat="1" x14ac:dyDescent="0.3"/>
    <row r="4725" customFormat="1" x14ac:dyDescent="0.3"/>
    <row r="4726" customFormat="1" x14ac:dyDescent="0.3"/>
    <row r="4727" customFormat="1" x14ac:dyDescent="0.3"/>
    <row r="4728" customFormat="1" x14ac:dyDescent="0.3"/>
    <row r="4729" customFormat="1" x14ac:dyDescent="0.3"/>
    <row r="4730" customFormat="1" x14ac:dyDescent="0.3"/>
    <row r="4731" customFormat="1" x14ac:dyDescent="0.3"/>
    <row r="4732" customFormat="1" x14ac:dyDescent="0.3"/>
    <row r="4733" customFormat="1" x14ac:dyDescent="0.3"/>
    <row r="4734" customFormat="1" x14ac:dyDescent="0.3"/>
    <row r="4735" customFormat="1" x14ac:dyDescent="0.3"/>
    <row r="4736" customFormat="1" x14ac:dyDescent="0.3"/>
    <row r="4737" customFormat="1" x14ac:dyDescent="0.3"/>
    <row r="4738" customFormat="1" x14ac:dyDescent="0.3"/>
    <row r="4739" customFormat="1" x14ac:dyDescent="0.3"/>
    <row r="4740" customFormat="1" x14ac:dyDescent="0.3"/>
    <row r="4741" customFormat="1" x14ac:dyDescent="0.3"/>
    <row r="4742" customFormat="1" x14ac:dyDescent="0.3"/>
    <row r="4743" customFormat="1" x14ac:dyDescent="0.3"/>
    <row r="4744" customFormat="1" x14ac:dyDescent="0.3"/>
    <row r="4745" customFormat="1" x14ac:dyDescent="0.3"/>
    <row r="4746" customFormat="1" x14ac:dyDescent="0.3"/>
    <row r="4747" customFormat="1" x14ac:dyDescent="0.3"/>
    <row r="4748" customFormat="1" x14ac:dyDescent="0.3"/>
    <row r="4749" customFormat="1" x14ac:dyDescent="0.3"/>
    <row r="4750" customFormat="1" x14ac:dyDescent="0.3"/>
    <row r="4751" customFormat="1" x14ac:dyDescent="0.3"/>
    <row r="4752" customFormat="1" x14ac:dyDescent="0.3"/>
    <row r="4753" customFormat="1" x14ac:dyDescent="0.3"/>
    <row r="4754" customFormat="1" x14ac:dyDescent="0.3"/>
    <row r="4755" customFormat="1" x14ac:dyDescent="0.3"/>
    <row r="4756" customFormat="1" x14ac:dyDescent="0.3"/>
    <row r="4757" customFormat="1" x14ac:dyDescent="0.3"/>
    <row r="4758" customFormat="1" x14ac:dyDescent="0.3"/>
    <row r="4759" customFormat="1" x14ac:dyDescent="0.3"/>
    <row r="4760" customFormat="1" x14ac:dyDescent="0.3"/>
    <row r="4761" customFormat="1" x14ac:dyDescent="0.3"/>
    <row r="4762" customFormat="1" x14ac:dyDescent="0.3"/>
    <row r="4763" customFormat="1" x14ac:dyDescent="0.3"/>
    <row r="4764" customFormat="1" x14ac:dyDescent="0.3"/>
    <row r="4765" customFormat="1" x14ac:dyDescent="0.3"/>
    <row r="4766" customFormat="1" x14ac:dyDescent="0.3"/>
    <row r="4767" customFormat="1" x14ac:dyDescent="0.3"/>
    <row r="4768" customFormat="1" x14ac:dyDescent="0.3"/>
    <row r="4769" customFormat="1" x14ac:dyDescent="0.3"/>
    <row r="4770" customFormat="1" x14ac:dyDescent="0.3"/>
    <row r="4771" customFormat="1" x14ac:dyDescent="0.3"/>
    <row r="4772" customFormat="1" x14ac:dyDescent="0.3"/>
    <row r="4773" customFormat="1" x14ac:dyDescent="0.3"/>
    <row r="4774" customFormat="1" x14ac:dyDescent="0.3"/>
    <row r="4775" customFormat="1" x14ac:dyDescent="0.3"/>
    <row r="4776" customFormat="1" x14ac:dyDescent="0.3"/>
    <row r="4777" customFormat="1" x14ac:dyDescent="0.3"/>
    <row r="4778" customFormat="1" x14ac:dyDescent="0.3"/>
    <row r="4779" customFormat="1" x14ac:dyDescent="0.3"/>
    <row r="4780" customFormat="1" x14ac:dyDescent="0.3"/>
    <row r="4781" customFormat="1" x14ac:dyDescent="0.3"/>
    <row r="4782" customFormat="1" x14ac:dyDescent="0.3"/>
    <row r="4783" customFormat="1" x14ac:dyDescent="0.3"/>
    <row r="4784" customFormat="1" x14ac:dyDescent="0.3"/>
    <row r="4785" customFormat="1" x14ac:dyDescent="0.3"/>
    <row r="4786" customFormat="1" x14ac:dyDescent="0.3"/>
    <row r="4787" customFormat="1" x14ac:dyDescent="0.3"/>
    <row r="4788" customFormat="1" x14ac:dyDescent="0.3"/>
    <row r="4789" customFormat="1" x14ac:dyDescent="0.3"/>
    <row r="4790" customFormat="1" x14ac:dyDescent="0.3"/>
    <row r="4791" customFormat="1" x14ac:dyDescent="0.3"/>
    <row r="4792" customFormat="1" x14ac:dyDescent="0.3"/>
    <row r="4793" customFormat="1" x14ac:dyDescent="0.3"/>
    <row r="4794" customFormat="1" x14ac:dyDescent="0.3"/>
    <row r="4795" customFormat="1" x14ac:dyDescent="0.3"/>
    <row r="4796" customFormat="1" x14ac:dyDescent="0.3"/>
    <row r="4797" customFormat="1" x14ac:dyDescent="0.3"/>
    <row r="4798" customFormat="1" x14ac:dyDescent="0.3"/>
    <row r="4799" customFormat="1" x14ac:dyDescent="0.3"/>
    <row r="4800" customFormat="1" x14ac:dyDescent="0.3"/>
    <row r="4801" customFormat="1" x14ac:dyDescent="0.3"/>
    <row r="4802" customFormat="1" x14ac:dyDescent="0.3"/>
    <row r="4803" customFormat="1" x14ac:dyDescent="0.3"/>
    <row r="4804" customFormat="1" x14ac:dyDescent="0.3"/>
    <row r="4805" customFormat="1" x14ac:dyDescent="0.3"/>
    <row r="4806" customFormat="1" x14ac:dyDescent="0.3"/>
    <row r="4807" customFormat="1" x14ac:dyDescent="0.3"/>
    <row r="4808" customFormat="1" x14ac:dyDescent="0.3"/>
    <row r="4809" customFormat="1" x14ac:dyDescent="0.3"/>
    <row r="4810" customFormat="1" x14ac:dyDescent="0.3"/>
    <row r="4811" customFormat="1" x14ac:dyDescent="0.3"/>
    <row r="4812" customFormat="1" x14ac:dyDescent="0.3"/>
    <row r="4813" customFormat="1" x14ac:dyDescent="0.3"/>
    <row r="4814" customFormat="1" x14ac:dyDescent="0.3"/>
    <row r="4815" customFormat="1" x14ac:dyDescent="0.3"/>
    <row r="4816" customFormat="1" x14ac:dyDescent="0.3"/>
    <row r="4817" customFormat="1" x14ac:dyDescent="0.3"/>
    <row r="4818" customFormat="1" x14ac:dyDescent="0.3"/>
    <row r="4819" customFormat="1" x14ac:dyDescent="0.3"/>
    <row r="4820" customFormat="1" x14ac:dyDescent="0.3"/>
    <row r="4821" customFormat="1" x14ac:dyDescent="0.3"/>
    <row r="4822" customFormat="1" x14ac:dyDescent="0.3"/>
    <row r="4823" customFormat="1" x14ac:dyDescent="0.3"/>
    <row r="4824" customFormat="1" x14ac:dyDescent="0.3"/>
    <row r="4825" customFormat="1" x14ac:dyDescent="0.3"/>
    <row r="4826" customFormat="1" x14ac:dyDescent="0.3"/>
    <row r="4827" customFormat="1" x14ac:dyDescent="0.3"/>
    <row r="4828" customFormat="1" x14ac:dyDescent="0.3"/>
    <row r="4829" customFormat="1" x14ac:dyDescent="0.3"/>
    <row r="4830" customFormat="1" x14ac:dyDescent="0.3"/>
    <row r="4831" customFormat="1" x14ac:dyDescent="0.3"/>
    <row r="4832" customFormat="1" x14ac:dyDescent="0.3"/>
    <row r="4833" customFormat="1" x14ac:dyDescent="0.3"/>
    <row r="4834" customFormat="1" x14ac:dyDescent="0.3"/>
    <row r="4835" customFormat="1" x14ac:dyDescent="0.3"/>
    <row r="4836" customFormat="1" x14ac:dyDescent="0.3"/>
    <row r="4837" customFormat="1" x14ac:dyDescent="0.3"/>
    <row r="4838" customFormat="1" x14ac:dyDescent="0.3"/>
    <row r="4839" customFormat="1" x14ac:dyDescent="0.3"/>
    <row r="4840" customFormat="1" x14ac:dyDescent="0.3"/>
    <row r="4841" customFormat="1" x14ac:dyDescent="0.3"/>
    <row r="4842" customFormat="1" x14ac:dyDescent="0.3"/>
    <row r="4843" customFormat="1" x14ac:dyDescent="0.3"/>
    <row r="4844" customFormat="1" x14ac:dyDescent="0.3"/>
    <row r="4845" customFormat="1" x14ac:dyDescent="0.3"/>
    <row r="4846" customFormat="1" x14ac:dyDescent="0.3"/>
    <row r="4847" customFormat="1" x14ac:dyDescent="0.3"/>
    <row r="4848" customFormat="1" x14ac:dyDescent="0.3"/>
    <row r="4849" customFormat="1" x14ac:dyDescent="0.3"/>
    <row r="4850" customFormat="1" x14ac:dyDescent="0.3"/>
    <row r="4851" customFormat="1" x14ac:dyDescent="0.3"/>
    <row r="4852" customFormat="1" x14ac:dyDescent="0.3"/>
    <row r="4853" customFormat="1" x14ac:dyDescent="0.3"/>
    <row r="4854" customFormat="1" x14ac:dyDescent="0.3"/>
    <row r="4855" customFormat="1" x14ac:dyDescent="0.3"/>
    <row r="4856" customFormat="1" x14ac:dyDescent="0.3"/>
    <row r="4857" customFormat="1" x14ac:dyDescent="0.3"/>
    <row r="4858" customFormat="1" x14ac:dyDescent="0.3"/>
    <row r="4859" customFormat="1" x14ac:dyDescent="0.3"/>
    <row r="4860" customFormat="1" x14ac:dyDescent="0.3"/>
    <row r="4861" customFormat="1" x14ac:dyDescent="0.3"/>
    <row r="4862" customFormat="1" x14ac:dyDescent="0.3"/>
    <row r="4863" customFormat="1" x14ac:dyDescent="0.3"/>
    <row r="4864" customFormat="1" x14ac:dyDescent="0.3"/>
    <row r="4865" customFormat="1" x14ac:dyDescent="0.3"/>
    <row r="4866" customFormat="1" x14ac:dyDescent="0.3"/>
    <row r="4867" customFormat="1" x14ac:dyDescent="0.3"/>
    <row r="4868" customFormat="1" x14ac:dyDescent="0.3"/>
    <row r="4869" customFormat="1" x14ac:dyDescent="0.3"/>
    <row r="4870" customFormat="1" x14ac:dyDescent="0.3"/>
    <row r="4871" customFormat="1" x14ac:dyDescent="0.3"/>
    <row r="4872" customFormat="1" x14ac:dyDescent="0.3"/>
    <row r="4873" customFormat="1" x14ac:dyDescent="0.3"/>
    <row r="4874" customFormat="1" x14ac:dyDescent="0.3"/>
    <row r="4875" customFormat="1" x14ac:dyDescent="0.3"/>
    <row r="4876" customFormat="1" x14ac:dyDescent="0.3"/>
    <row r="4877" customFormat="1" x14ac:dyDescent="0.3"/>
    <row r="4878" customFormat="1" x14ac:dyDescent="0.3"/>
    <row r="4879" customFormat="1" x14ac:dyDescent="0.3"/>
    <row r="4880" customFormat="1" x14ac:dyDescent="0.3"/>
    <row r="4881" customFormat="1" x14ac:dyDescent="0.3"/>
    <row r="4882" customFormat="1" x14ac:dyDescent="0.3"/>
    <row r="4883" customFormat="1" x14ac:dyDescent="0.3"/>
    <row r="4884" customFormat="1" x14ac:dyDescent="0.3"/>
    <row r="4885" customFormat="1" x14ac:dyDescent="0.3"/>
    <row r="4886" customFormat="1" x14ac:dyDescent="0.3"/>
    <row r="4887" customFormat="1" x14ac:dyDescent="0.3"/>
    <row r="4888" customFormat="1" x14ac:dyDescent="0.3"/>
    <row r="4889" customFormat="1" x14ac:dyDescent="0.3"/>
    <row r="4890" customFormat="1" x14ac:dyDescent="0.3"/>
    <row r="4891" customFormat="1" x14ac:dyDescent="0.3"/>
    <row r="4892" customFormat="1" x14ac:dyDescent="0.3"/>
    <row r="4893" customFormat="1" x14ac:dyDescent="0.3"/>
    <row r="4894" customFormat="1" x14ac:dyDescent="0.3"/>
    <row r="4895" customFormat="1" x14ac:dyDescent="0.3"/>
    <row r="4896" customFormat="1" x14ac:dyDescent="0.3"/>
    <row r="4897" customFormat="1" x14ac:dyDescent="0.3"/>
    <row r="4898" customFormat="1" x14ac:dyDescent="0.3"/>
    <row r="4899" customFormat="1" x14ac:dyDescent="0.3"/>
    <row r="4900" customFormat="1" x14ac:dyDescent="0.3"/>
    <row r="4901" customFormat="1" x14ac:dyDescent="0.3"/>
    <row r="4902" customFormat="1" x14ac:dyDescent="0.3"/>
    <row r="4903" customFormat="1" x14ac:dyDescent="0.3"/>
    <row r="4904" customFormat="1" x14ac:dyDescent="0.3"/>
    <row r="4905" customFormat="1" x14ac:dyDescent="0.3"/>
    <row r="4906" customFormat="1" x14ac:dyDescent="0.3"/>
    <row r="4907" customFormat="1" x14ac:dyDescent="0.3"/>
    <row r="4908" customFormat="1" x14ac:dyDescent="0.3"/>
    <row r="4909" customFormat="1" x14ac:dyDescent="0.3"/>
    <row r="4910" customFormat="1" x14ac:dyDescent="0.3"/>
    <row r="4911" customFormat="1" x14ac:dyDescent="0.3"/>
    <row r="4912" customFormat="1" x14ac:dyDescent="0.3"/>
    <row r="4913" customFormat="1" x14ac:dyDescent="0.3"/>
    <row r="4914" customFormat="1" x14ac:dyDescent="0.3"/>
    <row r="4915" customFormat="1" x14ac:dyDescent="0.3"/>
    <row r="4916" customFormat="1" x14ac:dyDescent="0.3"/>
    <row r="4917" customFormat="1" x14ac:dyDescent="0.3"/>
    <row r="4918" customFormat="1" x14ac:dyDescent="0.3"/>
    <row r="4919" customFormat="1" x14ac:dyDescent="0.3"/>
    <row r="4920" customFormat="1" x14ac:dyDescent="0.3"/>
    <row r="4921" customFormat="1" x14ac:dyDescent="0.3"/>
    <row r="4922" customFormat="1" x14ac:dyDescent="0.3"/>
    <row r="4923" customFormat="1" x14ac:dyDescent="0.3"/>
    <row r="4924" customFormat="1" x14ac:dyDescent="0.3"/>
    <row r="4925" customFormat="1" x14ac:dyDescent="0.3"/>
    <row r="4926" customFormat="1" x14ac:dyDescent="0.3"/>
    <row r="4927" customFormat="1" x14ac:dyDescent="0.3"/>
    <row r="4928" customFormat="1" x14ac:dyDescent="0.3"/>
    <row r="4929" customFormat="1" x14ac:dyDescent="0.3"/>
    <row r="4930" customFormat="1" x14ac:dyDescent="0.3"/>
    <row r="4931" customFormat="1" x14ac:dyDescent="0.3"/>
    <row r="4932" customFormat="1" x14ac:dyDescent="0.3"/>
    <row r="4933" customFormat="1" x14ac:dyDescent="0.3"/>
    <row r="4934" customFormat="1" x14ac:dyDescent="0.3"/>
    <row r="4935" customFormat="1" x14ac:dyDescent="0.3"/>
    <row r="4936" customFormat="1" x14ac:dyDescent="0.3"/>
    <row r="4937" customFormat="1" x14ac:dyDescent="0.3"/>
    <row r="4938" customFormat="1" x14ac:dyDescent="0.3"/>
    <row r="4939" customFormat="1" x14ac:dyDescent="0.3"/>
    <row r="4940" customFormat="1" x14ac:dyDescent="0.3"/>
    <row r="4941" customFormat="1" x14ac:dyDescent="0.3"/>
    <row r="4942" customFormat="1" x14ac:dyDescent="0.3"/>
    <row r="4943" customFormat="1" x14ac:dyDescent="0.3"/>
    <row r="4944" customFormat="1" x14ac:dyDescent="0.3"/>
    <row r="4945" customFormat="1" x14ac:dyDescent="0.3"/>
    <row r="4946" customFormat="1" x14ac:dyDescent="0.3"/>
    <row r="4947" customFormat="1" x14ac:dyDescent="0.3"/>
    <row r="4948" customFormat="1" x14ac:dyDescent="0.3"/>
    <row r="4949" customFormat="1" x14ac:dyDescent="0.3"/>
    <row r="4950" customFormat="1" x14ac:dyDescent="0.3"/>
    <row r="4951" customFormat="1" x14ac:dyDescent="0.3"/>
    <row r="4952" customFormat="1" x14ac:dyDescent="0.3"/>
    <row r="4953" customFormat="1" x14ac:dyDescent="0.3"/>
    <row r="4954" customFormat="1" x14ac:dyDescent="0.3"/>
    <row r="4955" customFormat="1" x14ac:dyDescent="0.3"/>
    <row r="4956" customFormat="1" x14ac:dyDescent="0.3"/>
    <row r="4957" customFormat="1" x14ac:dyDescent="0.3"/>
    <row r="4958" customFormat="1" x14ac:dyDescent="0.3"/>
    <row r="4959" customFormat="1" x14ac:dyDescent="0.3"/>
    <row r="4960" customFormat="1" x14ac:dyDescent="0.3"/>
    <row r="4961" customFormat="1" x14ac:dyDescent="0.3"/>
    <row r="4962" customFormat="1" x14ac:dyDescent="0.3"/>
    <row r="4963" customFormat="1" x14ac:dyDescent="0.3"/>
    <row r="4964" customFormat="1" x14ac:dyDescent="0.3"/>
    <row r="4965" customFormat="1" x14ac:dyDescent="0.3"/>
    <row r="4966" customFormat="1" x14ac:dyDescent="0.3"/>
    <row r="4967" customFormat="1" x14ac:dyDescent="0.3"/>
    <row r="4968" customFormat="1" x14ac:dyDescent="0.3"/>
    <row r="4969" customFormat="1" x14ac:dyDescent="0.3"/>
    <row r="4970" customFormat="1" x14ac:dyDescent="0.3"/>
    <row r="4971" customFormat="1" x14ac:dyDescent="0.3"/>
    <row r="4972" customFormat="1" x14ac:dyDescent="0.3"/>
    <row r="4973" customFormat="1" x14ac:dyDescent="0.3"/>
    <row r="4974" customFormat="1" x14ac:dyDescent="0.3"/>
    <row r="4975" customFormat="1" x14ac:dyDescent="0.3"/>
    <row r="4976" customFormat="1" x14ac:dyDescent="0.3"/>
    <row r="4977" customFormat="1" x14ac:dyDescent="0.3"/>
    <row r="4978" customFormat="1" x14ac:dyDescent="0.3"/>
    <row r="4979" customFormat="1" x14ac:dyDescent="0.3"/>
    <row r="4980" customFormat="1" x14ac:dyDescent="0.3"/>
    <row r="4981" customFormat="1" x14ac:dyDescent="0.3"/>
    <row r="4982" customFormat="1" x14ac:dyDescent="0.3"/>
    <row r="4983" customFormat="1" x14ac:dyDescent="0.3"/>
    <row r="4984" customFormat="1" x14ac:dyDescent="0.3"/>
    <row r="4985" customFormat="1" x14ac:dyDescent="0.3"/>
    <row r="4986" customFormat="1" x14ac:dyDescent="0.3"/>
    <row r="4987" customFormat="1" x14ac:dyDescent="0.3"/>
    <row r="4988" customFormat="1" x14ac:dyDescent="0.3"/>
    <row r="4989" customFormat="1" x14ac:dyDescent="0.3"/>
    <row r="4990" customFormat="1" x14ac:dyDescent="0.3"/>
    <row r="4991" customFormat="1" x14ac:dyDescent="0.3"/>
    <row r="4992" customFormat="1" x14ac:dyDescent="0.3"/>
    <row r="4993" customFormat="1" x14ac:dyDescent="0.3"/>
    <row r="4994" customFormat="1" x14ac:dyDescent="0.3"/>
    <row r="4995" customFormat="1" x14ac:dyDescent="0.3"/>
    <row r="4996" customFormat="1" x14ac:dyDescent="0.3"/>
    <row r="4997" customFormat="1" x14ac:dyDescent="0.3"/>
    <row r="4998" customFormat="1" x14ac:dyDescent="0.3"/>
    <row r="4999" customFormat="1" x14ac:dyDescent="0.3"/>
    <row r="5000" customFormat="1" x14ac:dyDescent="0.3"/>
    <row r="5001" customFormat="1" x14ac:dyDescent="0.3"/>
    <row r="5002" customFormat="1" x14ac:dyDescent="0.3"/>
    <row r="5003" customFormat="1" x14ac:dyDescent="0.3"/>
    <row r="5004" customFormat="1" x14ac:dyDescent="0.3"/>
    <row r="5005" customFormat="1" x14ac:dyDescent="0.3"/>
    <row r="5006" customFormat="1" x14ac:dyDescent="0.3"/>
    <row r="5007" customFormat="1" x14ac:dyDescent="0.3"/>
    <row r="5008" customFormat="1" x14ac:dyDescent="0.3"/>
    <row r="5009" customFormat="1" x14ac:dyDescent="0.3"/>
    <row r="5010" customFormat="1" x14ac:dyDescent="0.3"/>
    <row r="5011" customFormat="1" x14ac:dyDescent="0.3"/>
    <row r="5012" customFormat="1" x14ac:dyDescent="0.3"/>
    <row r="5013" customFormat="1" x14ac:dyDescent="0.3"/>
    <row r="5014" customFormat="1" x14ac:dyDescent="0.3"/>
    <row r="5015" customFormat="1" x14ac:dyDescent="0.3"/>
    <row r="5016" customFormat="1" x14ac:dyDescent="0.3"/>
    <row r="5017" customFormat="1" x14ac:dyDescent="0.3"/>
    <row r="5018" customFormat="1" x14ac:dyDescent="0.3"/>
    <row r="5019" customFormat="1" x14ac:dyDescent="0.3"/>
    <row r="5020" customFormat="1" x14ac:dyDescent="0.3"/>
    <row r="5021" customFormat="1" x14ac:dyDescent="0.3"/>
    <row r="5022" customFormat="1" x14ac:dyDescent="0.3"/>
    <row r="5023" customFormat="1" x14ac:dyDescent="0.3"/>
    <row r="5024" customFormat="1" x14ac:dyDescent="0.3"/>
    <row r="5025" customFormat="1" x14ac:dyDescent="0.3"/>
    <row r="5026" customFormat="1" x14ac:dyDescent="0.3"/>
    <row r="5027" customFormat="1" x14ac:dyDescent="0.3"/>
    <row r="5028" customFormat="1" x14ac:dyDescent="0.3"/>
    <row r="5029" customFormat="1" x14ac:dyDescent="0.3"/>
    <row r="5030" customFormat="1" x14ac:dyDescent="0.3"/>
    <row r="5031" customFormat="1" x14ac:dyDescent="0.3"/>
    <row r="5032" customFormat="1" x14ac:dyDescent="0.3"/>
    <row r="5033" customFormat="1" x14ac:dyDescent="0.3"/>
    <row r="5034" customFormat="1" x14ac:dyDescent="0.3"/>
    <row r="5035" customFormat="1" x14ac:dyDescent="0.3"/>
    <row r="5036" customFormat="1" x14ac:dyDescent="0.3"/>
    <row r="5037" customFormat="1" x14ac:dyDescent="0.3"/>
    <row r="5038" customFormat="1" x14ac:dyDescent="0.3"/>
    <row r="5039" customFormat="1" x14ac:dyDescent="0.3"/>
    <row r="5040" customFormat="1" x14ac:dyDescent="0.3"/>
    <row r="5041" customFormat="1" x14ac:dyDescent="0.3"/>
    <row r="5042" customFormat="1" x14ac:dyDescent="0.3"/>
    <row r="5043" customFormat="1" x14ac:dyDescent="0.3"/>
    <row r="5044" customFormat="1" x14ac:dyDescent="0.3"/>
    <row r="5045" customFormat="1" x14ac:dyDescent="0.3"/>
    <row r="5046" customFormat="1" x14ac:dyDescent="0.3"/>
    <row r="5047" customFormat="1" x14ac:dyDescent="0.3"/>
    <row r="5048" customFormat="1" x14ac:dyDescent="0.3"/>
    <row r="5049" customFormat="1" x14ac:dyDescent="0.3"/>
    <row r="5050" customFormat="1" x14ac:dyDescent="0.3"/>
    <row r="5051" customFormat="1" x14ac:dyDescent="0.3"/>
    <row r="5052" customFormat="1" x14ac:dyDescent="0.3"/>
    <row r="5053" customFormat="1" x14ac:dyDescent="0.3"/>
    <row r="5054" customFormat="1" x14ac:dyDescent="0.3"/>
    <row r="5055" customFormat="1" x14ac:dyDescent="0.3"/>
    <row r="5056" customFormat="1" x14ac:dyDescent="0.3"/>
    <row r="5057" customFormat="1" x14ac:dyDescent="0.3"/>
    <row r="5058" customFormat="1" x14ac:dyDescent="0.3"/>
    <row r="5059" customFormat="1" x14ac:dyDescent="0.3"/>
    <row r="5060" customFormat="1" x14ac:dyDescent="0.3"/>
    <row r="5061" customFormat="1" x14ac:dyDescent="0.3"/>
    <row r="5062" customFormat="1" x14ac:dyDescent="0.3"/>
    <row r="5063" customFormat="1" x14ac:dyDescent="0.3"/>
    <row r="5064" customFormat="1" x14ac:dyDescent="0.3"/>
    <row r="5065" customFormat="1" x14ac:dyDescent="0.3"/>
    <row r="5066" customFormat="1" x14ac:dyDescent="0.3"/>
    <row r="5067" customFormat="1" x14ac:dyDescent="0.3"/>
    <row r="5068" customFormat="1" x14ac:dyDescent="0.3"/>
    <row r="5069" customFormat="1" x14ac:dyDescent="0.3"/>
    <row r="5070" customFormat="1" x14ac:dyDescent="0.3"/>
    <row r="5071" customFormat="1" x14ac:dyDescent="0.3"/>
    <row r="5072" customFormat="1" x14ac:dyDescent="0.3"/>
    <row r="5073" customFormat="1" x14ac:dyDescent="0.3"/>
    <row r="5074" customFormat="1" x14ac:dyDescent="0.3"/>
    <row r="5075" customFormat="1" x14ac:dyDescent="0.3"/>
    <row r="5076" customFormat="1" x14ac:dyDescent="0.3"/>
    <row r="5077" customFormat="1" x14ac:dyDescent="0.3"/>
    <row r="5078" customFormat="1" x14ac:dyDescent="0.3"/>
    <row r="5079" customFormat="1" x14ac:dyDescent="0.3"/>
    <row r="5080" customFormat="1" x14ac:dyDescent="0.3"/>
    <row r="5081" customFormat="1" x14ac:dyDescent="0.3"/>
    <row r="5082" customFormat="1" x14ac:dyDescent="0.3"/>
    <row r="5083" customFormat="1" x14ac:dyDescent="0.3"/>
    <row r="5084" customFormat="1" x14ac:dyDescent="0.3"/>
    <row r="5085" customFormat="1" x14ac:dyDescent="0.3"/>
    <row r="5086" customFormat="1" x14ac:dyDescent="0.3"/>
    <row r="5087" customFormat="1" x14ac:dyDescent="0.3"/>
    <row r="5088" customFormat="1" x14ac:dyDescent="0.3"/>
    <row r="5089" customFormat="1" x14ac:dyDescent="0.3"/>
    <row r="5090" customFormat="1" x14ac:dyDescent="0.3"/>
    <row r="5091" customFormat="1" x14ac:dyDescent="0.3"/>
    <row r="5092" customFormat="1" x14ac:dyDescent="0.3"/>
    <row r="5093" customFormat="1" x14ac:dyDescent="0.3"/>
    <row r="5094" customFormat="1" x14ac:dyDescent="0.3"/>
    <row r="5095" customFormat="1" x14ac:dyDescent="0.3"/>
    <row r="5096" customFormat="1" x14ac:dyDescent="0.3"/>
    <row r="5097" customFormat="1" x14ac:dyDescent="0.3"/>
    <row r="5098" customFormat="1" x14ac:dyDescent="0.3"/>
    <row r="5099" customFormat="1" x14ac:dyDescent="0.3"/>
    <row r="5100" customFormat="1" x14ac:dyDescent="0.3"/>
    <row r="5101" customFormat="1" x14ac:dyDescent="0.3"/>
    <row r="5102" customFormat="1" x14ac:dyDescent="0.3"/>
    <row r="5103" customFormat="1" x14ac:dyDescent="0.3"/>
    <row r="5104" customFormat="1" x14ac:dyDescent="0.3"/>
    <row r="5105" customFormat="1" x14ac:dyDescent="0.3"/>
    <row r="5106" customFormat="1" x14ac:dyDescent="0.3"/>
    <row r="5107" customFormat="1" x14ac:dyDescent="0.3"/>
    <row r="5108" customFormat="1" x14ac:dyDescent="0.3"/>
    <row r="5109" customFormat="1" x14ac:dyDescent="0.3"/>
    <row r="5110" customFormat="1" x14ac:dyDescent="0.3"/>
    <row r="5111" customFormat="1" x14ac:dyDescent="0.3"/>
    <row r="5112" customFormat="1" x14ac:dyDescent="0.3"/>
    <row r="5113" customFormat="1" x14ac:dyDescent="0.3"/>
    <row r="5114" customFormat="1" x14ac:dyDescent="0.3"/>
    <row r="5115" customFormat="1" x14ac:dyDescent="0.3"/>
    <row r="5116" customFormat="1" x14ac:dyDescent="0.3"/>
    <row r="5117" customFormat="1" x14ac:dyDescent="0.3"/>
    <row r="5118" customFormat="1" x14ac:dyDescent="0.3"/>
    <row r="5119" customFormat="1" x14ac:dyDescent="0.3"/>
    <row r="5120" customFormat="1" x14ac:dyDescent="0.3"/>
    <row r="5121" customFormat="1" x14ac:dyDescent="0.3"/>
    <row r="5122" customFormat="1" x14ac:dyDescent="0.3"/>
    <row r="5123" customFormat="1" x14ac:dyDescent="0.3"/>
    <row r="5124" customFormat="1" x14ac:dyDescent="0.3"/>
    <row r="5125" customFormat="1" x14ac:dyDescent="0.3"/>
    <row r="5126" customFormat="1" x14ac:dyDescent="0.3"/>
    <row r="5127" customFormat="1" x14ac:dyDescent="0.3"/>
    <row r="5128" customFormat="1" x14ac:dyDescent="0.3"/>
    <row r="5129" customFormat="1" x14ac:dyDescent="0.3"/>
    <row r="5130" customFormat="1" x14ac:dyDescent="0.3"/>
    <row r="5131" customFormat="1" x14ac:dyDescent="0.3"/>
    <row r="5132" customFormat="1" x14ac:dyDescent="0.3"/>
    <row r="5133" customFormat="1" x14ac:dyDescent="0.3"/>
    <row r="5134" customFormat="1" x14ac:dyDescent="0.3"/>
    <row r="5135" customFormat="1" x14ac:dyDescent="0.3"/>
    <row r="5136" customFormat="1" x14ac:dyDescent="0.3"/>
    <row r="5137" customFormat="1" x14ac:dyDescent="0.3"/>
    <row r="5138" customFormat="1" x14ac:dyDescent="0.3"/>
    <row r="5139" customFormat="1" x14ac:dyDescent="0.3"/>
    <row r="5140" customFormat="1" x14ac:dyDescent="0.3"/>
    <row r="5141" customFormat="1" x14ac:dyDescent="0.3"/>
    <row r="5142" customFormat="1" x14ac:dyDescent="0.3"/>
    <row r="5143" customFormat="1" x14ac:dyDescent="0.3"/>
    <row r="5144" customFormat="1" x14ac:dyDescent="0.3"/>
    <row r="5145" customFormat="1" x14ac:dyDescent="0.3"/>
    <row r="5146" customFormat="1" x14ac:dyDescent="0.3"/>
    <row r="5147" customFormat="1" x14ac:dyDescent="0.3"/>
    <row r="5148" customFormat="1" x14ac:dyDescent="0.3"/>
    <row r="5149" customFormat="1" x14ac:dyDescent="0.3"/>
    <row r="5150" customFormat="1" x14ac:dyDescent="0.3"/>
    <row r="5151" customFormat="1" x14ac:dyDescent="0.3"/>
    <row r="5152" customFormat="1" x14ac:dyDescent="0.3"/>
    <row r="5153" customFormat="1" x14ac:dyDescent="0.3"/>
    <row r="5154" customFormat="1" x14ac:dyDescent="0.3"/>
    <row r="5155" customFormat="1" x14ac:dyDescent="0.3"/>
    <row r="5156" customFormat="1" x14ac:dyDescent="0.3"/>
    <row r="5157" customFormat="1" x14ac:dyDescent="0.3"/>
    <row r="5158" customFormat="1" x14ac:dyDescent="0.3"/>
    <row r="5159" customFormat="1" x14ac:dyDescent="0.3"/>
    <row r="5160" customFormat="1" x14ac:dyDescent="0.3"/>
    <row r="5161" customFormat="1" x14ac:dyDescent="0.3"/>
    <row r="5162" customFormat="1" x14ac:dyDescent="0.3"/>
    <row r="5163" customFormat="1" x14ac:dyDescent="0.3"/>
    <row r="5164" customFormat="1" x14ac:dyDescent="0.3"/>
    <row r="5165" customFormat="1" x14ac:dyDescent="0.3"/>
    <row r="5166" customFormat="1" x14ac:dyDescent="0.3"/>
    <row r="5167" customFormat="1" x14ac:dyDescent="0.3"/>
    <row r="5168" customFormat="1" x14ac:dyDescent="0.3"/>
    <row r="5169" customFormat="1" x14ac:dyDescent="0.3"/>
    <row r="5170" customFormat="1" x14ac:dyDescent="0.3"/>
    <row r="5171" customFormat="1" x14ac:dyDescent="0.3"/>
    <row r="5172" customFormat="1" x14ac:dyDescent="0.3"/>
    <row r="5173" customFormat="1" x14ac:dyDescent="0.3"/>
    <row r="5174" customFormat="1" x14ac:dyDescent="0.3"/>
    <row r="5175" customFormat="1" x14ac:dyDescent="0.3"/>
    <row r="5176" customFormat="1" x14ac:dyDescent="0.3"/>
    <row r="5177" customFormat="1" x14ac:dyDescent="0.3"/>
    <row r="5178" customFormat="1" x14ac:dyDescent="0.3"/>
    <row r="5179" customFormat="1" x14ac:dyDescent="0.3"/>
    <row r="5180" customFormat="1" x14ac:dyDescent="0.3"/>
    <row r="5181" customFormat="1" x14ac:dyDescent="0.3"/>
    <row r="5182" customFormat="1" x14ac:dyDescent="0.3"/>
    <row r="5183" customFormat="1" x14ac:dyDescent="0.3"/>
    <row r="5184" customFormat="1" x14ac:dyDescent="0.3"/>
    <row r="5185" customFormat="1" x14ac:dyDescent="0.3"/>
    <row r="5186" customFormat="1" x14ac:dyDescent="0.3"/>
    <row r="5187" customFormat="1" x14ac:dyDescent="0.3"/>
    <row r="5188" customFormat="1" x14ac:dyDescent="0.3"/>
    <row r="5189" customFormat="1" x14ac:dyDescent="0.3"/>
    <row r="5190" customFormat="1" x14ac:dyDescent="0.3"/>
    <row r="5191" customFormat="1" x14ac:dyDescent="0.3"/>
    <row r="5192" customFormat="1" x14ac:dyDescent="0.3"/>
    <row r="5193" customFormat="1" x14ac:dyDescent="0.3"/>
    <row r="5194" customFormat="1" x14ac:dyDescent="0.3"/>
    <row r="5195" customFormat="1" x14ac:dyDescent="0.3"/>
    <row r="5196" customFormat="1" x14ac:dyDescent="0.3"/>
    <row r="5197" customFormat="1" x14ac:dyDescent="0.3"/>
    <row r="5198" customFormat="1" x14ac:dyDescent="0.3"/>
    <row r="5199" customFormat="1" x14ac:dyDescent="0.3"/>
    <row r="5200" customFormat="1" x14ac:dyDescent="0.3"/>
    <row r="5201" customFormat="1" x14ac:dyDescent="0.3"/>
    <row r="5202" customFormat="1" x14ac:dyDescent="0.3"/>
    <row r="5203" customFormat="1" x14ac:dyDescent="0.3"/>
    <row r="5204" customFormat="1" x14ac:dyDescent="0.3"/>
    <row r="5205" customFormat="1" x14ac:dyDescent="0.3"/>
    <row r="5206" customFormat="1" x14ac:dyDescent="0.3"/>
    <row r="5207" customFormat="1" x14ac:dyDescent="0.3"/>
    <row r="5208" customFormat="1" x14ac:dyDescent="0.3"/>
    <row r="5209" customFormat="1" x14ac:dyDescent="0.3"/>
    <row r="5210" customFormat="1" x14ac:dyDescent="0.3"/>
    <row r="5211" customFormat="1" x14ac:dyDescent="0.3"/>
    <row r="5212" customFormat="1" x14ac:dyDescent="0.3"/>
    <row r="5213" customFormat="1" x14ac:dyDescent="0.3"/>
    <row r="5214" customFormat="1" x14ac:dyDescent="0.3"/>
    <row r="5215" customFormat="1" x14ac:dyDescent="0.3"/>
    <row r="5216" customFormat="1" x14ac:dyDescent="0.3"/>
    <row r="5217" customFormat="1" x14ac:dyDescent="0.3"/>
    <row r="5218" customFormat="1" x14ac:dyDescent="0.3"/>
    <row r="5219" customFormat="1" x14ac:dyDescent="0.3"/>
    <row r="5220" customFormat="1" x14ac:dyDescent="0.3"/>
    <row r="5221" customFormat="1" x14ac:dyDescent="0.3"/>
    <row r="5222" customFormat="1" x14ac:dyDescent="0.3"/>
    <row r="5223" customFormat="1" x14ac:dyDescent="0.3"/>
    <row r="5224" customFormat="1" x14ac:dyDescent="0.3"/>
    <row r="5225" customFormat="1" x14ac:dyDescent="0.3"/>
    <row r="5226" customFormat="1" x14ac:dyDescent="0.3"/>
    <row r="5227" customFormat="1" x14ac:dyDescent="0.3"/>
    <row r="5228" customFormat="1" x14ac:dyDescent="0.3"/>
    <row r="5229" customFormat="1" x14ac:dyDescent="0.3"/>
    <row r="5230" customFormat="1" x14ac:dyDescent="0.3"/>
    <row r="5231" customFormat="1" x14ac:dyDescent="0.3"/>
    <row r="5232" customFormat="1" x14ac:dyDescent="0.3"/>
    <row r="5233" customFormat="1" x14ac:dyDescent="0.3"/>
    <row r="5234" customFormat="1" x14ac:dyDescent="0.3"/>
    <row r="5235" customFormat="1" x14ac:dyDescent="0.3"/>
    <row r="5236" customFormat="1" x14ac:dyDescent="0.3"/>
    <row r="5237" customFormat="1" x14ac:dyDescent="0.3"/>
    <row r="5238" customFormat="1" x14ac:dyDescent="0.3"/>
    <row r="5239" customFormat="1" x14ac:dyDescent="0.3"/>
    <row r="5240" customFormat="1" x14ac:dyDescent="0.3"/>
    <row r="5241" customFormat="1" x14ac:dyDescent="0.3"/>
    <row r="5242" customFormat="1" x14ac:dyDescent="0.3"/>
    <row r="5243" customFormat="1" x14ac:dyDescent="0.3"/>
    <row r="5244" customFormat="1" x14ac:dyDescent="0.3"/>
    <row r="5245" customFormat="1" x14ac:dyDescent="0.3"/>
    <row r="5246" customFormat="1" x14ac:dyDescent="0.3"/>
    <row r="5247" customFormat="1" x14ac:dyDescent="0.3"/>
    <row r="5248" customFormat="1" x14ac:dyDescent="0.3"/>
    <row r="5249" customFormat="1" x14ac:dyDescent="0.3"/>
    <row r="5250" customFormat="1" x14ac:dyDescent="0.3"/>
    <row r="5251" customFormat="1" x14ac:dyDescent="0.3"/>
    <row r="5252" customFormat="1" x14ac:dyDescent="0.3"/>
    <row r="5253" customFormat="1" x14ac:dyDescent="0.3"/>
    <row r="5254" customFormat="1" x14ac:dyDescent="0.3"/>
    <row r="5255" customFormat="1" x14ac:dyDescent="0.3"/>
    <row r="5256" customFormat="1" x14ac:dyDescent="0.3"/>
    <row r="5257" customFormat="1" x14ac:dyDescent="0.3"/>
    <row r="5258" customFormat="1" x14ac:dyDescent="0.3"/>
    <row r="5259" customFormat="1" x14ac:dyDescent="0.3"/>
    <row r="5260" customFormat="1" x14ac:dyDescent="0.3"/>
    <row r="5261" customFormat="1" x14ac:dyDescent="0.3"/>
    <row r="5262" customFormat="1" x14ac:dyDescent="0.3"/>
    <row r="5263" customFormat="1" x14ac:dyDescent="0.3"/>
    <row r="5264" customFormat="1" x14ac:dyDescent="0.3"/>
    <row r="5265" customFormat="1" x14ac:dyDescent="0.3"/>
    <row r="5266" customFormat="1" x14ac:dyDescent="0.3"/>
    <row r="5267" customFormat="1" x14ac:dyDescent="0.3"/>
    <row r="5268" customFormat="1" x14ac:dyDescent="0.3"/>
    <row r="5269" customFormat="1" x14ac:dyDescent="0.3"/>
    <row r="5270" customFormat="1" x14ac:dyDescent="0.3"/>
    <row r="5271" customFormat="1" x14ac:dyDescent="0.3"/>
    <row r="5272" customFormat="1" x14ac:dyDescent="0.3"/>
    <row r="5273" customFormat="1" x14ac:dyDescent="0.3"/>
    <row r="5274" customFormat="1" x14ac:dyDescent="0.3"/>
    <row r="5275" customFormat="1" x14ac:dyDescent="0.3"/>
    <row r="5276" customFormat="1" x14ac:dyDescent="0.3"/>
    <row r="5277" customFormat="1" x14ac:dyDescent="0.3"/>
    <row r="5278" customFormat="1" x14ac:dyDescent="0.3"/>
    <row r="5279" customFormat="1" x14ac:dyDescent="0.3"/>
    <row r="5280" customFormat="1" x14ac:dyDescent="0.3"/>
    <row r="5281" customFormat="1" x14ac:dyDescent="0.3"/>
    <row r="5282" customFormat="1" x14ac:dyDescent="0.3"/>
    <row r="5283" customFormat="1" x14ac:dyDescent="0.3"/>
    <row r="5284" customFormat="1" x14ac:dyDescent="0.3"/>
    <row r="5285" customFormat="1" x14ac:dyDescent="0.3"/>
    <row r="5286" customFormat="1" x14ac:dyDescent="0.3"/>
    <row r="5287" customFormat="1" x14ac:dyDescent="0.3"/>
    <row r="5288" customFormat="1" x14ac:dyDescent="0.3"/>
    <row r="5289" customFormat="1" x14ac:dyDescent="0.3"/>
    <row r="5290" customFormat="1" x14ac:dyDescent="0.3"/>
    <row r="5291" customFormat="1" x14ac:dyDescent="0.3"/>
    <row r="5292" customFormat="1" x14ac:dyDescent="0.3"/>
    <row r="5293" customFormat="1" x14ac:dyDescent="0.3"/>
    <row r="5294" customFormat="1" x14ac:dyDescent="0.3"/>
    <row r="5295" customFormat="1" x14ac:dyDescent="0.3"/>
    <row r="5296" customFormat="1" x14ac:dyDescent="0.3"/>
    <row r="5297" customFormat="1" x14ac:dyDescent="0.3"/>
    <row r="5298" customFormat="1" x14ac:dyDescent="0.3"/>
    <row r="5299" customFormat="1" x14ac:dyDescent="0.3"/>
    <row r="5300" customFormat="1" x14ac:dyDescent="0.3"/>
    <row r="5301" customFormat="1" x14ac:dyDescent="0.3"/>
    <row r="5302" customFormat="1" x14ac:dyDescent="0.3"/>
    <row r="5303" customFormat="1" x14ac:dyDescent="0.3"/>
    <row r="5304" customFormat="1" x14ac:dyDescent="0.3"/>
    <row r="5305" customFormat="1" x14ac:dyDescent="0.3"/>
    <row r="5306" customFormat="1" x14ac:dyDescent="0.3"/>
    <row r="5307" customFormat="1" x14ac:dyDescent="0.3"/>
    <row r="5308" customFormat="1" x14ac:dyDescent="0.3"/>
    <row r="5309" customFormat="1" x14ac:dyDescent="0.3"/>
    <row r="5310" customFormat="1" x14ac:dyDescent="0.3"/>
    <row r="5311" customFormat="1" x14ac:dyDescent="0.3"/>
    <row r="5312" customFormat="1" x14ac:dyDescent="0.3"/>
    <row r="5313" customFormat="1" x14ac:dyDescent="0.3"/>
    <row r="5314" customFormat="1" x14ac:dyDescent="0.3"/>
    <row r="5315" customFormat="1" x14ac:dyDescent="0.3"/>
    <row r="5316" customFormat="1" x14ac:dyDescent="0.3"/>
    <row r="5317" customFormat="1" x14ac:dyDescent="0.3"/>
    <row r="5318" customFormat="1" x14ac:dyDescent="0.3"/>
    <row r="5319" customFormat="1" x14ac:dyDescent="0.3"/>
    <row r="5320" customFormat="1" x14ac:dyDescent="0.3"/>
    <row r="5321" customFormat="1" x14ac:dyDescent="0.3"/>
    <row r="5322" customFormat="1" x14ac:dyDescent="0.3"/>
    <row r="5323" customFormat="1" x14ac:dyDescent="0.3"/>
    <row r="5324" customFormat="1" x14ac:dyDescent="0.3"/>
    <row r="5325" customFormat="1" x14ac:dyDescent="0.3"/>
    <row r="5326" customFormat="1" x14ac:dyDescent="0.3"/>
    <row r="5327" customFormat="1" x14ac:dyDescent="0.3"/>
    <row r="5328" customFormat="1" x14ac:dyDescent="0.3"/>
    <row r="5329" customFormat="1" x14ac:dyDescent="0.3"/>
    <row r="5330" customFormat="1" x14ac:dyDescent="0.3"/>
    <row r="5331" customFormat="1" x14ac:dyDescent="0.3"/>
    <row r="5332" customFormat="1" x14ac:dyDescent="0.3"/>
    <row r="5333" customFormat="1" x14ac:dyDescent="0.3"/>
    <row r="5334" customFormat="1" x14ac:dyDescent="0.3"/>
    <row r="5335" customFormat="1" x14ac:dyDescent="0.3"/>
    <row r="5336" customFormat="1" x14ac:dyDescent="0.3"/>
    <row r="5337" customFormat="1" x14ac:dyDescent="0.3"/>
    <row r="5338" customFormat="1" x14ac:dyDescent="0.3"/>
    <row r="5339" customFormat="1" x14ac:dyDescent="0.3"/>
    <row r="5340" customFormat="1" x14ac:dyDescent="0.3"/>
    <row r="5341" customFormat="1" x14ac:dyDescent="0.3"/>
    <row r="5342" customFormat="1" x14ac:dyDescent="0.3"/>
    <row r="5343" customFormat="1" x14ac:dyDescent="0.3"/>
    <row r="5344" customFormat="1" x14ac:dyDescent="0.3"/>
    <row r="5345" customFormat="1" x14ac:dyDescent="0.3"/>
    <row r="5346" customFormat="1" x14ac:dyDescent="0.3"/>
    <row r="5347" customFormat="1" x14ac:dyDescent="0.3"/>
    <row r="5348" customFormat="1" x14ac:dyDescent="0.3"/>
    <row r="5349" customFormat="1" x14ac:dyDescent="0.3"/>
    <row r="5350" customFormat="1" x14ac:dyDescent="0.3"/>
    <row r="5351" customFormat="1" x14ac:dyDescent="0.3"/>
    <row r="5352" customFormat="1" x14ac:dyDescent="0.3"/>
    <row r="5353" customFormat="1" x14ac:dyDescent="0.3"/>
    <row r="5354" customFormat="1" x14ac:dyDescent="0.3"/>
    <row r="5355" customFormat="1" x14ac:dyDescent="0.3"/>
    <row r="5356" customFormat="1" x14ac:dyDescent="0.3"/>
    <row r="5357" customFormat="1" x14ac:dyDescent="0.3"/>
    <row r="5358" customFormat="1" x14ac:dyDescent="0.3"/>
    <row r="5359" customFormat="1" x14ac:dyDescent="0.3"/>
    <row r="5360" customFormat="1" x14ac:dyDescent="0.3"/>
    <row r="5361" customFormat="1" x14ac:dyDescent="0.3"/>
    <row r="5362" customFormat="1" x14ac:dyDescent="0.3"/>
    <row r="5363" customFormat="1" x14ac:dyDescent="0.3"/>
    <row r="5364" customFormat="1" x14ac:dyDescent="0.3"/>
    <row r="5365" customFormat="1" x14ac:dyDescent="0.3"/>
    <row r="5366" customFormat="1" x14ac:dyDescent="0.3"/>
    <row r="5367" customFormat="1" x14ac:dyDescent="0.3"/>
    <row r="5368" customFormat="1" x14ac:dyDescent="0.3"/>
    <row r="5369" customFormat="1" x14ac:dyDescent="0.3"/>
    <row r="5370" customFormat="1" x14ac:dyDescent="0.3"/>
    <row r="5371" customFormat="1" x14ac:dyDescent="0.3"/>
    <row r="5372" customFormat="1" x14ac:dyDescent="0.3"/>
    <row r="5373" customFormat="1" x14ac:dyDescent="0.3"/>
    <row r="5374" customFormat="1" x14ac:dyDescent="0.3"/>
    <row r="5375" customFormat="1" x14ac:dyDescent="0.3"/>
    <row r="5376" customFormat="1" x14ac:dyDescent="0.3"/>
    <row r="5377" customFormat="1" x14ac:dyDescent="0.3"/>
    <row r="5378" customFormat="1" x14ac:dyDescent="0.3"/>
    <row r="5379" customFormat="1" x14ac:dyDescent="0.3"/>
    <row r="5380" customFormat="1" x14ac:dyDescent="0.3"/>
    <row r="5381" customFormat="1" x14ac:dyDescent="0.3"/>
    <row r="5382" customFormat="1" x14ac:dyDescent="0.3"/>
    <row r="5383" customFormat="1" x14ac:dyDescent="0.3"/>
    <row r="5384" customFormat="1" x14ac:dyDescent="0.3"/>
    <row r="5385" customFormat="1" x14ac:dyDescent="0.3"/>
    <row r="5386" customFormat="1" x14ac:dyDescent="0.3"/>
    <row r="5387" customFormat="1" x14ac:dyDescent="0.3"/>
    <row r="5388" customFormat="1" x14ac:dyDescent="0.3"/>
    <row r="5389" customFormat="1" x14ac:dyDescent="0.3"/>
    <row r="5390" customFormat="1" x14ac:dyDescent="0.3"/>
    <row r="5391" customFormat="1" x14ac:dyDescent="0.3"/>
    <row r="5392" customFormat="1" x14ac:dyDescent="0.3"/>
    <row r="5393" customFormat="1" x14ac:dyDescent="0.3"/>
    <row r="5394" customFormat="1" x14ac:dyDescent="0.3"/>
    <row r="5395" customFormat="1" x14ac:dyDescent="0.3"/>
    <row r="5396" customFormat="1" x14ac:dyDescent="0.3"/>
    <row r="5397" customFormat="1" x14ac:dyDescent="0.3"/>
    <row r="5398" customFormat="1" x14ac:dyDescent="0.3"/>
    <row r="5399" customFormat="1" x14ac:dyDescent="0.3"/>
    <row r="5400" customFormat="1" x14ac:dyDescent="0.3"/>
    <row r="5401" customFormat="1" x14ac:dyDescent="0.3"/>
    <row r="5402" customFormat="1" x14ac:dyDescent="0.3"/>
    <row r="5403" customFormat="1" x14ac:dyDescent="0.3"/>
    <row r="5404" customFormat="1" x14ac:dyDescent="0.3"/>
    <row r="5405" customFormat="1" x14ac:dyDescent="0.3"/>
    <row r="5406" customFormat="1" x14ac:dyDescent="0.3"/>
    <row r="5407" customFormat="1" x14ac:dyDescent="0.3"/>
    <row r="5408" customFormat="1" x14ac:dyDescent="0.3"/>
    <row r="5409" customFormat="1" x14ac:dyDescent="0.3"/>
    <row r="5410" customFormat="1" x14ac:dyDescent="0.3"/>
    <row r="5411" customFormat="1" x14ac:dyDescent="0.3"/>
    <row r="5412" customFormat="1" x14ac:dyDescent="0.3"/>
    <row r="5413" customFormat="1" x14ac:dyDescent="0.3"/>
    <row r="5414" customFormat="1" x14ac:dyDescent="0.3"/>
    <row r="5415" customFormat="1" x14ac:dyDescent="0.3"/>
    <row r="5416" customFormat="1" x14ac:dyDescent="0.3"/>
    <row r="5417" customFormat="1" x14ac:dyDescent="0.3"/>
    <row r="5418" customFormat="1" x14ac:dyDescent="0.3"/>
    <row r="5419" customFormat="1" x14ac:dyDescent="0.3"/>
    <row r="5420" customFormat="1" x14ac:dyDescent="0.3"/>
    <row r="5421" customFormat="1" x14ac:dyDescent="0.3"/>
    <row r="5422" customFormat="1" x14ac:dyDescent="0.3"/>
    <row r="5423" customFormat="1" x14ac:dyDescent="0.3"/>
    <row r="5424" customFormat="1" x14ac:dyDescent="0.3"/>
    <row r="5425" customFormat="1" x14ac:dyDescent="0.3"/>
    <row r="5426" customFormat="1" x14ac:dyDescent="0.3"/>
    <row r="5427" customFormat="1" x14ac:dyDescent="0.3"/>
    <row r="5428" customFormat="1" x14ac:dyDescent="0.3"/>
    <row r="5429" customFormat="1" x14ac:dyDescent="0.3"/>
    <row r="5430" customFormat="1" x14ac:dyDescent="0.3"/>
    <row r="5431" customFormat="1" x14ac:dyDescent="0.3"/>
    <row r="5432" customFormat="1" x14ac:dyDescent="0.3"/>
    <row r="5433" customFormat="1" x14ac:dyDescent="0.3"/>
    <row r="5434" customFormat="1" x14ac:dyDescent="0.3"/>
    <row r="5435" customFormat="1" x14ac:dyDescent="0.3"/>
    <row r="5436" customFormat="1" x14ac:dyDescent="0.3"/>
    <row r="5437" customFormat="1" x14ac:dyDescent="0.3"/>
    <row r="5438" customFormat="1" x14ac:dyDescent="0.3"/>
    <row r="5439" customFormat="1" x14ac:dyDescent="0.3"/>
    <row r="5440" customFormat="1" x14ac:dyDescent="0.3"/>
    <row r="5441" customFormat="1" x14ac:dyDescent="0.3"/>
    <row r="5442" customFormat="1" x14ac:dyDescent="0.3"/>
    <row r="5443" customFormat="1" x14ac:dyDescent="0.3"/>
    <row r="5444" customFormat="1" x14ac:dyDescent="0.3"/>
    <row r="5445" customFormat="1" x14ac:dyDescent="0.3"/>
    <row r="5446" customFormat="1" x14ac:dyDescent="0.3"/>
    <row r="5447" customFormat="1" x14ac:dyDescent="0.3"/>
    <row r="5448" customFormat="1" x14ac:dyDescent="0.3"/>
    <row r="5449" customFormat="1" x14ac:dyDescent="0.3"/>
    <row r="5450" customFormat="1" x14ac:dyDescent="0.3"/>
    <row r="5451" customFormat="1" x14ac:dyDescent="0.3"/>
    <row r="5452" customFormat="1" x14ac:dyDescent="0.3"/>
    <row r="5453" customFormat="1" x14ac:dyDescent="0.3"/>
    <row r="5454" customFormat="1" x14ac:dyDescent="0.3"/>
    <row r="5455" customFormat="1" x14ac:dyDescent="0.3"/>
    <row r="5456" customFormat="1" x14ac:dyDescent="0.3"/>
    <row r="5457" customFormat="1" x14ac:dyDescent="0.3"/>
    <row r="5458" customFormat="1" x14ac:dyDescent="0.3"/>
    <row r="5459" customFormat="1" x14ac:dyDescent="0.3"/>
    <row r="5460" customFormat="1" x14ac:dyDescent="0.3"/>
    <row r="5461" customFormat="1" x14ac:dyDescent="0.3"/>
    <row r="5462" customFormat="1" x14ac:dyDescent="0.3"/>
    <row r="5463" customFormat="1" x14ac:dyDescent="0.3"/>
    <row r="5464" customFormat="1" x14ac:dyDescent="0.3"/>
    <row r="5465" customFormat="1" x14ac:dyDescent="0.3"/>
    <row r="5466" customFormat="1" x14ac:dyDescent="0.3"/>
    <row r="5467" customFormat="1" x14ac:dyDescent="0.3"/>
    <row r="5468" customFormat="1" x14ac:dyDescent="0.3"/>
    <row r="5469" customFormat="1" x14ac:dyDescent="0.3"/>
    <row r="5470" customFormat="1" x14ac:dyDescent="0.3"/>
    <row r="5471" customFormat="1" x14ac:dyDescent="0.3"/>
    <row r="5472" customFormat="1" x14ac:dyDescent="0.3"/>
    <row r="5473" customFormat="1" x14ac:dyDescent="0.3"/>
    <row r="5474" customFormat="1" x14ac:dyDescent="0.3"/>
    <row r="5475" customFormat="1" x14ac:dyDescent="0.3"/>
    <row r="5476" customFormat="1" x14ac:dyDescent="0.3"/>
    <row r="5477" customFormat="1" x14ac:dyDescent="0.3"/>
    <row r="5478" customFormat="1" x14ac:dyDescent="0.3"/>
    <row r="5479" customFormat="1" x14ac:dyDescent="0.3"/>
    <row r="5480" customFormat="1" x14ac:dyDescent="0.3"/>
    <row r="5481" customFormat="1" x14ac:dyDescent="0.3"/>
    <row r="5482" customFormat="1" x14ac:dyDescent="0.3"/>
    <row r="5483" customFormat="1" x14ac:dyDescent="0.3"/>
    <row r="5484" customFormat="1" x14ac:dyDescent="0.3"/>
    <row r="5485" customFormat="1" x14ac:dyDescent="0.3"/>
    <row r="5486" customFormat="1" x14ac:dyDescent="0.3"/>
    <row r="5487" customFormat="1" x14ac:dyDescent="0.3"/>
    <row r="5488" customFormat="1" x14ac:dyDescent="0.3"/>
    <row r="5489" customFormat="1" x14ac:dyDescent="0.3"/>
    <row r="5490" customFormat="1" x14ac:dyDescent="0.3"/>
    <row r="5491" customFormat="1" x14ac:dyDescent="0.3"/>
    <row r="5492" customFormat="1" x14ac:dyDescent="0.3"/>
    <row r="5493" customFormat="1" x14ac:dyDescent="0.3"/>
    <row r="5494" customFormat="1" x14ac:dyDescent="0.3"/>
    <row r="5495" customFormat="1" x14ac:dyDescent="0.3"/>
    <row r="5496" customFormat="1" x14ac:dyDescent="0.3"/>
    <row r="5497" customFormat="1" x14ac:dyDescent="0.3"/>
    <row r="5498" customFormat="1" x14ac:dyDescent="0.3"/>
    <row r="5499" customFormat="1" x14ac:dyDescent="0.3"/>
    <row r="5500" customFormat="1" x14ac:dyDescent="0.3"/>
    <row r="5501" customFormat="1" x14ac:dyDescent="0.3"/>
    <row r="5502" customFormat="1" x14ac:dyDescent="0.3"/>
    <row r="5503" customFormat="1" x14ac:dyDescent="0.3"/>
    <row r="5504" customFormat="1" x14ac:dyDescent="0.3"/>
    <row r="5505" customFormat="1" x14ac:dyDescent="0.3"/>
    <row r="5506" customFormat="1" x14ac:dyDescent="0.3"/>
    <row r="5507" customFormat="1" x14ac:dyDescent="0.3"/>
    <row r="5508" customFormat="1" x14ac:dyDescent="0.3"/>
    <row r="5509" customFormat="1" x14ac:dyDescent="0.3"/>
    <row r="5510" customFormat="1" x14ac:dyDescent="0.3"/>
    <row r="5511" customFormat="1" x14ac:dyDescent="0.3"/>
    <row r="5512" customFormat="1" x14ac:dyDescent="0.3"/>
    <row r="5513" customFormat="1" x14ac:dyDescent="0.3"/>
    <row r="5514" customFormat="1" x14ac:dyDescent="0.3"/>
    <row r="5515" customFormat="1" x14ac:dyDescent="0.3"/>
    <row r="5516" customFormat="1" x14ac:dyDescent="0.3"/>
    <row r="5517" customFormat="1" x14ac:dyDescent="0.3"/>
    <row r="5518" customFormat="1" x14ac:dyDescent="0.3"/>
    <row r="5519" customFormat="1" x14ac:dyDescent="0.3"/>
    <row r="5520" customFormat="1" x14ac:dyDescent="0.3"/>
    <row r="5521" customFormat="1" x14ac:dyDescent="0.3"/>
    <row r="5522" customFormat="1" x14ac:dyDescent="0.3"/>
    <row r="5523" customFormat="1" x14ac:dyDescent="0.3"/>
    <row r="5524" customFormat="1" x14ac:dyDescent="0.3"/>
    <row r="5525" customFormat="1" x14ac:dyDescent="0.3"/>
    <row r="5526" customFormat="1" x14ac:dyDescent="0.3"/>
    <row r="5527" customFormat="1" x14ac:dyDescent="0.3"/>
    <row r="5528" customFormat="1" x14ac:dyDescent="0.3"/>
    <row r="5529" customFormat="1" x14ac:dyDescent="0.3"/>
    <row r="5530" customFormat="1" x14ac:dyDescent="0.3"/>
    <row r="5531" customFormat="1" x14ac:dyDescent="0.3"/>
    <row r="5532" customFormat="1" x14ac:dyDescent="0.3"/>
    <row r="5533" customFormat="1" x14ac:dyDescent="0.3"/>
    <row r="5534" customFormat="1" x14ac:dyDescent="0.3"/>
    <row r="5535" customFormat="1" x14ac:dyDescent="0.3"/>
    <row r="5536" customFormat="1" x14ac:dyDescent="0.3"/>
    <row r="5537" customFormat="1" x14ac:dyDescent="0.3"/>
    <row r="5538" customFormat="1" x14ac:dyDescent="0.3"/>
    <row r="5539" customFormat="1" x14ac:dyDescent="0.3"/>
    <row r="5540" customFormat="1" x14ac:dyDescent="0.3"/>
    <row r="5541" customFormat="1" x14ac:dyDescent="0.3"/>
    <row r="5542" customFormat="1" x14ac:dyDescent="0.3"/>
    <row r="5543" customFormat="1" x14ac:dyDescent="0.3"/>
    <row r="5544" customFormat="1" x14ac:dyDescent="0.3"/>
    <row r="5545" customFormat="1" x14ac:dyDescent="0.3"/>
    <row r="5546" customFormat="1" x14ac:dyDescent="0.3"/>
    <row r="5547" customFormat="1" x14ac:dyDescent="0.3"/>
    <row r="5548" customFormat="1" x14ac:dyDescent="0.3"/>
    <row r="5549" customFormat="1" x14ac:dyDescent="0.3"/>
    <row r="5550" customFormat="1" x14ac:dyDescent="0.3"/>
    <row r="5551" customFormat="1" x14ac:dyDescent="0.3"/>
    <row r="5552" customFormat="1" x14ac:dyDescent="0.3"/>
    <row r="5553" customFormat="1" x14ac:dyDescent="0.3"/>
    <row r="5554" customFormat="1" x14ac:dyDescent="0.3"/>
    <row r="5555" customFormat="1" x14ac:dyDescent="0.3"/>
    <row r="5556" customFormat="1" x14ac:dyDescent="0.3"/>
    <row r="5557" customFormat="1" x14ac:dyDescent="0.3"/>
    <row r="5558" customFormat="1" x14ac:dyDescent="0.3"/>
    <row r="5559" customFormat="1" x14ac:dyDescent="0.3"/>
    <row r="5560" customFormat="1" x14ac:dyDescent="0.3"/>
    <row r="5561" customFormat="1" x14ac:dyDescent="0.3"/>
    <row r="5562" customFormat="1" x14ac:dyDescent="0.3"/>
    <row r="5563" customFormat="1" x14ac:dyDescent="0.3"/>
    <row r="5564" customFormat="1" x14ac:dyDescent="0.3"/>
    <row r="5565" customFormat="1" x14ac:dyDescent="0.3"/>
    <row r="5566" customFormat="1" x14ac:dyDescent="0.3"/>
    <row r="5567" customFormat="1" x14ac:dyDescent="0.3"/>
    <row r="5568" customFormat="1" x14ac:dyDescent="0.3"/>
    <row r="5569" customFormat="1" x14ac:dyDescent="0.3"/>
    <row r="5570" customFormat="1" x14ac:dyDescent="0.3"/>
    <row r="5571" customFormat="1" x14ac:dyDescent="0.3"/>
    <row r="5572" customFormat="1" x14ac:dyDescent="0.3"/>
    <row r="5573" customFormat="1" x14ac:dyDescent="0.3"/>
    <row r="5574" customFormat="1" x14ac:dyDescent="0.3"/>
    <row r="5575" customFormat="1" x14ac:dyDescent="0.3"/>
    <row r="5576" customFormat="1" x14ac:dyDescent="0.3"/>
    <row r="5577" customFormat="1" x14ac:dyDescent="0.3"/>
    <row r="5578" customFormat="1" x14ac:dyDescent="0.3"/>
    <row r="5579" customFormat="1" x14ac:dyDescent="0.3"/>
    <row r="5580" customFormat="1" x14ac:dyDescent="0.3"/>
    <row r="5581" customFormat="1" x14ac:dyDescent="0.3"/>
    <row r="5582" customFormat="1" x14ac:dyDescent="0.3"/>
    <row r="5583" customFormat="1" x14ac:dyDescent="0.3"/>
    <row r="5584" customFormat="1" x14ac:dyDescent="0.3"/>
    <row r="5585" customFormat="1" x14ac:dyDescent="0.3"/>
    <row r="5586" customFormat="1" x14ac:dyDescent="0.3"/>
    <row r="5587" customFormat="1" x14ac:dyDescent="0.3"/>
    <row r="5588" customFormat="1" x14ac:dyDescent="0.3"/>
    <row r="5589" customFormat="1" x14ac:dyDescent="0.3"/>
    <row r="5590" customFormat="1" x14ac:dyDescent="0.3"/>
    <row r="5591" customFormat="1" x14ac:dyDescent="0.3"/>
    <row r="5592" customFormat="1" x14ac:dyDescent="0.3"/>
    <row r="5593" customFormat="1" x14ac:dyDescent="0.3"/>
    <row r="5594" customFormat="1" x14ac:dyDescent="0.3"/>
    <row r="5595" customFormat="1" x14ac:dyDescent="0.3"/>
    <row r="5596" customFormat="1" x14ac:dyDescent="0.3"/>
    <row r="5597" customFormat="1" x14ac:dyDescent="0.3"/>
    <row r="5598" customFormat="1" x14ac:dyDescent="0.3"/>
    <row r="5599" customFormat="1" x14ac:dyDescent="0.3"/>
    <row r="5600" customFormat="1" x14ac:dyDescent="0.3"/>
    <row r="5601" customFormat="1" x14ac:dyDescent="0.3"/>
    <row r="5602" customFormat="1" x14ac:dyDescent="0.3"/>
    <row r="5603" customFormat="1" x14ac:dyDescent="0.3"/>
    <row r="5604" customFormat="1" x14ac:dyDescent="0.3"/>
    <row r="5605" customFormat="1" x14ac:dyDescent="0.3"/>
    <row r="5606" customFormat="1" x14ac:dyDescent="0.3"/>
    <row r="5607" customFormat="1" x14ac:dyDescent="0.3"/>
    <row r="5608" customFormat="1" x14ac:dyDescent="0.3"/>
    <row r="5609" customFormat="1" x14ac:dyDescent="0.3"/>
    <row r="5610" customFormat="1" x14ac:dyDescent="0.3"/>
    <row r="5611" customFormat="1" x14ac:dyDescent="0.3"/>
    <row r="5612" customFormat="1" x14ac:dyDescent="0.3"/>
    <row r="5613" customFormat="1" x14ac:dyDescent="0.3"/>
    <row r="5614" customFormat="1" x14ac:dyDescent="0.3"/>
    <row r="5615" customFormat="1" x14ac:dyDescent="0.3"/>
    <row r="5616" customFormat="1" x14ac:dyDescent="0.3"/>
    <row r="5617" customFormat="1" x14ac:dyDescent="0.3"/>
    <row r="5618" customFormat="1" x14ac:dyDescent="0.3"/>
    <row r="5619" customFormat="1" x14ac:dyDescent="0.3"/>
    <row r="5620" customFormat="1" x14ac:dyDescent="0.3"/>
    <row r="5621" customFormat="1" x14ac:dyDescent="0.3"/>
    <row r="5622" customFormat="1" x14ac:dyDescent="0.3"/>
    <row r="5623" customFormat="1" x14ac:dyDescent="0.3"/>
    <row r="5624" customFormat="1" x14ac:dyDescent="0.3"/>
    <row r="5625" customFormat="1" x14ac:dyDescent="0.3"/>
    <row r="5626" customFormat="1" x14ac:dyDescent="0.3"/>
    <row r="5627" customFormat="1" x14ac:dyDescent="0.3"/>
    <row r="5628" customFormat="1" x14ac:dyDescent="0.3"/>
    <row r="5629" customFormat="1" x14ac:dyDescent="0.3"/>
    <row r="5630" customFormat="1" x14ac:dyDescent="0.3"/>
    <row r="5631" customFormat="1" x14ac:dyDescent="0.3"/>
    <row r="5632" customFormat="1" x14ac:dyDescent="0.3"/>
    <row r="5633" customFormat="1" x14ac:dyDescent="0.3"/>
    <row r="5634" customFormat="1" x14ac:dyDescent="0.3"/>
    <row r="5635" customFormat="1" x14ac:dyDescent="0.3"/>
    <row r="5636" customFormat="1" x14ac:dyDescent="0.3"/>
    <row r="5637" customFormat="1" x14ac:dyDescent="0.3"/>
    <row r="5638" customFormat="1" x14ac:dyDescent="0.3"/>
    <row r="5639" customFormat="1" x14ac:dyDescent="0.3"/>
    <row r="5640" customFormat="1" x14ac:dyDescent="0.3"/>
    <row r="5641" customFormat="1" x14ac:dyDescent="0.3"/>
    <row r="5642" customFormat="1" x14ac:dyDescent="0.3"/>
    <row r="5643" customFormat="1" x14ac:dyDescent="0.3"/>
    <row r="5644" customFormat="1" x14ac:dyDescent="0.3"/>
    <row r="5645" customFormat="1" x14ac:dyDescent="0.3"/>
    <row r="5646" customFormat="1" x14ac:dyDescent="0.3"/>
    <row r="5647" customFormat="1" x14ac:dyDescent="0.3"/>
    <row r="5648" customFormat="1" x14ac:dyDescent="0.3"/>
    <row r="5649" customFormat="1" x14ac:dyDescent="0.3"/>
    <row r="5650" customFormat="1" x14ac:dyDescent="0.3"/>
    <row r="5651" customFormat="1" x14ac:dyDescent="0.3"/>
    <row r="5652" customFormat="1" x14ac:dyDescent="0.3"/>
    <row r="5653" customFormat="1" x14ac:dyDescent="0.3"/>
    <row r="5654" customFormat="1" x14ac:dyDescent="0.3"/>
    <row r="5655" customFormat="1" x14ac:dyDescent="0.3"/>
    <row r="5656" customFormat="1" x14ac:dyDescent="0.3"/>
    <row r="5657" customFormat="1" x14ac:dyDescent="0.3"/>
    <row r="5658" customFormat="1" x14ac:dyDescent="0.3"/>
    <row r="5659" customFormat="1" x14ac:dyDescent="0.3"/>
    <row r="5660" customFormat="1" x14ac:dyDescent="0.3"/>
    <row r="5661" customFormat="1" x14ac:dyDescent="0.3"/>
    <row r="5662" customFormat="1" x14ac:dyDescent="0.3"/>
    <row r="5663" customFormat="1" x14ac:dyDescent="0.3"/>
    <row r="5664" customFormat="1" x14ac:dyDescent="0.3"/>
    <row r="5665" customFormat="1" x14ac:dyDescent="0.3"/>
    <row r="5666" customFormat="1" x14ac:dyDescent="0.3"/>
    <row r="5667" customFormat="1" x14ac:dyDescent="0.3"/>
    <row r="5668" customFormat="1" x14ac:dyDescent="0.3"/>
    <row r="5669" customFormat="1" x14ac:dyDescent="0.3"/>
    <row r="5670" customFormat="1" x14ac:dyDescent="0.3"/>
    <row r="5671" customFormat="1" x14ac:dyDescent="0.3"/>
    <row r="5672" customFormat="1" x14ac:dyDescent="0.3"/>
    <row r="5673" customFormat="1" x14ac:dyDescent="0.3"/>
    <row r="5674" customFormat="1" x14ac:dyDescent="0.3"/>
    <row r="5675" customFormat="1" x14ac:dyDescent="0.3"/>
    <row r="5676" customFormat="1" x14ac:dyDescent="0.3"/>
    <row r="5677" customFormat="1" x14ac:dyDescent="0.3"/>
    <row r="5678" customFormat="1" x14ac:dyDescent="0.3"/>
    <row r="5679" customFormat="1" x14ac:dyDescent="0.3"/>
    <row r="5680" customFormat="1" x14ac:dyDescent="0.3"/>
    <row r="5681" customFormat="1" x14ac:dyDescent="0.3"/>
    <row r="5682" customFormat="1" x14ac:dyDescent="0.3"/>
    <row r="5683" customFormat="1" x14ac:dyDescent="0.3"/>
    <row r="5684" customFormat="1" x14ac:dyDescent="0.3"/>
    <row r="5685" customFormat="1" x14ac:dyDescent="0.3"/>
    <row r="5686" customFormat="1" x14ac:dyDescent="0.3"/>
    <row r="5687" customFormat="1" x14ac:dyDescent="0.3"/>
    <row r="5688" customFormat="1" x14ac:dyDescent="0.3"/>
    <row r="5689" customFormat="1" x14ac:dyDescent="0.3"/>
    <row r="5690" customFormat="1" x14ac:dyDescent="0.3"/>
    <row r="5691" customFormat="1" x14ac:dyDescent="0.3"/>
    <row r="5692" customFormat="1" x14ac:dyDescent="0.3"/>
    <row r="5693" customFormat="1" x14ac:dyDescent="0.3"/>
    <row r="5694" customFormat="1" x14ac:dyDescent="0.3"/>
    <row r="5695" customFormat="1" x14ac:dyDescent="0.3"/>
    <row r="5696" customFormat="1" x14ac:dyDescent="0.3"/>
    <row r="5697" customFormat="1" x14ac:dyDescent="0.3"/>
    <row r="5698" customFormat="1" x14ac:dyDescent="0.3"/>
    <row r="5699" customFormat="1" x14ac:dyDescent="0.3"/>
    <row r="5700" customFormat="1" x14ac:dyDescent="0.3"/>
    <row r="5701" customFormat="1" x14ac:dyDescent="0.3"/>
    <row r="5702" customFormat="1" x14ac:dyDescent="0.3"/>
    <row r="5703" customFormat="1" x14ac:dyDescent="0.3"/>
    <row r="5704" customFormat="1" x14ac:dyDescent="0.3"/>
    <row r="5705" customFormat="1" x14ac:dyDescent="0.3"/>
    <row r="5706" customFormat="1" x14ac:dyDescent="0.3"/>
    <row r="5707" customFormat="1" x14ac:dyDescent="0.3"/>
    <row r="5708" customFormat="1" x14ac:dyDescent="0.3"/>
    <row r="5709" customFormat="1" x14ac:dyDescent="0.3"/>
    <row r="5710" customFormat="1" x14ac:dyDescent="0.3"/>
    <row r="5711" customFormat="1" x14ac:dyDescent="0.3"/>
    <row r="5712" customFormat="1" x14ac:dyDescent="0.3"/>
    <row r="5713" customFormat="1" x14ac:dyDescent="0.3"/>
    <row r="5714" customFormat="1" x14ac:dyDescent="0.3"/>
    <row r="5715" customFormat="1" x14ac:dyDescent="0.3"/>
    <row r="5716" customFormat="1" x14ac:dyDescent="0.3"/>
    <row r="5717" customFormat="1" x14ac:dyDescent="0.3"/>
    <row r="5718" customFormat="1" x14ac:dyDescent="0.3"/>
    <row r="5719" customFormat="1" x14ac:dyDescent="0.3"/>
    <row r="5720" customFormat="1" x14ac:dyDescent="0.3"/>
    <row r="5721" customFormat="1" x14ac:dyDescent="0.3"/>
    <row r="5722" customFormat="1" x14ac:dyDescent="0.3"/>
    <row r="5723" customFormat="1" x14ac:dyDescent="0.3"/>
    <row r="5724" customFormat="1" x14ac:dyDescent="0.3"/>
    <row r="5725" customFormat="1" x14ac:dyDescent="0.3"/>
    <row r="5726" customFormat="1" x14ac:dyDescent="0.3"/>
    <row r="5727" customFormat="1" x14ac:dyDescent="0.3"/>
    <row r="5728" customFormat="1" x14ac:dyDescent="0.3"/>
    <row r="5729" customFormat="1" x14ac:dyDescent="0.3"/>
    <row r="5730" customFormat="1" x14ac:dyDescent="0.3"/>
    <row r="5731" customFormat="1" x14ac:dyDescent="0.3"/>
    <row r="5732" customFormat="1" x14ac:dyDescent="0.3"/>
    <row r="5733" customFormat="1" x14ac:dyDescent="0.3"/>
    <row r="5734" customFormat="1" x14ac:dyDescent="0.3"/>
    <row r="5735" customFormat="1" x14ac:dyDescent="0.3"/>
    <row r="5736" customFormat="1" x14ac:dyDescent="0.3"/>
    <row r="5737" customFormat="1" x14ac:dyDescent="0.3"/>
    <row r="5738" customFormat="1" x14ac:dyDescent="0.3"/>
    <row r="5739" customFormat="1" x14ac:dyDescent="0.3"/>
    <row r="5740" customFormat="1" x14ac:dyDescent="0.3"/>
    <row r="5741" customFormat="1" x14ac:dyDescent="0.3"/>
    <row r="5742" customFormat="1" x14ac:dyDescent="0.3"/>
    <row r="5743" customFormat="1" x14ac:dyDescent="0.3"/>
    <row r="5744" customFormat="1" x14ac:dyDescent="0.3"/>
    <row r="5745" customFormat="1" x14ac:dyDescent="0.3"/>
    <row r="5746" customFormat="1" x14ac:dyDescent="0.3"/>
    <row r="5747" customFormat="1" x14ac:dyDescent="0.3"/>
    <row r="5748" customFormat="1" x14ac:dyDescent="0.3"/>
    <row r="5749" customFormat="1" x14ac:dyDescent="0.3"/>
    <row r="5750" customFormat="1" x14ac:dyDescent="0.3"/>
    <row r="5751" customFormat="1" x14ac:dyDescent="0.3"/>
    <row r="5752" customFormat="1" x14ac:dyDescent="0.3"/>
    <row r="5753" customFormat="1" x14ac:dyDescent="0.3"/>
    <row r="5754" customFormat="1" x14ac:dyDescent="0.3"/>
    <row r="5755" customFormat="1" x14ac:dyDescent="0.3"/>
    <row r="5756" customFormat="1" x14ac:dyDescent="0.3"/>
    <row r="5757" customFormat="1" x14ac:dyDescent="0.3"/>
    <row r="5758" customFormat="1" x14ac:dyDescent="0.3"/>
    <row r="5759" customFormat="1" x14ac:dyDescent="0.3"/>
    <row r="5760" customFormat="1" x14ac:dyDescent="0.3"/>
    <row r="5761" customFormat="1" x14ac:dyDescent="0.3"/>
    <row r="5762" customFormat="1" x14ac:dyDescent="0.3"/>
    <row r="5763" customFormat="1" x14ac:dyDescent="0.3"/>
    <row r="5764" customFormat="1" x14ac:dyDescent="0.3"/>
    <row r="5765" customFormat="1" x14ac:dyDescent="0.3"/>
    <row r="5766" customFormat="1" x14ac:dyDescent="0.3"/>
    <row r="5767" customFormat="1" x14ac:dyDescent="0.3"/>
    <row r="5768" customFormat="1" x14ac:dyDescent="0.3"/>
    <row r="5769" customFormat="1" x14ac:dyDescent="0.3"/>
    <row r="5770" customFormat="1" x14ac:dyDescent="0.3"/>
    <row r="5771" customFormat="1" x14ac:dyDescent="0.3"/>
    <row r="5772" customFormat="1" x14ac:dyDescent="0.3"/>
    <row r="5773" customFormat="1" x14ac:dyDescent="0.3"/>
    <row r="5774" customFormat="1" x14ac:dyDescent="0.3"/>
    <row r="5775" customFormat="1" x14ac:dyDescent="0.3"/>
    <row r="5776" customFormat="1" x14ac:dyDescent="0.3"/>
    <row r="5777" customFormat="1" x14ac:dyDescent="0.3"/>
    <row r="5778" customFormat="1" x14ac:dyDescent="0.3"/>
    <row r="5779" customFormat="1" x14ac:dyDescent="0.3"/>
    <row r="5780" customFormat="1" x14ac:dyDescent="0.3"/>
    <row r="5781" customFormat="1" x14ac:dyDescent="0.3"/>
    <row r="5782" customFormat="1" x14ac:dyDescent="0.3"/>
    <row r="5783" customFormat="1" x14ac:dyDescent="0.3"/>
    <row r="5784" customFormat="1" x14ac:dyDescent="0.3"/>
    <row r="5785" customFormat="1" x14ac:dyDescent="0.3"/>
    <row r="5786" customFormat="1" x14ac:dyDescent="0.3"/>
    <row r="5787" customFormat="1" x14ac:dyDescent="0.3"/>
    <row r="5788" customFormat="1" x14ac:dyDescent="0.3"/>
    <row r="5789" customFormat="1" x14ac:dyDescent="0.3"/>
    <row r="5790" customFormat="1" x14ac:dyDescent="0.3"/>
    <row r="5791" customFormat="1" x14ac:dyDescent="0.3"/>
    <row r="5792" customFormat="1" x14ac:dyDescent="0.3"/>
    <row r="5793" customFormat="1" x14ac:dyDescent="0.3"/>
    <row r="5794" customFormat="1" x14ac:dyDescent="0.3"/>
    <row r="5795" customFormat="1" x14ac:dyDescent="0.3"/>
    <row r="5796" customFormat="1" x14ac:dyDescent="0.3"/>
    <row r="5797" customFormat="1" x14ac:dyDescent="0.3"/>
    <row r="5798" customFormat="1" x14ac:dyDescent="0.3"/>
    <row r="5799" customFormat="1" x14ac:dyDescent="0.3"/>
    <row r="5800" customFormat="1" x14ac:dyDescent="0.3"/>
    <row r="5801" customFormat="1" x14ac:dyDescent="0.3"/>
    <row r="5802" customFormat="1" x14ac:dyDescent="0.3"/>
    <row r="5803" customFormat="1" x14ac:dyDescent="0.3"/>
    <row r="5804" customFormat="1" x14ac:dyDescent="0.3"/>
    <row r="5805" customFormat="1" x14ac:dyDescent="0.3"/>
    <row r="5806" customFormat="1" x14ac:dyDescent="0.3"/>
    <row r="5807" customFormat="1" x14ac:dyDescent="0.3"/>
    <row r="5808" customFormat="1" x14ac:dyDescent="0.3"/>
    <row r="5809" customFormat="1" x14ac:dyDescent="0.3"/>
    <row r="5810" customFormat="1" x14ac:dyDescent="0.3"/>
    <row r="5811" customFormat="1" x14ac:dyDescent="0.3"/>
    <row r="5812" customFormat="1" x14ac:dyDescent="0.3"/>
    <row r="5813" customFormat="1" x14ac:dyDescent="0.3"/>
    <row r="5814" customFormat="1" x14ac:dyDescent="0.3"/>
    <row r="5815" customFormat="1" x14ac:dyDescent="0.3"/>
    <row r="5816" customFormat="1" x14ac:dyDescent="0.3"/>
    <row r="5817" customFormat="1" x14ac:dyDescent="0.3"/>
    <row r="5818" customFormat="1" x14ac:dyDescent="0.3"/>
    <row r="5819" customFormat="1" x14ac:dyDescent="0.3"/>
    <row r="5820" customFormat="1" x14ac:dyDescent="0.3"/>
    <row r="5821" customFormat="1" x14ac:dyDescent="0.3"/>
    <row r="5822" customFormat="1" x14ac:dyDescent="0.3"/>
    <row r="5823" customFormat="1" x14ac:dyDescent="0.3"/>
    <row r="5824" customFormat="1" x14ac:dyDescent="0.3"/>
    <row r="5825" customFormat="1" x14ac:dyDescent="0.3"/>
    <row r="5826" customFormat="1" x14ac:dyDescent="0.3"/>
    <row r="5827" customFormat="1" x14ac:dyDescent="0.3"/>
    <row r="5828" customFormat="1" x14ac:dyDescent="0.3"/>
    <row r="5829" customFormat="1" x14ac:dyDescent="0.3"/>
    <row r="5830" customFormat="1" x14ac:dyDescent="0.3"/>
    <row r="5831" customFormat="1" x14ac:dyDescent="0.3"/>
    <row r="5832" customFormat="1" x14ac:dyDescent="0.3"/>
    <row r="5833" customFormat="1" x14ac:dyDescent="0.3"/>
    <row r="5834" customFormat="1" x14ac:dyDescent="0.3"/>
    <row r="5835" customFormat="1" x14ac:dyDescent="0.3"/>
    <row r="5836" customFormat="1" x14ac:dyDescent="0.3"/>
    <row r="5837" customFormat="1" x14ac:dyDescent="0.3"/>
    <row r="5838" customFormat="1" x14ac:dyDescent="0.3"/>
    <row r="5839" customFormat="1" x14ac:dyDescent="0.3"/>
    <row r="5840" customFormat="1" x14ac:dyDescent="0.3"/>
    <row r="5841" customFormat="1" x14ac:dyDescent="0.3"/>
    <row r="5842" customFormat="1" x14ac:dyDescent="0.3"/>
    <row r="5843" customFormat="1" x14ac:dyDescent="0.3"/>
    <row r="5844" customFormat="1" x14ac:dyDescent="0.3"/>
    <row r="5845" customFormat="1" x14ac:dyDescent="0.3"/>
    <row r="5846" customFormat="1" x14ac:dyDescent="0.3"/>
    <row r="5847" customFormat="1" x14ac:dyDescent="0.3"/>
    <row r="5848" customFormat="1" x14ac:dyDescent="0.3"/>
    <row r="5849" customFormat="1" x14ac:dyDescent="0.3"/>
    <row r="5850" customFormat="1" x14ac:dyDescent="0.3"/>
    <row r="5851" customFormat="1" x14ac:dyDescent="0.3"/>
    <row r="5852" customFormat="1" x14ac:dyDescent="0.3"/>
    <row r="5853" customFormat="1" x14ac:dyDescent="0.3"/>
    <row r="5854" customFormat="1" x14ac:dyDescent="0.3"/>
    <row r="5855" customFormat="1" x14ac:dyDescent="0.3"/>
    <row r="5856" customFormat="1" x14ac:dyDescent="0.3"/>
    <row r="5857" customFormat="1" x14ac:dyDescent="0.3"/>
    <row r="5858" customFormat="1" x14ac:dyDescent="0.3"/>
    <row r="5859" customFormat="1" x14ac:dyDescent="0.3"/>
    <row r="5860" customFormat="1" x14ac:dyDescent="0.3"/>
    <row r="5861" customFormat="1" x14ac:dyDescent="0.3"/>
    <row r="5862" customFormat="1" x14ac:dyDescent="0.3"/>
    <row r="5863" customFormat="1" x14ac:dyDescent="0.3"/>
    <row r="5864" customFormat="1" x14ac:dyDescent="0.3"/>
    <row r="5865" customFormat="1" x14ac:dyDescent="0.3"/>
    <row r="5866" customFormat="1" x14ac:dyDescent="0.3"/>
    <row r="5867" customFormat="1" x14ac:dyDescent="0.3"/>
    <row r="5868" customFormat="1" x14ac:dyDescent="0.3"/>
    <row r="5869" customFormat="1" x14ac:dyDescent="0.3"/>
    <row r="5870" customFormat="1" x14ac:dyDescent="0.3"/>
    <row r="5871" customFormat="1" x14ac:dyDescent="0.3"/>
    <row r="5872" customFormat="1" x14ac:dyDescent="0.3"/>
    <row r="5873" customFormat="1" x14ac:dyDescent="0.3"/>
    <row r="5874" customFormat="1" x14ac:dyDescent="0.3"/>
    <row r="5875" customFormat="1" x14ac:dyDescent="0.3"/>
    <row r="5876" customFormat="1" x14ac:dyDescent="0.3"/>
    <row r="5877" customFormat="1" x14ac:dyDescent="0.3"/>
    <row r="5878" customFormat="1" x14ac:dyDescent="0.3"/>
    <row r="5879" customFormat="1" x14ac:dyDescent="0.3"/>
    <row r="5880" customFormat="1" x14ac:dyDescent="0.3"/>
    <row r="5881" customFormat="1" x14ac:dyDescent="0.3"/>
    <row r="5882" customFormat="1" x14ac:dyDescent="0.3"/>
    <row r="5883" customFormat="1" x14ac:dyDescent="0.3"/>
    <row r="5884" customFormat="1" x14ac:dyDescent="0.3"/>
    <row r="5885" customFormat="1" x14ac:dyDescent="0.3"/>
    <row r="5886" customFormat="1" x14ac:dyDescent="0.3"/>
    <row r="5887" customFormat="1" x14ac:dyDescent="0.3"/>
    <row r="5888" customFormat="1" x14ac:dyDescent="0.3"/>
    <row r="5889" customFormat="1" x14ac:dyDescent="0.3"/>
    <row r="5890" customFormat="1" x14ac:dyDescent="0.3"/>
    <row r="5891" customFormat="1" x14ac:dyDescent="0.3"/>
    <row r="5892" customFormat="1" x14ac:dyDescent="0.3"/>
    <row r="5893" customFormat="1" x14ac:dyDescent="0.3"/>
    <row r="5894" customFormat="1" x14ac:dyDescent="0.3"/>
    <row r="5895" customFormat="1" x14ac:dyDescent="0.3"/>
    <row r="5896" customFormat="1" x14ac:dyDescent="0.3"/>
    <row r="5897" customFormat="1" x14ac:dyDescent="0.3"/>
    <row r="5898" customFormat="1" x14ac:dyDescent="0.3"/>
    <row r="5899" customFormat="1" x14ac:dyDescent="0.3"/>
    <row r="5900" customFormat="1" x14ac:dyDescent="0.3"/>
    <row r="5901" customFormat="1" x14ac:dyDescent="0.3"/>
    <row r="5902" customFormat="1" x14ac:dyDescent="0.3"/>
    <row r="5903" customFormat="1" x14ac:dyDescent="0.3"/>
    <row r="5904" customFormat="1" x14ac:dyDescent="0.3"/>
    <row r="5905" customFormat="1" x14ac:dyDescent="0.3"/>
    <row r="5906" customFormat="1" x14ac:dyDescent="0.3"/>
    <row r="5907" customFormat="1" x14ac:dyDescent="0.3"/>
    <row r="5908" customFormat="1" x14ac:dyDescent="0.3"/>
    <row r="5909" customFormat="1" x14ac:dyDescent="0.3"/>
    <row r="5910" customFormat="1" x14ac:dyDescent="0.3"/>
    <row r="5911" customFormat="1" x14ac:dyDescent="0.3"/>
    <row r="5912" customFormat="1" x14ac:dyDescent="0.3"/>
    <row r="5913" customFormat="1" x14ac:dyDescent="0.3"/>
    <row r="5914" customFormat="1" x14ac:dyDescent="0.3"/>
    <row r="5915" customFormat="1" x14ac:dyDescent="0.3"/>
    <row r="5916" customFormat="1" x14ac:dyDescent="0.3"/>
    <row r="5917" customFormat="1" x14ac:dyDescent="0.3"/>
    <row r="5918" customFormat="1" x14ac:dyDescent="0.3"/>
    <row r="5919" customFormat="1" x14ac:dyDescent="0.3"/>
    <row r="5920" customFormat="1" x14ac:dyDescent="0.3"/>
    <row r="5921" customFormat="1" x14ac:dyDescent="0.3"/>
    <row r="5922" customFormat="1" x14ac:dyDescent="0.3"/>
    <row r="5923" customFormat="1" x14ac:dyDescent="0.3"/>
    <row r="5924" customFormat="1" x14ac:dyDescent="0.3"/>
    <row r="5925" customFormat="1" x14ac:dyDescent="0.3"/>
    <row r="5926" customFormat="1" x14ac:dyDescent="0.3"/>
    <row r="5927" customFormat="1" x14ac:dyDescent="0.3"/>
    <row r="5928" customFormat="1" x14ac:dyDescent="0.3"/>
    <row r="5929" customFormat="1" x14ac:dyDescent="0.3"/>
    <row r="5930" customFormat="1" x14ac:dyDescent="0.3"/>
    <row r="5931" customFormat="1" x14ac:dyDescent="0.3"/>
    <row r="5932" customFormat="1" x14ac:dyDescent="0.3"/>
    <row r="5933" customFormat="1" x14ac:dyDescent="0.3"/>
    <row r="5934" customFormat="1" x14ac:dyDescent="0.3"/>
    <row r="5935" customFormat="1" x14ac:dyDescent="0.3"/>
    <row r="5936" customFormat="1" x14ac:dyDescent="0.3"/>
    <row r="5937" customFormat="1" x14ac:dyDescent="0.3"/>
    <row r="5938" customFormat="1" x14ac:dyDescent="0.3"/>
    <row r="5939" customFormat="1" x14ac:dyDescent="0.3"/>
    <row r="5940" customFormat="1" x14ac:dyDescent="0.3"/>
    <row r="5941" customFormat="1" x14ac:dyDescent="0.3"/>
    <row r="5942" customFormat="1" x14ac:dyDescent="0.3"/>
    <row r="5943" customFormat="1" x14ac:dyDescent="0.3"/>
    <row r="5944" customFormat="1" x14ac:dyDescent="0.3"/>
    <row r="5945" customFormat="1" x14ac:dyDescent="0.3"/>
    <row r="5946" customFormat="1" x14ac:dyDescent="0.3"/>
    <row r="5947" customFormat="1" x14ac:dyDescent="0.3"/>
    <row r="5948" customFormat="1" x14ac:dyDescent="0.3"/>
    <row r="5949" customFormat="1" x14ac:dyDescent="0.3"/>
    <row r="5950" customFormat="1" x14ac:dyDescent="0.3"/>
    <row r="5951" customFormat="1" x14ac:dyDescent="0.3"/>
    <row r="5952" customFormat="1" x14ac:dyDescent="0.3"/>
    <row r="5953" customFormat="1" x14ac:dyDescent="0.3"/>
    <row r="5954" customFormat="1" x14ac:dyDescent="0.3"/>
    <row r="5955" customFormat="1" x14ac:dyDescent="0.3"/>
    <row r="5956" customFormat="1" x14ac:dyDescent="0.3"/>
    <row r="5957" customFormat="1" x14ac:dyDescent="0.3"/>
    <row r="5958" customFormat="1" x14ac:dyDescent="0.3"/>
    <row r="5959" customFormat="1" x14ac:dyDescent="0.3"/>
    <row r="5960" customFormat="1" x14ac:dyDescent="0.3"/>
    <row r="5961" customFormat="1" x14ac:dyDescent="0.3"/>
    <row r="5962" customFormat="1" x14ac:dyDescent="0.3"/>
    <row r="5963" customFormat="1" x14ac:dyDescent="0.3"/>
    <row r="5964" customFormat="1" x14ac:dyDescent="0.3"/>
    <row r="5965" customFormat="1" x14ac:dyDescent="0.3"/>
    <row r="5966" customFormat="1" x14ac:dyDescent="0.3"/>
    <row r="5967" customFormat="1" x14ac:dyDescent="0.3"/>
    <row r="5968" customFormat="1" x14ac:dyDescent="0.3"/>
    <row r="5969" customFormat="1" x14ac:dyDescent="0.3"/>
    <row r="5970" customFormat="1" x14ac:dyDescent="0.3"/>
    <row r="5971" customFormat="1" x14ac:dyDescent="0.3"/>
    <row r="5972" customFormat="1" x14ac:dyDescent="0.3"/>
    <row r="5973" customFormat="1" x14ac:dyDescent="0.3"/>
    <row r="5974" customFormat="1" x14ac:dyDescent="0.3"/>
    <row r="5975" customFormat="1" x14ac:dyDescent="0.3"/>
    <row r="5976" customFormat="1" x14ac:dyDescent="0.3"/>
    <row r="5977" customFormat="1" x14ac:dyDescent="0.3"/>
    <row r="5978" customFormat="1" x14ac:dyDescent="0.3"/>
    <row r="5979" customFormat="1" x14ac:dyDescent="0.3"/>
    <row r="5980" customFormat="1" x14ac:dyDescent="0.3"/>
    <row r="5981" customFormat="1" x14ac:dyDescent="0.3"/>
    <row r="5982" customFormat="1" x14ac:dyDescent="0.3"/>
    <row r="5983" customFormat="1" x14ac:dyDescent="0.3"/>
    <row r="5984" customFormat="1" x14ac:dyDescent="0.3"/>
    <row r="5985" customFormat="1" x14ac:dyDescent="0.3"/>
    <row r="5986" customFormat="1" x14ac:dyDescent="0.3"/>
    <row r="5987" customFormat="1" x14ac:dyDescent="0.3"/>
    <row r="5988" customFormat="1" x14ac:dyDescent="0.3"/>
    <row r="5989" customFormat="1" x14ac:dyDescent="0.3"/>
    <row r="5990" customFormat="1" x14ac:dyDescent="0.3"/>
    <row r="5991" customFormat="1" x14ac:dyDescent="0.3"/>
    <row r="5992" customFormat="1" x14ac:dyDescent="0.3"/>
    <row r="5993" customFormat="1" x14ac:dyDescent="0.3"/>
    <row r="5994" customFormat="1" x14ac:dyDescent="0.3"/>
    <row r="5995" customFormat="1" x14ac:dyDescent="0.3"/>
    <row r="5996" customFormat="1" x14ac:dyDescent="0.3"/>
    <row r="5997" customFormat="1" x14ac:dyDescent="0.3"/>
    <row r="5998" customFormat="1" x14ac:dyDescent="0.3"/>
    <row r="5999" customFormat="1" x14ac:dyDescent="0.3"/>
    <row r="6000" customFormat="1" x14ac:dyDescent="0.3"/>
    <row r="6001" customFormat="1" x14ac:dyDescent="0.3"/>
    <row r="6002" customFormat="1" x14ac:dyDescent="0.3"/>
    <row r="6003" customFormat="1" x14ac:dyDescent="0.3"/>
    <row r="6004" customFormat="1" x14ac:dyDescent="0.3"/>
    <row r="6005" customFormat="1" x14ac:dyDescent="0.3"/>
    <row r="6006" customFormat="1" x14ac:dyDescent="0.3"/>
    <row r="6007" customFormat="1" x14ac:dyDescent="0.3"/>
    <row r="6008" customFormat="1" x14ac:dyDescent="0.3"/>
    <row r="6009" customFormat="1" x14ac:dyDescent="0.3"/>
    <row r="6010" customFormat="1" x14ac:dyDescent="0.3"/>
    <row r="6011" customFormat="1" x14ac:dyDescent="0.3"/>
    <row r="6012" customFormat="1" x14ac:dyDescent="0.3"/>
    <row r="6013" customFormat="1" x14ac:dyDescent="0.3"/>
    <row r="6014" customFormat="1" x14ac:dyDescent="0.3"/>
    <row r="6015" customFormat="1" x14ac:dyDescent="0.3"/>
    <row r="6016" customFormat="1" x14ac:dyDescent="0.3"/>
    <row r="6017" customFormat="1" x14ac:dyDescent="0.3"/>
    <row r="6018" customFormat="1" x14ac:dyDescent="0.3"/>
    <row r="6019" customFormat="1" x14ac:dyDescent="0.3"/>
    <row r="6020" customFormat="1" x14ac:dyDescent="0.3"/>
    <row r="6021" customFormat="1" x14ac:dyDescent="0.3"/>
    <row r="6022" customFormat="1" x14ac:dyDescent="0.3"/>
    <row r="6023" customFormat="1" x14ac:dyDescent="0.3"/>
    <row r="6024" customFormat="1" x14ac:dyDescent="0.3"/>
    <row r="6025" customFormat="1" x14ac:dyDescent="0.3"/>
    <row r="6026" customFormat="1" x14ac:dyDescent="0.3"/>
    <row r="6027" customFormat="1" x14ac:dyDescent="0.3"/>
    <row r="6028" customFormat="1" x14ac:dyDescent="0.3"/>
    <row r="6029" customFormat="1" x14ac:dyDescent="0.3"/>
    <row r="6030" customFormat="1" x14ac:dyDescent="0.3"/>
    <row r="6031" customFormat="1" x14ac:dyDescent="0.3"/>
    <row r="6032" customFormat="1" x14ac:dyDescent="0.3"/>
    <row r="6033" customFormat="1" x14ac:dyDescent="0.3"/>
    <row r="6034" customFormat="1" x14ac:dyDescent="0.3"/>
    <row r="6035" customFormat="1" x14ac:dyDescent="0.3"/>
    <row r="6036" customFormat="1" x14ac:dyDescent="0.3"/>
    <row r="6037" customFormat="1" x14ac:dyDescent="0.3"/>
    <row r="6038" customFormat="1" x14ac:dyDescent="0.3"/>
    <row r="6039" customFormat="1" x14ac:dyDescent="0.3"/>
    <row r="6040" customFormat="1" x14ac:dyDescent="0.3"/>
    <row r="6041" customFormat="1" x14ac:dyDescent="0.3"/>
    <row r="6042" customFormat="1" x14ac:dyDescent="0.3"/>
    <row r="6043" customFormat="1" x14ac:dyDescent="0.3"/>
    <row r="6044" customFormat="1" x14ac:dyDescent="0.3"/>
    <row r="6045" customFormat="1" x14ac:dyDescent="0.3"/>
    <row r="6046" customFormat="1" x14ac:dyDescent="0.3"/>
    <row r="6047" customFormat="1" x14ac:dyDescent="0.3"/>
    <row r="6048" customFormat="1" x14ac:dyDescent="0.3"/>
    <row r="6049" customFormat="1" x14ac:dyDescent="0.3"/>
    <row r="6050" customFormat="1" x14ac:dyDescent="0.3"/>
    <row r="6051" customFormat="1" x14ac:dyDescent="0.3"/>
    <row r="6052" customFormat="1" x14ac:dyDescent="0.3"/>
    <row r="6053" customFormat="1" x14ac:dyDescent="0.3"/>
    <row r="6054" customFormat="1" x14ac:dyDescent="0.3"/>
    <row r="6055" customFormat="1" x14ac:dyDescent="0.3"/>
    <row r="6056" customFormat="1" x14ac:dyDescent="0.3"/>
    <row r="6057" customFormat="1" x14ac:dyDescent="0.3"/>
    <row r="6058" customFormat="1" x14ac:dyDescent="0.3"/>
    <row r="6059" customFormat="1" x14ac:dyDescent="0.3"/>
    <row r="6060" customFormat="1" x14ac:dyDescent="0.3"/>
    <row r="6061" customFormat="1" x14ac:dyDescent="0.3"/>
    <row r="6062" customFormat="1" x14ac:dyDescent="0.3"/>
    <row r="6063" customFormat="1" x14ac:dyDescent="0.3"/>
    <row r="6064" customFormat="1" x14ac:dyDescent="0.3"/>
    <row r="6065" customFormat="1" x14ac:dyDescent="0.3"/>
    <row r="6066" customFormat="1" x14ac:dyDescent="0.3"/>
    <row r="6067" customFormat="1" x14ac:dyDescent="0.3"/>
    <row r="6068" customFormat="1" x14ac:dyDescent="0.3"/>
    <row r="6069" customFormat="1" x14ac:dyDescent="0.3"/>
    <row r="6070" customFormat="1" x14ac:dyDescent="0.3"/>
    <row r="6071" customFormat="1" x14ac:dyDescent="0.3"/>
    <row r="6072" customFormat="1" x14ac:dyDescent="0.3"/>
    <row r="6073" customFormat="1" x14ac:dyDescent="0.3"/>
    <row r="6074" customFormat="1" x14ac:dyDescent="0.3"/>
    <row r="6075" customFormat="1" x14ac:dyDescent="0.3"/>
    <row r="6076" customFormat="1" x14ac:dyDescent="0.3"/>
    <row r="6077" customFormat="1" x14ac:dyDescent="0.3"/>
    <row r="6078" customFormat="1" x14ac:dyDescent="0.3"/>
    <row r="6079" customFormat="1" x14ac:dyDescent="0.3"/>
    <row r="6080" customFormat="1" x14ac:dyDescent="0.3"/>
    <row r="6081" customFormat="1" x14ac:dyDescent="0.3"/>
    <row r="6082" customFormat="1" x14ac:dyDescent="0.3"/>
    <row r="6083" customFormat="1" x14ac:dyDescent="0.3"/>
    <row r="6084" customFormat="1" x14ac:dyDescent="0.3"/>
    <row r="6085" customFormat="1" x14ac:dyDescent="0.3"/>
    <row r="6086" customFormat="1" x14ac:dyDescent="0.3"/>
    <row r="6087" customFormat="1" x14ac:dyDescent="0.3"/>
    <row r="6088" customFormat="1" x14ac:dyDescent="0.3"/>
    <row r="6089" customFormat="1" x14ac:dyDescent="0.3"/>
    <row r="6090" customFormat="1" x14ac:dyDescent="0.3"/>
    <row r="6091" customFormat="1" x14ac:dyDescent="0.3"/>
    <row r="6092" customFormat="1" x14ac:dyDescent="0.3"/>
    <row r="6093" customFormat="1" x14ac:dyDescent="0.3"/>
    <row r="6094" customFormat="1" x14ac:dyDescent="0.3"/>
    <row r="6095" customFormat="1" x14ac:dyDescent="0.3"/>
    <row r="6096" customFormat="1" x14ac:dyDescent="0.3"/>
    <row r="6097" customFormat="1" x14ac:dyDescent="0.3"/>
    <row r="6098" customFormat="1" x14ac:dyDescent="0.3"/>
    <row r="6099" customFormat="1" x14ac:dyDescent="0.3"/>
    <row r="6100" customFormat="1" x14ac:dyDescent="0.3"/>
    <row r="6101" customFormat="1" x14ac:dyDescent="0.3"/>
    <row r="6102" customFormat="1" x14ac:dyDescent="0.3"/>
    <row r="6103" customFormat="1" x14ac:dyDescent="0.3"/>
    <row r="6104" customFormat="1" x14ac:dyDescent="0.3"/>
    <row r="6105" customFormat="1" x14ac:dyDescent="0.3"/>
    <row r="6106" customFormat="1" x14ac:dyDescent="0.3"/>
    <row r="6107" customFormat="1" x14ac:dyDescent="0.3"/>
    <row r="6108" customFormat="1" x14ac:dyDescent="0.3"/>
    <row r="6109" customFormat="1" x14ac:dyDescent="0.3"/>
    <row r="6110" customFormat="1" x14ac:dyDescent="0.3"/>
    <row r="6111" customFormat="1" x14ac:dyDescent="0.3"/>
    <row r="6112" customFormat="1" x14ac:dyDescent="0.3"/>
    <row r="6113" customFormat="1" x14ac:dyDescent="0.3"/>
    <row r="6114" customFormat="1" x14ac:dyDescent="0.3"/>
    <row r="6115" customFormat="1" x14ac:dyDescent="0.3"/>
    <row r="6116" customFormat="1" x14ac:dyDescent="0.3"/>
    <row r="6117" customFormat="1" x14ac:dyDescent="0.3"/>
    <row r="6118" customFormat="1" x14ac:dyDescent="0.3"/>
    <row r="6119" customFormat="1" x14ac:dyDescent="0.3"/>
    <row r="6120" customFormat="1" x14ac:dyDescent="0.3"/>
    <row r="6121" customFormat="1" x14ac:dyDescent="0.3"/>
    <row r="6122" customFormat="1" x14ac:dyDescent="0.3"/>
    <row r="6123" customFormat="1" x14ac:dyDescent="0.3"/>
    <row r="6124" customFormat="1" x14ac:dyDescent="0.3"/>
    <row r="6125" customFormat="1" x14ac:dyDescent="0.3"/>
    <row r="6126" customFormat="1" x14ac:dyDescent="0.3"/>
    <row r="6127" customFormat="1" x14ac:dyDescent="0.3"/>
    <row r="6128" customFormat="1" x14ac:dyDescent="0.3"/>
    <row r="6129" customFormat="1" x14ac:dyDescent="0.3"/>
    <row r="6130" customFormat="1" x14ac:dyDescent="0.3"/>
    <row r="6131" customFormat="1" x14ac:dyDescent="0.3"/>
    <row r="6132" customFormat="1" x14ac:dyDescent="0.3"/>
    <row r="6133" customFormat="1" x14ac:dyDescent="0.3"/>
    <row r="6134" customFormat="1" x14ac:dyDescent="0.3"/>
    <row r="6135" customFormat="1" x14ac:dyDescent="0.3"/>
    <row r="6136" customFormat="1" x14ac:dyDescent="0.3"/>
    <row r="6137" customFormat="1" x14ac:dyDescent="0.3"/>
    <row r="6138" customFormat="1" x14ac:dyDescent="0.3"/>
    <row r="6139" customFormat="1" x14ac:dyDescent="0.3"/>
    <row r="6140" customFormat="1" x14ac:dyDescent="0.3"/>
    <row r="6141" customFormat="1" x14ac:dyDescent="0.3"/>
    <row r="6142" customFormat="1" x14ac:dyDescent="0.3"/>
    <row r="6143" customFormat="1" x14ac:dyDescent="0.3"/>
    <row r="6144" customFormat="1" x14ac:dyDescent="0.3"/>
    <row r="6145" customFormat="1" x14ac:dyDescent="0.3"/>
    <row r="6146" customFormat="1" x14ac:dyDescent="0.3"/>
    <row r="6147" customFormat="1" x14ac:dyDescent="0.3"/>
    <row r="6148" customFormat="1" x14ac:dyDescent="0.3"/>
    <row r="6149" customFormat="1" x14ac:dyDescent="0.3"/>
    <row r="6150" customFormat="1" x14ac:dyDescent="0.3"/>
    <row r="6151" customFormat="1" x14ac:dyDescent="0.3"/>
    <row r="6152" customFormat="1" x14ac:dyDescent="0.3"/>
    <row r="6153" customFormat="1" x14ac:dyDescent="0.3"/>
    <row r="6154" customFormat="1" x14ac:dyDescent="0.3"/>
    <row r="6155" customFormat="1" x14ac:dyDescent="0.3"/>
    <row r="6156" customFormat="1" x14ac:dyDescent="0.3"/>
    <row r="6157" customFormat="1" x14ac:dyDescent="0.3"/>
    <row r="6158" customFormat="1" x14ac:dyDescent="0.3"/>
    <row r="6159" customFormat="1" x14ac:dyDescent="0.3"/>
    <row r="6160" customFormat="1" x14ac:dyDescent="0.3"/>
    <row r="6161" customFormat="1" x14ac:dyDescent="0.3"/>
    <row r="6162" customFormat="1" x14ac:dyDescent="0.3"/>
    <row r="6163" customFormat="1" x14ac:dyDescent="0.3"/>
    <row r="6164" customFormat="1" x14ac:dyDescent="0.3"/>
    <row r="6165" customFormat="1" x14ac:dyDescent="0.3"/>
    <row r="6166" customFormat="1" x14ac:dyDescent="0.3"/>
    <row r="6167" customFormat="1" x14ac:dyDescent="0.3"/>
    <row r="6168" customFormat="1" x14ac:dyDescent="0.3"/>
    <row r="6169" customFormat="1" x14ac:dyDescent="0.3"/>
    <row r="6170" customFormat="1" x14ac:dyDescent="0.3"/>
    <row r="6171" customFormat="1" x14ac:dyDescent="0.3"/>
    <row r="6172" customFormat="1" x14ac:dyDescent="0.3"/>
    <row r="6173" customFormat="1" x14ac:dyDescent="0.3"/>
    <row r="6174" customFormat="1" x14ac:dyDescent="0.3"/>
    <row r="6175" customFormat="1" x14ac:dyDescent="0.3"/>
    <row r="6176" customFormat="1" x14ac:dyDescent="0.3"/>
    <row r="6177" customFormat="1" x14ac:dyDescent="0.3"/>
    <row r="6178" customFormat="1" x14ac:dyDescent="0.3"/>
    <row r="6179" customFormat="1" x14ac:dyDescent="0.3"/>
    <row r="6180" customFormat="1" x14ac:dyDescent="0.3"/>
    <row r="6181" customFormat="1" x14ac:dyDescent="0.3"/>
    <row r="6182" customFormat="1" x14ac:dyDescent="0.3"/>
    <row r="6183" customFormat="1" x14ac:dyDescent="0.3"/>
    <row r="6184" customFormat="1" x14ac:dyDescent="0.3"/>
    <row r="6185" customFormat="1" x14ac:dyDescent="0.3"/>
    <row r="6186" customFormat="1" x14ac:dyDescent="0.3"/>
    <row r="6187" customFormat="1" x14ac:dyDescent="0.3"/>
    <row r="6188" customFormat="1" x14ac:dyDescent="0.3"/>
    <row r="6189" customFormat="1" x14ac:dyDescent="0.3"/>
    <row r="6190" customFormat="1" x14ac:dyDescent="0.3"/>
    <row r="6191" customFormat="1" x14ac:dyDescent="0.3"/>
    <row r="6192" customFormat="1" x14ac:dyDescent="0.3"/>
    <row r="6193" customFormat="1" x14ac:dyDescent="0.3"/>
    <row r="6194" customFormat="1" x14ac:dyDescent="0.3"/>
    <row r="6195" customFormat="1" x14ac:dyDescent="0.3"/>
    <row r="6196" customFormat="1" x14ac:dyDescent="0.3"/>
    <row r="6197" customFormat="1" x14ac:dyDescent="0.3"/>
    <row r="6198" customFormat="1" x14ac:dyDescent="0.3"/>
    <row r="6199" customFormat="1" x14ac:dyDescent="0.3"/>
    <row r="6200" customFormat="1" x14ac:dyDescent="0.3"/>
    <row r="6201" customFormat="1" x14ac:dyDescent="0.3"/>
    <row r="6202" customFormat="1" x14ac:dyDescent="0.3"/>
    <row r="6203" customFormat="1" x14ac:dyDescent="0.3"/>
    <row r="6204" customFormat="1" x14ac:dyDescent="0.3"/>
    <row r="6205" customFormat="1" x14ac:dyDescent="0.3"/>
    <row r="6206" customFormat="1" x14ac:dyDescent="0.3"/>
    <row r="6207" customFormat="1" x14ac:dyDescent="0.3"/>
    <row r="6208" customFormat="1" x14ac:dyDescent="0.3"/>
    <row r="6209" customFormat="1" x14ac:dyDescent="0.3"/>
    <row r="6210" customFormat="1" x14ac:dyDescent="0.3"/>
    <row r="6211" customFormat="1" x14ac:dyDescent="0.3"/>
    <row r="6212" customFormat="1" x14ac:dyDescent="0.3"/>
    <row r="6213" customFormat="1" x14ac:dyDescent="0.3"/>
    <row r="6214" customFormat="1" x14ac:dyDescent="0.3"/>
    <row r="6215" customFormat="1" x14ac:dyDescent="0.3"/>
    <row r="6216" customFormat="1" x14ac:dyDescent="0.3"/>
    <row r="6217" customFormat="1" x14ac:dyDescent="0.3"/>
    <row r="6218" customFormat="1" x14ac:dyDescent="0.3"/>
    <row r="6219" customFormat="1" x14ac:dyDescent="0.3"/>
    <row r="6220" customFormat="1" x14ac:dyDescent="0.3"/>
    <row r="6221" customFormat="1" x14ac:dyDescent="0.3"/>
    <row r="6222" customFormat="1" x14ac:dyDescent="0.3"/>
    <row r="6223" customFormat="1" x14ac:dyDescent="0.3"/>
    <row r="6224" customFormat="1" x14ac:dyDescent="0.3"/>
    <row r="6225" customFormat="1" x14ac:dyDescent="0.3"/>
    <row r="6226" customFormat="1" x14ac:dyDescent="0.3"/>
    <row r="6227" customFormat="1" x14ac:dyDescent="0.3"/>
    <row r="6228" customFormat="1" x14ac:dyDescent="0.3"/>
    <row r="6229" customFormat="1" x14ac:dyDescent="0.3"/>
    <row r="6230" customFormat="1" x14ac:dyDescent="0.3"/>
    <row r="6231" customFormat="1" x14ac:dyDescent="0.3"/>
    <row r="6232" customFormat="1" x14ac:dyDescent="0.3"/>
    <row r="6233" customFormat="1" x14ac:dyDescent="0.3"/>
    <row r="6234" customFormat="1" x14ac:dyDescent="0.3"/>
    <row r="6235" customFormat="1" x14ac:dyDescent="0.3"/>
    <row r="6236" customFormat="1" x14ac:dyDescent="0.3"/>
    <row r="6237" customFormat="1" x14ac:dyDescent="0.3"/>
    <row r="6238" customFormat="1" x14ac:dyDescent="0.3"/>
    <row r="6239" customFormat="1" x14ac:dyDescent="0.3"/>
    <row r="6240" customFormat="1" x14ac:dyDescent="0.3"/>
    <row r="6241" customFormat="1" x14ac:dyDescent="0.3"/>
    <row r="6242" customFormat="1" x14ac:dyDescent="0.3"/>
    <row r="6243" customFormat="1" x14ac:dyDescent="0.3"/>
    <row r="6244" customFormat="1" x14ac:dyDescent="0.3"/>
    <row r="6245" customFormat="1" x14ac:dyDescent="0.3"/>
    <row r="6246" customFormat="1" x14ac:dyDescent="0.3"/>
    <row r="6247" customFormat="1" x14ac:dyDescent="0.3"/>
    <row r="6248" customFormat="1" x14ac:dyDescent="0.3"/>
    <row r="6249" customFormat="1" x14ac:dyDescent="0.3"/>
    <row r="6250" customFormat="1" x14ac:dyDescent="0.3"/>
    <row r="6251" customFormat="1" x14ac:dyDescent="0.3"/>
    <row r="6252" customFormat="1" x14ac:dyDescent="0.3"/>
    <row r="6253" customFormat="1" x14ac:dyDescent="0.3"/>
    <row r="6254" customFormat="1" x14ac:dyDescent="0.3"/>
    <row r="6255" customFormat="1" x14ac:dyDescent="0.3"/>
    <row r="6256" customFormat="1" x14ac:dyDescent="0.3"/>
    <row r="6257" customFormat="1" x14ac:dyDescent="0.3"/>
    <row r="6258" customFormat="1" x14ac:dyDescent="0.3"/>
    <row r="6259" customFormat="1" x14ac:dyDescent="0.3"/>
    <row r="6260" customFormat="1" x14ac:dyDescent="0.3"/>
    <row r="6261" customFormat="1" x14ac:dyDescent="0.3"/>
    <row r="6262" customFormat="1" x14ac:dyDescent="0.3"/>
    <row r="6263" customFormat="1" x14ac:dyDescent="0.3"/>
    <row r="6264" customFormat="1" x14ac:dyDescent="0.3"/>
    <row r="6265" customFormat="1" x14ac:dyDescent="0.3"/>
    <row r="6266" customFormat="1" x14ac:dyDescent="0.3"/>
    <row r="6267" customFormat="1" x14ac:dyDescent="0.3"/>
    <row r="6268" customFormat="1" x14ac:dyDescent="0.3"/>
    <row r="6269" customFormat="1" x14ac:dyDescent="0.3"/>
    <row r="6270" customFormat="1" x14ac:dyDescent="0.3"/>
    <row r="6271" customFormat="1" x14ac:dyDescent="0.3"/>
    <row r="6272" customFormat="1" x14ac:dyDescent="0.3"/>
    <row r="6273" customFormat="1" x14ac:dyDescent="0.3"/>
    <row r="6274" customFormat="1" x14ac:dyDescent="0.3"/>
    <row r="6275" customFormat="1" x14ac:dyDescent="0.3"/>
    <row r="6276" customFormat="1" x14ac:dyDescent="0.3"/>
    <row r="6277" customFormat="1" x14ac:dyDescent="0.3"/>
    <row r="6278" customFormat="1" x14ac:dyDescent="0.3"/>
    <row r="6279" customFormat="1" x14ac:dyDescent="0.3"/>
    <row r="6280" customFormat="1" x14ac:dyDescent="0.3"/>
    <row r="6281" customFormat="1" x14ac:dyDescent="0.3"/>
    <row r="6282" customFormat="1" x14ac:dyDescent="0.3"/>
    <row r="6283" customFormat="1" x14ac:dyDescent="0.3"/>
    <row r="6284" customFormat="1" x14ac:dyDescent="0.3"/>
    <row r="6285" customFormat="1" x14ac:dyDescent="0.3"/>
    <row r="6286" customFormat="1" x14ac:dyDescent="0.3"/>
    <row r="6287" customFormat="1" x14ac:dyDescent="0.3"/>
    <row r="6288" customFormat="1" x14ac:dyDescent="0.3"/>
    <row r="6289" customFormat="1" x14ac:dyDescent="0.3"/>
    <row r="6290" customFormat="1" x14ac:dyDescent="0.3"/>
    <row r="6291" customFormat="1" x14ac:dyDescent="0.3"/>
    <row r="6292" customFormat="1" x14ac:dyDescent="0.3"/>
    <row r="6293" customFormat="1" x14ac:dyDescent="0.3"/>
    <row r="6294" customFormat="1" x14ac:dyDescent="0.3"/>
    <row r="6295" customFormat="1" x14ac:dyDescent="0.3"/>
    <row r="6296" customFormat="1" x14ac:dyDescent="0.3"/>
    <row r="6297" customFormat="1" x14ac:dyDescent="0.3"/>
    <row r="6298" customFormat="1" x14ac:dyDescent="0.3"/>
    <row r="6299" customFormat="1" x14ac:dyDescent="0.3"/>
    <row r="6300" customFormat="1" x14ac:dyDescent="0.3"/>
    <row r="6301" customFormat="1" x14ac:dyDescent="0.3"/>
    <row r="6302" customFormat="1" x14ac:dyDescent="0.3"/>
    <row r="6303" customFormat="1" x14ac:dyDescent="0.3"/>
    <row r="6304" customFormat="1" x14ac:dyDescent="0.3"/>
    <row r="6305" customFormat="1" x14ac:dyDescent="0.3"/>
    <row r="6306" customFormat="1" x14ac:dyDescent="0.3"/>
    <row r="6307" customFormat="1" x14ac:dyDescent="0.3"/>
    <row r="6308" customFormat="1" x14ac:dyDescent="0.3"/>
    <row r="6309" customFormat="1" x14ac:dyDescent="0.3"/>
    <row r="6310" customFormat="1" x14ac:dyDescent="0.3"/>
    <row r="6311" customFormat="1" x14ac:dyDescent="0.3"/>
    <row r="6312" customFormat="1" x14ac:dyDescent="0.3"/>
    <row r="6313" customFormat="1" x14ac:dyDescent="0.3"/>
    <row r="6314" customFormat="1" x14ac:dyDescent="0.3"/>
    <row r="6315" customFormat="1" x14ac:dyDescent="0.3"/>
    <row r="6316" customFormat="1" x14ac:dyDescent="0.3"/>
    <row r="6317" customFormat="1" x14ac:dyDescent="0.3"/>
    <row r="6318" customFormat="1" x14ac:dyDescent="0.3"/>
    <row r="6319" customFormat="1" x14ac:dyDescent="0.3"/>
    <row r="6320" customFormat="1" x14ac:dyDescent="0.3"/>
    <row r="6321" customFormat="1" x14ac:dyDescent="0.3"/>
    <row r="6322" customFormat="1" x14ac:dyDescent="0.3"/>
    <row r="6323" customFormat="1" x14ac:dyDescent="0.3"/>
    <row r="6324" customFormat="1" x14ac:dyDescent="0.3"/>
    <row r="6325" customFormat="1" x14ac:dyDescent="0.3"/>
    <row r="6326" customFormat="1" x14ac:dyDescent="0.3"/>
    <row r="6327" customFormat="1" x14ac:dyDescent="0.3"/>
    <row r="6328" customFormat="1" x14ac:dyDescent="0.3"/>
    <row r="6329" customFormat="1" x14ac:dyDescent="0.3"/>
    <row r="6330" customFormat="1" x14ac:dyDescent="0.3"/>
    <row r="6331" customFormat="1" x14ac:dyDescent="0.3"/>
    <row r="6332" customFormat="1" x14ac:dyDescent="0.3"/>
    <row r="6333" customFormat="1" x14ac:dyDescent="0.3"/>
    <row r="6334" customFormat="1" x14ac:dyDescent="0.3"/>
    <row r="6335" customFormat="1" x14ac:dyDescent="0.3"/>
    <row r="6336" customFormat="1" x14ac:dyDescent="0.3"/>
    <row r="6337" customFormat="1" x14ac:dyDescent="0.3"/>
    <row r="6338" customFormat="1" x14ac:dyDescent="0.3"/>
    <row r="6339" customFormat="1" x14ac:dyDescent="0.3"/>
    <row r="6340" customFormat="1" x14ac:dyDescent="0.3"/>
    <row r="6341" customFormat="1" x14ac:dyDescent="0.3"/>
    <row r="6342" customFormat="1" x14ac:dyDescent="0.3"/>
    <row r="6343" customFormat="1" x14ac:dyDescent="0.3"/>
    <row r="6344" customFormat="1" x14ac:dyDescent="0.3"/>
    <row r="6345" customFormat="1" x14ac:dyDescent="0.3"/>
    <row r="6346" customFormat="1" x14ac:dyDescent="0.3"/>
    <row r="6347" customFormat="1" x14ac:dyDescent="0.3"/>
    <row r="6348" customFormat="1" x14ac:dyDescent="0.3"/>
    <row r="6349" customFormat="1" x14ac:dyDescent="0.3"/>
    <row r="6350" customFormat="1" x14ac:dyDescent="0.3"/>
    <row r="6351" customFormat="1" x14ac:dyDescent="0.3"/>
    <row r="6352" customFormat="1" x14ac:dyDescent="0.3"/>
    <row r="6353" customFormat="1" x14ac:dyDescent="0.3"/>
    <row r="6354" customFormat="1" x14ac:dyDescent="0.3"/>
    <row r="6355" customFormat="1" x14ac:dyDescent="0.3"/>
    <row r="6356" customFormat="1" x14ac:dyDescent="0.3"/>
    <row r="6357" customFormat="1" x14ac:dyDescent="0.3"/>
    <row r="6358" customFormat="1" x14ac:dyDescent="0.3"/>
    <row r="6359" customFormat="1" x14ac:dyDescent="0.3"/>
    <row r="6360" customFormat="1" x14ac:dyDescent="0.3"/>
    <row r="6361" customFormat="1" x14ac:dyDescent="0.3"/>
    <row r="6362" customFormat="1" x14ac:dyDescent="0.3"/>
    <row r="6363" customFormat="1" x14ac:dyDescent="0.3"/>
    <row r="6364" customFormat="1" x14ac:dyDescent="0.3"/>
    <row r="6365" customFormat="1" x14ac:dyDescent="0.3"/>
    <row r="6366" customFormat="1" x14ac:dyDescent="0.3"/>
    <row r="6367" customFormat="1" x14ac:dyDescent="0.3"/>
    <row r="6368" customFormat="1" x14ac:dyDescent="0.3"/>
    <row r="6369" customFormat="1" x14ac:dyDescent="0.3"/>
    <row r="6370" customFormat="1" x14ac:dyDescent="0.3"/>
    <row r="6371" customFormat="1" x14ac:dyDescent="0.3"/>
    <row r="6372" customFormat="1" x14ac:dyDescent="0.3"/>
    <row r="6373" customFormat="1" x14ac:dyDescent="0.3"/>
    <row r="6374" customFormat="1" x14ac:dyDescent="0.3"/>
    <row r="6375" customFormat="1" x14ac:dyDescent="0.3"/>
    <row r="6376" customFormat="1" x14ac:dyDescent="0.3"/>
    <row r="6377" customFormat="1" x14ac:dyDescent="0.3"/>
    <row r="6378" customFormat="1" x14ac:dyDescent="0.3"/>
    <row r="6379" customFormat="1" x14ac:dyDescent="0.3"/>
    <row r="6380" customFormat="1" x14ac:dyDescent="0.3"/>
    <row r="6381" customFormat="1" x14ac:dyDescent="0.3"/>
    <row r="6382" customFormat="1" x14ac:dyDescent="0.3"/>
    <row r="6383" customFormat="1" x14ac:dyDescent="0.3"/>
    <row r="6384" customFormat="1" x14ac:dyDescent="0.3"/>
    <row r="6385" customFormat="1" x14ac:dyDescent="0.3"/>
    <row r="6386" customFormat="1" x14ac:dyDescent="0.3"/>
    <row r="6387" customFormat="1" x14ac:dyDescent="0.3"/>
    <row r="6388" customFormat="1" x14ac:dyDescent="0.3"/>
    <row r="6389" customFormat="1" x14ac:dyDescent="0.3"/>
    <row r="6390" customFormat="1" x14ac:dyDescent="0.3"/>
    <row r="6391" customFormat="1" x14ac:dyDescent="0.3"/>
    <row r="6392" customFormat="1" x14ac:dyDescent="0.3"/>
    <row r="6393" customFormat="1" x14ac:dyDescent="0.3"/>
    <row r="6394" customFormat="1" x14ac:dyDescent="0.3"/>
    <row r="6395" customFormat="1" x14ac:dyDescent="0.3"/>
    <row r="6396" customFormat="1" x14ac:dyDescent="0.3"/>
    <row r="6397" customFormat="1" x14ac:dyDescent="0.3"/>
    <row r="6398" customFormat="1" x14ac:dyDescent="0.3"/>
    <row r="6399" customFormat="1" x14ac:dyDescent="0.3"/>
    <row r="6400" customFormat="1" x14ac:dyDescent="0.3"/>
    <row r="6401" customFormat="1" x14ac:dyDescent="0.3"/>
    <row r="6402" customFormat="1" x14ac:dyDescent="0.3"/>
    <row r="6403" customFormat="1" x14ac:dyDescent="0.3"/>
    <row r="6404" customFormat="1" x14ac:dyDescent="0.3"/>
    <row r="6405" customFormat="1" x14ac:dyDescent="0.3"/>
    <row r="6406" customFormat="1" x14ac:dyDescent="0.3"/>
    <row r="6407" customFormat="1" x14ac:dyDescent="0.3"/>
    <row r="6408" customFormat="1" x14ac:dyDescent="0.3"/>
    <row r="6409" customFormat="1" x14ac:dyDescent="0.3"/>
    <row r="6410" customFormat="1" x14ac:dyDescent="0.3"/>
    <row r="6411" customFormat="1" x14ac:dyDescent="0.3"/>
    <row r="6412" customFormat="1" x14ac:dyDescent="0.3"/>
    <row r="6413" customFormat="1" x14ac:dyDescent="0.3"/>
    <row r="6414" customFormat="1" x14ac:dyDescent="0.3"/>
    <row r="6415" customFormat="1" x14ac:dyDescent="0.3"/>
    <row r="6416" customFormat="1" x14ac:dyDescent="0.3"/>
    <row r="6417" customFormat="1" x14ac:dyDescent="0.3"/>
    <row r="6418" customFormat="1" x14ac:dyDescent="0.3"/>
    <row r="6419" customFormat="1" x14ac:dyDescent="0.3"/>
    <row r="6420" customFormat="1" x14ac:dyDescent="0.3"/>
    <row r="6421" customFormat="1" x14ac:dyDescent="0.3"/>
    <row r="6422" customFormat="1" x14ac:dyDescent="0.3"/>
    <row r="6423" customFormat="1" x14ac:dyDescent="0.3"/>
    <row r="6424" customFormat="1" x14ac:dyDescent="0.3"/>
    <row r="6425" customFormat="1" x14ac:dyDescent="0.3"/>
    <row r="6426" customFormat="1" x14ac:dyDescent="0.3"/>
    <row r="6427" customFormat="1" x14ac:dyDescent="0.3"/>
    <row r="6428" customFormat="1" x14ac:dyDescent="0.3"/>
    <row r="6429" customFormat="1" x14ac:dyDescent="0.3"/>
    <row r="6430" customFormat="1" x14ac:dyDescent="0.3"/>
    <row r="6431" customFormat="1" x14ac:dyDescent="0.3"/>
    <row r="6432" customFormat="1" x14ac:dyDescent="0.3"/>
    <row r="6433" customFormat="1" x14ac:dyDescent="0.3"/>
    <row r="6434" customFormat="1" x14ac:dyDescent="0.3"/>
    <row r="6435" customFormat="1" x14ac:dyDescent="0.3"/>
    <row r="6436" customFormat="1" x14ac:dyDescent="0.3"/>
    <row r="6437" customFormat="1" x14ac:dyDescent="0.3"/>
    <row r="6438" customFormat="1" x14ac:dyDescent="0.3"/>
    <row r="6439" customFormat="1" x14ac:dyDescent="0.3"/>
    <row r="6440" customFormat="1" x14ac:dyDescent="0.3"/>
    <row r="6441" customFormat="1" x14ac:dyDescent="0.3"/>
    <row r="6442" customFormat="1" x14ac:dyDescent="0.3"/>
    <row r="6443" customFormat="1" x14ac:dyDescent="0.3"/>
    <row r="6444" customFormat="1" x14ac:dyDescent="0.3"/>
    <row r="6445" customFormat="1" x14ac:dyDescent="0.3"/>
    <row r="6446" customFormat="1" x14ac:dyDescent="0.3"/>
    <row r="6447" customFormat="1" x14ac:dyDescent="0.3"/>
    <row r="6448" customFormat="1" x14ac:dyDescent="0.3"/>
    <row r="6449" customFormat="1" x14ac:dyDescent="0.3"/>
    <row r="6450" customFormat="1" x14ac:dyDescent="0.3"/>
    <row r="6451" customFormat="1" x14ac:dyDescent="0.3"/>
    <row r="6452" customFormat="1" x14ac:dyDescent="0.3"/>
    <row r="6453" customFormat="1" x14ac:dyDescent="0.3"/>
    <row r="6454" customFormat="1" x14ac:dyDescent="0.3"/>
    <row r="6455" customFormat="1" x14ac:dyDescent="0.3"/>
    <row r="6456" customFormat="1" x14ac:dyDescent="0.3"/>
    <row r="6457" customFormat="1" x14ac:dyDescent="0.3"/>
    <row r="6458" customFormat="1" x14ac:dyDescent="0.3"/>
    <row r="6459" customFormat="1" x14ac:dyDescent="0.3"/>
    <row r="6460" customFormat="1" x14ac:dyDescent="0.3"/>
    <row r="6461" customFormat="1" x14ac:dyDescent="0.3"/>
    <row r="6462" customFormat="1" x14ac:dyDescent="0.3"/>
    <row r="6463" customFormat="1" x14ac:dyDescent="0.3"/>
    <row r="6464" customFormat="1" x14ac:dyDescent="0.3"/>
    <row r="6465" customFormat="1" x14ac:dyDescent="0.3"/>
    <row r="6466" customFormat="1" x14ac:dyDescent="0.3"/>
    <row r="6467" customFormat="1" x14ac:dyDescent="0.3"/>
    <row r="6468" customFormat="1" x14ac:dyDescent="0.3"/>
    <row r="6469" customFormat="1" x14ac:dyDescent="0.3"/>
    <row r="6470" customFormat="1" x14ac:dyDescent="0.3"/>
    <row r="6471" customFormat="1" x14ac:dyDescent="0.3"/>
    <row r="6472" customFormat="1" x14ac:dyDescent="0.3"/>
    <row r="6473" customFormat="1" x14ac:dyDescent="0.3"/>
    <row r="6474" customFormat="1" x14ac:dyDescent="0.3"/>
    <row r="6475" customFormat="1" x14ac:dyDescent="0.3"/>
    <row r="6476" customFormat="1" x14ac:dyDescent="0.3"/>
    <row r="6477" customFormat="1" x14ac:dyDescent="0.3"/>
    <row r="6478" customFormat="1" x14ac:dyDescent="0.3"/>
    <row r="6479" customFormat="1" x14ac:dyDescent="0.3"/>
    <row r="6480" customFormat="1" x14ac:dyDescent="0.3"/>
    <row r="6481" customFormat="1" x14ac:dyDescent="0.3"/>
    <row r="6482" customFormat="1" x14ac:dyDescent="0.3"/>
    <row r="6483" customFormat="1" x14ac:dyDescent="0.3"/>
    <row r="6484" customFormat="1" x14ac:dyDescent="0.3"/>
    <row r="6485" customFormat="1" x14ac:dyDescent="0.3"/>
    <row r="6486" customFormat="1" x14ac:dyDescent="0.3"/>
    <row r="6487" customFormat="1" x14ac:dyDescent="0.3"/>
    <row r="6488" customFormat="1" x14ac:dyDescent="0.3"/>
    <row r="6489" customFormat="1" x14ac:dyDescent="0.3"/>
    <row r="6490" customFormat="1" x14ac:dyDescent="0.3"/>
    <row r="6491" customFormat="1" x14ac:dyDescent="0.3"/>
    <row r="6492" customFormat="1" x14ac:dyDescent="0.3"/>
    <row r="6493" customFormat="1" x14ac:dyDescent="0.3"/>
    <row r="6494" customFormat="1" x14ac:dyDescent="0.3"/>
    <row r="6495" customFormat="1" x14ac:dyDescent="0.3"/>
    <row r="6496" customFormat="1" x14ac:dyDescent="0.3"/>
    <row r="6497" customFormat="1" x14ac:dyDescent="0.3"/>
    <row r="6498" customFormat="1" x14ac:dyDescent="0.3"/>
    <row r="6499" customFormat="1" x14ac:dyDescent="0.3"/>
    <row r="6500" customFormat="1" x14ac:dyDescent="0.3"/>
    <row r="6501" customFormat="1" x14ac:dyDescent="0.3"/>
    <row r="6502" customFormat="1" x14ac:dyDescent="0.3"/>
    <row r="6503" customFormat="1" x14ac:dyDescent="0.3"/>
    <row r="6504" customFormat="1" x14ac:dyDescent="0.3"/>
    <row r="6505" customFormat="1" x14ac:dyDescent="0.3"/>
    <row r="6506" customFormat="1" x14ac:dyDescent="0.3"/>
    <row r="6507" customFormat="1" x14ac:dyDescent="0.3"/>
    <row r="6508" customFormat="1" x14ac:dyDescent="0.3"/>
    <row r="6509" customFormat="1" x14ac:dyDescent="0.3"/>
    <row r="6510" customFormat="1" x14ac:dyDescent="0.3"/>
    <row r="6511" customFormat="1" x14ac:dyDescent="0.3"/>
    <row r="6512" customFormat="1" x14ac:dyDescent="0.3"/>
    <row r="6513" customFormat="1" x14ac:dyDescent="0.3"/>
    <row r="6514" customFormat="1" x14ac:dyDescent="0.3"/>
    <row r="6515" customFormat="1" x14ac:dyDescent="0.3"/>
    <row r="6516" customFormat="1" x14ac:dyDescent="0.3"/>
    <row r="6517" customFormat="1" x14ac:dyDescent="0.3"/>
    <row r="6518" customFormat="1" x14ac:dyDescent="0.3"/>
    <row r="6519" customFormat="1" x14ac:dyDescent="0.3"/>
    <row r="6520" customFormat="1" x14ac:dyDescent="0.3"/>
    <row r="6521" customFormat="1" x14ac:dyDescent="0.3"/>
    <row r="6522" customFormat="1" x14ac:dyDescent="0.3"/>
    <row r="6523" customFormat="1" x14ac:dyDescent="0.3"/>
    <row r="6524" customFormat="1" x14ac:dyDescent="0.3"/>
    <row r="6525" customFormat="1" x14ac:dyDescent="0.3"/>
    <row r="6526" customFormat="1" x14ac:dyDescent="0.3"/>
    <row r="6527" customFormat="1" x14ac:dyDescent="0.3"/>
    <row r="6528" customFormat="1" x14ac:dyDescent="0.3"/>
    <row r="6529" customFormat="1" x14ac:dyDescent="0.3"/>
    <row r="6530" customFormat="1" x14ac:dyDescent="0.3"/>
    <row r="6531" customFormat="1" x14ac:dyDescent="0.3"/>
    <row r="6532" customFormat="1" x14ac:dyDescent="0.3"/>
    <row r="6533" customFormat="1" x14ac:dyDescent="0.3"/>
    <row r="6534" customFormat="1" x14ac:dyDescent="0.3"/>
    <row r="6535" customFormat="1" x14ac:dyDescent="0.3"/>
    <row r="6536" customFormat="1" x14ac:dyDescent="0.3"/>
    <row r="6537" customFormat="1" x14ac:dyDescent="0.3"/>
    <row r="6538" customFormat="1" x14ac:dyDescent="0.3"/>
    <row r="6539" customFormat="1" x14ac:dyDescent="0.3"/>
    <row r="6540" customFormat="1" x14ac:dyDescent="0.3"/>
    <row r="6541" customFormat="1" x14ac:dyDescent="0.3"/>
    <row r="6542" customFormat="1" x14ac:dyDescent="0.3"/>
    <row r="6543" customFormat="1" x14ac:dyDescent="0.3"/>
    <row r="6544" customFormat="1" x14ac:dyDescent="0.3"/>
    <row r="6545" customFormat="1" x14ac:dyDescent="0.3"/>
    <row r="6546" customFormat="1" x14ac:dyDescent="0.3"/>
    <row r="6547" customFormat="1" x14ac:dyDescent="0.3"/>
    <row r="6548" customFormat="1" x14ac:dyDescent="0.3"/>
    <row r="6549" customFormat="1" x14ac:dyDescent="0.3"/>
    <row r="6550" customFormat="1" x14ac:dyDescent="0.3"/>
    <row r="6551" customFormat="1" x14ac:dyDescent="0.3"/>
    <row r="6552" customFormat="1" x14ac:dyDescent="0.3"/>
    <row r="6553" customFormat="1" x14ac:dyDescent="0.3"/>
    <row r="6554" customFormat="1" x14ac:dyDescent="0.3"/>
    <row r="6555" customFormat="1" x14ac:dyDescent="0.3"/>
    <row r="6556" customFormat="1" x14ac:dyDescent="0.3"/>
    <row r="6557" customFormat="1" x14ac:dyDescent="0.3"/>
    <row r="6558" customFormat="1" x14ac:dyDescent="0.3"/>
    <row r="6559" customFormat="1" x14ac:dyDescent="0.3"/>
    <row r="6560" customFormat="1" x14ac:dyDescent="0.3"/>
    <row r="6561" customFormat="1" x14ac:dyDescent="0.3"/>
    <row r="6562" customFormat="1" x14ac:dyDescent="0.3"/>
    <row r="6563" customFormat="1" x14ac:dyDescent="0.3"/>
    <row r="6564" customFormat="1" x14ac:dyDescent="0.3"/>
    <row r="6565" customFormat="1" x14ac:dyDescent="0.3"/>
    <row r="6566" customFormat="1" x14ac:dyDescent="0.3"/>
    <row r="6567" customFormat="1" x14ac:dyDescent="0.3"/>
    <row r="6568" customFormat="1" x14ac:dyDescent="0.3"/>
    <row r="6569" customFormat="1" x14ac:dyDescent="0.3"/>
    <row r="6570" customFormat="1" x14ac:dyDescent="0.3"/>
    <row r="6571" customFormat="1" x14ac:dyDescent="0.3"/>
    <row r="6572" customFormat="1" x14ac:dyDescent="0.3"/>
    <row r="6573" customFormat="1" x14ac:dyDescent="0.3"/>
    <row r="6574" customFormat="1" x14ac:dyDescent="0.3"/>
    <row r="6575" customFormat="1" x14ac:dyDescent="0.3"/>
    <row r="6576" customFormat="1" x14ac:dyDescent="0.3"/>
    <row r="6577" customFormat="1" x14ac:dyDescent="0.3"/>
    <row r="6578" customFormat="1" x14ac:dyDescent="0.3"/>
    <row r="6579" customFormat="1" x14ac:dyDescent="0.3"/>
    <row r="6580" customFormat="1" x14ac:dyDescent="0.3"/>
    <row r="6581" customFormat="1" x14ac:dyDescent="0.3"/>
    <row r="6582" customFormat="1" x14ac:dyDescent="0.3"/>
    <row r="6583" customFormat="1" x14ac:dyDescent="0.3"/>
    <row r="6584" customFormat="1" x14ac:dyDescent="0.3"/>
    <row r="6585" customFormat="1" x14ac:dyDescent="0.3"/>
    <row r="6586" customFormat="1" x14ac:dyDescent="0.3"/>
    <row r="6587" customFormat="1" x14ac:dyDescent="0.3"/>
    <row r="6588" customFormat="1" x14ac:dyDescent="0.3"/>
    <row r="6589" customFormat="1" x14ac:dyDescent="0.3"/>
    <row r="6590" customFormat="1" x14ac:dyDescent="0.3"/>
    <row r="6591" customFormat="1" x14ac:dyDescent="0.3"/>
    <row r="6592" customFormat="1" x14ac:dyDescent="0.3"/>
    <row r="6593" customFormat="1" x14ac:dyDescent="0.3"/>
    <row r="6594" customFormat="1" x14ac:dyDescent="0.3"/>
    <row r="6595" customFormat="1" x14ac:dyDescent="0.3"/>
    <row r="6596" customFormat="1" x14ac:dyDescent="0.3"/>
    <row r="6597" customFormat="1" x14ac:dyDescent="0.3"/>
    <row r="6598" customFormat="1" x14ac:dyDescent="0.3"/>
    <row r="6599" customFormat="1" x14ac:dyDescent="0.3"/>
    <row r="6600" customFormat="1" x14ac:dyDescent="0.3"/>
    <row r="6601" customFormat="1" x14ac:dyDescent="0.3"/>
    <row r="6602" customFormat="1" x14ac:dyDescent="0.3"/>
    <row r="6603" customFormat="1" x14ac:dyDescent="0.3"/>
    <row r="6604" customFormat="1" x14ac:dyDescent="0.3"/>
    <row r="6605" customFormat="1" x14ac:dyDescent="0.3"/>
    <row r="6606" customFormat="1" x14ac:dyDescent="0.3"/>
    <row r="6607" customFormat="1" x14ac:dyDescent="0.3"/>
    <row r="6608" customFormat="1" x14ac:dyDescent="0.3"/>
    <row r="6609" customFormat="1" x14ac:dyDescent="0.3"/>
    <row r="6610" customFormat="1" x14ac:dyDescent="0.3"/>
    <row r="6611" customFormat="1" x14ac:dyDescent="0.3"/>
    <row r="6612" customFormat="1" x14ac:dyDescent="0.3"/>
    <row r="6613" customFormat="1" x14ac:dyDescent="0.3"/>
    <row r="6614" customFormat="1" x14ac:dyDescent="0.3"/>
    <row r="6615" customFormat="1" x14ac:dyDescent="0.3"/>
    <row r="6616" customFormat="1" x14ac:dyDescent="0.3"/>
    <row r="6617" customFormat="1" x14ac:dyDescent="0.3"/>
    <row r="6618" customFormat="1" x14ac:dyDescent="0.3"/>
    <row r="6619" customFormat="1" x14ac:dyDescent="0.3"/>
    <row r="6620" customFormat="1" x14ac:dyDescent="0.3"/>
    <row r="6621" customFormat="1" x14ac:dyDescent="0.3"/>
    <row r="6622" customFormat="1" x14ac:dyDescent="0.3"/>
    <row r="6623" customFormat="1" x14ac:dyDescent="0.3"/>
    <row r="6624" customFormat="1" x14ac:dyDescent="0.3"/>
    <row r="6625" customFormat="1" x14ac:dyDescent="0.3"/>
    <row r="6626" customFormat="1" x14ac:dyDescent="0.3"/>
    <row r="6627" customFormat="1" x14ac:dyDescent="0.3"/>
    <row r="6628" customFormat="1" x14ac:dyDescent="0.3"/>
    <row r="6629" customFormat="1" x14ac:dyDescent="0.3"/>
    <row r="6630" customFormat="1" x14ac:dyDescent="0.3"/>
    <row r="6631" customFormat="1" x14ac:dyDescent="0.3"/>
    <row r="6632" customFormat="1" x14ac:dyDescent="0.3"/>
    <row r="6633" customFormat="1" x14ac:dyDescent="0.3"/>
    <row r="6634" customFormat="1" x14ac:dyDescent="0.3"/>
    <row r="6635" customFormat="1" x14ac:dyDescent="0.3"/>
    <row r="6636" customFormat="1" x14ac:dyDescent="0.3"/>
    <row r="6637" customFormat="1" x14ac:dyDescent="0.3"/>
    <row r="6638" customFormat="1" x14ac:dyDescent="0.3"/>
    <row r="6639" customFormat="1" x14ac:dyDescent="0.3"/>
    <row r="6640" customFormat="1" x14ac:dyDescent="0.3"/>
    <row r="6641" customFormat="1" x14ac:dyDescent="0.3"/>
    <row r="6642" customFormat="1" x14ac:dyDescent="0.3"/>
    <row r="6643" customFormat="1" x14ac:dyDescent="0.3"/>
    <row r="6644" customFormat="1" x14ac:dyDescent="0.3"/>
    <row r="6645" customFormat="1" x14ac:dyDescent="0.3"/>
    <row r="6646" customFormat="1" x14ac:dyDescent="0.3"/>
    <row r="6647" customFormat="1" x14ac:dyDescent="0.3"/>
    <row r="6648" customFormat="1" x14ac:dyDescent="0.3"/>
    <row r="6649" customFormat="1" x14ac:dyDescent="0.3"/>
    <row r="6650" customFormat="1" x14ac:dyDescent="0.3"/>
    <row r="6651" customFormat="1" x14ac:dyDescent="0.3"/>
    <row r="6652" customFormat="1" x14ac:dyDescent="0.3"/>
    <row r="6653" customFormat="1" x14ac:dyDescent="0.3"/>
    <row r="6654" customFormat="1" x14ac:dyDescent="0.3"/>
    <row r="6655" customFormat="1" x14ac:dyDescent="0.3"/>
    <row r="6656" customFormat="1" x14ac:dyDescent="0.3"/>
    <row r="6657" customFormat="1" x14ac:dyDescent="0.3"/>
    <row r="6658" customFormat="1" x14ac:dyDescent="0.3"/>
    <row r="6659" customFormat="1" x14ac:dyDescent="0.3"/>
    <row r="6660" customFormat="1" x14ac:dyDescent="0.3"/>
    <row r="6661" customFormat="1" x14ac:dyDescent="0.3"/>
    <row r="6662" customFormat="1" x14ac:dyDescent="0.3"/>
    <row r="6663" customFormat="1" x14ac:dyDescent="0.3"/>
    <row r="6664" customFormat="1" x14ac:dyDescent="0.3"/>
    <row r="6665" customFormat="1" x14ac:dyDescent="0.3"/>
    <row r="6666" customFormat="1" x14ac:dyDescent="0.3"/>
    <row r="6667" customFormat="1" x14ac:dyDescent="0.3"/>
    <row r="6668" customFormat="1" x14ac:dyDescent="0.3"/>
    <row r="6669" customFormat="1" x14ac:dyDescent="0.3"/>
    <row r="6670" customFormat="1" x14ac:dyDescent="0.3"/>
    <row r="6671" customFormat="1" x14ac:dyDescent="0.3"/>
    <row r="6672" customFormat="1" x14ac:dyDescent="0.3"/>
    <row r="6673" customFormat="1" x14ac:dyDescent="0.3"/>
    <row r="6674" customFormat="1" x14ac:dyDescent="0.3"/>
    <row r="6675" customFormat="1" x14ac:dyDescent="0.3"/>
    <row r="6676" customFormat="1" x14ac:dyDescent="0.3"/>
    <row r="6677" customFormat="1" x14ac:dyDescent="0.3"/>
    <row r="6678" customFormat="1" x14ac:dyDescent="0.3"/>
    <row r="6679" customFormat="1" x14ac:dyDescent="0.3"/>
    <row r="6680" customFormat="1" x14ac:dyDescent="0.3"/>
    <row r="6681" customFormat="1" x14ac:dyDescent="0.3"/>
    <row r="6682" customFormat="1" x14ac:dyDescent="0.3"/>
    <row r="6683" customFormat="1" x14ac:dyDescent="0.3"/>
    <row r="6684" customFormat="1" x14ac:dyDescent="0.3"/>
    <row r="6685" customFormat="1" x14ac:dyDescent="0.3"/>
    <row r="6686" customFormat="1" x14ac:dyDescent="0.3"/>
    <row r="6687" customFormat="1" x14ac:dyDescent="0.3"/>
    <row r="6688" customFormat="1" x14ac:dyDescent="0.3"/>
    <row r="6689" customFormat="1" x14ac:dyDescent="0.3"/>
    <row r="6690" customFormat="1" x14ac:dyDescent="0.3"/>
    <row r="6691" customFormat="1" x14ac:dyDescent="0.3"/>
    <row r="6692" customFormat="1" x14ac:dyDescent="0.3"/>
    <row r="6693" customFormat="1" x14ac:dyDescent="0.3"/>
    <row r="6694" customFormat="1" x14ac:dyDescent="0.3"/>
    <row r="6695" customFormat="1" x14ac:dyDescent="0.3"/>
    <row r="6696" customFormat="1" x14ac:dyDescent="0.3"/>
    <row r="6697" customFormat="1" x14ac:dyDescent="0.3"/>
    <row r="6698" customFormat="1" x14ac:dyDescent="0.3"/>
    <row r="6699" customFormat="1" x14ac:dyDescent="0.3"/>
    <row r="6700" customFormat="1" x14ac:dyDescent="0.3"/>
    <row r="6701" customFormat="1" x14ac:dyDescent="0.3"/>
    <row r="6702" customFormat="1" x14ac:dyDescent="0.3"/>
    <row r="6703" customFormat="1" x14ac:dyDescent="0.3"/>
    <row r="6704" customFormat="1" x14ac:dyDescent="0.3"/>
    <row r="6705" customFormat="1" x14ac:dyDescent="0.3"/>
    <row r="6706" customFormat="1" x14ac:dyDescent="0.3"/>
    <row r="6707" customFormat="1" x14ac:dyDescent="0.3"/>
    <row r="6708" customFormat="1" x14ac:dyDescent="0.3"/>
    <row r="6709" customFormat="1" x14ac:dyDescent="0.3"/>
    <row r="6710" customFormat="1" x14ac:dyDescent="0.3"/>
    <row r="6711" customFormat="1" x14ac:dyDescent="0.3"/>
    <row r="6712" customFormat="1" x14ac:dyDescent="0.3"/>
    <row r="6713" customFormat="1" x14ac:dyDescent="0.3"/>
    <row r="6714" customFormat="1" x14ac:dyDescent="0.3"/>
    <row r="6715" customFormat="1" x14ac:dyDescent="0.3"/>
    <row r="6716" customFormat="1" x14ac:dyDescent="0.3"/>
    <row r="6717" customFormat="1" x14ac:dyDescent="0.3"/>
    <row r="6718" customFormat="1" x14ac:dyDescent="0.3"/>
    <row r="6719" customFormat="1" x14ac:dyDescent="0.3"/>
    <row r="6720" customFormat="1" x14ac:dyDescent="0.3"/>
    <row r="6721" customFormat="1" x14ac:dyDescent="0.3"/>
    <row r="6722" customFormat="1" x14ac:dyDescent="0.3"/>
    <row r="6723" customFormat="1" x14ac:dyDescent="0.3"/>
    <row r="6724" customFormat="1" x14ac:dyDescent="0.3"/>
    <row r="6725" customFormat="1" x14ac:dyDescent="0.3"/>
    <row r="6726" customFormat="1" x14ac:dyDescent="0.3"/>
    <row r="6727" customFormat="1" x14ac:dyDescent="0.3"/>
    <row r="6728" customFormat="1" x14ac:dyDescent="0.3"/>
    <row r="6729" customFormat="1" x14ac:dyDescent="0.3"/>
    <row r="6730" customFormat="1" x14ac:dyDescent="0.3"/>
    <row r="6731" customFormat="1" x14ac:dyDescent="0.3"/>
    <row r="6732" customFormat="1" x14ac:dyDescent="0.3"/>
    <row r="6733" customFormat="1" x14ac:dyDescent="0.3"/>
    <row r="6734" customFormat="1" x14ac:dyDescent="0.3"/>
    <row r="6735" customFormat="1" x14ac:dyDescent="0.3"/>
    <row r="6736" customFormat="1" x14ac:dyDescent="0.3"/>
    <row r="6737" customFormat="1" x14ac:dyDescent="0.3"/>
    <row r="6738" customFormat="1" x14ac:dyDescent="0.3"/>
    <row r="6739" customFormat="1" x14ac:dyDescent="0.3"/>
    <row r="6740" customFormat="1" x14ac:dyDescent="0.3"/>
    <row r="6741" customFormat="1" x14ac:dyDescent="0.3"/>
    <row r="6742" customFormat="1" x14ac:dyDescent="0.3"/>
    <row r="6743" customFormat="1" x14ac:dyDescent="0.3"/>
    <row r="6744" customFormat="1" x14ac:dyDescent="0.3"/>
    <row r="6745" customFormat="1" x14ac:dyDescent="0.3"/>
    <row r="6746" customFormat="1" x14ac:dyDescent="0.3"/>
    <row r="6747" customFormat="1" x14ac:dyDescent="0.3"/>
    <row r="6748" customFormat="1" x14ac:dyDescent="0.3"/>
    <row r="6749" customFormat="1" x14ac:dyDescent="0.3"/>
    <row r="6750" customFormat="1" x14ac:dyDescent="0.3"/>
    <row r="6751" customFormat="1" x14ac:dyDescent="0.3"/>
    <row r="6752" customFormat="1" x14ac:dyDescent="0.3"/>
    <row r="6753" customFormat="1" x14ac:dyDescent="0.3"/>
    <row r="6754" customFormat="1" x14ac:dyDescent="0.3"/>
    <row r="6755" customFormat="1" x14ac:dyDescent="0.3"/>
    <row r="6756" customFormat="1" x14ac:dyDescent="0.3"/>
    <row r="6757" customFormat="1" x14ac:dyDescent="0.3"/>
    <row r="6758" customFormat="1" x14ac:dyDescent="0.3"/>
    <row r="6759" customFormat="1" x14ac:dyDescent="0.3"/>
    <row r="6760" customFormat="1" x14ac:dyDescent="0.3"/>
    <row r="6761" customFormat="1" x14ac:dyDescent="0.3"/>
    <row r="6762" customFormat="1" x14ac:dyDescent="0.3"/>
    <row r="6763" customFormat="1" x14ac:dyDescent="0.3"/>
    <row r="6764" customFormat="1" x14ac:dyDescent="0.3"/>
    <row r="6765" customFormat="1" x14ac:dyDescent="0.3"/>
    <row r="6766" customFormat="1" x14ac:dyDescent="0.3"/>
    <row r="6767" customFormat="1" x14ac:dyDescent="0.3"/>
    <row r="6768" customFormat="1" x14ac:dyDescent="0.3"/>
    <row r="6769" customFormat="1" x14ac:dyDescent="0.3"/>
    <row r="6770" customFormat="1" x14ac:dyDescent="0.3"/>
    <row r="6771" customFormat="1" x14ac:dyDescent="0.3"/>
    <row r="6772" customFormat="1" x14ac:dyDescent="0.3"/>
    <row r="6773" customFormat="1" x14ac:dyDescent="0.3"/>
    <row r="6774" customFormat="1" x14ac:dyDescent="0.3"/>
    <row r="6775" customFormat="1" x14ac:dyDescent="0.3"/>
    <row r="6776" customFormat="1" x14ac:dyDescent="0.3"/>
    <row r="6777" customFormat="1" x14ac:dyDescent="0.3"/>
    <row r="6778" customFormat="1" x14ac:dyDescent="0.3"/>
    <row r="6779" customFormat="1" x14ac:dyDescent="0.3"/>
    <row r="6780" customFormat="1" x14ac:dyDescent="0.3"/>
    <row r="6781" customFormat="1" x14ac:dyDescent="0.3"/>
    <row r="6782" customFormat="1" x14ac:dyDescent="0.3"/>
    <row r="6783" customFormat="1" x14ac:dyDescent="0.3"/>
    <row r="6784" customFormat="1" x14ac:dyDescent="0.3"/>
    <row r="6785" customFormat="1" x14ac:dyDescent="0.3"/>
    <row r="6786" customFormat="1" x14ac:dyDescent="0.3"/>
    <row r="6787" customFormat="1" x14ac:dyDescent="0.3"/>
    <row r="6788" customFormat="1" x14ac:dyDescent="0.3"/>
    <row r="6789" customFormat="1" x14ac:dyDescent="0.3"/>
    <row r="6790" customFormat="1" x14ac:dyDescent="0.3"/>
    <row r="6791" customFormat="1" x14ac:dyDescent="0.3"/>
    <row r="6792" customFormat="1" x14ac:dyDescent="0.3"/>
    <row r="6793" customFormat="1" x14ac:dyDescent="0.3"/>
    <row r="6794" customFormat="1" x14ac:dyDescent="0.3"/>
    <row r="6795" customFormat="1" x14ac:dyDescent="0.3"/>
    <row r="6796" customFormat="1" x14ac:dyDescent="0.3"/>
    <row r="6797" customFormat="1" x14ac:dyDescent="0.3"/>
    <row r="6798" customFormat="1" x14ac:dyDescent="0.3"/>
    <row r="6799" customFormat="1" x14ac:dyDescent="0.3"/>
    <row r="6800" customFormat="1" x14ac:dyDescent="0.3"/>
    <row r="6801" customFormat="1" x14ac:dyDescent="0.3"/>
    <row r="6802" customFormat="1" x14ac:dyDescent="0.3"/>
    <row r="6803" customFormat="1" x14ac:dyDescent="0.3"/>
    <row r="6804" customFormat="1" x14ac:dyDescent="0.3"/>
    <row r="6805" customFormat="1" x14ac:dyDescent="0.3"/>
    <row r="6806" customFormat="1" x14ac:dyDescent="0.3"/>
    <row r="6807" customFormat="1" x14ac:dyDescent="0.3"/>
    <row r="6808" customFormat="1" x14ac:dyDescent="0.3"/>
    <row r="6809" customFormat="1" x14ac:dyDescent="0.3"/>
    <row r="6810" customFormat="1" x14ac:dyDescent="0.3"/>
    <row r="6811" customFormat="1" x14ac:dyDescent="0.3"/>
    <row r="6812" customFormat="1" x14ac:dyDescent="0.3"/>
    <row r="6813" customFormat="1" x14ac:dyDescent="0.3"/>
    <row r="6814" customFormat="1" x14ac:dyDescent="0.3"/>
    <row r="6815" customFormat="1" x14ac:dyDescent="0.3"/>
    <row r="6816" customFormat="1" x14ac:dyDescent="0.3"/>
    <row r="6817" customFormat="1" x14ac:dyDescent="0.3"/>
    <row r="6818" customFormat="1" x14ac:dyDescent="0.3"/>
    <row r="6819" customFormat="1" x14ac:dyDescent="0.3"/>
    <row r="6820" customFormat="1" x14ac:dyDescent="0.3"/>
    <row r="6821" customFormat="1" x14ac:dyDescent="0.3"/>
    <row r="6822" customFormat="1" x14ac:dyDescent="0.3"/>
    <row r="6823" customFormat="1" x14ac:dyDescent="0.3"/>
    <row r="6824" customFormat="1" x14ac:dyDescent="0.3"/>
    <row r="6825" customFormat="1" x14ac:dyDescent="0.3"/>
    <row r="6826" customFormat="1" x14ac:dyDescent="0.3"/>
    <row r="6827" customFormat="1" x14ac:dyDescent="0.3"/>
    <row r="6828" customFormat="1" x14ac:dyDescent="0.3"/>
    <row r="6829" customFormat="1" x14ac:dyDescent="0.3"/>
    <row r="6830" customFormat="1" x14ac:dyDescent="0.3"/>
    <row r="6831" customFormat="1" x14ac:dyDescent="0.3"/>
    <row r="6832" customFormat="1" x14ac:dyDescent="0.3"/>
    <row r="6833" customFormat="1" x14ac:dyDescent="0.3"/>
    <row r="6834" customFormat="1" x14ac:dyDescent="0.3"/>
    <row r="6835" customFormat="1" x14ac:dyDescent="0.3"/>
    <row r="6836" customFormat="1" x14ac:dyDescent="0.3"/>
    <row r="6837" customFormat="1" x14ac:dyDescent="0.3"/>
    <row r="6838" customFormat="1" x14ac:dyDescent="0.3"/>
    <row r="6839" customFormat="1" x14ac:dyDescent="0.3"/>
    <row r="6840" customFormat="1" x14ac:dyDescent="0.3"/>
    <row r="6841" customFormat="1" x14ac:dyDescent="0.3"/>
    <row r="6842" customFormat="1" x14ac:dyDescent="0.3"/>
    <row r="6843" customFormat="1" x14ac:dyDescent="0.3"/>
    <row r="6844" customFormat="1" x14ac:dyDescent="0.3"/>
    <row r="6845" customFormat="1" x14ac:dyDescent="0.3"/>
    <row r="6846" customFormat="1" x14ac:dyDescent="0.3"/>
    <row r="6847" customFormat="1" x14ac:dyDescent="0.3"/>
    <row r="6848" customFormat="1" x14ac:dyDescent="0.3"/>
    <row r="6849" customFormat="1" x14ac:dyDescent="0.3"/>
    <row r="6850" customFormat="1" x14ac:dyDescent="0.3"/>
    <row r="6851" customFormat="1" x14ac:dyDescent="0.3"/>
    <row r="6852" customFormat="1" x14ac:dyDescent="0.3"/>
    <row r="6853" customFormat="1" x14ac:dyDescent="0.3"/>
    <row r="6854" customFormat="1" x14ac:dyDescent="0.3"/>
    <row r="6855" customFormat="1" x14ac:dyDescent="0.3"/>
    <row r="6856" customFormat="1" x14ac:dyDescent="0.3"/>
    <row r="6857" customFormat="1" x14ac:dyDescent="0.3"/>
    <row r="6858" customFormat="1" x14ac:dyDescent="0.3"/>
    <row r="6859" customFormat="1" x14ac:dyDescent="0.3"/>
    <row r="6860" customFormat="1" x14ac:dyDescent="0.3"/>
    <row r="6861" customFormat="1" x14ac:dyDescent="0.3"/>
    <row r="6862" customFormat="1" x14ac:dyDescent="0.3"/>
    <row r="6863" customFormat="1" x14ac:dyDescent="0.3"/>
    <row r="6864" customFormat="1" x14ac:dyDescent="0.3"/>
    <row r="6865" customFormat="1" x14ac:dyDescent="0.3"/>
    <row r="6866" customFormat="1" x14ac:dyDescent="0.3"/>
    <row r="6867" customFormat="1" x14ac:dyDescent="0.3"/>
    <row r="6868" customFormat="1" x14ac:dyDescent="0.3"/>
    <row r="6869" customFormat="1" x14ac:dyDescent="0.3"/>
    <row r="6870" customFormat="1" x14ac:dyDescent="0.3"/>
    <row r="6871" customFormat="1" x14ac:dyDescent="0.3"/>
    <row r="6872" customFormat="1" x14ac:dyDescent="0.3"/>
    <row r="6873" customFormat="1" x14ac:dyDescent="0.3"/>
    <row r="6874" customFormat="1" x14ac:dyDescent="0.3"/>
    <row r="6875" customFormat="1" x14ac:dyDescent="0.3"/>
    <row r="6876" customFormat="1" x14ac:dyDescent="0.3"/>
    <row r="6877" customFormat="1" x14ac:dyDescent="0.3"/>
    <row r="6878" customFormat="1" x14ac:dyDescent="0.3"/>
    <row r="6879" customFormat="1" x14ac:dyDescent="0.3"/>
    <row r="6880" customFormat="1" x14ac:dyDescent="0.3"/>
    <row r="6881" customFormat="1" x14ac:dyDescent="0.3"/>
    <row r="6882" customFormat="1" x14ac:dyDescent="0.3"/>
    <row r="6883" customFormat="1" x14ac:dyDescent="0.3"/>
    <row r="6884" customFormat="1" x14ac:dyDescent="0.3"/>
    <row r="6885" customFormat="1" x14ac:dyDescent="0.3"/>
    <row r="6886" customFormat="1" x14ac:dyDescent="0.3"/>
    <row r="6887" customFormat="1" x14ac:dyDescent="0.3"/>
    <row r="6888" customFormat="1" x14ac:dyDescent="0.3"/>
    <row r="6889" customFormat="1" x14ac:dyDescent="0.3"/>
    <row r="6890" customFormat="1" x14ac:dyDescent="0.3"/>
    <row r="6891" customFormat="1" x14ac:dyDescent="0.3"/>
    <row r="6892" customFormat="1" x14ac:dyDescent="0.3"/>
    <row r="6893" customFormat="1" x14ac:dyDescent="0.3"/>
    <row r="6894" customFormat="1" x14ac:dyDescent="0.3"/>
    <row r="6895" customFormat="1" x14ac:dyDescent="0.3"/>
    <row r="6896" customFormat="1" x14ac:dyDescent="0.3"/>
    <row r="6897" customFormat="1" x14ac:dyDescent="0.3"/>
    <row r="6898" customFormat="1" x14ac:dyDescent="0.3"/>
    <row r="6899" customFormat="1" x14ac:dyDescent="0.3"/>
    <row r="6900" customFormat="1" x14ac:dyDescent="0.3"/>
    <row r="6901" customFormat="1" x14ac:dyDescent="0.3"/>
    <row r="6902" customFormat="1" x14ac:dyDescent="0.3"/>
    <row r="6903" customFormat="1" x14ac:dyDescent="0.3"/>
    <row r="6904" customFormat="1" x14ac:dyDescent="0.3"/>
    <row r="6905" customFormat="1" x14ac:dyDescent="0.3"/>
    <row r="6906" customFormat="1" x14ac:dyDescent="0.3"/>
    <row r="6907" customFormat="1" x14ac:dyDescent="0.3"/>
    <row r="6908" customFormat="1" x14ac:dyDescent="0.3"/>
    <row r="6909" customFormat="1" x14ac:dyDescent="0.3"/>
    <row r="6910" customFormat="1" x14ac:dyDescent="0.3"/>
    <row r="6911" customFormat="1" x14ac:dyDescent="0.3"/>
    <row r="6912" customFormat="1" x14ac:dyDescent="0.3"/>
    <row r="6913" customFormat="1" x14ac:dyDescent="0.3"/>
    <row r="6914" customFormat="1" x14ac:dyDescent="0.3"/>
    <row r="6915" customFormat="1" x14ac:dyDescent="0.3"/>
    <row r="6916" customFormat="1" x14ac:dyDescent="0.3"/>
    <row r="6917" customFormat="1" x14ac:dyDescent="0.3"/>
    <row r="6918" customFormat="1" x14ac:dyDescent="0.3"/>
    <row r="6919" customFormat="1" x14ac:dyDescent="0.3"/>
    <row r="6920" customFormat="1" x14ac:dyDescent="0.3"/>
    <row r="6921" customFormat="1" x14ac:dyDescent="0.3"/>
    <row r="6922" customFormat="1" x14ac:dyDescent="0.3"/>
    <row r="6923" customFormat="1" x14ac:dyDescent="0.3"/>
    <row r="6924" customFormat="1" x14ac:dyDescent="0.3"/>
    <row r="6925" customFormat="1" x14ac:dyDescent="0.3"/>
    <row r="6926" customFormat="1" x14ac:dyDescent="0.3"/>
    <row r="6927" customFormat="1" x14ac:dyDescent="0.3"/>
    <row r="6928" customFormat="1" x14ac:dyDescent="0.3"/>
    <row r="6929" customFormat="1" x14ac:dyDescent="0.3"/>
    <row r="6930" customFormat="1" x14ac:dyDescent="0.3"/>
    <row r="6931" customFormat="1" x14ac:dyDescent="0.3"/>
    <row r="6932" customFormat="1" x14ac:dyDescent="0.3"/>
    <row r="6933" customFormat="1" x14ac:dyDescent="0.3"/>
    <row r="6934" customFormat="1" x14ac:dyDescent="0.3"/>
    <row r="6935" customFormat="1" x14ac:dyDescent="0.3"/>
    <row r="6936" customFormat="1" x14ac:dyDescent="0.3"/>
    <row r="6937" customFormat="1" x14ac:dyDescent="0.3"/>
    <row r="6938" customFormat="1" x14ac:dyDescent="0.3"/>
    <row r="6939" customFormat="1" x14ac:dyDescent="0.3"/>
    <row r="6940" customFormat="1" x14ac:dyDescent="0.3"/>
    <row r="6941" customFormat="1" x14ac:dyDescent="0.3"/>
    <row r="6942" customFormat="1" x14ac:dyDescent="0.3"/>
    <row r="6943" customFormat="1" x14ac:dyDescent="0.3"/>
    <row r="6944" customFormat="1" x14ac:dyDescent="0.3"/>
    <row r="6945" customFormat="1" x14ac:dyDescent="0.3"/>
    <row r="6946" customFormat="1" x14ac:dyDescent="0.3"/>
    <row r="6947" customFormat="1" x14ac:dyDescent="0.3"/>
    <row r="6948" customFormat="1" x14ac:dyDescent="0.3"/>
    <row r="6949" customFormat="1" x14ac:dyDescent="0.3"/>
    <row r="6950" customFormat="1" x14ac:dyDescent="0.3"/>
    <row r="6951" customFormat="1" x14ac:dyDescent="0.3"/>
    <row r="6952" customFormat="1" x14ac:dyDescent="0.3"/>
    <row r="6953" customFormat="1" x14ac:dyDescent="0.3"/>
    <row r="6954" customFormat="1" x14ac:dyDescent="0.3"/>
    <row r="6955" customFormat="1" x14ac:dyDescent="0.3"/>
    <row r="6956" customFormat="1" x14ac:dyDescent="0.3"/>
    <row r="6957" customFormat="1" x14ac:dyDescent="0.3"/>
    <row r="6958" customFormat="1" x14ac:dyDescent="0.3"/>
    <row r="6959" customFormat="1" x14ac:dyDescent="0.3"/>
    <row r="6960" customFormat="1" x14ac:dyDescent="0.3"/>
    <row r="6961" customFormat="1" x14ac:dyDescent="0.3"/>
    <row r="6962" customFormat="1" x14ac:dyDescent="0.3"/>
    <row r="6963" customFormat="1" x14ac:dyDescent="0.3"/>
    <row r="6964" customFormat="1" x14ac:dyDescent="0.3"/>
    <row r="6965" customFormat="1" x14ac:dyDescent="0.3"/>
    <row r="6966" customFormat="1" x14ac:dyDescent="0.3"/>
    <row r="6967" customFormat="1" x14ac:dyDescent="0.3"/>
    <row r="6968" customFormat="1" x14ac:dyDescent="0.3"/>
    <row r="6969" customFormat="1" x14ac:dyDescent="0.3"/>
    <row r="6970" customFormat="1" x14ac:dyDescent="0.3"/>
    <row r="6971" customFormat="1" x14ac:dyDescent="0.3"/>
    <row r="6972" customFormat="1" x14ac:dyDescent="0.3"/>
    <row r="6973" customFormat="1" x14ac:dyDescent="0.3"/>
    <row r="6974" customFormat="1" x14ac:dyDescent="0.3"/>
    <row r="6975" customFormat="1" x14ac:dyDescent="0.3"/>
    <row r="6976" customFormat="1" x14ac:dyDescent="0.3"/>
    <row r="6977" customFormat="1" x14ac:dyDescent="0.3"/>
    <row r="6978" customFormat="1" x14ac:dyDescent="0.3"/>
    <row r="6979" customFormat="1" x14ac:dyDescent="0.3"/>
    <row r="6980" customFormat="1" x14ac:dyDescent="0.3"/>
    <row r="6981" customFormat="1" x14ac:dyDescent="0.3"/>
    <row r="6982" customFormat="1" x14ac:dyDescent="0.3"/>
    <row r="6983" customFormat="1" x14ac:dyDescent="0.3"/>
    <row r="6984" customFormat="1" x14ac:dyDescent="0.3"/>
    <row r="6985" customFormat="1" x14ac:dyDescent="0.3"/>
    <row r="6986" customFormat="1" x14ac:dyDescent="0.3"/>
    <row r="6987" customFormat="1" x14ac:dyDescent="0.3"/>
    <row r="6988" customFormat="1" x14ac:dyDescent="0.3"/>
    <row r="6989" customFormat="1" x14ac:dyDescent="0.3"/>
    <row r="6990" customFormat="1" x14ac:dyDescent="0.3"/>
    <row r="6991" customFormat="1" x14ac:dyDescent="0.3"/>
    <row r="6992" customFormat="1" x14ac:dyDescent="0.3"/>
    <row r="6993" customFormat="1" x14ac:dyDescent="0.3"/>
    <row r="6994" customFormat="1" x14ac:dyDescent="0.3"/>
    <row r="6995" customFormat="1" x14ac:dyDescent="0.3"/>
    <row r="6996" customFormat="1" x14ac:dyDescent="0.3"/>
    <row r="6997" customFormat="1" x14ac:dyDescent="0.3"/>
    <row r="6998" customFormat="1" x14ac:dyDescent="0.3"/>
    <row r="6999" customFormat="1" x14ac:dyDescent="0.3"/>
    <row r="7000" customFormat="1" x14ac:dyDescent="0.3"/>
    <row r="7001" customFormat="1" x14ac:dyDescent="0.3"/>
    <row r="7002" customFormat="1" x14ac:dyDescent="0.3"/>
    <row r="7003" customFormat="1" x14ac:dyDescent="0.3"/>
    <row r="7004" customFormat="1" x14ac:dyDescent="0.3"/>
    <row r="7005" customFormat="1" x14ac:dyDescent="0.3"/>
    <row r="7006" customFormat="1" x14ac:dyDescent="0.3"/>
    <row r="7007" customFormat="1" x14ac:dyDescent="0.3"/>
    <row r="7008" customFormat="1" x14ac:dyDescent="0.3"/>
    <row r="7009" customFormat="1" x14ac:dyDescent="0.3"/>
    <row r="7010" customFormat="1" x14ac:dyDescent="0.3"/>
    <row r="7011" customFormat="1" x14ac:dyDescent="0.3"/>
    <row r="7012" customFormat="1" x14ac:dyDescent="0.3"/>
    <row r="7013" customFormat="1" x14ac:dyDescent="0.3"/>
    <row r="7014" customFormat="1" x14ac:dyDescent="0.3"/>
    <row r="7015" customFormat="1" x14ac:dyDescent="0.3"/>
    <row r="7016" customFormat="1" x14ac:dyDescent="0.3"/>
    <row r="7017" customFormat="1" x14ac:dyDescent="0.3"/>
    <row r="7018" customFormat="1" x14ac:dyDescent="0.3"/>
    <row r="7019" customFormat="1" x14ac:dyDescent="0.3"/>
    <row r="7020" customFormat="1" x14ac:dyDescent="0.3"/>
    <row r="7021" customFormat="1" x14ac:dyDescent="0.3"/>
    <row r="7022" customFormat="1" x14ac:dyDescent="0.3"/>
    <row r="7023" customFormat="1" x14ac:dyDescent="0.3"/>
    <row r="7024" customFormat="1" x14ac:dyDescent="0.3"/>
    <row r="7025" customFormat="1" x14ac:dyDescent="0.3"/>
    <row r="7026" customFormat="1" x14ac:dyDescent="0.3"/>
    <row r="7027" customFormat="1" x14ac:dyDescent="0.3"/>
    <row r="7028" customFormat="1" x14ac:dyDescent="0.3"/>
    <row r="7029" customFormat="1" x14ac:dyDescent="0.3"/>
    <row r="7030" customFormat="1" x14ac:dyDescent="0.3"/>
    <row r="7031" customFormat="1" x14ac:dyDescent="0.3"/>
    <row r="7032" customFormat="1" x14ac:dyDescent="0.3"/>
    <row r="7033" customFormat="1" x14ac:dyDescent="0.3"/>
    <row r="7034" customFormat="1" x14ac:dyDescent="0.3"/>
    <row r="7035" customFormat="1" x14ac:dyDescent="0.3"/>
    <row r="7036" customFormat="1" x14ac:dyDescent="0.3"/>
    <row r="7037" customFormat="1" x14ac:dyDescent="0.3"/>
    <row r="7038" customFormat="1" x14ac:dyDescent="0.3"/>
    <row r="7039" customFormat="1" x14ac:dyDescent="0.3"/>
    <row r="7040" customFormat="1" x14ac:dyDescent="0.3"/>
    <row r="7041" customFormat="1" x14ac:dyDescent="0.3"/>
    <row r="7042" customFormat="1" x14ac:dyDescent="0.3"/>
    <row r="7043" customFormat="1" x14ac:dyDescent="0.3"/>
    <row r="7044" customFormat="1" x14ac:dyDescent="0.3"/>
    <row r="7045" customFormat="1" x14ac:dyDescent="0.3"/>
    <row r="7046" customFormat="1" x14ac:dyDescent="0.3"/>
    <row r="7047" customFormat="1" x14ac:dyDescent="0.3"/>
    <row r="7048" customFormat="1" x14ac:dyDescent="0.3"/>
    <row r="7049" customFormat="1" x14ac:dyDescent="0.3"/>
    <row r="7050" customFormat="1" x14ac:dyDescent="0.3"/>
    <row r="7051" customFormat="1" x14ac:dyDescent="0.3"/>
    <row r="7052" customFormat="1" x14ac:dyDescent="0.3"/>
    <row r="7053" customFormat="1" x14ac:dyDescent="0.3"/>
    <row r="7054" customFormat="1" x14ac:dyDescent="0.3"/>
    <row r="7055" customFormat="1" x14ac:dyDescent="0.3"/>
    <row r="7056" customFormat="1" x14ac:dyDescent="0.3"/>
    <row r="7057" customFormat="1" x14ac:dyDescent="0.3"/>
    <row r="7058" customFormat="1" x14ac:dyDescent="0.3"/>
    <row r="7059" customFormat="1" x14ac:dyDescent="0.3"/>
    <row r="7060" customFormat="1" x14ac:dyDescent="0.3"/>
    <row r="7061" customFormat="1" x14ac:dyDescent="0.3"/>
    <row r="7062" customFormat="1" x14ac:dyDescent="0.3"/>
    <row r="7063" customFormat="1" x14ac:dyDescent="0.3"/>
    <row r="7064" customFormat="1" x14ac:dyDescent="0.3"/>
    <row r="7065" customFormat="1" x14ac:dyDescent="0.3"/>
    <row r="7066" customFormat="1" x14ac:dyDescent="0.3"/>
    <row r="7067" customFormat="1" x14ac:dyDescent="0.3"/>
    <row r="7068" customFormat="1" x14ac:dyDescent="0.3"/>
    <row r="7069" customFormat="1" x14ac:dyDescent="0.3"/>
    <row r="7070" customFormat="1" x14ac:dyDescent="0.3"/>
    <row r="7071" customFormat="1" x14ac:dyDescent="0.3"/>
    <row r="7072" customFormat="1" x14ac:dyDescent="0.3"/>
    <row r="7073" customFormat="1" x14ac:dyDescent="0.3"/>
    <row r="7074" customFormat="1" x14ac:dyDescent="0.3"/>
    <row r="7075" customFormat="1" x14ac:dyDescent="0.3"/>
    <row r="7076" customFormat="1" x14ac:dyDescent="0.3"/>
    <row r="7077" customFormat="1" x14ac:dyDescent="0.3"/>
    <row r="7078" customFormat="1" x14ac:dyDescent="0.3"/>
    <row r="7079" customFormat="1" x14ac:dyDescent="0.3"/>
    <row r="7080" customFormat="1" x14ac:dyDescent="0.3"/>
    <row r="7081" customFormat="1" x14ac:dyDescent="0.3"/>
    <row r="7082" customFormat="1" x14ac:dyDescent="0.3"/>
    <row r="7083" customFormat="1" x14ac:dyDescent="0.3"/>
    <row r="7084" customFormat="1" x14ac:dyDescent="0.3"/>
    <row r="7085" customFormat="1" x14ac:dyDescent="0.3"/>
    <row r="7086" customFormat="1" x14ac:dyDescent="0.3"/>
    <row r="7087" customFormat="1" x14ac:dyDescent="0.3"/>
    <row r="7088" customFormat="1" x14ac:dyDescent="0.3"/>
    <row r="7089" customFormat="1" x14ac:dyDescent="0.3"/>
    <row r="7090" customFormat="1" x14ac:dyDescent="0.3"/>
    <row r="7091" customFormat="1" x14ac:dyDescent="0.3"/>
    <row r="7092" customFormat="1" x14ac:dyDescent="0.3"/>
    <row r="7093" customFormat="1" x14ac:dyDescent="0.3"/>
    <row r="7094" customFormat="1" x14ac:dyDescent="0.3"/>
    <row r="7095" customFormat="1" x14ac:dyDescent="0.3"/>
    <row r="7096" customFormat="1" x14ac:dyDescent="0.3"/>
    <row r="7097" customFormat="1" x14ac:dyDescent="0.3"/>
    <row r="7098" customFormat="1" x14ac:dyDescent="0.3"/>
    <row r="7099" customFormat="1" x14ac:dyDescent="0.3"/>
    <row r="7100" customFormat="1" x14ac:dyDescent="0.3"/>
    <row r="7101" customFormat="1" x14ac:dyDescent="0.3"/>
    <row r="7102" customFormat="1" x14ac:dyDescent="0.3"/>
    <row r="7103" customFormat="1" x14ac:dyDescent="0.3"/>
    <row r="7104" customFormat="1" x14ac:dyDescent="0.3"/>
    <row r="7105" customFormat="1" x14ac:dyDescent="0.3"/>
    <row r="7106" customFormat="1" x14ac:dyDescent="0.3"/>
    <row r="7107" customFormat="1" x14ac:dyDescent="0.3"/>
    <row r="7108" customFormat="1" x14ac:dyDescent="0.3"/>
    <row r="7109" customFormat="1" x14ac:dyDescent="0.3"/>
    <row r="7110" customFormat="1" x14ac:dyDescent="0.3"/>
    <row r="7111" customFormat="1" x14ac:dyDescent="0.3"/>
    <row r="7112" customFormat="1" x14ac:dyDescent="0.3"/>
    <row r="7113" customFormat="1" x14ac:dyDescent="0.3"/>
    <row r="7114" customFormat="1" x14ac:dyDescent="0.3"/>
    <row r="7115" customFormat="1" x14ac:dyDescent="0.3"/>
    <row r="7116" customFormat="1" x14ac:dyDescent="0.3"/>
    <row r="7117" customFormat="1" x14ac:dyDescent="0.3"/>
    <row r="7118" customFormat="1" x14ac:dyDescent="0.3"/>
    <row r="7119" customFormat="1" x14ac:dyDescent="0.3"/>
    <row r="7120" customFormat="1" x14ac:dyDescent="0.3"/>
    <row r="7121" customFormat="1" x14ac:dyDescent="0.3"/>
    <row r="7122" customFormat="1" x14ac:dyDescent="0.3"/>
    <row r="7123" customFormat="1" x14ac:dyDescent="0.3"/>
    <row r="7124" customFormat="1" x14ac:dyDescent="0.3"/>
    <row r="7125" customFormat="1" x14ac:dyDescent="0.3"/>
    <row r="7126" customFormat="1" x14ac:dyDescent="0.3"/>
    <row r="7127" customFormat="1" x14ac:dyDescent="0.3"/>
    <row r="7128" customFormat="1" x14ac:dyDescent="0.3"/>
    <row r="7129" customFormat="1" x14ac:dyDescent="0.3"/>
    <row r="7130" customFormat="1" x14ac:dyDescent="0.3"/>
    <row r="7131" customFormat="1" x14ac:dyDescent="0.3"/>
    <row r="7132" customFormat="1" x14ac:dyDescent="0.3"/>
    <row r="7133" customFormat="1" x14ac:dyDescent="0.3"/>
    <row r="7134" customFormat="1" x14ac:dyDescent="0.3"/>
    <row r="7135" customFormat="1" x14ac:dyDescent="0.3"/>
    <row r="7136" customFormat="1" x14ac:dyDescent="0.3"/>
    <row r="7137" customFormat="1" x14ac:dyDescent="0.3"/>
    <row r="7138" customFormat="1" x14ac:dyDescent="0.3"/>
    <row r="7139" customFormat="1" x14ac:dyDescent="0.3"/>
    <row r="7140" customFormat="1" x14ac:dyDescent="0.3"/>
    <row r="7141" customFormat="1" x14ac:dyDescent="0.3"/>
    <row r="7142" customFormat="1" x14ac:dyDescent="0.3"/>
    <row r="7143" customFormat="1" x14ac:dyDescent="0.3"/>
    <row r="7144" customFormat="1" x14ac:dyDescent="0.3"/>
    <row r="7145" customFormat="1" x14ac:dyDescent="0.3"/>
    <row r="7146" customFormat="1" x14ac:dyDescent="0.3"/>
    <row r="7147" customFormat="1" x14ac:dyDescent="0.3"/>
    <row r="7148" customFormat="1" x14ac:dyDescent="0.3"/>
    <row r="7149" customFormat="1" x14ac:dyDescent="0.3"/>
    <row r="7150" customFormat="1" x14ac:dyDescent="0.3"/>
    <row r="7151" customFormat="1" x14ac:dyDescent="0.3"/>
    <row r="7152" customFormat="1" x14ac:dyDescent="0.3"/>
    <row r="7153" customFormat="1" x14ac:dyDescent="0.3"/>
    <row r="7154" customFormat="1" x14ac:dyDescent="0.3"/>
    <row r="7155" customFormat="1" x14ac:dyDescent="0.3"/>
    <row r="7156" customFormat="1" x14ac:dyDescent="0.3"/>
    <row r="7157" customFormat="1" x14ac:dyDescent="0.3"/>
    <row r="7158" customFormat="1" x14ac:dyDescent="0.3"/>
    <row r="7159" customFormat="1" x14ac:dyDescent="0.3"/>
    <row r="7160" customFormat="1" x14ac:dyDescent="0.3"/>
    <row r="7161" customFormat="1" x14ac:dyDescent="0.3"/>
    <row r="7162" customFormat="1" x14ac:dyDescent="0.3"/>
    <row r="7163" customFormat="1" x14ac:dyDescent="0.3"/>
    <row r="7164" customFormat="1" x14ac:dyDescent="0.3"/>
    <row r="7165" customFormat="1" x14ac:dyDescent="0.3"/>
    <row r="7166" customFormat="1" x14ac:dyDescent="0.3"/>
    <row r="7167" customFormat="1" x14ac:dyDescent="0.3"/>
    <row r="7168" customFormat="1" x14ac:dyDescent="0.3"/>
    <row r="7169" customFormat="1" x14ac:dyDescent="0.3"/>
    <row r="7170" customFormat="1" x14ac:dyDescent="0.3"/>
    <row r="7171" customFormat="1" x14ac:dyDescent="0.3"/>
    <row r="7172" customFormat="1" x14ac:dyDescent="0.3"/>
    <row r="7173" customFormat="1" x14ac:dyDescent="0.3"/>
    <row r="7174" customFormat="1" x14ac:dyDescent="0.3"/>
    <row r="7175" customFormat="1" x14ac:dyDescent="0.3"/>
    <row r="7176" customFormat="1" x14ac:dyDescent="0.3"/>
    <row r="7177" customFormat="1" x14ac:dyDescent="0.3"/>
    <row r="7178" customFormat="1" x14ac:dyDescent="0.3"/>
    <row r="7179" customFormat="1" x14ac:dyDescent="0.3"/>
    <row r="7180" customFormat="1" x14ac:dyDescent="0.3"/>
    <row r="7181" customFormat="1" x14ac:dyDescent="0.3"/>
    <row r="7182" customFormat="1" x14ac:dyDescent="0.3"/>
    <row r="7183" customFormat="1" x14ac:dyDescent="0.3"/>
    <row r="7184" customFormat="1" x14ac:dyDescent="0.3"/>
    <row r="7185" customFormat="1" x14ac:dyDescent="0.3"/>
    <row r="7186" customFormat="1" x14ac:dyDescent="0.3"/>
    <row r="7187" customFormat="1" x14ac:dyDescent="0.3"/>
    <row r="7188" customFormat="1" x14ac:dyDescent="0.3"/>
    <row r="7189" customFormat="1" x14ac:dyDescent="0.3"/>
    <row r="7190" customFormat="1" x14ac:dyDescent="0.3"/>
    <row r="7191" customFormat="1" x14ac:dyDescent="0.3"/>
    <row r="7192" customFormat="1" x14ac:dyDescent="0.3"/>
    <row r="7193" customFormat="1" x14ac:dyDescent="0.3"/>
    <row r="7194" customFormat="1" x14ac:dyDescent="0.3"/>
    <row r="7195" customFormat="1" x14ac:dyDescent="0.3"/>
    <row r="7196" customFormat="1" x14ac:dyDescent="0.3"/>
    <row r="7197" customFormat="1" x14ac:dyDescent="0.3"/>
    <row r="7198" customFormat="1" x14ac:dyDescent="0.3"/>
    <row r="7199" customFormat="1" x14ac:dyDescent="0.3"/>
    <row r="7200" customFormat="1" x14ac:dyDescent="0.3"/>
    <row r="7201" customFormat="1" x14ac:dyDescent="0.3"/>
    <row r="7202" customFormat="1" x14ac:dyDescent="0.3"/>
    <row r="7203" customFormat="1" x14ac:dyDescent="0.3"/>
    <row r="7204" customFormat="1" x14ac:dyDescent="0.3"/>
    <row r="7205" customFormat="1" x14ac:dyDescent="0.3"/>
    <row r="7206" customFormat="1" x14ac:dyDescent="0.3"/>
    <row r="7207" customFormat="1" x14ac:dyDescent="0.3"/>
    <row r="7208" customFormat="1" x14ac:dyDescent="0.3"/>
  </sheetData>
  <conditionalFormatting sqref="D2">
    <cfRule type="cellIs" dxfId="18" priority="9" operator="lessThan">
      <formula>0</formula>
    </cfRule>
  </conditionalFormatting>
  <conditionalFormatting pivot="1" sqref="C5:C8">
    <cfRule type="cellIs" dxfId="17" priority="1" operator="lessThan">
      <formula>0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2"/>
  <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AA5DC1-7426-4AD3-943A-70EF05567F4A}">
  <dimension ref="A1:D364"/>
  <sheetViews>
    <sheetView tabSelected="1" topLeftCell="A154" zoomScaleNormal="100" workbookViewId="0">
      <selection activeCell="E161" sqref="E161"/>
    </sheetView>
  </sheetViews>
  <sheetFormatPr defaultRowHeight="14.4" x14ac:dyDescent="0.3"/>
  <cols>
    <col min="1" max="1" width="41.88671875" style="85" bestFit="1" customWidth="1"/>
    <col min="2" max="2" width="17.33203125" style="69" bestFit="1" customWidth="1"/>
    <col min="3" max="3" width="49.5546875" style="85" bestFit="1" customWidth="1"/>
    <col min="4" max="4" width="12.88671875" style="69" bestFit="1" customWidth="1"/>
  </cols>
  <sheetData>
    <row r="1" spans="1:4" x14ac:dyDescent="0.3">
      <c r="A1" s="71" t="s">
        <v>69</v>
      </c>
      <c r="B1" s="72" t="s">
        <v>150</v>
      </c>
      <c r="C1" s="72" t="s">
        <v>90</v>
      </c>
      <c r="D1" s="73" t="s">
        <v>70</v>
      </c>
    </row>
    <row r="2" spans="1:4" x14ac:dyDescent="0.3">
      <c r="A2" s="67" t="s">
        <v>112</v>
      </c>
      <c r="B2" s="74" t="s">
        <v>168</v>
      </c>
      <c r="C2" s="66" t="s">
        <v>280</v>
      </c>
      <c r="D2" s="77">
        <v>800</v>
      </c>
    </row>
    <row r="3" spans="1:4" x14ac:dyDescent="0.3">
      <c r="A3" s="66" t="s">
        <v>130</v>
      </c>
      <c r="B3" s="74" t="s">
        <v>93</v>
      </c>
      <c r="C3" s="66" t="s">
        <v>169</v>
      </c>
      <c r="D3" s="78">
        <v>900</v>
      </c>
    </row>
    <row r="4" spans="1:4" x14ac:dyDescent="0.3">
      <c r="A4" s="66" t="s">
        <v>170</v>
      </c>
      <c r="B4" s="70" t="s">
        <v>91</v>
      </c>
      <c r="C4" s="66" t="s">
        <v>171</v>
      </c>
      <c r="D4" s="78">
        <v>4300</v>
      </c>
    </row>
    <row r="5" spans="1:4" x14ac:dyDescent="0.3">
      <c r="A5" s="66" t="s">
        <v>172</v>
      </c>
      <c r="B5" s="68" t="s">
        <v>92</v>
      </c>
      <c r="C5" s="66" t="s">
        <v>173</v>
      </c>
      <c r="D5" s="78">
        <v>3500</v>
      </c>
    </row>
    <row r="6" spans="1:4" x14ac:dyDescent="0.3">
      <c r="A6" s="66" t="s">
        <v>281</v>
      </c>
      <c r="B6" s="70" t="s">
        <v>91</v>
      </c>
      <c r="C6" s="66" t="s">
        <v>282</v>
      </c>
      <c r="D6" s="79">
        <v>2500</v>
      </c>
    </row>
    <row r="7" spans="1:4" x14ac:dyDescent="0.3">
      <c r="A7" s="66" t="s">
        <v>283</v>
      </c>
      <c r="B7" s="68" t="s">
        <v>115</v>
      </c>
      <c r="C7" s="66" t="s">
        <v>284</v>
      </c>
      <c r="D7" s="79">
        <v>5500</v>
      </c>
    </row>
    <row r="8" spans="1:4" x14ac:dyDescent="0.3">
      <c r="A8" s="66" t="s">
        <v>283</v>
      </c>
      <c r="B8" s="70" t="s">
        <v>93</v>
      </c>
      <c r="C8" s="66" t="s">
        <v>285</v>
      </c>
      <c r="D8" s="79">
        <v>4100</v>
      </c>
    </row>
    <row r="9" spans="1:4" x14ac:dyDescent="0.3">
      <c r="A9" s="66" t="s">
        <v>286</v>
      </c>
      <c r="B9" s="68" t="s">
        <v>93</v>
      </c>
      <c r="C9" s="66" t="s">
        <v>287</v>
      </c>
      <c r="D9" s="79">
        <v>4300</v>
      </c>
    </row>
    <row r="10" spans="1:4" x14ac:dyDescent="0.3">
      <c r="A10" s="67" t="s">
        <v>288</v>
      </c>
      <c r="B10" s="74" t="s">
        <v>168</v>
      </c>
      <c r="C10" s="66" t="s">
        <v>289</v>
      </c>
      <c r="D10" s="80">
        <v>14800</v>
      </c>
    </row>
    <row r="11" spans="1:4" x14ac:dyDescent="0.3">
      <c r="A11" s="67" t="s">
        <v>288</v>
      </c>
      <c r="B11" s="68" t="s">
        <v>93</v>
      </c>
      <c r="C11" s="66" t="s">
        <v>290</v>
      </c>
      <c r="D11" s="80">
        <v>18000</v>
      </c>
    </row>
    <row r="12" spans="1:4" x14ac:dyDescent="0.3">
      <c r="A12" s="67" t="s">
        <v>288</v>
      </c>
      <c r="B12" s="74" t="s">
        <v>115</v>
      </c>
      <c r="C12" s="66" t="s">
        <v>291</v>
      </c>
      <c r="D12" s="80">
        <v>25000</v>
      </c>
    </row>
    <row r="13" spans="1:4" x14ac:dyDescent="0.3">
      <c r="A13" s="67" t="s">
        <v>251</v>
      </c>
      <c r="B13" s="74" t="s">
        <v>168</v>
      </c>
      <c r="C13" s="66" t="s">
        <v>292</v>
      </c>
      <c r="D13" s="80">
        <v>3200</v>
      </c>
    </row>
    <row r="14" spans="1:4" x14ac:dyDescent="0.3">
      <c r="A14" s="67" t="s">
        <v>251</v>
      </c>
      <c r="B14" s="74" t="s">
        <v>252</v>
      </c>
      <c r="C14" s="66" t="s">
        <v>253</v>
      </c>
      <c r="D14" s="80">
        <v>3800</v>
      </c>
    </row>
    <row r="15" spans="1:4" x14ac:dyDescent="0.3">
      <c r="A15" s="67" t="s">
        <v>251</v>
      </c>
      <c r="B15" s="68" t="s">
        <v>93</v>
      </c>
      <c r="C15" s="66" t="s">
        <v>293</v>
      </c>
      <c r="D15" s="80">
        <v>4100</v>
      </c>
    </row>
    <row r="16" spans="1:4" x14ac:dyDescent="0.3">
      <c r="A16" s="67" t="s">
        <v>136</v>
      </c>
      <c r="B16" s="74" t="s">
        <v>294</v>
      </c>
      <c r="C16" s="66" t="s">
        <v>295</v>
      </c>
      <c r="D16" s="80">
        <v>1800</v>
      </c>
    </row>
    <row r="17" spans="1:4" x14ac:dyDescent="0.3">
      <c r="A17" s="67" t="s">
        <v>296</v>
      </c>
      <c r="B17" s="74" t="s">
        <v>168</v>
      </c>
      <c r="C17" s="66" t="s">
        <v>297</v>
      </c>
      <c r="D17" s="80">
        <v>1300</v>
      </c>
    </row>
    <row r="18" spans="1:4" x14ac:dyDescent="0.3">
      <c r="A18" s="67" t="s">
        <v>142</v>
      </c>
      <c r="B18" s="74" t="s">
        <v>252</v>
      </c>
      <c r="C18" s="66" t="s">
        <v>298</v>
      </c>
      <c r="D18" s="81">
        <v>800</v>
      </c>
    </row>
    <row r="19" spans="1:4" x14ac:dyDescent="0.3">
      <c r="A19" s="67" t="s">
        <v>146</v>
      </c>
      <c r="B19" s="74" t="s">
        <v>168</v>
      </c>
      <c r="C19" s="66" t="s">
        <v>299</v>
      </c>
      <c r="D19" s="80">
        <v>2500</v>
      </c>
    </row>
    <row r="20" spans="1:4" x14ac:dyDescent="0.3">
      <c r="A20" s="67" t="s">
        <v>95</v>
      </c>
      <c r="B20" s="74" t="s">
        <v>168</v>
      </c>
      <c r="C20" s="66" t="s">
        <v>300</v>
      </c>
      <c r="D20" s="80">
        <v>2500</v>
      </c>
    </row>
    <row r="21" spans="1:4" x14ac:dyDescent="0.3">
      <c r="A21" s="67" t="s">
        <v>95</v>
      </c>
      <c r="B21" s="68" t="s">
        <v>91</v>
      </c>
      <c r="C21" s="66" t="s">
        <v>118</v>
      </c>
      <c r="D21" s="80">
        <v>1800</v>
      </c>
    </row>
    <row r="22" spans="1:4" x14ac:dyDescent="0.3">
      <c r="A22" s="67" t="s">
        <v>113</v>
      </c>
      <c r="B22" s="74" t="s">
        <v>91</v>
      </c>
      <c r="C22" s="66" t="s">
        <v>117</v>
      </c>
      <c r="D22" s="80">
        <v>1700</v>
      </c>
    </row>
    <row r="23" spans="1:4" x14ac:dyDescent="0.3">
      <c r="A23" s="67" t="s">
        <v>96</v>
      </c>
      <c r="B23" s="74" t="s">
        <v>168</v>
      </c>
      <c r="C23" s="66" t="s">
        <v>174</v>
      </c>
      <c r="D23" s="80">
        <v>800</v>
      </c>
    </row>
    <row r="24" spans="1:4" x14ac:dyDescent="0.3">
      <c r="A24" s="67" t="s">
        <v>96</v>
      </c>
      <c r="B24" s="74" t="s">
        <v>92</v>
      </c>
      <c r="C24" s="66" t="s">
        <v>301</v>
      </c>
      <c r="D24" s="80">
        <v>450</v>
      </c>
    </row>
    <row r="25" spans="1:4" x14ac:dyDescent="0.3">
      <c r="A25" s="67" t="s">
        <v>147</v>
      </c>
      <c r="B25" s="74" t="s">
        <v>168</v>
      </c>
      <c r="C25" s="66" t="s">
        <v>302</v>
      </c>
      <c r="D25" s="80">
        <v>1500</v>
      </c>
    </row>
    <row r="26" spans="1:4" x14ac:dyDescent="0.3">
      <c r="A26" s="67" t="s">
        <v>147</v>
      </c>
      <c r="B26" s="68" t="s">
        <v>91</v>
      </c>
      <c r="C26" s="66" t="s">
        <v>165</v>
      </c>
      <c r="D26" s="80">
        <v>1100</v>
      </c>
    </row>
    <row r="27" spans="1:4" x14ac:dyDescent="0.3">
      <c r="A27" s="67" t="s">
        <v>137</v>
      </c>
      <c r="B27" s="74" t="s">
        <v>91</v>
      </c>
      <c r="C27" s="66" t="s">
        <v>159</v>
      </c>
      <c r="D27" s="80">
        <v>500</v>
      </c>
    </row>
    <row r="28" spans="1:4" x14ac:dyDescent="0.3">
      <c r="A28" s="67" t="s">
        <v>241</v>
      </c>
      <c r="B28" s="74" t="s">
        <v>168</v>
      </c>
      <c r="C28" s="66" t="s">
        <v>242</v>
      </c>
      <c r="D28" s="80">
        <v>800</v>
      </c>
    </row>
    <row r="29" spans="1:4" x14ac:dyDescent="0.3">
      <c r="A29" s="67" t="s">
        <v>175</v>
      </c>
      <c r="B29" s="74" t="s">
        <v>91</v>
      </c>
      <c r="C29" s="66" t="s">
        <v>176</v>
      </c>
      <c r="D29" s="80">
        <v>1200</v>
      </c>
    </row>
    <row r="30" spans="1:4" x14ac:dyDescent="0.3">
      <c r="A30" s="67" t="s">
        <v>149</v>
      </c>
      <c r="B30" s="68" t="s">
        <v>93</v>
      </c>
      <c r="C30" s="66" t="s">
        <v>166</v>
      </c>
      <c r="D30" s="80">
        <v>5000</v>
      </c>
    </row>
    <row r="31" spans="1:4" x14ac:dyDescent="0.3">
      <c r="A31" s="67" t="s">
        <v>97</v>
      </c>
      <c r="B31" s="68" t="s">
        <v>303</v>
      </c>
      <c r="C31" s="66" t="s">
        <v>304</v>
      </c>
      <c r="D31" s="80">
        <v>2400</v>
      </c>
    </row>
    <row r="32" spans="1:4" x14ac:dyDescent="0.3">
      <c r="A32" s="67" t="s">
        <v>97</v>
      </c>
      <c r="B32" s="74" t="s">
        <v>93</v>
      </c>
      <c r="C32" s="66" t="s">
        <v>305</v>
      </c>
      <c r="D32" s="80">
        <v>2100</v>
      </c>
    </row>
    <row r="33" spans="1:4" x14ac:dyDescent="0.3">
      <c r="A33" s="67" t="s">
        <v>306</v>
      </c>
      <c r="B33" s="68" t="s">
        <v>294</v>
      </c>
      <c r="C33" s="66" t="s">
        <v>307</v>
      </c>
      <c r="D33" s="80">
        <v>1800</v>
      </c>
    </row>
    <row r="34" spans="1:4" x14ac:dyDescent="0.3">
      <c r="A34" s="67" t="s">
        <v>98</v>
      </c>
      <c r="B34" s="68" t="s">
        <v>115</v>
      </c>
      <c r="C34" s="66" t="s">
        <v>177</v>
      </c>
      <c r="D34" s="80">
        <v>3500</v>
      </c>
    </row>
    <row r="35" spans="1:4" x14ac:dyDescent="0.3">
      <c r="A35" s="67" t="s">
        <v>98</v>
      </c>
      <c r="B35" s="68" t="s">
        <v>93</v>
      </c>
      <c r="C35" s="66" t="s">
        <v>178</v>
      </c>
      <c r="D35" s="80">
        <v>2000</v>
      </c>
    </row>
    <row r="36" spans="1:4" x14ac:dyDescent="0.3">
      <c r="A36" s="67" t="s">
        <v>98</v>
      </c>
      <c r="B36" s="68" t="s">
        <v>294</v>
      </c>
      <c r="C36" s="66" t="s">
        <v>308</v>
      </c>
      <c r="D36" s="80">
        <v>1800</v>
      </c>
    </row>
    <row r="37" spans="1:4" x14ac:dyDescent="0.3">
      <c r="A37" s="67" t="s">
        <v>179</v>
      </c>
      <c r="B37" s="68" t="s">
        <v>91</v>
      </c>
      <c r="C37" s="66" t="s">
        <v>180</v>
      </c>
      <c r="D37" s="80">
        <v>4500</v>
      </c>
    </row>
    <row r="38" spans="1:4" x14ac:dyDescent="0.3">
      <c r="A38" s="67" t="s">
        <v>120</v>
      </c>
      <c r="B38" s="68" t="s">
        <v>93</v>
      </c>
      <c r="C38" s="66" t="s">
        <v>181</v>
      </c>
      <c r="D38" s="80">
        <v>4300</v>
      </c>
    </row>
    <row r="39" spans="1:4" x14ac:dyDescent="0.3">
      <c r="A39" s="67" t="s">
        <v>182</v>
      </c>
      <c r="B39" s="74" t="s">
        <v>168</v>
      </c>
      <c r="C39" s="66" t="s">
        <v>309</v>
      </c>
      <c r="D39" s="80">
        <v>3200</v>
      </c>
    </row>
    <row r="40" spans="1:4" x14ac:dyDescent="0.3">
      <c r="A40" s="67" t="s">
        <v>121</v>
      </c>
      <c r="B40" s="74" t="s">
        <v>168</v>
      </c>
      <c r="C40" s="66" t="s">
        <v>310</v>
      </c>
      <c r="D40" s="80">
        <v>6200</v>
      </c>
    </row>
    <row r="41" spans="1:4" x14ac:dyDescent="0.3">
      <c r="A41" s="67" t="s">
        <v>121</v>
      </c>
      <c r="B41" s="74" t="s">
        <v>115</v>
      </c>
      <c r="C41" s="66" t="s">
        <v>183</v>
      </c>
      <c r="D41" s="80">
        <v>9300</v>
      </c>
    </row>
    <row r="42" spans="1:4" x14ac:dyDescent="0.3">
      <c r="A42" s="67" t="s">
        <v>121</v>
      </c>
      <c r="B42" s="68" t="s">
        <v>93</v>
      </c>
      <c r="C42" s="66" t="s">
        <v>184</v>
      </c>
      <c r="D42" s="80">
        <v>8300</v>
      </c>
    </row>
    <row r="43" spans="1:4" x14ac:dyDescent="0.3">
      <c r="A43" s="67" t="s">
        <v>121</v>
      </c>
      <c r="B43" s="68" t="s">
        <v>91</v>
      </c>
      <c r="C43" s="66" t="s">
        <v>185</v>
      </c>
      <c r="D43" s="80">
        <v>4700</v>
      </c>
    </row>
    <row r="44" spans="1:4" x14ac:dyDescent="0.3">
      <c r="A44" s="67" t="s">
        <v>122</v>
      </c>
      <c r="B44" s="74" t="s">
        <v>168</v>
      </c>
      <c r="C44" s="66" t="s">
        <v>311</v>
      </c>
      <c r="D44" s="80">
        <v>6200</v>
      </c>
    </row>
    <row r="45" spans="1:4" x14ac:dyDescent="0.3">
      <c r="A45" s="67" t="s">
        <v>143</v>
      </c>
      <c r="B45" s="74" t="s">
        <v>91</v>
      </c>
      <c r="C45" s="66" t="s">
        <v>163</v>
      </c>
      <c r="D45" s="80">
        <v>600</v>
      </c>
    </row>
    <row r="46" spans="1:4" x14ac:dyDescent="0.3">
      <c r="A46" s="67" t="s">
        <v>186</v>
      </c>
      <c r="B46" s="74" t="s">
        <v>91</v>
      </c>
      <c r="C46" s="66" t="s">
        <v>187</v>
      </c>
      <c r="D46" s="80">
        <v>6300</v>
      </c>
    </row>
    <row r="47" spans="1:4" x14ac:dyDescent="0.3">
      <c r="A47" s="67" t="s">
        <v>188</v>
      </c>
      <c r="B47" s="74" t="s">
        <v>168</v>
      </c>
      <c r="C47" s="66" t="s">
        <v>312</v>
      </c>
      <c r="D47" s="80">
        <v>12500</v>
      </c>
    </row>
    <row r="48" spans="1:4" x14ac:dyDescent="0.3">
      <c r="A48" s="67" t="s">
        <v>188</v>
      </c>
      <c r="B48" s="74" t="s">
        <v>252</v>
      </c>
      <c r="C48" s="66" t="s">
        <v>313</v>
      </c>
      <c r="D48" s="80">
        <v>14300</v>
      </c>
    </row>
    <row r="49" spans="1:4" x14ac:dyDescent="0.3">
      <c r="A49" s="67" t="s">
        <v>188</v>
      </c>
      <c r="B49" s="74" t="s">
        <v>93</v>
      </c>
      <c r="C49" s="66" t="s">
        <v>189</v>
      </c>
      <c r="D49" s="80">
        <v>15300</v>
      </c>
    </row>
    <row r="50" spans="1:4" x14ac:dyDescent="0.3">
      <c r="A50" s="67" t="s">
        <v>190</v>
      </c>
      <c r="B50" s="68" t="s">
        <v>92</v>
      </c>
      <c r="C50" s="66" t="s">
        <v>191</v>
      </c>
      <c r="D50" s="80">
        <v>3200</v>
      </c>
    </row>
    <row r="51" spans="1:4" x14ac:dyDescent="0.3">
      <c r="A51" s="67" t="s">
        <v>139</v>
      </c>
      <c r="B51" s="74" t="s">
        <v>168</v>
      </c>
      <c r="C51" s="66" t="s">
        <v>314</v>
      </c>
      <c r="D51" s="80">
        <v>2600</v>
      </c>
    </row>
    <row r="52" spans="1:4" x14ac:dyDescent="0.3">
      <c r="A52" s="67" t="s">
        <v>99</v>
      </c>
      <c r="B52" s="74" t="s">
        <v>168</v>
      </c>
      <c r="C52" s="66" t="s">
        <v>315</v>
      </c>
      <c r="D52" s="80">
        <v>3200</v>
      </c>
    </row>
    <row r="53" spans="1:4" x14ac:dyDescent="0.3">
      <c r="A53" s="67" t="s">
        <v>99</v>
      </c>
      <c r="B53" s="74" t="s">
        <v>115</v>
      </c>
      <c r="C53" s="66" t="s">
        <v>192</v>
      </c>
      <c r="D53" s="80">
        <v>5500</v>
      </c>
    </row>
    <row r="54" spans="1:4" x14ac:dyDescent="0.3">
      <c r="A54" s="67" t="s">
        <v>99</v>
      </c>
      <c r="B54" s="74" t="s">
        <v>93</v>
      </c>
      <c r="C54" s="66" t="s">
        <v>193</v>
      </c>
      <c r="D54" s="80">
        <v>4100</v>
      </c>
    </row>
    <row r="55" spans="1:4" x14ac:dyDescent="0.3">
      <c r="A55" s="67" t="s">
        <v>99</v>
      </c>
      <c r="B55" s="74" t="s">
        <v>91</v>
      </c>
      <c r="C55" s="66" t="s">
        <v>194</v>
      </c>
      <c r="D55" s="80">
        <v>2300</v>
      </c>
    </row>
    <row r="56" spans="1:4" x14ac:dyDescent="0.3">
      <c r="A56" s="67" t="s">
        <v>100</v>
      </c>
      <c r="B56" s="74" t="s">
        <v>168</v>
      </c>
      <c r="C56" s="66" t="s">
        <v>316</v>
      </c>
      <c r="D56" s="80">
        <v>7200</v>
      </c>
    </row>
    <row r="57" spans="1:4" x14ac:dyDescent="0.3">
      <c r="A57" s="67" t="s">
        <v>100</v>
      </c>
      <c r="B57" s="74" t="s">
        <v>115</v>
      </c>
      <c r="C57" s="66" t="s">
        <v>238</v>
      </c>
      <c r="D57" s="80">
        <v>10200</v>
      </c>
    </row>
    <row r="58" spans="1:4" x14ac:dyDescent="0.3">
      <c r="A58" s="67" t="s">
        <v>100</v>
      </c>
      <c r="B58" s="74" t="s">
        <v>93</v>
      </c>
      <c r="C58" s="66" t="s">
        <v>195</v>
      </c>
      <c r="D58" s="80">
        <v>7200</v>
      </c>
    </row>
    <row r="59" spans="1:4" x14ac:dyDescent="0.3">
      <c r="A59" s="67" t="s">
        <v>196</v>
      </c>
      <c r="B59" s="74" t="s">
        <v>93</v>
      </c>
      <c r="C59" s="66" t="s">
        <v>197</v>
      </c>
      <c r="D59" s="80">
        <v>4200</v>
      </c>
    </row>
    <row r="60" spans="1:4" x14ac:dyDescent="0.3">
      <c r="A60" s="67" t="s">
        <v>114</v>
      </c>
      <c r="B60" s="74" t="s">
        <v>115</v>
      </c>
      <c r="C60" s="66" t="s">
        <v>119</v>
      </c>
      <c r="D60" s="80">
        <v>5800</v>
      </c>
    </row>
    <row r="61" spans="1:4" x14ac:dyDescent="0.3">
      <c r="A61" s="67" t="s">
        <v>144</v>
      </c>
      <c r="B61" s="74" t="s">
        <v>168</v>
      </c>
      <c r="C61" s="66" t="s">
        <v>317</v>
      </c>
      <c r="D61" s="80">
        <v>3500</v>
      </c>
    </row>
    <row r="62" spans="1:4" x14ac:dyDescent="0.3">
      <c r="A62" s="67" t="s">
        <v>198</v>
      </c>
      <c r="B62" s="68" t="s">
        <v>115</v>
      </c>
      <c r="C62" s="66" t="s">
        <v>258</v>
      </c>
      <c r="D62" s="80">
        <v>5500</v>
      </c>
    </row>
    <row r="63" spans="1:4" x14ac:dyDescent="0.3">
      <c r="A63" s="67" t="s">
        <v>198</v>
      </c>
      <c r="B63" s="74" t="s">
        <v>93</v>
      </c>
      <c r="C63" s="66" t="s">
        <v>259</v>
      </c>
      <c r="D63" s="80">
        <v>4000</v>
      </c>
    </row>
    <row r="64" spans="1:4" x14ac:dyDescent="0.3">
      <c r="A64" s="67" t="s">
        <v>198</v>
      </c>
      <c r="B64" s="74" t="s">
        <v>91</v>
      </c>
      <c r="C64" s="66" t="s">
        <v>199</v>
      </c>
      <c r="D64" s="80">
        <v>2600</v>
      </c>
    </row>
    <row r="65" spans="1:4" x14ac:dyDescent="0.3">
      <c r="A65" s="67" t="s">
        <v>128</v>
      </c>
      <c r="B65" s="74" t="s">
        <v>168</v>
      </c>
      <c r="C65" s="66" t="s">
        <v>318</v>
      </c>
      <c r="D65" s="80">
        <v>3000</v>
      </c>
    </row>
    <row r="66" spans="1:4" x14ac:dyDescent="0.3">
      <c r="A66" s="67" t="s">
        <v>200</v>
      </c>
      <c r="B66" s="68" t="s">
        <v>91</v>
      </c>
      <c r="C66" s="66" t="s">
        <v>201</v>
      </c>
      <c r="D66" s="80">
        <v>2100</v>
      </c>
    </row>
    <row r="67" spans="1:4" x14ac:dyDescent="0.3">
      <c r="A67" s="67" t="s">
        <v>134</v>
      </c>
      <c r="B67" s="74" t="s">
        <v>168</v>
      </c>
      <c r="C67" s="66" t="s">
        <v>260</v>
      </c>
      <c r="D67" s="80">
        <v>6200</v>
      </c>
    </row>
    <row r="68" spans="1:4" x14ac:dyDescent="0.3">
      <c r="A68" s="67" t="s">
        <v>134</v>
      </c>
      <c r="B68" s="68" t="s">
        <v>93</v>
      </c>
      <c r="C68" s="66" t="s">
        <v>156</v>
      </c>
      <c r="D68" s="80">
        <v>7000</v>
      </c>
    </row>
    <row r="69" spans="1:4" x14ac:dyDescent="0.3">
      <c r="A69" s="67" t="s">
        <v>134</v>
      </c>
      <c r="B69" s="68" t="s">
        <v>91</v>
      </c>
      <c r="C69" s="66" t="s">
        <v>257</v>
      </c>
      <c r="D69" s="80">
        <v>4700</v>
      </c>
    </row>
    <row r="70" spans="1:4" x14ac:dyDescent="0.3">
      <c r="A70" s="67" t="s">
        <v>319</v>
      </c>
      <c r="B70" s="74" t="s">
        <v>91</v>
      </c>
      <c r="C70" s="66" t="s">
        <v>320</v>
      </c>
      <c r="D70" s="80">
        <v>7400</v>
      </c>
    </row>
    <row r="71" spans="1:4" x14ac:dyDescent="0.3">
      <c r="A71" s="67" t="s">
        <v>129</v>
      </c>
      <c r="B71" s="74" t="s">
        <v>168</v>
      </c>
      <c r="C71" s="66" t="s">
        <v>321</v>
      </c>
      <c r="D71" s="81">
        <v>1500</v>
      </c>
    </row>
    <row r="72" spans="1:4" x14ac:dyDescent="0.3">
      <c r="A72" s="67" t="s">
        <v>129</v>
      </c>
      <c r="B72" s="68" t="s">
        <v>92</v>
      </c>
      <c r="C72" s="66" t="s">
        <v>154</v>
      </c>
      <c r="D72" s="80">
        <v>900</v>
      </c>
    </row>
    <row r="73" spans="1:4" x14ac:dyDescent="0.3">
      <c r="A73" s="67" t="s">
        <v>133</v>
      </c>
      <c r="B73" s="74" t="s">
        <v>93</v>
      </c>
      <c r="C73" s="66" t="s">
        <v>158</v>
      </c>
      <c r="D73" s="80">
        <v>1500</v>
      </c>
    </row>
    <row r="74" spans="1:4" x14ac:dyDescent="0.3">
      <c r="A74" s="67" t="s">
        <v>101</v>
      </c>
      <c r="B74" s="74" t="s">
        <v>168</v>
      </c>
      <c r="C74" s="66" t="s">
        <v>322</v>
      </c>
      <c r="D74" s="80">
        <v>3200</v>
      </c>
    </row>
    <row r="75" spans="1:4" x14ac:dyDescent="0.3">
      <c r="A75" s="67" t="s">
        <v>101</v>
      </c>
      <c r="B75" s="68" t="s">
        <v>115</v>
      </c>
      <c r="C75" s="66" t="s">
        <v>202</v>
      </c>
      <c r="D75" s="80">
        <v>5500</v>
      </c>
    </row>
    <row r="76" spans="1:4" x14ac:dyDescent="0.3">
      <c r="A76" s="67" t="s">
        <v>101</v>
      </c>
      <c r="B76" s="74" t="s">
        <v>93</v>
      </c>
      <c r="C76" s="66" t="s">
        <v>203</v>
      </c>
      <c r="D76" s="80">
        <v>4100</v>
      </c>
    </row>
    <row r="77" spans="1:4" x14ac:dyDescent="0.3">
      <c r="A77" s="67" t="s">
        <v>123</v>
      </c>
      <c r="B77" s="68" t="s">
        <v>115</v>
      </c>
      <c r="C77" s="66" t="s">
        <v>204</v>
      </c>
      <c r="D77" s="77">
        <v>6300</v>
      </c>
    </row>
    <row r="78" spans="1:4" x14ac:dyDescent="0.3">
      <c r="A78" s="67" t="s">
        <v>123</v>
      </c>
      <c r="B78" s="68" t="s">
        <v>93</v>
      </c>
      <c r="C78" s="66" t="s">
        <v>205</v>
      </c>
      <c r="D78" s="80">
        <v>4600</v>
      </c>
    </row>
    <row r="79" spans="1:4" x14ac:dyDescent="0.3">
      <c r="A79" s="65" t="s">
        <v>123</v>
      </c>
      <c r="B79" s="74" t="s">
        <v>91</v>
      </c>
      <c r="C79" s="66" t="s">
        <v>206</v>
      </c>
      <c r="D79" s="80">
        <v>3300</v>
      </c>
    </row>
    <row r="80" spans="1:4" x14ac:dyDescent="0.3">
      <c r="A80" s="67" t="s">
        <v>261</v>
      </c>
      <c r="B80" s="74" t="s">
        <v>168</v>
      </c>
      <c r="C80" s="66" t="s">
        <v>262</v>
      </c>
      <c r="D80" s="80">
        <v>4100</v>
      </c>
    </row>
    <row r="81" spans="1:4" x14ac:dyDescent="0.3">
      <c r="A81" s="67" t="s">
        <v>323</v>
      </c>
      <c r="B81" s="74" t="s">
        <v>115</v>
      </c>
      <c r="C81" s="66" t="s">
        <v>324</v>
      </c>
      <c r="D81" s="80">
        <v>6200</v>
      </c>
    </row>
    <row r="82" spans="1:4" x14ac:dyDescent="0.3">
      <c r="A82" s="67" t="s">
        <v>325</v>
      </c>
      <c r="B82" s="74" t="s">
        <v>168</v>
      </c>
      <c r="C82" s="66" t="s">
        <v>326</v>
      </c>
      <c r="D82" s="80">
        <v>16300</v>
      </c>
    </row>
    <row r="83" spans="1:4" x14ac:dyDescent="0.3">
      <c r="A83" s="67" t="s">
        <v>325</v>
      </c>
      <c r="B83" s="68" t="s">
        <v>93</v>
      </c>
      <c r="C83" s="66" t="s">
        <v>327</v>
      </c>
      <c r="D83" s="80">
        <v>22000</v>
      </c>
    </row>
    <row r="84" spans="1:4" x14ac:dyDescent="0.3">
      <c r="A84" s="67" t="s">
        <v>148</v>
      </c>
      <c r="B84" s="74" t="s">
        <v>252</v>
      </c>
      <c r="C84" s="66" t="s">
        <v>328</v>
      </c>
      <c r="D84" s="80">
        <v>1200</v>
      </c>
    </row>
    <row r="85" spans="1:4" x14ac:dyDescent="0.3">
      <c r="A85" s="67" t="s">
        <v>102</v>
      </c>
      <c r="B85" s="74" t="s">
        <v>168</v>
      </c>
      <c r="C85" s="66" t="s">
        <v>329</v>
      </c>
      <c r="D85" s="80">
        <v>3200</v>
      </c>
    </row>
    <row r="86" spans="1:4" x14ac:dyDescent="0.3">
      <c r="A86" s="67" t="s">
        <v>102</v>
      </c>
      <c r="B86" s="68" t="s">
        <v>94</v>
      </c>
      <c r="C86" s="66" t="s">
        <v>164</v>
      </c>
      <c r="D86" s="77">
        <v>4500</v>
      </c>
    </row>
    <row r="87" spans="1:4" x14ac:dyDescent="0.3">
      <c r="A87" s="67" t="s">
        <v>102</v>
      </c>
      <c r="B87" s="74" t="s">
        <v>115</v>
      </c>
      <c r="C87" s="66" t="s">
        <v>207</v>
      </c>
      <c r="D87" s="80">
        <v>5500</v>
      </c>
    </row>
    <row r="88" spans="1:4" x14ac:dyDescent="0.3">
      <c r="A88" s="67" t="s">
        <v>102</v>
      </c>
      <c r="B88" s="74" t="s">
        <v>93</v>
      </c>
      <c r="C88" s="66" t="s">
        <v>208</v>
      </c>
      <c r="D88" s="80">
        <v>4100</v>
      </c>
    </row>
    <row r="89" spans="1:4" x14ac:dyDescent="0.3">
      <c r="A89" s="67" t="s">
        <v>102</v>
      </c>
      <c r="B89" s="68" t="s">
        <v>91</v>
      </c>
      <c r="C89" s="66" t="s">
        <v>209</v>
      </c>
      <c r="D89" s="80">
        <v>2300</v>
      </c>
    </row>
    <row r="90" spans="1:4" x14ac:dyDescent="0.3">
      <c r="A90" s="65" t="s">
        <v>330</v>
      </c>
      <c r="B90" s="74" t="s">
        <v>93</v>
      </c>
      <c r="C90" s="66" t="s">
        <v>331</v>
      </c>
      <c r="D90" s="75">
        <v>4800</v>
      </c>
    </row>
    <row r="91" spans="1:4" x14ac:dyDescent="0.3">
      <c r="A91" s="67" t="s">
        <v>111</v>
      </c>
      <c r="B91" s="74" t="s">
        <v>168</v>
      </c>
      <c r="C91" s="66" t="s">
        <v>332</v>
      </c>
      <c r="D91" s="80">
        <v>3500</v>
      </c>
    </row>
    <row r="92" spans="1:4" x14ac:dyDescent="0.3">
      <c r="A92" s="67" t="s">
        <v>103</v>
      </c>
      <c r="B92" s="74" t="s">
        <v>168</v>
      </c>
      <c r="C92" s="66" t="s">
        <v>333</v>
      </c>
      <c r="D92" s="81">
        <v>400</v>
      </c>
    </row>
    <row r="93" spans="1:4" x14ac:dyDescent="0.3">
      <c r="A93" s="67" t="s">
        <v>103</v>
      </c>
      <c r="B93" s="74" t="s">
        <v>266</v>
      </c>
      <c r="C93" s="66" t="s">
        <v>153</v>
      </c>
      <c r="D93" s="81">
        <v>800</v>
      </c>
    </row>
    <row r="94" spans="1:4" x14ac:dyDescent="0.3">
      <c r="A94" s="67" t="s">
        <v>103</v>
      </c>
      <c r="B94" s="74" t="s">
        <v>92</v>
      </c>
      <c r="C94" s="66" t="s">
        <v>152</v>
      </c>
      <c r="D94" s="80">
        <v>250</v>
      </c>
    </row>
    <row r="95" spans="1:4" x14ac:dyDescent="0.3">
      <c r="A95" s="67" t="s">
        <v>103</v>
      </c>
      <c r="B95" s="74" t="s">
        <v>93</v>
      </c>
      <c r="C95" s="66" t="s">
        <v>210</v>
      </c>
      <c r="D95" s="80">
        <v>500</v>
      </c>
    </row>
    <row r="96" spans="1:4" x14ac:dyDescent="0.3">
      <c r="A96" s="67" t="s">
        <v>145</v>
      </c>
      <c r="B96" s="74" t="s">
        <v>168</v>
      </c>
      <c r="C96" s="66" t="s">
        <v>334</v>
      </c>
      <c r="D96" s="80">
        <v>4100</v>
      </c>
    </row>
    <row r="97" spans="1:4" x14ac:dyDescent="0.3">
      <c r="A97" s="67" t="s">
        <v>335</v>
      </c>
      <c r="B97" s="68" t="s">
        <v>115</v>
      </c>
      <c r="C97" s="66" t="s">
        <v>336</v>
      </c>
      <c r="D97" s="80">
        <v>5500</v>
      </c>
    </row>
    <row r="98" spans="1:4" x14ac:dyDescent="0.3">
      <c r="A98" s="67" t="s">
        <v>337</v>
      </c>
      <c r="B98" s="74" t="s">
        <v>92</v>
      </c>
      <c r="C98" s="66" t="s">
        <v>338</v>
      </c>
      <c r="D98" s="80">
        <v>1900</v>
      </c>
    </row>
    <row r="99" spans="1:4" x14ac:dyDescent="0.3">
      <c r="A99" s="67" t="s">
        <v>339</v>
      </c>
      <c r="B99" s="68" t="s">
        <v>115</v>
      </c>
      <c r="C99" s="66" t="s">
        <v>340</v>
      </c>
      <c r="D99" s="80">
        <v>2000</v>
      </c>
    </row>
    <row r="100" spans="1:4" x14ac:dyDescent="0.3">
      <c r="A100" s="67" t="s">
        <v>104</v>
      </c>
      <c r="B100" s="68" t="s">
        <v>115</v>
      </c>
      <c r="C100" s="66" t="s">
        <v>211</v>
      </c>
      <c r="D100" s="80">
        <v>1500</v>
      </c>
    </row>
    <row r="101" spans="1:4" x14ac:dyDescent="0.3">
      <c r="A101" s="67" t="s">
        <v>138</v>
      </c>
      <c r="B101" s="74" t="s">
        <v>91</v>
      </c>
      <c r="C101" s="66" t="s">
        <v>160</v>
      </c>
      <c r="D101" s="77">
        <v>2300</v>
      </c>
    </row>
    <row r="102" spans="1:4" x14ac:dyDescent="0.3">
      <c r="A102" s="65" t="s">
        <v>132</v>
      </c>
      <c r="B102" s="74" t="s">
        <v>168</v>
      </c>
      <c r="C102" s="66" t="s">
        <v>341</v>
      </c>
      <c r="D102" s="80">
        <v>3200</v>
      </c>
    </row>
    <row r="103" spans="1:4" x14ac:dyDescent="0.3">
      <c r="A103" s="67" t="s">
        <v>132</v>
      </c>
      <c r="B103" s="68" t="s">
        <v>91</v>
      </c>
      <c r="C103" s="66" t="s">
        <v>212</v>
      </c>
      <c r="D103" s="80">
        <v>3000</v>
      </c>
    </row>
    <row r="104" spans="1:4" x14ac:dyDescent="0.3">
      <c r="A104" s="67" t="s">
        <v>342</v>
      </c>
      <c r="B104" s="74" t="s">
        <v>93</v>
      </c>
      <c r="C104" s="66" t="s">
        <v>343</v>
      </c>
      <c r="D104" s="80">
        <v>4100</v>
      </c>
    </row>
    <row r="105" spans="1:4" x14ac:dyDescent="0.3">
      <c r="A105" s="67" t="s">
        <v>344</v>
      </c>
      <c r="B105" s="74" t="s">
        <v>168</v>
      </c>
      <c r="C105" s="66" t="s">
        <v>345</v>
      </c>
      <c r="D105" s="80">
        <v>4100</v>
      </c>
    </row>
    <row r="106" spans="1:4" x14ac:dyDescent="0.3">
      <c r="A106" s="67" t="s">
        <v>344</v>
      </c>
      <c r="B106" s="74" t="s">
        <v>91</v>
      </c>
      <c r="C106" s="66" t="s">
        <v>346</v>
      </c>
      <c r="D106" s="80">
        <v>2800</v>
      </c>
    </row>
    <row r="107" spans="1:4" x14ac:dyDescent="0.3">
      <c r="A107" s="67" t="s">
        <v>213</v>
      </c>
      <c r="B107" s="74" t="s">
        <v>93</v>
      </c>
      <c r="C107" s="66" t="s">
        <v>214</v>
      </c>
      <c r="D107" s="80">
        <v>4500</v>
      </c>
    </row>
    <row r="108" spans="1:4" x14ac:dyDescent="0.3">
      <c r="A108" s="67" t="s">
        <v>249</v>
      </c>
      <c r="B108" s="74" t="s">
        <v>91</v>
      </c>
      <c r="C108" s="66" t="s">
        <v>250</v>
      </c>
      <c r="D108" s="80">
        <v>250</v>
      </c>
    </row>
    <row r="109" spans="1:4" x14ac:dyDescent="0.3">
      <c r="A109" s="67" t="s">
        <v>124</v>
      </c>
      <c r="B109" s="74" t="s">
        <v>168</v>
      </c>
      <c r="C109" s="66" t="s">
        <v>347</v>
      </c>
      <c r="D109" s="80">
        <v>3200</v>
      </c>
    </row>
    <row r="110" spans="1:4" x14ac:dyDescent="0.3">
      <c r="A110" s="67" t="s">
        <v>124</v>
      </c>
      <c r="B110" s="68" t="s">
        <v>92</v>
      </c>
      <c r="C110" s="66" t="s">
        <v>215</v>
      </c>
      <c r="D110" s="80">
        <v>1800</v>
      </c>
    </row>
    <row r="111" spans="1:4" x14ac:dyDescent="0.3">
      <c r="A111" s="67" t="s">
        <v>124</v>
      </c>
      <c r="B111" s="74" t="s">
        <v>93</v>
      </c>
      <c r="C111" s="66" t="s">
        <v>216</v>
      </c>
      <c r="D111" s="80">
        <v>4100</v>
      </c>
    </row>
    <row r="112" spans="1:4" x14ac:dyDescent="0.3">
      <c r="A112" s="67" t="s">
        <v>105</v>
      </c>
      <c r="B112" s="74" t="s">
        <v>168</v>
      </c>
      <c r="C112" s="66" t="s">
        <v>348</v>
      </c>
      <c r="D112" s="80">
        <v>3200</v>
      </c>
    </row>
    <row r="113" spans="1:4" x14ac:dyDescent="0.3">
      <c r="A113" s="67" t="s">
        <v>105</v>
      </c>
      <c r="B113" s="74" t="s">
        <v>115</v>
      </c>
      <c r="C113" s="66" t="s">
        <v>217</v>
      </c>
      <c r="D113" s="80">
        <v>5500</v>
      </c>
    </row>
    <row r="114" spans="1:4" x14ac:dyDescent="0.3">
      <c r="A114" s="67" t="s">
        <v>105</v>
      </c>
      <c r="B114" s="68" t="s">
        <v>93</v>
      </c>
      <c r="C114" s="66" t="s">
        <v>218</v>
      </c>
      <c r="D114" s="80">
        <v>4100</v>
      </c>
    </row>
    <row r="115" spans="1:4" x14ac:dyDescent="0.3">
      <c r="A115" s="67" t="s">
        <v>125</v>
      </c>
      <c r="B115" s="74" t="s">
        <v>168</v>
      </c>
      <c r="C115" s="66" t="s">
        <v>349</v>
      </c>
      <c r="D115" s="80">
        <v>3800</v>
      </c>
    </row>
    <row r="116" spans="1:4" x14ac:dyDescent="0.3">
      <c r="A116" s="67" t="s">
        <v>126</v>
      </c>
      <c r="B116" s="74" t="s">
        <v>168</v>
      </c>
      <c r="C116" s="66" t="s">
        <v>350</v>
      </c>
      <c r="D116" s="80">
        <v>3200</v>
      </c>
    </row>
    <row r="117" spans="1:4" x14ac:dyDescent="0.3">
      <c r="A117" s="67" t="s">
        <v>126</v>
      </c>
      <c r="B117" s="68" t="s">
        <v>93</v>
      </c>
      <c r="C117" s="66" t="s">
        <v>219</v>
      </c>
      <c r="D117" s="80">
        <v>3900</v>
      </c>
    </row>
    <row r="118" spans="1:4" x14ac:dyDescent="0.3">
      <c r="A118" s="67" t="s">
        <v>126</v>
      </c>
      <c r="B118" s="74" t="s">
        <v>91</v>
      </c>
      <c r="C118" s="66" t="s">
        <v>220</v>
      </c>
      <c r="D118" s="77">
        <v>2300</v>
      </c>
    </row>
    <row r="119" spans="1:4" x14ac:dyDescent="0.3">
      <c r="A119" s="67" t="s">
        <v>351</v>
      </c>
      <c r="B119" s="74" t="s">
        <v>168</v>
      </c>
      <c r="C119" s="66" t="s">
        <v>352</v>
      </c>
      <c r="D119" s="77">
        <v>5500</v>
      </c>
    </row>
    <row r="120" spans="1:4" x14ac:dyDescent="0.3">
      <c r="A120" s="67" t="s">
        <v>351</v>
      </c>
      <c r="B120" s="68" t="s">
        <v>93</v>
      </c>
      <c r="C120" s="66" t="s">
        <v>353</v>
      </c>
      <c r="D120" s="80">
        <v>7500</v>
      </c>
    </row>
    <row r="121" spans="1:4" x14ac:dyDescent="0.3">
      <c r="A121" s="67" t="s">
        <v>354</v>
      </c>
      <c r="B121" s="68" t="s">
        <v>93</v>
      </c>
      <c r="C121" s="66" t="s">
        <v>355</v>
      </c>
      <c r="D121" s="80">
        <v>4800</v>
      </c>
    </row>
    <row r="122" spans="1:4" x14ac:dyDescent="0.3">
      <c r="A122" s="67" t="s">
        <v>267</v>
      </c>
      <c r="B122" s="74" t="s">
        <v>93</v>
      </c>
      <c r="C122" s="66" t="s">
        <v>356</v>
      </c>
      <c r="D122" s="80">
        <v>8000</v>
      </c>
    </row>
    <row r="123" spans="1:4" x14ac:dyDescent="0.3">
      <c r="A123" s="67" t="s">
        <v>267</v>
      </c>
      <c r="B123" s="68" t="s">
        <v>91</v>
      </c>
      <c r="C123" s="66" t="s">
        <v>357</v>
      </c>
      <c r="D123" s="80">
        <v>4500</v>
      </c>
    </row>
    <row r="124" spans="1:4" x14ac:dyDescent="0.3">
      <c r="A124" s="67" t="s">
        <v>267</v>
      </c>
      <c r="B124" s="68" t="s">
        <v>93</v>
      </c>
      <c r="C124" s="66" t="s">
        <v>356</v>
      </c>
      <c r="D124" s="80">
        <v>8000</v>
      </c>
    </row>
    <row r="125" spans="1:4" x14ac:dyDescent="0.3">
      <c r="A125" s="67" t="s">
        <v>267</v>
      </c>
      <c r="B125" s="74" t="s">
        <v>168</v>
      </c>
      <c r="C125" s="66" t="s">
        <v>268</v>
      </c>
      <c r="D125" s="80">
        <v>6500</v>
      </c>
    </row>
    <row r="126" spans="1:4" x14ac:dyDescent="0.3">
      <c r="A126" s="67" t="s">
        <v>358</v>
      </c>
      <c r="B126" s="74" t="s">
        <v>93</v>
      </c>
      <c r="C126" s="66" t="s">
        <v>359</v>
      </c>
      <c r="D126" s="80">
        <v>4300</v>
      </c>
    </row>
    <row r="127" spans="1:4" x14ac:dyDescent="0.3">
      <c r="A127" s="67" t="s">
        <v>223</v>
      </c>
      <c r="B127" s="74" t="s">
        <v>168</v>
      </c>
      <c r="C127" s="66" t="s">
        <v>224</v>
      </c>
      <c r="D127" s="80">
        <v>3200</v>
      </c>
    </row>
    <row r="128" spans="1:4" x14ac:dyDescent="0.3">
      <c r="A128" s="67" t="s">
        <v>221</v>
      </c>
      <c r="B128" s="68" t="s">
        <v>93</v>
      </c>
      <c r="C128" s="66" t="s">
        <v>222</v>
      </c>
      <c r="D128" s="80">
        <v>4100</v>
      </c>
    </row>
    <row r="129" spans="1:4" x14ac:dyDescent="0.3">
      <c r="A129" s="67" t="s">
        <v>225</v>
      </c>
      <c r="B129" s="74" t="s">
        <v>92</v>
      </c>
      <c r="C129" s="66" t="s">
        <v>226</v>
      </c>
      <c r="D129" s="80">
        <v>1900</v>
      </c>
    </row>
    <row r="130" spans="1:4" x14ac:dyDescent="0.3">
      <c r="A130" s="67" t="s">
        <v>227</v>
      </c>
      <c r="B130" s="68" t="s">
        <v>93</v>
      </c>
      <c r="C130" s="66" t="s">
        <v>228</v>
      </c>
      <c r="D130" s="80">
        <v>4500</v>
      </c>
    </row>
    <row r="131" spans="1:4" x14ac:dyDescent="0.3">
      <c r="A131" s="67" t="s">
        <v>106</v>
      </c>
      <c r="B131" s="74" t="s">
        <v>168</v>
      </c>
      <c r="C131" s="66" t="s">
        <v>360</v>
      </c>
      <c r="D131" s="80">
        <v>3200</v>
      </c>
    </row>
    <row r="132" spans="1:4" x14ac:dyDescent="0.3">
      <c r="A132" s="67" t="s">
        <v>106</v>
      </c>
      <c r="B132" s="74" t="s">
        <v>252</v>
      </c>
      <c r="C132" s="66" t="s">
        <v>361</v>
      </c>
      <c r="D132" s="80">
        <v>3800</v>
      </c>
    </row>
    <row r="133" spans="1:4" x14ac:dyDescent="0.3">
      <c r="A133" s="67" t="s">
        <v>106</v>
      </c>
      <c r="B133" s="68" t="s">
        <v>94</v>
      </c>
      <c r="C133" s="66" t="s">
        <v>116</v>
      </c>
      <c r="D133" s="80">
        <v>4500</v>
      </c>
    </row>
    <row r="134" spans="1:4" x14ac:dyDescent="0.3">
      <c r="A134" s="67" t="s">
        <v>106</v>
      </c>
      <c r="B134" s="68" t="s">
        <v>115</v>
      </c>
      <c r="C134" s="66" t="s">
        <v>229</v>
      </c>
      <c r="D134" s="80">
        <v>5500</v>
      </c>
    </row>
    <row r="135" spans="1:4" x14ac:dyDescent="0.3">
      <c r="A135" s="67" t="s">
        <v>106</v>
      </c>
      <c r="B135" s="74" t="s">
        <v>92</v>
      </c>
      <c r="C135" s="66" t="s">
        <v>230</v>
      </c>
      <c r="D135" s="80">
        <v>1800</v>
      </c>
    </row>
    <row r="136" spans="1:4" x14ac:dyDescent="0.3">
      <c r="A136" s="67" t="s">
        <v>106</v>
      </c>
      <c r="B136" s="68" t="s">
        <v>93</v>
      </c>
      <c r="C136" s="66" t="s">
        <v>263</v>
      </c>
      <c r="D136" s="80">
        <v>4000</v>
      </c>
    </row>
    <row r="137" spans="1:4" x14ac:dyDescent="0.3">
      <c r="A137" s="67" t="s">
        <v>106</v>
      </c>
      <c r="B137" s="74" t="s">
        <v>91</v>
      </c>
      <c r="C137" s="66" t="s">
        <v>231</v>
      </c>
      <c r="D137" s="80">
        <v>2300</v>
      </c>
    </row>
    <row r="138" spans="1:4" x14ac:dyDescent="0.3">
      <c r="A138" s="67" t="s">
        <v>106</v>
      </c>
      <c r="B138" s="68" t="s">
        <v>93</v>
      </c>
      <c r="C138" s="66" t="s">
        <v>263</v>
      </c>
      <c r="D138" s="80">
        <v>4100</v>
      </c>
    </row>
    <row r="139" spans="1:4" x14ac:dyDescent="0.3">
      <c r="A139" s="67" t="s">
        <v>106</v>
      </c>
      <c r="B139" s="68" t="s">
        <v>115</v>
      </c>
      <c r="C139" s="66" t="s">
        <v>229</v>
      </c>
      <c r="D139" s="80">
        <v>5500</v>
      </c>
    </row>
    <row r="140" spans="1:4" x14ac:dyDescent="0.3">
      <c r="A140" s="67" t="s">
        <v>232</v>
      </c>
      <c r="B140" s="68" t="s">
        <v>93</v>
      </c>
      <c r="C140" s="66" t="s">
        <v>233</v>
      </c>
      <c r="D140" s="80">
        <v>4100</v>
      </c>
    </row>
    <row r="141" spans="1:4" x14ac:dyDescent="0.3">
      <c r="A141" s="67" t="s">
        <v>239</v>
      </c>
      <c r="B141" s="74" t="s">
        <v>93</v>
      </c>
      <c r="C141" s="66" t="s">
        <v>240</v>
      </c>
      <c r="D141" s="80">
        <v>10200</v>
      </c>
    </row>
    <row r="142" spans="1:4" x14ac:dyDescent="0.3">
      <c r="A142" s="67" t="s">
        <v>362</v>
      </c>
      <c r="B142" s="68" t="s">
        <v>252</v>
      </c>
      <c r="C142" s="66" t="s">
        <v>363</v>
      </c>
      <c r="D142" s="80">
        <v>3200</v>
      </c>
    </row>
    <row r="143" spans="1:4" x14ac:dyDescent="0.3">
      <c r="A143" s="67" t="s">
        <v>362</v>
      </c>
      <c r="B143" s="68" t="s">
        <v>115</v>
      </c>
      <c r="C143" s="66" t="s">
        <v>364</v>
      </c>
      <c r="D143" s="80">
        <v>5600</v>
      </c>
    </row>
    <row r="144" spans="1:4" x14ac:dyDescent="0.3">
      <c r="A144" s="67" t="s">
        <v>362</v>
      </c>
      <c r="B144" s="68" t="s">
        <v>93</v>
      </c>
      <c r="C144" s="66" t="s">
        <v>365</v>
      </c>
      <c r="D144" s="80">
        <v>4200</v>
      </c>
    </row>
    <row r="145" spans="1:4" x14ac:dyDescent="0.3">
      <c r="A145" s="67" t="s">
        <v>362</v>
      </c>
      <c r="B145" s="74" t="s">
        <v>91</v>
      </c>
      <c r="C145" s="66" t="s">
        <v>366</v>
      </c>
      <c r="D145" s="80">
        <v>2500</v>
      </c>
    </row>
    <row r="146" spans="1:4" x14ac:dyDescent="0.3">
      <c r="A146" s="67" t="s">
        <v>367</v>
      </c>
      <c r="B146" s="74" t="s">
        <v>168</v>
      </c>
      <c r="C146" s="66" t="s">
        <v>368</v>
      </c>
      <c r="D146" s="80">
        <v>3400</v>
      </c>
    </row>
    <row r="147" spans="1:4" x14ac:dyDescent="0.3">
      <c r="A147" s="67" t="s">
        <v>107</v>
      </c>
      <c r="B147" s="68" t="s">
        <v>93</v>
      </c>
      <c r="C147" s="66" t="s">
        <v>155</v>
      </c>
      <c r="D147" s="80">
        <v>4300</v>
      </c>
    </row>
    <row r="148" spans="1:4" x14ac:dyDescent="0.3">
      <c r="A148" s="67" t="s">
        <v>141</v>
      </c>
      <c r="B148" s="68" t="s">
        <v>91</v>
      </c>
      <c r="C148" s="66" t="s">
        <v>162</v>
      </c>
      <c r="D148" s="80">
        <v>2900</v>
      </c>
    </row>
    <row r="149" spans="1:4" x14ac:dyDescent="0.3">
      <c r="A149" s="67" t="s">
        <v>131</v>
      </c>
      <c r="B149" s="68" t="s">
        <v>93</v>
      </c>
      <c r="C149" s="66" t="s">
        <v>234</v>
      </c>
      <c r="D149" s="80">
        <v>1800</v>
      </c>
    </row>
    <row r="150" spans="1:4" x14ac:dyDescent="0.3">
      <c r="A150" s="84" t="s">
        <v>108</v>
      </c>
      <c r="B150" s="74" t="s">
        <v>266</v>
      </c>
      <c r="C150" s="84" t="s">
        <v>151</v>
      </c>
      <c r="D150" s="83">
        <v>2300</v>
      </c>
    </row>
    <row r="151" spans="1:4" x14ac:dyDescent="0.3">
      <c r="A151" s="66" t="s">
        <v>108</v>
      </c>
      <c r="B151" s="70" t="s">
        <v>115</v>
      </c>
      <c r="C151" s="66" t="s">
        <v>235</v>
      </c>
      <c r="D151" s="78">
        <v>2500</v>
      </c>
    </row>
    <row r="152" spans="1:4" x14ac:dyDescent="0.3">
      <c r="A152" s="66" t="s">
        <v>264</v>
      </c>
      <c r="B152" s="74" t="s">
        <v>115</v>
      </c>
      <c r="C152" s="66" t="s">
        <v>265</v>
      </c>
      <c r="D152" s="78">
        <v>2800</v>
      </c>
    </row>
    <row r="153" spans="1:4" x14ac:dyDescent="0.3">
      <c r="A153" s="66" t="s">
        <v>109</v>
      </c>
      <c r="B153" s="74" t="s">
        <v>168</v>
      </c>
      <c r="C153" s="66" t="s">
        <v>369</v>
      </c>
      <c r="D153" s="78">
        <v>800</v>
      </c>
    </row>
    <row r="154" spans="1:4" x14ac:dyDescent="0.3">
      <c r="A154" s="66" t="s">
        <v>135</v>
      </c>
      <c r="B154" s="70" t="s">
        <v>92</v>
      </c>
      <c r="C154" s="66" t="s">
        <v>370</v>
      </c>
      <c r="D154" s="78">
        <v>250</v>
      </c>
    </row>
    <row r="155" spans="1:4" x14ac:dyDescent="0.3">
      <c r="A155" s="66" t="s">
        <v>135</v>
      </c>
      <c r="B155" s="70" t="s">
        <v>91</v>
      </c>
      <c r="C155" s="66" t="s">
        <v>157</v>
      </c>
      <c r="D155" s="78">
        <v>300</v>
      </c>
    </row>
    <row r="156" spans="1:4" x14ac:dyDescent="0.3">
      <c r="A156" s="66" t="s">
        <v>140</v>
      </c>
      <c r="B156" s="74" t="s">
        <v>91</v>
      </c>
      <c r="C156" s="66" t="s">
        <v>161</v>
      </c>
      <c r="D156" s="78">
        <v>2300</v>
      </c>
    </row>
    <row r="157" spans="1:4" x14ac:dyDescent="0.3">
      <c r="A157" s="66" t="s">
        <v>110</v>
      </c>
      <c r="B157" s="74" t="s">
        <v>168</v>
      </c>
      <c r="C157" s="66" t="s">
        <v>371</v>
      </c>
      <c r="D157" s="78">
        <v>2300</v>
      </c>
    </row>
    <row r="158" spans="1:4" x14ac:dyDescent="0.3">
      <c r="A158" s="84" t="s">
        <v>110</v>
      </c>
      <c r="B158" s="70" t="s">
        <v>91</v>
      </c>
      <c r="C158" s="84" t="s">
        <v>236</v>
      </c>
      <c r="D158" s="83">
        <v>1800</v>
      </c>
    </row>
    <row r="159" spans="1:4" x14ac:dyDescent="0.3">
      <c r="A159" s="66" t="s">
        <v>372</v>
      </c>
      <c r="B159" s="74" t="s">
        <v>168</v>
      </c>
      <c r="C159" s="66" t="s">
        <v>373</v>
      </c>
      <c r="D159" s="78">
        <v>3200</v>
      </c>
    </row>
    <row r="160" spans="1:4" x14ac:dyDescent="0.3">
      <c r="A160" s="66" t="s">
        <v>245</v>
      </c>
      <c r="B160" s="70" t="s">
        <v>93</v>
      </c>
      <c r="C160" s="66" t="s">
        <v>246</v>
      </c>
      <c r="D160" s="78">
        <v>4100</v>
      </c>
    </row>
    <row r="161" spans="1:4" x14ac:dyDescent="0.3">
      <c r="A161" s="66" t="s">
        <v>127</v>
      </c>
      <c r="B161" s="70" t="s">
        <v>252</v>
      </c>
      <c r="C161" s="66" t="s">
        <v>256</v>
      </c>
      <c r="D161" s="78">
        <v>3800</v>
      </c>
    </row>
    <row r="162" spans="1:4" x14ac:dyDescent="0.3">
      <c r="A162" s="84" t="s">
        <v>127</v>
      </c>
      <c r="B162" s="70" t="s">
        <v>93</v>
      </c>
      <c r="C162" s="84" t="s">
        <v>237</v>
      </c>
      <c r="D162" s="83">
        <v>4100</v>
      </c>
    </row>
    <row r="163" spans="1:4" x14ac:dyDescent="0.3">
      <c r="A163" s="66" t="s">
        <v>254</v>
      </c>
      <c r="B163" s="74" t="s">
        <v>115</v>
      </c>
      <c r="C163" s="66" t="s">
        <v>255</v>
      </c>
      <c r="D163" s="78">
        <v>5500</v>
      </c>
    </row>
    <row r="164" spans="1:4" x14ac:dyDescent="0.3">
      <c r="A164" s="66" t="s">
        <v>254</v>
      </c>
      <c r="B164" s="74" t="s">
        <v>115</v>
      </c>
      <c r="C164" s="66" t="s">
        <v>255</v>
      </c>
      <c r="D164" s="78">
        <v>5500</v>
      </c>
    </row>
    <row r="165" spans="1:4" x14ac:dyDescent="0.3">
      <c r="A165" s="66" t="s">
        <v>269</v>
      </c>
      <c r="B165" s="70" t="s">
        <v>115</v>
      </c>
      <c r="C165" s="66" t="s">
        <v>270</v>
      </c>
      <c r="D165" s="78">
        <v>2000</v>
      </c>
    </row>
    <row r="166" spans="1:4" x14ac:dyDescent="0.3">
      <c r="A166" s="66" t="s">
        <v>247</v>
      </c>
      <c r="B166" s="70" t="s">
        <v>115</v>
      </c>
      <c r="C166" s="66" t="s">
        <v>248</v>
      </c>
      <c r="D166" s="78">
        <v>5500</v>
      </c>
    </row>
    <row r="167" spans="1:4" x14ac:dyDescent="0.3">
      <c r="A167" s="66" t="s">
        <v>271</v>
      </c>
      <c r="B167" s="70" t="s">
        <v>91</v>
      </c>
      <c r="C167" s="66" t="s">
        <v>272</v>
      </c>
      <c r="D167" s="78">
        <v>900</v>
      </c>
    </row>
    <row r="168" spans="1:4" x14ac:dyDescent="0.3">
      <c r="A168" s="66" t="s">
        <v>273</v>
      </c>
      <c r="B168" s="74" t="s">
        <v>93</v>
      </c>
      <c r="C168" s="66" t="s">
        <v>274</v>
      </c>
      <c r="D168" s="78">
        <v>5000</v>
      </c>
    </row>
    <row r="169" spans="1:4" x14ac:dyDescent="0.3">
      <c r="A169" s="66" t="s">
        <v>275</v>
      </c>
      <c r="B169" s="70" t="s">
        <v>93</v>
      </c>
      <c r="C169" s="66" t="s">
        <v>276</v>
      </c>
      <c r="D169" s="78">
        <v>1200</v>
      </c>
    </row>
    <row r="170" spans="1:4" x14ac:dyDescent="0.3">
      <c r="A170" s="84" t="s">
        <v>374</v>
      </c>
      <c r="B170" s="74" t="s">
        <v>168</v>
      </c>
      <c r="C170" s="84" t="s">
        <v>375</v>
      </c>
      <c r="D170" s="83">
        <v>2800</v>
      </c>
    </row>
    <row r="171" spans="1:4" x14ac:dyDescent="0.3">
      <c r="A171" s="66" t="s">
        <v>376</v>
      </c>
      <c r="B171" s="70" t="s">
        <v>91</v>
      </c>
      <c r="C171" s="66" t="s">
        <v>377</v>
      </c>
      <c r="D171" s="78">
        <v>4200</v>
      </c>
    </row>
    <row r="172" spans="1:4" x14ac:dyDescent="0.3">
      <c r="A172" s="66" t="s">
        <v>243</v>
      </c>
      <c r="B172" s="70" t="s">
        <v>115</v>
      </c>
      <c r="C172" s="66" t="s">
        <v>244</v>
      </c>
      <c r="D172" s="78">
        <v>1850</v>
      </c>
    </row>
    <row r="173" spans="1:4" x14ac:dyDescent="0.3">
      <c r="A173" s="66" t="s">
        <v>243</v>
      </c>
      <c r="B173" s="70" t="s">
        <v>92</v>
      </c>
      <c r="C173" s="66" t="s">
        <v>277</v>
      </c>
      <c r="D173" s="78">
        <v>1500</v>
      </c>
    </row>
    <row r="174" spans="1:4" x14ac:dyDescent="0.3">
      <c r="A174" s="66" t="s">
        <v>278</v>
      </c>
      <c r="B174" s="70" t="s">
        <v>93</v>
      </c>
      <c r="C174" s="66" t="s">
        <v>279</v>
      </c>
      <c r="D174" s="78">
        <v>1800</v>
      </c>
    </row>
    <row r="175" spans="1:4" x14ac:dyDescent="0.3">
      <c r="A175" s="66" t="s">
        <v>378</v>
      </c>
      <c r="B175" s="74" t="s">
        <v>168</v>
      </c>
      <c r="C175" s="66" t="s">
        <v>379</v>
      </c>
      <c r="D175" s="78">
        <v>3500</v>
      </c>
    </row>
    <row r="176" spans="1:4" x14ac:dyDescent="0.3">
      <c r="A176" s="66" t="s">
        <v>380</v>
      </c>
      <c r="B176" s="70" t="s">
        <v>115</v>
      </c>
      <c r="C176" s="66" t="s">
        <v>381</v>
      </c>
      <c r="D176" s="78">
        <v>1500</v>
      </c>
    </row>
    <row r="177" spans="1:4" x14ac:dyDescent="0.3">
      <c r="A177" s="66" t="s">
        <v>127</v>
      </c>
      <c r="B177" s="86">
        <v>46085</v>
      </c>
      <c r="C177" s="66" t="s">
        <v>382</v>
      </c>
      <c r="D177" s="82">
        <v>3200</v>
      </c>
    </row>
    <row r="178" spans="1:4" x14ac:dyDescent="0.3">
      <c r="A178" s="66" t="s">
        <v>254</v>
      </c>
      <c r="B178" s="70" t="s">
        <v>93</v>
      </c>
      <c r="C178" s="66" t="s">
        <v>383</v>
      </c>
      <c r="D178" s="82">
        <v>4100</v>
      </c>
    </row>
    <row r="179" spans="1:4" x14ac:dyDescent="0.3">
      <c r="A179" s="85" t="s">
        <v>102</v>
      </c>
      <c r="B179" s="69" t="s">
        <v>252</v>
      </c>
      <c r="C179" s="85" t="s">
        <v>384</v>
      </c>
      <c r="D179" s="69">
        <v>3800</v>
      </c>
    </row>
    <row r="180" spans="1:4" x14ac:dyDescent="0.3">
      <c r="A180" s="85" t="s">
        <v>385</v>
      </c>
      <c r="B180" s="69" t="s">
        <v>93</v>
      </c>
      <c r="C180" s="85" t="s">
        <v>386</v>
      </c>
      <c r="D180" s="69">
        <v>5500</v>
      </c>
    </row>
    <row r="181" spans="1:4" x14ac:dyDescent="0.3">
      <c r="A181" s="85" t="s">
        <v>387</v>
      </c>
      <c r="B181" s="69" t="s">
        <v>93</v>
      </c>
      <c r="C181" s="85" t="s">
        <v>388</v>
      </c>
      <c r="D181" s="69">
        <v>4100</v>
      </c>
    </row>
    <row r="182" spans="1:4" x14ac:dyDescent="0.3">
      <c r="A182" s="85" t="s">
        <v>385</v>
      </c>
      <c r="B182" s="87">
        <v>46085</v>
      </c>
      <c r="C182" s="85" t="s">
        <v>389</v>
      </c>
      <c r="D182" s="88">
        <v>3500</v>
      </c>
    </row>
    <row r="183" spans="1:4" x14ac:dyDescent="0.3">
      <c r="A183" s="85" t="s">
        <v>397</v>
      </c>
      <c r="B183" s="91" t="s">
        <v>93</v>
      </c>
      <c r="C183" s="85" t="s">
        <v>398</v>
      </c>
      <c r="D183" s="69">
        <v>5000</v>
      </c>
    </row>
    <row r="184" spans="1:4" x14ac:dyDescent="0.3">
      <c r="C184" s="85" t="s">
        <v>399</v>
      </c>
      <c r="D184" s="69">
        <v>2500</v>
      </c>
    </row>
    <row r="185" spans="1:4" x14ac:dyDescent="0.3">
      <c r="C185" s="85" t="s">
        <v>400</v>
      </c>
      <c r="D185" s="69">
        <v>1800</v>
      </c>
    </row>
    <row r="186" spans="1:4" x14ac:dyDescent="0.3">
      <c r="C186" s="85" t="s">
        <v>401</v>
      </c>
      <c r="D186" s="69">
        <v>2500</v>
      </c>
    </row>
    <row r="187" spans="1:4" x14ac:dyDescent="0.3">
      <c r="C187" s="85" t="s">
        <v>402</v>
      </c>
      <c r="D187" s="69">
        <v>800</v>
      </c>
    </row>
    <row r="188" spans="1:4" x14ac:dyDescent="0.3">
      <c r="C188" s="85" t="s">
        <v>403</v>
      </c>
      <c r="D188" s="69">
        <v>1200</v>
      </c>
    </row>
    <row r="189" spans="1:4" x14ac:dyDescent="0.3">
      <c r="C189" s="85" t="s">
        <v>404</v>
      </c>
      <c r="D189" s="69">
        <v>3200</v>
      </c>
    </row>
    <row r="190" spans="1:4" x14ac:dyDescent="0.3">
      <c r="C190" s="85" t="s">
        <v>405</v>
      </c>
      <c r="D190" s="69">
        <v>580</v>
      </c>
    </row>
    <row r="191" spans="1:4" x14ac:dyDescent="0.3">
      <c r="C191" s="85" t="s">
        <v>406</v>
      </c>
      <c r="D191" s="69">
        <v>400</v>
      </c>
    </row>
    <row r="192" spans="1:4" x14ac:dyDescent="0.3">
      <c r="C192" s="85" t="s">
        <v>407</v>
      </c>
      <c r="D192" s="69">
        <v>900</v>
      </c>
    </row>
    <row r="193" spans="3:4" x14ac:dyDescent="0.3">
      <c r="C193" s="85" t="s">
        <v>408</v>
      </c>
      <c r="D193" s="69">
        <v>1200</v>
      </c>
    </row>
    <row r="194" spans="3:4" x14ac:dyDescent="0.3">
      <c r="C194" s="85" t="s">
        <v>409</v>
      </c>
      <c r="D194" s="69">
        <v>1500</v>
      </c>
    </row>
    <row r="195" spans="3:4" x14ac:dyDescent="0.3">
      <c r="C195" s="85" t="s">
        <v>410</v>
      </c>
      <c r="D195" s="69">
        <v>2200</v>
      </c>
    </row>
    <row r="196" spans="3:4" x14ac:dyDescent="0.3">
      <c r="C196" s="85" t="s">
        <v>411</v>
      </c>
      <c r="D196" s="69">
        <v>1900</v>
      </c>
    </row>
    <row r="197" spans="3:4" x14ac:dyDescent="0.3">
      <c r="C197" s="85" t="s">
        <v>138</v>
      </c>
      <c r="D197" s="69">
        <v>2300</v>
      </c>
    </row>
    <row r="198" spans="3:4" x14ac:dyDescent="0.3">
      <c r="C198" s="85" t="s">
        <v>412</v>
      </c>
      <c r="D198" s="69">
        <v>8800</v>
      </c>
    </row>
    <row r="199" spans="3:4" x14ac:dyDescent="0.3">
      <c r="C199" s="85" t="s">
        <v>413</v>
      </c>
      <c r="D199" s="69">
        <v>1100</v>
      </c>
    </row>
    <row r="200" spans="3:4" x14ac:dyDescent="0.3">
      <c r="C200" s="85" t="s">
        <v>414</v>
      </c>
      <c r="D200" s="69">
        <v>8700</v>
      </c>
    </row>
    <row r="201" spans="3:4" x14ac:dyDescent="0.3">
      <c r="C201" s="85" t="s">
        <v>415</v>
      </c>
      <c r="D201" s="69">
        <v>1200</v>
      </c>
    </row>
    <row r="202" spans="3:4" x14ac:dyDescent="0.3">
      <c r="C202" s="85" t="s">
        <v>416</v>
      </c>
      <c r="D202" s="69">
        <v>400</v>
      </c>
    </row>
    <row r="203" spans="3:4" x14ac:dyDescent="0.3">
      <c r="C203" s="85" t="s">
        <v>417</v>
      </c>
      <c r="D203" s="69">
        <v>3200</v>
      </c>
    </row>
    <row r="204" spans="3:4" x14ac:dyDescent="0.3">
      <c r="C204" s="85" t="s">
        <v>418</v>
      </c>
      <c r="D204" s="69">
        <v>4000</v>
      </c>
    </row>
    <row r="205" spans="3:4" x14ac:dyDescent="0.3">
      <c r="C205" s="85" t="s">
        <v>419</v>
      </c>
      <c r="D205" s="69">
        <v>4100</v>
      </c>
    </row>
    <row r="206" spans="3:4" x14ac:dyDescent="0.3">
      <c r="C206" s="85" t="s">
        <v>420</v>
      </c>
      <c r="D206" s="69">
        <v>4500</v>
      </c>
    </row>
    <row r="207" spans="3:4" x14ac:dyDescent="0.3">
      <c r="C207" s="85" t="s">
        <v>421</v>
      </c>
      <c r="D207" s="69">
        <v>1200</v>
      </c>
    </row>
    <row r="208" spans="3:4" x14ac:dyDescent="0.3">
      <c r="C208" s="85" t="s">
        <v>422</v>
      </c>
      <c r="D208" s="69">
        <v>1500</v>
      </c>
    </row>
    <row r="209" spans="3:4" x14ac:dyDescent="0.3">
      <c r="C209" s="85" t="s">
        <v>423</v>
      </c>
      <c r="D209" s="69">
        <v>2200</v>
      </c>
    </row>
    <row r="210" spans="3:4" x14ac:dyDescent="0.3">
      <c r="C210" s="85" t="s">
        <v>424</v>
      </c>
      <c r="D210" s="69">
        <v>3800</v>
      </c>
    </row>
    <row r="211" spans="3:4" x14ac:dyDescent="0.3">
      <c r="C211" s="85" t="s">
        <v>425</v>
      </c>
      <c r="D211" s="69">
        <v>4800</v>
      </c>
    </row>
    <row r="212" spans="3:4" x14ac:dyDescent="0.3">
      <c r="C212" s="85" t="s">
        <v>426</v>
      </c>
      <c r="D212" s="69">
        <v>1800</v>
      </c>
    </row>
    <row r="213" spans="3:4" x14ac:dyDescent="0.3">
      <c r="C213" s="85" t="s">
        <v>427</v>
      </c>
      <c r="D213" s="69">
        <v>5000</v>
      </c>
    </row>
    <row r="214" spans="3:4" x14ac:dyDescent="0.3">
      <c r="C214" s="85" t="s">
        <v>428</v>
      </c>
      <c r="D214" s="69">
        <v>1200</v>
      </c>
    </row>
    <row r="215" spans="3:4" x14ac:dyDescent="0.3">
      <c r="C215" s="85" t="s">
        <v>429</v>
      </c>
      <c r="D215" s="69">
        <v>2300</v>
      </c>
    </row>
    <row r="216" spans="3:4" x14ac:dyDescent="0.3">
      <c r="C216" s="85" t="s">
        <v>430</v>
      </c>
      <c r="D216" s="69">
        <v>2500</v>
      </c>
    </row>
    <row r="217" spans="3:4" x14ac:dyDescent="0.3">
      <c r="C217" s="85" t="s">
        <v>431</v>
      </c>
      <c r="D217" s="69">
        <v>4500</v>
      </c>
    </row>
    <row r="218" spans="3:4" x14ac:dyDescent="0.3">
      <c r="C218" s="85" t="s">
        <v>432</v>
      </c>
      <c r="D218" s="69">
        <v>3800</v>
      </c>
    </row>
    <row r="219" spans="3:4" x14ac:dyDescent="0.3">
      <c r="C219" s="85" t="s">
        <v>433</v>
      </c>
      <c r="D219" s="69">
        <v>5800</v>
      </c>
    </row>
    <row r="220" spans="3:4" x14ac:dyDescent="0.3">
      <c r="C220" s="85" t="s">
        <v>434</v>
      </c>
      <c r="D220" s="69">
        <v>4800</v>
      </c>
    </row>
    <row r="221" spans="3:4" x14ac:dyDescent="0.3">
      <c r="C221" s="85" t="s">
        <v>435</v>
      </c>
      <c r="D221" s="69">
        <v>4800</v>
      </c>
    </row>
    <row r="222" spans="3:4" x14ac:dyDescent="0.3">
      <c r="C222" s="85" t="s">
        <v>436</v>
      </c>
      <c r="D222" s="69">
        <v>4800</v>
      </c>
    </row>
    <row r="223" spans="3:4" x14ac:dyDescent="0.3">
      <c r="C223" s="85" t="s">
        <v>437</v>
      </c>
      <c r="D223" s="69">
        <v>5500</v>
      </c>
    </row>
    <row r="224" spans="3:4" x14ac:dyDescent="0.3">
      <c r="C224" s="85" t="s">
        <v>438</v>
      </c>
      <c r="D224" s="69">
        <v>5200</v>
      </c>
    </row>
    <row r="225" spans="3:4" x14ac:dyDescent="0.3">
      <c r="C225" s="85" t="s">
        <v>439</v>
      </c>
      <c r="D225" s="69">
        <v>3500</v>
      </c>
    </row>
    <row r="226" spans="3:4" x14ac:dyDescent="0.3">
      <c r="C226" s="85" t="s">
        <v>440</v>
      </c>
      <c r="D226" s="69">
        <v>1900</v>
      </c>
    </row>
    <row r="227" spans="3:4" x14ac:dyDescent="0.3">
      <c r="C227" s="85" t="s">
        <v>441</v>
      </c>
      <c r="D227" s="69">
        <v>2200</v>
      </c>
    </row>
    <row r="228" spans="3:4" x14ac:dyDescent="0.3">
      <c r="C228" s="85" t="s">
        <v>442</v>
      </c>
      <c r="D228" s="69">
        <v>2500</v>
      </c>
    </row>
    <row r="229" spans="3:4" x14ac:dyDescent="0.3">
      <c r="C229" s="85" t="s">
        <v>443</v>
      </c>
      <c r="D229" s="69">
        <v>5900</v>
      </c>
    </row>
    <row r="230" spans="3:4" x14ac:dyDescent="0.3">
      <c r="C230" s="85" t="s">
        <v>444</v>
      </c>
      <c r="D230" s="69">
        <v>3500</v>
      </c>
    </row>
    <row r="231" spans="3:4" x14ac:dyDescent="0.3">
      <c r="C231" s="85" t="s">
        <v>445</v>
      </c>
      <c r="D231" s="69">
        <v>6500</v>
      </c>
    </row>
    <row r="232" spans="3:4" x14ac:dyDescent="0.3">
      <c r="C232" s="85" t="s">
        <v>446</v>
      </c>
      <c r="D232" s="69">
        <v>3800</v>
      </c>
    </row>
    <row r="233" spans="3:4" x14ac:dyDescent="0.3">
      <c r="C233" s="85" t="s">
        <v>447</v>
      </c>
      <c r="D233" s="69">
        <v>3200</v>
      </c>
    </row>
    <row r="234" spans="3:4" x14ac:dyDescent="0.3">
      <c r="C234" s="85" t="s">
        <v>448</v>
      </c>
      <c r="D234" s="69">
        <v>1200</v>
      </c>
    </row>
    <row r="235" spans="3:4" x14ac:dyDescent="0.3">
      <c r="C235" s="85" t="s">
        <v>449</v>
      </c>
      <c r="D235" s="69">
        <v>8900</v>
      </c>
    </row>
    <row r="236" spans="3:4" x14ac:dyDescent="0.3">
      <c r="C236" s="85" t="s">
        <v>450</v>
      </c>
      <c r="D236" s="69">
        <v>1100</v>
      </c>
    </row>
    <row r="237" spans="3:4" x14ac:dyDescent="0.3">
      <c r="C237" s="85" t="s">
        <v>451</v>
      </c>
      <c r="D237" s="69">
        <v>5800</v>
      </c>
    </row>
    <row r="238" spans="3:4" x14ac:dyDescent="0.3">
      <c r="C238" s="85" t="s">
        <v>452</v>
      </c>
      <c r="D238" s="69">
        <v>8000</v>
      </c>
    </row>
    <row r="239" spans="3:4" x14ac:dyDescent="0.3">
      <c r="C239" s="85" t="s">
        <v>453</v>
      </c>
      <c r="D239" s="69">
        <v>2500</v>
      </c>
    </row>
    <row r="240" spans="3:4" x14ac:dyDescent="0.3">
      <c r="C240" s="85" t="s">
        <v>454</v>
      </c>
      <c r="D240" s="69">
        <v>15500</v>
      </c>
    </row>
    <row r="241" spans="3:4" x14ac:dyDescent="0.3">
      <c r="C241" s="85" t="s">
        <v>455</v>
      </c>
      <c r="D241" s="69">
        <v>3500</v>
      </c>
    </row>
    <row r="242" spans="3:4" x14ac:dyDescent="0.3">
      <c r="C242" s="85" t="s">
        <v>456</v>
      </c>
      <c r="D242" s="69">
        <v>3800</v>
      </c>
    </row>
    <row r="243" spans="3:4" x14ac:dyDescent="0.3">
      <c r="C243" s="85" t="s">
        <v>457</v>
      </c>
      <c r="D243" s="69">
        <v>1800</v>
      </c>
    </row>
    <row r="244" spans="3:4" x14ac:dyDescent="0.3">
      <c r="C244" s="85" t="s">
        <v>458</v>
      </c>
      <c r="D244" s="69">
        <v>800</v>
      </c>
    </row>
    <row r="245" spans="3:4" x14ac:dyDescent="0.3">
      <c r="C245" s="85" t="s">
        <v>459</v>
      </c>
      <c r="D245" s="69">
        <v>13000</v>
      </c>
    </row>
    <row r="246" spans="3:4" x14ac:dyDescent="0.3">
      <c r="C246" s="85" t="s">
        <v>460</v>
      </c>
      <c r="D246" s="69">
        <v>4000</v>
      </c>
    </row>
    <row r="247" spans="3:4" x14ac:dyDescent="0.3">
      <c r="C247" s="85" t="s">
        <v>461</v>
      </c>
      <c r="D247" s="69">
        <v>5500</v>
      </c>
    </row>
    <row r="248" spans="3:4" x14ac:dyDescent="0.3">
      <c r="C248" s="85" t="s">
        <v>462</v>
      </c>
      <c r="D248" s="69">
        <v>6200</v>
      </c>
    </row>
    <row r="249" spans="3:4" x14ac:dyDescent="0.3">
      <c r="C249" s="85" t="s">
        <v>463</v>
      </c>
      <c r="D249" s="69">
        <v>2100</v>
      </c>
    </row>
    <row r="250" spans="3:4" x14ac:dyDescent="0.3">
      <c r="C250" s="85" t="s">
        <v>464</v>
      </c>
      <c r="D250" s="69">
        <v>2200</v>
      </c>
    </row>
    <row r="251" spans="3:4" x14ac:dyDescent="0.3">
      <c r="C251" s="85" t="s">
        <v>465</v>
      </c>
      <c r="D251" s="69">
        <v>1500</v>
      </c>
    </row>
    <row r="252" spans="3:4" x14ac:dyDescent="0.3">
      <c r="C252" s="85" t="s">
        <v>466</v>
      </c>
      <c r="D252" s="69">
        <v>250</v>
      </c>
    </row>
    <row r="253" spans="3:4" x14ac:dyDescent="0.3">
      <c r="C253" s="85" t="s">
        <v>467</v>
      </c>
      <c r="D253" s="69">
        <v>2400</v>
      </c>
    </row>
    <row r="254" spans="3:4" x14ac:dyDescent="0.3">
      <c r="C254" s="85" t="s">
        <v>468</v>
      </c>
      <c r="D254" s="69">
        <v>450</v>
      </c>
    </row>
    <row r="255" spans="3:4" x14ac:dyDescent="0.3">
      <c r="C255" s="85" t="s">
        <v>469</v>
      </c>
      <c r="D255" s="69">
        <v>10200</v>
      </c>
    </row>
    <row r="256" spans="3:4" x14ac:dyDescent="0.3">
      <c r="C256" s="85" t="s">
        <v>470</v>
      </c>
      <c r="D256" s="69">
        <v>350</v>
      </c>
    </row>
    <row r="257" spans="3:4" x14ac:dyDescent="0.3">
      <c r="C257" s="85" t="s">
        <v>471</v>
      </c>
      <c r="D257" s="69">
        <v>1400</v>
      </c>
    </row>
    <row r="258" spans="3:4" x14ac:dyDescent="0.3">
      <c r="C258" s="85" t="s">
        <v>472</v>
      </c>
      <c r="D258" s="69">
        <v>6200</v>
      </c>
    </row>
    <row r="259" spans="3:4" x14ac:dyDescent="0.3">
      <c r="C259" s="85" t="s">
        <v>473</v>
      </c>
      <c r="D259" s="69">
        <v>5500</v>
      </c>
    </row>
    <row r="260" spans="3:4" x14ac:dyDescent="0.3">
      <c r="C260" s="85" t="s">
        <v>474</v>
      </c>
      <c r="D260" s="69">
        <v>5500</v>
      </c>
    </row>
    <row r="261" spans="3:4" x14ac:dyDescent="0.3">
      <c r="C261" s="85" t="s">
        <v>475</v>
      </c>
      <c r="D261" s="69">
        <v>3500</v>
      </c>
    </row>
    <row r="262" spans="3:4" x14ac:dyDescent="0.3">
      <c r="C262" s="85" t="s">
        <v>476</v>
      </c>
      <c r="D262" s="69">
        <v>1800</v>
      </c>
    </row>
    <row r="263" spans="3:4" x14ac:dyDescent="0.3">
      <c r="C263" s="85" t="s">
        <v>477</v>
      </c>
      <c r="D263" s="69">
        <v>4000</v>
      </c>
    </row>
    <row r="264" spans="3:4" x14ac:dyDescent="0.3">
      <c r="C264" s="85" t="s">
        <v>478</v>
      </c>
      <c r="D264" s="69">
        <v>5500</v>
      </c>
    </row>
    <row r="265" spans="3:4" x14ac:dyDescent="0.3">
      <c r="C265" s="85" t="s">
        <v>479</v>
      </c>
      <c r="D265" s="69">
        <v>2300</v>
      </c>
    </row>
    <row r="266" spans="3:4" x14ac:dyDescent="0.3">
      <c r="C266" s="85" t="s">
        <v>480</v>
      </c>
      <c r="D266" s="69">
        <v>3500</v>
      </c>
    </row>
    <row r="267" spans="3:4" x14ac:dyDescent="0.3">
      <c r="C267" s="85" t="s">
        <v>481</v>
      </c>
      <c r="D267" s="69">
        <v>3800</v>
      </c>
    </row>
    <row r="268" spans="3:4" x14ac:dyDescent="0.3">
      <c r="C268" s="85" t="s">
        <v>482</v>
      </c>
      <c r="D268" s="69">
        <v>1300</v>
      </c>
    </row>
    <row r="269" spans="3:4" x14ac:dyDescent="0.3">
      <c r="C269" s="85" t="s">
        <v>483</v>
      </c>
      <c r="D269" s="69">
        <v>600</v>
      </c>
    </row>
    <row r="270" spans="3:4" x14ac:dyDescent="0.3">
      <c r="C270" s="85" t="s">
        <v>484</v>
      </c>
      <c r="D270" s="69">
        <v>10200</v>
      </c>
    </row>
    <row r="271" spans="3:4" x14ac:dyDescent="0.3">
      <c r="C271" s="85" t="s">
        <v>485</v>
      </c>
      <c r="D271" s="69">
        <v>12800</v>
      </c>
    </row>
    <row r="272" spans="3:4" x14ac:dyDescent="0.3">
      <c r="C272" s="85" t="s">
        <v>486</v>
      </c>
      <c r="D272" s="69">
        <v>1800</v>
      </c>
    </row>
    <row r="273" spans="3:4" x14ac:dyDescent="0.3">
      <c r="C273" s="85" t="s">
        <v>487</v>
      </c>
      <c r="D273" s="69">
        <v>400</v>
      </c>
    </row>
    <row r="274" spans="3:4" x14ac:dyDescent="0.3">
      <c r="C274" s="85" t="s">
        <v>488</v>
      </c>
      <c r="D274" s="69">
        <v>1800</v>
      </c>
    </row>
    <row r="275" spans="3:4" x14ac:dyDescent="0.3">
      <c r="C275" s="85" t="s">
        <v>489</v>
      </c>
      <c r="D275" s="69">
        <v>1800</v>
      </c>
    </row>
    <row r="276" spans="3:4" x14ac:dyDescent="0.3">
      <c r="C276" s="85" t="s">
        <v>490</v>
      </c>
      <c r="D276" s="69">
        <v>9300</v>
      </c>
    </row>
    <row r="277" spans="3:4" x14ac:dyDescent="0.3">
      <c r="C277" s="85" t="s">
        <v>491</v>
      </c>
      <c r="D277" s="69">
        <v>7300</v>
      </c>
    </row>
    <row r="278" spans="3:4" x14ac:dyDescent="0.3">
      <c r="C278" s="85" t="s">
        <v>492</v>
      </c>
      <c r="D278" s="69">
        <v>6300</v>
      </c>
    </row>
    <row r="279" spans="3:4" x14ac:dyDescent="0.3">
      <c r="C279" s="85" t="s">
        <v>493</v>
      </c>
      <c r="D279" s="69">
        <v>3800</v>
      </c>
    </row>
    <row r="280" spans="3:4" x14ac:dyDescent="0.3">
      <c r="C280" s="85" t="s">
        <v>494</v>
      </c>
      <c r="D280" s="69">
        <v>2900</v>
      </c>
    </row>
    <row r="281" spans="3:4" x14ac:dyDescent="0.3">
      <c r="C281" s="85" t="s">
        <v>495</v>
      </c>
      <c r="D281" s="69">
        <v>1500</v>
      </c>
    </row>
    <row r="282" spans="3:4" x14ac:dyDescent="0.3">
      <c r="C282" s="85" t="s">
        <v>496</v>
      </c>
      <c r="D282" s="69">
        <v>1500</v>
      </c>
    </row>
    <row r="283" spans="3:4" x14ac:dyDescent="0.3">
      <c r="C283" s="85" t="s">
        <v>497</v>
      </c>
      <c r="D283" s="69">
        <v>600</v>
      </c>
    </row>
    <row r="284" spans="3:4" x14ac:dyDescent="0.3">
      <c r="C284" s="85" t="s">
        <v>498</v>
      </c>
      <c r="D284" s="69">
        <v>2300</v>
      </c>
    </row>
    <row r="285" spans="3:4" x14ac:dyDescent="0.3">
      <c r="C285" s="85" t="s">
        <v>499</v>
      </c>
      <c r="D285" s="69">
        <v>2500</v>
      </c>
    </row>
    <row r="286" spans="3:4" x14ac:dyDescent="0.3">
      <c r="C286" s="85" t="s">
        <v>500</v>
      </c>
      <c r="D286" s="69">
        <v>1100</v>
      </c>
    </row>
    <row r="287" spans="3:4" x14ac:dyDescent="0.3">
      <c r="C287" s="85" t="s">
        <v>501</v>
      </c>
      <c r="D287" s="69">
        <v>3900</v>
      </c>
    </row>
    <row r="288" spans="3:4" x14ac:dyDescent="0.3">
      <c r="C288" s="85" t="s">
        <v>502</v>
      </c>
      <c r="D288" s="69">
        <v>2800</v>
      </c>
    </row>
    <row r="289" spans="3:4" x14ac:dyDescent="0.3">
      <c r="C289" s="85" t="s">
        <v>503</v>
      </c>
      <c r="D289" s="69">
        <v>6300</v>
      </c>
    </row>
    <row r="290" spans="3:4" x14ac:dyDescent="0.3">
      <c r="C290" s="85" t="s">
        <v>504</v>
      </c>
      <c r="D290" s="69">
        <v>1400</v>
      </c>
    </row>
    <row r="291" spans="3:4" x14ac:dyDescent="0.3">
      <c r="C291" s="85" t="s">
        <v>505</v>
      </c>
      <c r="D291" s="69">
        <v>3500</v>
      </c>
    </row>
    <row r="292" spans="3:4" x14ac:dyDescent="0.3">
      <c r="C292" s="85" t="s">
        <v>506</v>
      </c>
      <c r="D292" s="69">
        <v>1400</v>
      </c>
    </row>
    <row r="293" spans="3:4" x14ac:dyDescent="0.3">
      <c r="C293" s="85" t="s">
        <v>507</v>
      </c>
      <c r="D293" s="69">
        <v>7800</v>
      </c>
    </row>
    <row r="294" spans="3:4" x14ac:dyDescent="0.3">
      <c r="C294" s="85" t="s">
        <v>508</v>
      </c>
      <c r="D294" s="69">
        <v>10800</v>
      </c>
    </row>
    <row r="295" spans="3:4" x14ac:dyDescent="0.3">
      <c r="C295" s="85" t="s">
        <v>509</v>
      </c>
      <c r="D295" s="69">
        <v>9800</v>
      </c>
    </row>
    <row r="296" spans="3:4" x14ac:dyDescent="0.3">
      <c r="C296" s="85" t="s">
        <v>510</v>
      </c>
      <c r="D296" s="69">
        <v>4100</v>
      </c>
    </row>
    <row r="297" spans="3:4" x14ac:dyDescent="0.3">
      <c r="C297" s="85" t="s">
        <v>511</v>
      </c>
      <c r="D297" s="69">
        <v>5000</v>
      </c>
    </row>
    <row r="298" spans="3:4" x14ac:dyDescent="0.3">
      <c r="C298" s="85" t="s">
        <v>512</v>
      </c>
      <c r="D298" s="69">
        <v>7800</v>
      </c>
    </row>
    <row r="299" spans="3:4" x14ac:dyDescent="0.3">
      <c r="C299" s="85" t="s">
        <v>513</v>
      </c>
      <c r="D299" s="69">
        <v>7800</v>
      </c>
    </row>
    <row r="300" spans="3:4" x14ac:dyDescent="0.3">
      <c r="C300" s="85" t="s">
        <v>514</v>
      </c>
      <c r="D300" s="69">
        <v>5200</v>
      </c>
    </row>
    <row r="301" spans="3:4" x14ac:dyDescent="0.3">
      <c r="C301" s="85" t="s">
        <v>515</v>
      </c>
      <c r="D301" s="69">
        <v>2600</v>
      </c>
    </row>
    <row r="302" spans="3:4" x14ac:dyDescent="0.3">
      <c r="C302" s="85" t="s">
        <v>516</v>
      </c>
      <c r="D302" s="69">
        <v>4300</v>
      </c>
    </row>
    <row r="303" spans="3:4" x14ac:dyDescent="0.3">
      <c r="C303" s="85" t="s">
        <v>517</v>
      </c>
      <c r="D303" s="69">
        <v>4400</v>
      </c>
    </row>
    <row r="304" spans="3:4" x14ac:dyDescent="0.3">
      <c r="C304" s="85" t="s">
        <v>518</v>
      </c>
      <c r="D304" s="69">
        <v>4500</v>
      </c>
    </row>
    <row r="305" spans="3:4" x14ac:dyDescent="0.3">
      <c r="C305" s="85" t="s">
        <v>519</v>
      </c>
      <c r="D305" s="69">
        <v>4300</v>
      </c>
    </row>
    <row r="306" spans="3:4" x14ac:dyDescent="0.3">
      <c r="C306" s="85" t="s">
        <v>520</v>
      </c>
      <c r="D306" s="69">
        <v>4300</v>
      </c>
    </row>
    <row r="307" spans="3:4" x14ac:dyDescent="0.3">
      <c r="C307" s="85" t="s">
        <v>521</v>
      </c>
      <c r="D307" s="69">
        <v>7300</v>
      </c>
    </row>
    <row r="308" spans="3:4" x14ac:dyDescent="0.3">
      <c r="C308" s="85" t="s">
        <v>522</v>
      </c>
      <c r="D308" s="69">
        <v>7300</v>
      </c>
    </row>
    <row r="309" spans="3:4" x14ac:dyDescent="0.3">
      <c r="C309" s="85" t="s">
        <v>523</v>
      </c>
      <c r="D309" s="69">
        <v>7500</v>
      </c>
    </row>
    <row r="310" spans="3:4" x14ac:dyDescent="0.3">
      <c r="C310" s="85" t="s">
        <v>524</v>
      </c>
      <c r="D310" s="69">
        <v>9300</v>
      </c>
    </row>
    <row r="311" spans="3:4" x14ac:dyDescent="0.3">
      <c r="C311" s="85" t="s">
        <v>525</v>
      </c>
      <c r="D311" s="69">
        <v>9300</v>
      </c>
    </row>
    <row r="312" spans="3:4" x14ac:dyDescent="0.3">
      <c r="C312" s="85" t="s">
        <v>526</v>
      </c>
      <c r="D312" s="69">
        <v>1800</v>
      </c>
    </row>
    <row r="313" spans="3:4" x14ac:dyDescent="0.3">
      <c r="C313" s="85" t="s">
        <v>527</v>
      </c>
      <c r="D313" s="69">
        <v>1500</v>
      </c>
    </row>
    <row r="314" spans="3:4" x14ac:dyDescent="0.3">
      <c r="C314" s="85" t="s">
        <v>528</v>
      </c>
      <c r="D314" s="69">
        <v>2800</v>
      </c>
    </row>
    <row r="315" spans="3:4" x14ac:dyDescent="0.3">
      <c r="C315" s="85" t="s">
        <v>529</v>
      </c>
      <c r="D315" s="69">
        <v>2600</v>
      </c>
    </row>
    <row r="316" spans="3:4" x14ac:dyDescent="0.3">
      <c r="C316" s="85" t="s">
        <v>530</v>
      </c>
      <c r="D316" s="69">
        <v>600</v>
      </c>
    </row>
    <row r="317" spans="3:4" x14ac:dyDescent="0.3">
      <c r="C317" s="85" t="s">
        <v>531</v>
      </c>
      <c r="D317" s="69">
        <v>11500</v>
      </c>
    </row>
    <row r="318" spans="3:4" x14ac:dyDescent="0.3">
      <c r="C318" s="85" t="s">
        <v>532</v>
      </c>
      <c r="D318" s="69">
        <v>1800</v>
      </c>
    </row>
    <row r="319" spans="3:4" x14ac:dyDescent="0.3">
      <c r="C319" s="85" t="s">
        <v>533</v>
      </c>
      <c r="D319" s="69">
        <v>1500</v>
      </c>
    </row>
    <row r="320" spans="3:4" x14ac:dyDescent="0.3">
      <c r="C320" s="85" t="s">
        <v>534</v>
      </c>
      <c r="D320" s="69">
        <v>7200</v>
      </c>
    </row>
    <row r="321" spans="3:4" x14ac:dyDescent="0.3">
      <c r="C321" s="85" t="s">
        <v>535</v>
      </c>
      <c r="D321" s="69">
        <v>6300</v>
      </c>
    </row>
    <row r="322" spans="3:4" x14ac:dyDescent="0.3">
      <c r="C322" s="85" t="s">
        <v>536</v>
      </c>
      <c r="D322" s="69">
        <v>4200</v>
      </c>
    </row>
    <row r="323" spans="3:4" x14ac:dyDescent="0.3">
      <c r="C323" s="85" t="s">
        <v>537</v>
      </c>
      <c r="D323" s="69">
        <v>4500</v>
      </c>
    </row>
    <row r="324" spans="3:4" x14ac:dyDescent="0.3">
      <c r="C324" s="85" t="s">
        <v>538</v>
      </c>
      <c r="D324" s="69">
        <v>7500</v>
      </c>
    </row>
    <row r="325" spans="3:4" x14ac:dyDescent="0.3">
      <c r="C325" s="85" t="s">
        <v>539</v>
      </c>
      <c r="D325" s="69">
        <v>11500</v>
      </c>
    </row>
    <row r="326" spans="3:4" x14ac:dyDescent="0.3">
      <c r="C326" s="85" t="s">
        <v>540</v>
      </c>
      <c r="D326" s="69">
        <v>3000</v>
      </c>
    </row>
    <row r="327" spans="3:4" x14ac:dyDescent="0.3">
      <c r="C327" s="85" t="s">
        <v>541</v>
      </c>
      <c r="D327" s="69">
        <v>800</v>
      </c>
    </row>
    <row r="328" spans="3:4" x14ac:dyDescent="0.3">
      <c r="C328" s="85" t="s">
        <v>542</v>
      </c>
      <c r="D328" s="69">
        <v>4100</v>
      </c>
    </row>
    <row r="329" spans="3:4" x14ac:dyDescent="0.3">
      <c r="C329" s="85" t="s">
        <v>543</v>
      </c>
      <c r="D329" s="69">
        <v>4100</v>
      </c>
    </row>
    <row r="330" spans="3:4" x14ac:dyDescent="0.3">
      <c r="C330" s="85" t="s">
        <v>544</v>
      </c>
      <c r="D330" s="69">
        <v>720</v>
      </c>
    </row>
    <row r="331" spans="3:4" x14ac:dyDescent="0.3">
      <c r="C331" s="85" t="s">
        <v>545</v>
      </c>
      <c r="D331" s="69">
        <v>1800</v>
      </c>
    </row>
    <row r="332" spans="3:4" x14ac:dyDescent="0.3">
      <c r="C332" s="85" t="s">
        <v>546</v>
      </c>
      <c r="D332" s="69">
        <v>1200</v>
      </c>
    </row>
    <row r="333" spans="3:4" x14ac:dyDescent="0.3">
      <c r="C333" s="85" t="s">
        <v>547</v>
      </c>
      <c r="D333" s="69">
        <v>6600</v>
      </c>
    </row>
    <row r="334" spans="3:4" x14ac:dyDescent="0.3">
      <c r="C334" s="85" t="s">
        <v>548</v>
      </c>
      <c r="D334" s="69">
        <v>600</v>
      </c>
    </row>
    <row r="335" spans="3:4" x14ac:dyDescent="0.3">
      <c r="C335" s="85" t="s">
        <v>549</v>
      </c>
      <c r="D335" s="69">
        <v>2500</v>
      </c>
    </row>
    <row r="336" spans="3:4" x14ac:dyDescent="0.3">
      <c r="C336" s="85" t="s">
        <v>550</v>
      </c>
      <c r="D336" s="69">
        <v>2500</v>
      </c>
    </row>
    <row r="337" spans="3:4" x14ac:dyDescent="0.3">
      <c r="C337" s="85" t="s">
        <v>551</v>
      </c>
      <c r="D337" s="69">
        <v>4100</v>
      </c>
    </row>
    <row r="338" spans="3:4" x14ac:dyDescent="0.3">
      <c r="C338" s="85" t="s">
        <v>552</v>
      </c>
      <c r="D338" s="69">
        <v>11500</v>
      </c>
    </row>
    <row r="339" spans="3:4" x14ac:dyDescent="0.3">
      <c r="C339" s="85" t="s">
        <v>553</v>
      </c>
      <c r="D339" s="69">
        <v>3700</v>
      </c>
    </row>
    <row r="340" spans="3:4" x14ac:dyDescent="0.3">
      <c r="C340" s="85" t="s">
        <v>554</v>
      </c>
      <c r="D340" s="69">
        <v>3100</v>
      </c>
    </row>
    <row r="341" spans="3:4" x14ac:dyDescent="0.3">
      <c r="C341" s="85" t="s">
        <v>555</v>
      </c>
      <c r="D341" s="69">
        <v>1200</v>
      </c>
    </row>
    <row r="342" spans="3:4" x14ac:dyDescent="0.3">
      <c r="C342" s="85" t="s">
        <v>556</v>
      </c>
      <c r="D342" s="69">
        <v>3200</v>
      </c>
    </row>
    <row r="343" spans="3:4" x14ac:dyDescent="0.3">
      <c r="C343" s="85" t="s">
        <v>557</v>
      </c>
      <c r="D343" s="69">
        <v>3900</v>
      </c>
    </row>
    <row r="344" spans="3:4" x14ac:dyDescent="0.3">
      <c r="C344" s="85" t="s">
        <v>558</v>
      </c>
      <c r="D344" s="69">
        <v>2500</v>
      </c>
    </row>
    <row r="345" spans="3:4" x14ac:dyDescent="0.3">
      <c r="C345" s="85" t="s">
        <v>559</v>
      </c>
      <c r="D345" s="69">
        <v>1900</v>
      </c>
    </row>
    <row r="346" spans="3:4" x14ac:dyDescent="0.3">
      <c r="C346" s="85" t="s">
        <v>560</v>
      </c>
      <c r="D346" s="69">
        <v>2800</v>
      </c>
    </row>
    <row r="347" spans="3:4" x14ac:dyDescent="0.3">
      <c r="C347" s="85" t="s">
        <v>561</v>
      </c>
      <c r="D347" s="69">
        <v>800</v>
      </c>
    </row>
    <row r="348" spans="3:4" x14ac:dyDescent="0.3">
      <c r="C348" s="85" t="s">
        <v>562</v>
      </c>
      <c r="D348" s="69">
        <v>6800</v>
      </c>
    </row>
    <row r="349" spans="3:4" x14ac:dyDescent="0.3">
      <c r="C349" s="85" t="s">
        <v>563</v>
      </c>
      <c r="D349" s="69">
        <v>11600</v>
      </c>
    </row>
    <row r="350" spans="3:4" x14ac:dyDescent="0.3">
      <c r="C350" s="85" t="s">
        <v>564</v>
      </c>
      <c r="D350" s="69">
        <v>1100</v>
      </c>
    </row>
    <row r="351" spans="3:4" x14ac:dyDescent="0.3">
      <c r="C351" s="85" t="s">
        <v>565</v>
      </c>
      <c r="D351" s="69">
        <v>2500</v>
      </c>
    </row>
    <row r="352" spans="3:4" x14ac:dyDescent="0.3">
      <c r="C352" s="85" t="s">
        <v>566</v>
      </c>
      <c r="D352" s="69">
        <v>4800</v>
      </c>
    </row>
    <row r="353" spans="3:4" x14ac:dyDescent="0.3">
      <c r="C353" s="85" t="s">
        <v>567</v>
      </c>
      <c r="D353" s="69">
        <v>7500</v>
      </c>
    </row>
    <row r="354" spans="3:4" x14ac:dyDescent="0.3">
      <c r="C354" s="85" t="s">
        <v>568</v>
      </c>
      <c r="D354" s="69">
        <v>9600</v>
      </c>
    </row>
    <row r="355" spans="3:4" x14ac:dyDescent="0.3">
      <c r="C355" s="85" t="s">
        <v>569</v>
      </c>
      <c r="D355" s="69">
        <v>4100</v>
      </c>
    </row>
    <row r="356" spans="3:4" x14ac:dyDescent="0.3">
      <c r="C356" s="85" t="s">
        <v>570</v>
      </c>
      <c r="D356" s="69">
        <v>2500</v>
      </c>
    </row>
    <row r="357" spans="3:4" x14ac:dyDescent="0.3">
      <c r="C357" s="85" t="s">
        <v>571</v>
      </c>
      <c r="D357" s="69">
        <v>4200</v>
      </c>
    </row>
    <row r="358" spans="3:4" x14ac:dyDescent="0.3">
      <c r="C358" s="85" t="s">
        <v>572</v>
      </c>
      <c r="D358" s="69">
        <v>5100</v>
      </c>
    </row>
    <row r="359" spans="3:4" x14ac:dyDescent="0.3">
      <c r="C359" s="85" t="s">
        <v>573</v>
      </c>
      <c r="D359" s="69">
        <v>1200</v>
      </c>
    </row>
    <row r="360" spans="3:4" x14ac:dyDescent="0.3">
      <c r="C360" s="85" t="s">
        <v>574</v>
      </c>
      <c r="D360" s="69">
        <v>1500</v>
      </c>
    </row>
    <row r="361" spans="3:4" x14ac:dyDescent="0.3">
      <c r="C361" s="85" t="s">
        <v>575</v>
      </c>
      <c r="D361" s="69">
        <v>1800</v>
      </c>
    </row>
    <row r="362" spans="3:4" x14ac:dyDescent="0.3">
      <c r="C362" s="85" t="s">
        <v>576</v>
      </c>
      <c r="D362" s="69">
        <v>2500</v>
      </c>
    </row>
    <row r="363" spans="3:4" x14ac:dyDescent="0.3">
      <c r="C363" s="85" t="s">
        <v>577</v>
      </c>
      <c r="D363" s="69">
        <v>5000</v>
      </c>
    </row>
    <row r="364" spans="3:4" x14ac:dyDescent="0.3">
      <c r="C364" s="85" t="s">
        <v>578</v>
      </c>
      <c r="D364" s="69">
        <v>13000</v>
      </c>
    </row>
  </sheetData>
  <phoneticPr fontId="24" type="noConversion"/>
  <pageMargins left="0.511811024" right="0.511811024" top="0.78740157499999996" bottom="0.78740157499999996" header="0.31496062000000002" footer="0.31496062000000002"/>
  <pageSetup paperSize="9" orientation="portrait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Base</vt:lpstr>
      <vt:lpstr>Análise</vt:lpstr>
      <vt:lpstr>Resumo Detalhado</vt:lpstr>
      <vt:lpstr>Resumo Detalhado Grafico</vt:lpstr>
      <vt:lpstr>Target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Mauro</dc:creator>
  <cp:keywords/>
  <dc:description/>
  <cp:lastModifiedBy>joão pedro</cp:lastModifiedBy>
  <cp:revision/>
  <dcterms:created xsi:type="dcterms:W3CDTF">2023-01-30T01:52:51Z</dcterms:created>
  <dcterms:modified xsi:type="dcterms:W3CDTF">2026-10-02T13:03:41Z</dcterms:modified>
  <cp:category/>
  <cp:contentStatus/>
</cp:coreProperties>
</file>